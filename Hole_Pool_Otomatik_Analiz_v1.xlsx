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600" firstSheet="0" activeTab="4" autoFilterDateGrouping="1"/>
  </bookViews>
  <sheets>
    <sheet name="ARPU" sheetId="1" state="visible" r:id="rId1"/>
    <sheet name="Av.Rw" sheetId="2" state="visible" r:id="rId2"/>
    <sheet name="And" sheetId="3" state="visible" r:id="rId3"/>
    <sheet name="Boosters_And" sheetId="4" state="visible" r:id="rId4"/>
    <sheet name="IOS" sheetId="5" state="visible" r:id="rId5"/>
    <sheet name="Boosters_IOS" sheetId="6" state="visible" r:id="rId6"/>
  </sheets>
  <definedNames>
    <definedName name="_xlnm._FilterDatabase" localSheetId="4" hidden="1">'IOS'!$M$2:$M$1217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.00"/>
    <numFmt numFmtId="166" formatCode="0.00000"/>
  </numFmts>
  <fonts count="52">
    <font>
      <name val="Arial"/>
      <color rgb="FF000000"/>
      <sz val="10"/>
      <scheme val="minor"/>
    </font>
    <font>
      <name val="Arial"/>
      <color theme="1"/>
      <sz val="11"/>
    </font>
    <font>
      <name val="Segoe UI"/>
      <b val="1"/>
      <color theme="1"/>
      <sz val="11"/>
    </font>
    <font>
      <name val="Arial"/>
      <b val="1"/>
      <color theme="1"/>
      <sz val="11"/>
    </font>
    <font>
      <name val="Segoe UI"/>
      <color theme="1"/>
      <sz val="11"/>
    </font>
    <font>
      <name val="Arial"/>
      <color rgb="FF434343"/>
      <sz val="16"/>
    </font>
    <font>
      <name val="Roboto"/>
      <color rgb="FF383A3C"/>
      <sz val="16"/>
    </font>
    <font>
      <name val="&quot;Segoe UI&quot;"/>
      <color theme="1"/>
      <sz val="11"/>
    </font>
    <font>
      <name val="&quot;Segoe UI&quot;"/>
      <color rgb="FF000000"/>
      <sz val="11"/>
    </font>
    <font>
      <name val="Arial"/>
      <b val="1"/>
      <color rgb="FFFFFFFF"/>
      <sz val="11"/>
    </font>
    <font>
      <name val="Arial"/>
      <color rgb="FF000000"/>
      <sz val="11"/>
    </font>
    <font>
      <name val="&quot;Segoe UI&quot;"/>
      <b val="1"/>
      <color rgb="FF000000"/>
      <sz val="11"/>
    </font>
    <font>
      <name val="Arial"/>
      <b val="1"/>
      <color rgb="FF000000"/>
      <sz val="11"/>
    </font>
    <font>
      <name val="Arial"/>
      <b val="1"/>
      <color rgb="FF000000"/>
      <sz val="11"/>
      <scheme val="minor"/>
    </font>
    <font>
      <name val="Arial"/>
      <color rgb="FFFFFFFF"/>
      <sz val="11"/>
    </font>
    <font>
      <name val="&quot;Segoe UI&quot;"/>
      <color rgb="FF000000"/>
      <sz val="16"/>
    </font>
    <font>
      <name val="Arial"/>
      <color theme="1"/>
      <sz val="16"/>
      <scheme val="minor"/>
    </font>
    <font>
      <name val="Arial"/>
      <color theme="1"/>
      <sz val="16"/>
    </font>
    <font>
      <name val="Roboto"/>
      <color rgb="FF4C535E"/>
      <sz val="16"/>
    </font>
    <font>
      <name val="Arial"/>
      <color rgb="FF000000"/>
      <sz val="16"/>
      <scheme val="minor"/>
    </font>
    <font>
      <name val="Roboto"/>
      <color rgb="FF363F32"/>
      <sz val="16"/>
    </font>
    <font>
      <name val="Roboto"/>
      <color rgb="FF434343"/>
      <sz val="16"/>
    </font>
    <font>
      <name val="Arial"/>
      <color theme="1"/>
      <sz val="11"/>
      <scheme val="minor"/>
    </font>
    <font>
      <name val="Roboto"/>
      <color rgb="FF383A3C"/>
      <sz val="11"/>
    </font>
    <font>
      <name val="Roboto"/>
      <color rgb="FF4C535E"/>
      <sz val="11"/>
    </font>
    <font>
      <name val="Roboto"/>
      <color rgb="FF363F32"/>
      <sz val="11"/>
    </font>
    <font>
      <name val="Arial"/>
      <color rgb="FF434343"/>
      <sz val="15"/>
    </font>
    <font>
      <name val="Segoe UI"/>
      <color rgb="FF000000"/>
      <sz val="11"/>
    </font>
    <font>
      <name val="Segoe UI"/>
      <color rgb="FF000000"/>
      <sz val="16"/>
    </font>
    <font>
      <name val="Arial"/>
      <color theme="10"/>
      <sz val="11"/>
      <u val="single"/>
      <scheme val="minor"/>
    </font>
    <font>
      <name val="Arial"/>
      <color theme="11"/>
      <sz val="11"/>
      <u val="single"/>
      <scheme val="minor"/>
    </font>
    <font>
      <name val="Arial"/>
      <color rgb="FFFF0000"/>
      <sz val="11"/>
      <scheme val="minor"/>
    </font>
    <font>
      <name val="Arial"/>
      <color theme="3"/>
      <sz val="18"/>
      <scheme val="minor"/>
    </font>
    <font>
      <name val="Arial"/>
      <b val="1"/>
      <color theme="3"/>
      <sz val="15"/>
      <scheme val="minor"/>
    </font>
    <font>
      <name val="Arial"/>
      <b val="1"/>
      <color theme="3"/>
      <sz val="13"/>
      <scheme val="minor"/>
    </font>
    <font>
      <name val="Arial"/>
      <b val="1"/>
      <color theme="3"/>
      <sz val="11"/>
      <scheme val="minor"/>
    </font>
    <font>
      <name val="Arial"/>
      <color rgb="FF3F3F76"/>
      <sz val="11"/>
      <scheme val="minor"/>
    </font>
    <font>
      <name val="Arial"/>
      <b val="1"/>
      <color rgb="FF3F3F3F"/>
      <sz val="11"/>
      <scheme val="minor"/>
    </font>
    <font>
      <name val="Arial"/>
      <b val="1"/>
      <color rgb="FFFA7D00"/>
      <sz val="11"/>
      <scheme val="minor"/>
    </font>
    <font>
      <name val="Arial"/>
      <b val="1"/>
      <color rgb="FFFFFFFF"/>
      <sz val="11"/>
      <scheme val="minor"/>
    </font>
    <font>
      <name val="Arial"/>
      <color rgb="FFFA7D00"/>
      <sz val="11"/>
      <scheme val="minor"/>
    </font>
    <font>
      <name val="Arial"/>
      <b val="1"/>
      <color theme="1"/>
      <sz val="11"/>
      <scheme val="minor"/>
    </font>
    <font>
      <name val="Arial"/>
      <color rgb="FF006100"/>
      <sz val="11"/>
      <scheme val="minor"/>
    </font>
    <font>
      <name val="Arial"/>
      <color rgb="FF9C0006"/>
      <sz val="11"/>
      <scheme val="minor"/>
    </font>
    <font>
      <name val="Arial"/>
      <color rgb="FF9C6500"/>
      <sz val="11"/>
      <scheme val="minor"/>
    </font>
    <font>
      <name val="Arial"/>
      <color theme="0"/>
      <sz val="11"/>
      <scheme val="minor"/>
    </font>
    <font>
      <name val="Arial"/>
      <i val="1"/>
      <color rgb="FF7F7F7F"/>
      <sz val="11"/>
      <scheme val="minor"/>
    </font>
    <font>
      <name val="Arial"/>
      <b val="1"/>
      <color rgb="FF000000"/>
      <sz val="18"/>
    </font>
    <font>
      <name val="Arial"/>
      <color rgb="FF757575"/>
      <sz val="14"/>
    </font>
    <font>
      <name val="Arial"/>
      <color rgb="FF000000"/>
      <sz val="10"/>
    </font>
    <font>
      <name val="Arial"/>
      <b val="1"/>
      <color rgb="FF000000"/>
      <sz val="14"/>
    </font>
    <font>
      <name val="Arial"/>
      <color rgb="FF1A1A1A"/>
      <sz val="11"/>
    </font>
  </fonts>
  <fills count="45">
    <fill>
      <patternFill/>
    </fill>
    <fill>
      <patternFill patternType="lightGray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356854"/>
        <bgColor rgb="FF356854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2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0" fillId="14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20" applyAlignment="1">
      <alignment vertical="center"/>
    </xf>
    <xf numFmtId="0" fontId="34" fillId="0" borderId="21" applyAlignment="1">
      <alignment vertical="center"/>
    </xf>
    <xf numFmtId="0" fontId="35" fillId="0" borderId="22" applyAlignment="1">
      <alignment vertical="center"/>
    </xf>
    <xf numFmtId="0" fontId="35" fillId="0" borderId="0" applyAlignment="1">
      <alignment vertical="center"/>
    </xf>
    <xf numFmtId="0" fontId="36" fillId="15" borderId="23" applyAlignment="1">
      <alignment vertical="center"/>
    </xf>
    <xf numFmtId="0" fontId="37" fillId="16" borderId="24" applyAlignment="1">
      <alignment vertical="center"/>
    </xf>
    <xf numFmtId="0" fontId="38" fillId="16" borderId="23" applyAlignment="1">
      <alignment vertical="center"/>
    </xf>
    <xf numFmtId="0" fontId="39" fillId="17" borderId="25" applyAlignment="1">
      <alignment vertical="center"/>
    </xf>
    <xf numFmtId="0" fontId="40" fillId="0" borderId="26" applyAlignment="1">
      <alignment vertical="center"/>
    </xf>
    <xf numFmtId="0" fontId="41" fillId="0" borderId="27" applyAlignment="1">
      <alignment vertical="center"/>
    </xf>
    <xf numFmtId="0" fontId="42" fillId="18" borderId="0" applyAlignment="1">
      <alignment vertical="center"/>
    </xf>
    <xf numFmtId="0" fontId="43" fillId="19" borderId="0" applyAlignment="1">
      <alignment vertical="center"/>
    </xf>
    <xf numFmtId="0" fontId="44" fillId="20" borderId="0" applyAlignment="1">
      <alignment vertical="center"/>
    </xf>
    <xf numFmtId="0" fontId="45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45" fillId="36" borderId="0" applyAlignment="1">
      <alignment vertical="center"/>
    </xf>
    <xf numFmtId="0" fontId="45" fillId="37" borderId="0" applyAlignment="1">
      <alignment vertical="center"/>
    </xf>
    <xf numFmtId="0" fontId="22" fillId="38" borderId="0" applyAlignment="1">
      <alignment vertical="center"/>
    </xf>
    <xf numFmtId="0" fontId="22" fillId="39" borderId="0" applyAlignment="1">
      <alignment vertical="center"/>
    </xf>
    <xf numFmtId="0" fontId="45" fillId="40" borderId="0" applyAlignment="1">
      <alignment vertical="center"/>
    </xf>
    <xf numFmtId="0" fontId="45" fillId="41" borderId="0" applyAlignment="1">
      <alignment vertical="center"/>
    </xf>
    <xf numFmtId="0" fontId="22" fillId="42" borderId="0" applyAlignment="1">
      <alignment vertical="center"/>
    </xf>
    <xf numFmtId="0" fontId="22" fillId="43" borderId="0" applyAlignment="1">
      <alignment vertical="center"/>
    </xf>
    <xf numFmtId="0" fontId="45" fillId="44" borderId="0" applyAlignment="1">
      <alignment vertical="center"/>
    </xf>
    <xf numFmtId="0" fontId="46" fillId="0" borderId="0" applyAlignment="1">
      <alignment vertical="center"/>
    </xf>
  </cellStyleXfs>
  <cellXfs count="151">
    <xf numFmtId="0" fontId="0" fillId="0" borderId="0" applyAlignment="1" pivotButton="0" quotePrefix="0" xfId="0">
      <alignment wrapText="1"/>
    </xf>
    <xf numFmtId="0" fontId="1" fillId="0" borderId="0" pivotButton="0" quotePrefix="0" xfId="0"/>
    <xf numFmtId="164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right" wrapText="1"/>
    </xf>
    <xf numFmtId="0" fontId="4" fillId="2" borderId="1" applyAlignment="1" pivotButton="0" quotePrefix="0" xfId="0">
      <alignment horizontal="right" vertical="center" wrapText="1"/>
    </xf>
    <xf numFmtId="164" fontId="5" fillId="2" borderId="2" applyAlignment="1" pivotButton="0" quotePrefix="0" xfId="0">
      <alignment horizontal="right" wrapText="1"/>
    </xf>
    <xf numFmtId="164" fontId="5" fillId="2" borderId="3" applyAlignment="1" pivotButton="0" quotePrefix="0" xfId="0">
      <alignment horizontal="right" wrapText="1"/>
    </xf>
    <xf numFmtId="0" fontId="4" fillId="3" borderId="4" applyAlignment="1" pivotButton="0" quotePrefix="0" xfId="0">
      <alignment horizontal="right" vertical="center" wrapText="1"/>
    </xf>
    <xf numFmtId="164" fontId="5" fillId="3" borderId="5" applyAlignment="1" pivotButton="0" quotePrefix="0" xfId="0">
      <alignment horizontal="right" wrapText="1"/>
    </xf>
    <xf numFmtId="164" fontId="5" fillId="3" borderId="6" applyAlignment="1" pivotButton="0" quotePrefix="0" xfId="0">
      <alignment horizontal="right" wrapText="1"/>
    </xf>
    <xf numFmtId="164" fontId="1" fillId="2" borderId="2" applyAlignment="1" pivotButton="0" quotePrefix="0" xfId="0">
      <alignment vertical="center" wrapText="1"/>
    </xf>
    <xf numFmtId="164" fontId="1" fillId="2" borderId="3" applyAlignment="1" pivotButton="0" quotePrefix="0" xfId="0">
      <alignment wrapText="1"/>
    </xf>
    <xf numFmtId="164" fontId="1" fillId="3" borderId="5" applyAlignment="1" pivotButton="0" quotePrefix="0" xfId="0">
      <alignment vertical="center" wrapText="1"/>
    </xf>
    <xf numFmtId="164" fontId="1" fillId="3" borderId="6" applyAlignment="1" pivotButton="0" quotePrefix="0" xfId="0">
      <alignment wrapText="1"/>
    </xf>
    <xf numFmtId="0" fontId="4" fillId="2" borderId="7" applyAlignment="1" pivotButton="0" quotePrefix="0" xfId="0">
      <alignment horizontal="right" vertical="center" wrapText="1"/>
    </xf>
    <xf numFmtId="164" fontId="1" fillId="2" borderId="8" applyAlignment="1" pivotButton="0" quotePrefix="0" xfId="0">
      <alignment vertical="center" wrapText="1"/>
    </xf>
    <xf numFmtId="164" fontId="1" fillId="2" borderId="9" applyAlignment="1" pivotButton="0" quotePrefix="0" xfId="0">
      <alignment wrapText="1"/>
    </xf>
    <xf numFmtId="0" fontId="4" fillId="0" borderId="0" applyAlignment="1" pivotButton="0" quotePrefix="0" xfId="0">
      <alignment horizontal="right"/>
    </xf>
    <xf numFmtId="164" fontId="1" fillId="4" borderId="0" pivotButton="0" quotePrefix="0" xfId="0"/>
    <xf numFmtId="164" fontId="1" fillId="2" borderId="0" pivotButton="0" quotePrefix="0" xfId="0"/>
    <xf numFmtId="164" fontId="1" fillId="5" borderId="0" pivotButton="0" quotePrefix="0" xfId="0"/>
    <xf numFmtId="0" fontId="3" fillId="0" borderId="0" applyAlignment="1" pivotButton="0" quotePrefix="0" xfId="0">
      <alignment horizontal="left" wrapText="1"/>
    </xf>
    <xf numFmtId="2" fontId="1" fillId="2" borderId="2" applyAlignment="1" pivotButton="0" quotePrefix="0" xfId="0">
      <alignment vertical="center" wrapText="1"/>
    </xf>
    <xf numFmtId="2" fontId="6" fillId="2" borderId="3" applyAlignment="1" pivotButton="0" quotePrefix="0" xfId="0">
      <alignment horizontal="right" vertical="center" wrapText="1"/>
    </xf>
    <xf numFmtId="2" fontId="6" fillId="2" borderId="2" applyAlignment="1" pivotButton="0" quotePrefix="0" xfId="0">
      <alignment horizontal="right" vertical="center" wrapText="1"/>
    </xf>
    <xf numFmtId="2" fontId="6" fillId="2" borderId="2" applyAlignment="1" pivotButton="0" quotePrefix="0" xfId="0">
      <alignment horizontal="center" vertical="center" wrapText="1"/>
    </xf>
    <xf numFmtId="2" fontId="1" fillId="2" borderId="3" applyAlignment="1" pivotButton="0" quotePrefix="0" xfId="0">
      <alignment vertical="center" wrapText="1"/>
    </xf>
    <xf numFmtId="2" fontId="1" fillId="2" borderId="8" applyAlignment="1" pivotButton="0" quotePrefix="0" xfId="0">
      <alignment vertical="center" wrapText="1"/>
    </xf>
    <xf numFmtId="2" fontId="1" fillId="2" borderId="9" applyAlignment="1" pivotButton="0" quotePrefix="0" xfId="0">
      <alignment vertical="center" wrapText="1"/>
    </xf>
    <xf numFmtId="2" fontId="1" fillId="2" borderId="0" pivotButton="0" quotePrefix="0" xfId="0"/>
    <xf numFmtId="2" fontId="1" fillId="0" borderId="0" pivotButton="0" quotePrefix="0" xfId="0"/>
    <xf numFmtId="0" fontId="7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6" borderId="10" applyAlignment="1" pivotButton="0" quotePrefix="0" xfId="0">
      <alignment horizontal="center" wrapText="1"/>
    </xf>
    <xf numFmtId="165" fontId="1" fillId="0" borderId="0" pivotButton="0" quotePrefix="0" xfId="0"/>
    <xf numFmtId="166" fontId="10" fillId="0" borderId="0" applyAlignment="1" pivotButton="0" quotePrefix="0" xfId="0">
      <alignment horizontal="right"/>
    </xf>
    <xf numFmtId="4" fontId="10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  <xf numFmtId="0" fontId="11" fillId="7" borderId="0" applyAlignment="1" pivotButton="0" quotePrefix="0" xfId="0">
      <alignment wrapText="1"/>
    </xf>
    <xf numFmtId="2" fontId="12" fillId="7" borderId="0" applyAlignment="1" pivotButton="0" quotePrefix="0" xfId="0">
      <alignment wrapText="1"/>
    </xf>
    <xf numFmtId="2" fontId="13" fillId="7" borderId="0" pivotButton="0" quotePrefix="0" xfId="0"/>
    <xf numFmtId="0" fontId="9" fillId="6" borderId="10" applyAlignment="1" pivotButton="0" quotePrefix="0" xfId="0">
      <alignment horizontal="center" wrapText="1"/>
    </xf>
    <xf numFmtId="165" fontId="3" fillId="7" borderId="0" applyAlignment="1" pivotButton="0" quotePrefix="0" xfId="0">
      <alignment wrapText="1"/>
    </xf>
    <xf numFmtId="164" fontId="3" fillId="7" borderId="0" applyAlignment="1" pivotButton="0" quotePrefix="0" xfId="0">
      <alignment wrapText="1"/>
    </xf>
    <xf numFmtId="0" fontId="12" fillId="7" borderId="0" applyAlignment="1" pivotButton="0" quotePrefix="0" xfId="0">
      <alignment wrapText="1"/>
    </xf>
    <xf numFmtId="0" fontId="1" fillId="0" borderId="0" applyAlignment="1" pivotButton="0" quotePrefix="0" xfId="0">
      <alignment horizontal="right" wrapText="1"/>
    </xf>
    <xf numFmtId="4" fontId="14" fillId="6" borderId="11" applyAlignment="1" pivotButton="0" quotePrefix="0" xfId="0">
      <alignment horizontal="right" wrapText="1"/>
    </xf>
    <xf numFmtId="0" fontId="10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/>
    </xf>
    <xf numFmtId="2" fontId="15" fillId="0" borderId="0" applyAlignment="1" pivotButton="0" quotePrefix="0" xfId="0">
      <alignment wrapText="1"/>
    </xf>
    <xf numFmtId="2" fontId="16" fillId="8" borderId="0" pivotButton="0" quotePrefix="0" xfId="0"/>
    <xf numFmtId="2" fontId="16" fillId="2" borderId="0" pivotButton="0" quotePrefix="0" xfId="0"/>
    <xf numFmtId="2" fontId="16" fillId="0" borderId="0" pivotButton="0" quotePrefix="0" xfId="0"/>
    <xf numFmtId="2" fontId="1" fillId="0" borderId="0" applyAlignment="1" pivotButton="0" quotePrefix="0" xfId="0">
      <alignment horizontal="right"/>
    </xf>
    <xf numFmtId="0" fontId="6" fillId="2" borderId="12" applyAlignment="1" pivotButton="0" quotePrefix="0" xfId="0">
      <alignment vertical="center" wrapText="1"/>
    </xf>
    <xf numFmtId="164" fontId="1" fillId="0" borderId="0" applyAlignment="1" pivotButton="0" quotePrefix="0" xfId="0">
      <alignment horizontal="right"/>
    </xf>
    <xf numFmtId="2" fontId="6" fillId="2" borderId="0" applyAlignment="1" pivotButton="0" quotePrefix="0" xfId="0">
      <alignment wrapText="1"/>
    </xf>
    <xf numFmtId="2" fontId="17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 wrapText="1"/>
    </xf>
    <xf numFmtId="4" fontId="5" fillId="2" borderId="3" applyAlignment="1" pivotButton="0" quotePrefix="0" xfId="0">
      <alignment horizontal="right" wrapText="1"/>
    </xf>
    <xf numFmtId="0" fontId="6" fillId="5" borderId="13" applyAlignment="1" pivotButton="0" quotePrefix="0" xfId="0">
      <alignment vertical="center" wrapText="1"/>
    </xf>
    <xf numFmtId="0" fontId="6" fillId="2" borderId="13" applyAlignment="1" pivotButton="0" quotePrefix="0" xfId="0">
      <alignment vertical="center" wrapText="1"/>
    </xf>
    <xf numFmtId="2" fontId="15" fillId="8" borderId="0" applyAlignment="1" pivotButton="0" quotePrefix="0" xfId="0">
      <alignment wrapText="1"/>
    </xf>
    <xf numFmtId="0" fontId="8" fillId="9" borderId="0" applyAlignment="1" pivotButton="0" quotePrefix="0" xfId="0">
      <alignment wrapText="1"/>
    </xf>
    <xf numFmtId="2" fontId="15" fillId="10" borderId="0" applyAlignment="1" pivotButton="0" quotePrefix="0" xfId="0">
      <alignment wrapText="1"/>
    </xf>
    <xf numFmtId="2" fontId="16" fillId="11" borderId="0" pivotButton="0" quotePrefix="0" xfId="0"/>
    <xf numFmtId="0" fontId="8" fillId="2" borderId="0" applyAlignment="1" pivotButton="0" quotePrefix="0" xfId="0">
      <alignment wrapText="1"/>
    </xf>
    <xf numFmtId="0" fontId="18" fillId="5" borderId="14" applyAlignment="1" pivotButton="0" quotePrefix="0" xfId="0">
      <alignment vertical="center" wrapText="1"/>
    </xf>
    <xf numFmtId="0" fontId="6" fillId="5" borderId="14" applyAlignment="1" pivotButton="0" quotePrefix="0" xfId="0">
      <alignment vertical="center" wrapText="1"/>
    </xf>
    <xf numFmtId="0" fontId="18" fillId="2" borderId="12" applyAlignment="1" pivotButton="0" quotePrefix="0" xfId="0">
      <alignment vertical="center" wrapText="1"/>
    </xf>
    <xf numFmtId="2" fontId="19" fillId="2" borderId="0" pivotButton="0" quotePrefix="0" xfId="0"/>
    <xf numFmtId="2" fontId="15" fillId="2" borderId="0" applyAlignment="1" pivotButton="0" quotePrefix="0" xfId="0">
      <alignment wrapText="1"/>
    </xf>
    <xf numFmtId="0" fontId="20" fillId="2" borderId="12" applyAlignment="1" pivotButton="0" quotePrefix="0" xfId="0">
      <alignment vertical="center" wrapText="1"/>
    </xf>
    <xf numFmtId="2" fontId="6" fillId="8" borderId="0" applyAlignment="1" pivotButton="0" quotePrefix="0" xfId="0">
      <alignment wrapText="1"/>
    </xf>
    <xf numFmtId="0" fontId="20" fillId="5" borderId="14" applyAlignment="1" pivotButton="0" quotePrefix="0" xfId="0">
      <alignment vertical="center" wrapText="1"/>
    </xf>
    <xf numFmtId="0" fontId="8" fillId="12" borderId="0" applyAlignment="1" pivotButton="0" quotePrefix="0" xfId="0">
      <alignment wrapText="1"/>
    </xf>
    <xf numFmtId="2" fontId="21" fillId="2" borderId="3" applyAlignment="1" pivotButton="0" quotePrefix="0" xfId="0">
      <alignment horizontal="right" vertical="center" wrapText="1"/>
    </xf>
    <xf numFmtId="2" fontId="22" fillId="0" borderId="0" pivotButton="0" quotePrefix="0" xfId="0"/>
    <xf numFmtId="0" fontId="23" fillId="2" borderId="12" applyAlignment="1" pivotButton="0" quotePrefix="0" xfId="0">
      <alignment vertical="center" wrapText="1"/>
    </xf>
    <xf numFmtId="0" fontId="23" fillId="5" borderId="14" applyAlignment="1" pivotButton="0" quotePrefix="0" xfId="0">
      <alignment vertical="center" wrapText="1"/>
    </xf>
    <xf numFmtId="0" fontId="24" fillId="2" borderId="12" applyAlignment="1" pivotButton="0" quotePrefix="0" xfId="0">
      <alignment vertical="center" wrapText="1"/>
    </xf>
    <xf numFmtId="0" fontId="24" fillId="5" borderId="14" applyAlignment="1" pivotButton="0" quotePrefix="0" xfId="0">
      <alignment vertical="center" wrapText="1"/>
    </xf>
    <xf numFmtId="0" fontId="25" fillId="2" borderId="12" applyAlignment="1" pivotButton="0" quotePrefix="0" xfId="0">
      <alignment vertical="center" wrapText="1"/>
    </xf>
    <xf numFmtId="0" fontId="25" fillId="5" borderId="14" applyAlignment="1" pivotButton="0" quotePrefix="0" xfId="0">
      <alignment vertical="center" wrapText="1"/>
    </xf>
    <xf numFmtId="2" fontId="8" fillId="0" borderId="0" applyAlignment="1" pivotButton="0" quotePrefix="0" xfId="0">
      <alignment wrapText="1"/>
    </xf>
    <xf numFmtId="2" fontId="22" fillId="2" borderId="0" pivotButton="0" quotePrefix="0" xfId="0"/>
    <xf numFmtId="165" fontId="1" fillId="2" borderId="0" pivotButton="0" quotePrefix="0" xfId="0"/>
    <xf numFmtId="2" fontId="23" fillId="2" borderId="0" applyAlignment="1" pivotButton="0" quotePrefix="0" xfId="0">
      <alignment wrapText="1"/>
    </xf>
    <xf numFmtId="3" fontId="5" fillId="2" borderId="2" applyAlignment="1" pivotButton="0" quotePrefix="0" xfId="0">
      <alignment horizontal="right" wrapText="1"/>
    </xf>
    <xf numFmtId="3" fontId="1" fillId="2" borderId="2" applyAlignment="1" pivotButton="0" quotePrefix="0" xfId="0">
      <alignment vertical="center" wrapText="1"/>
    </xf>
    <xf numFmtId="4" fontId="5" fillId="2" borderId="3" applyAlignment="1" pivotButton="0" quotePrefix="0" xfId="0">
      <alignment horizontal="center" vertical="center" wrapText="1"/>
    </xf>
    <xf numFmtId="4" fontId="26" fillId="2" borderId="3" applyAlignment="1" pivotButton="0" quotePrefix="0" xfId="0">
      <alignment horizontal="center" vertical="center" wrapText="1"/>
    </xf>
    <xf numFmtId="3" fontId="1" fillId="5" borderId="15" applyAlignment="1" pivotButton="0" quotePrefix="0" xfId="0">
      <alignment vertical="center" wrapText="1"/>
    </xf>
    <xf numFmtId="4" fontId="26" fillId="5" borderId="16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 wrapText="1"/>
    </xf>
    <xf numFmtId="0" fontId="1" fillId="5" borderId="15" applyAlignment="1" pivotButton="0" quotePrefix="0" xfId="0">
      <alignment vertical="center" wrapText="1"/>
    </xf>
    <xf numFmtId="0" fontId="1" fillId="5" borderId="17" applyAlignment="1" pivotButton="0" quotePrefix="0" xfId="0">
      <alignment vertical="center" wrapText="1"/>
    </xf>
    <xf numFmtId="3" fontId="1" fillId="5" borderId="17" applyAlignment="1" pivotButton="0" quotePrefix="0" xfId="0">
      <alignment vertical="center" wrapText="1"/>
    </xf>
    <xf numFmtId="4" fontId="26" fillId="5" borderId="18" applyAlignment="1" pivotButton="0" quotePrefix="0" xfId="0">
      <alignment horizontal="center" vertical="center" wrapText="1"/>
    </xf>
    <xf numFmtId="49" fontId="8" fillId="0" borderId="0" applyAlignment="1" pivotButton="0" quotePrefix="0" xfId="0">
      <alignment wrapText="1"/>
    </xf>
    <xf numFmtId="4" fontId="1" fillId="0" borderId="0" pivotButton="0" quotePrefix="0" xfId="0"/>
    <xf numFmtId="2" fontId="10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wrapText="1"/>
    </xf>
    <xf numFmtId="2" fontId="22" fillId="13" borderId="0" pivotButton="0" quotePrefix="0" xfId="0"/>
    <xf numFmtId="0" fontId="10" fillId="13" borderId="0" applyAlignment="1" pivotButton="0" quotePrefix="0" xfId="0">
      <alignment vertical="center" wrapText="1"/>
    </xf>
    <xf numFmtId="0" fontId="22" fillId="0" borderId="0" pivotButton="0" quotePrefix="0" xfId="0"/>
    <xf numFmtId="1" fontId="22" fillId="0" borderId="0" pivotButton="0" quotePrefix="0" xfId="0"/>
    <xf numFmtId="1" fontId="1" fillId="0" borderId="0" applyAlignment="1" pivotButton="0" quotePrefix="0" xfId="0">
      <alignment horizontal="right"/>
    </xf>
    <xf numFmtId="2" fontId="22" fillId="0" borderId="0" pivotButton="0" quotePrefix="0" xfId="0"/>
    <xf numFmtId="2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1" fontId="10" fillId="0" borderId="0" applyAlignment="1" pivotButton="0" quotePrefix="0" xfId="0">
      <alignment vertical="center" wrapText="1"/>
    </xf>
    <xf numFmtId="0" fontId="22" fillId="0" borderId="0" pivotButton="0" quotePrefix="0" xfId="0"/>
    <xf numFmtId="164" fontId="12" fillId="7" borderId="0" applyAlignment="1" pivotButton="0" quotePrefix="0" xfId="0">
      <alignment wrapText="1"/>
    </xf>
    <xf numFmtId="0" fontId="2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wrapText="1"/>
    </xf>
    <xf numFmtId="0" fontId="6" fillId="2" borderId="12" applyAlignment="1" pivotButton="0" quotePrefix="0" xfId="0">
      <alignment wrapText="1"/>
    </xf>
    <xf numFmtId="2" fontId="28" fillId="0" borderId="0" applyAlignment="1" pivotButton="0" quotePrefix="0" xfId="0">
      <alignment wrapText="1"/>
    </xf>
    <xf numFmtId="21" fontId="16" fillId="0" borderId="0" applyAlignment="1" pivotButton="0" quotePrefix="0" xfId="0">
      <alignment vertical="center" wrapText="1"/>
    </xf>
    <xf numFmtId="2" fontId="28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wrapText="1"/>
    </xf>
    <xf numFmtId="0" fontId="6" fillId="5" borderId="13" applyAlignment="1" pivotButton="0" quotePrefix="0" xfId="0">
      <alignment wrapText="1"/>
    </xf>
    <xf numFmtId="0" fontId="6" fillId="2" borderId="13" applyAlignment="1" pivotButton="0" quotePrefix="0" xfId="0">
      <alignment wrapText="1"/>
    </xf>
    <xf numFmtId="0" fontId="18" fillId="5" borderId="14" applyAlignment="1" pivotButton="0" quotePrefix="0" xfId="0">
      <alignment wrapText="1"/>
    </xf>
    <xf numFmtId="0" fontId="6" fillId="5" borderId="14" applyAlignment="1" pivotButton="0" quotePrefix="0" xfId="0">
      <alignment wrapText="1"/>
    </xf>
    <xf numFmtId="0" fontId="18" fillId="2" borderId="12" applyAlignment="1" pivotButton="0" quotePrefix="0" xfId="0">
      <alignment wrapText="1"/>
    </xf>
    <xf numFmtId="0" fontId="20" fillId="2" borderId="12" applyAlignment="1" pivotButton="0" quotePrefix="0" xfId="0">
      <alignment wrapText="1"/>
    </xf>
    <xf numFmtId="0" fontId="20" fillId="5" borderId="14" applyAlignment="1" pivotButton="0" quotePrefix="0" xfId="0">
      <alignment wrapText="1"/>
    </xf>
    <xf numFmtId="0" fontId="16" fillId="0" borderId="0" pivotButton="0" quotePrefix="0" xfId="0"/>
    <xf numFmtId="2" fontId="15" fillId="0" borderId="0" applyAlignment="1" pivotButton="0" quotePrefix="0" xfId="0">
      <alignment vertical="center" wrapText="1"/>
    </xf>
    <xf numFmtId="2" fontId="16" fillId="10" borderId="0" pivotButton="0" quotePrefix="0" xfId="0"/>
    <xf numFmtId="0" fontId="15" fillId="0" borderId="0" applyAlignment="1" pivotButton="0" quotePrefix="0" xfId="0">
      <alignment wrapText="1"/>
    </xf>
    <xf numFmtId="2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23" fillId="2" borderId="12" applyAlignment="1" pivotButton="0" quotePrefix="0" xfId="0">
      <alignment wrapText="1"/>
    </xf>
    <xf numFmtId="0" fontId="23" fillId="5" borderId="14" applyAlignment="1" pivotButton="0" quotePrefix="0" xfId="0">
      <alignment wrapText="1"/>
    </xf>
    <xf numFmtId="0" fontId="24" fillId="2" borderId="12" applyAlignment="1" pivotButton="0" quotePrefix="0" xfId="0">
      <alignment wrapText="1"/>
    </xf>
    <xf numFmtId="0" fontId="24" fillId="5" borderId="14" applyAlignment="1" pivotButton="0" quotePrefix="0" xfId="0">
      <alignment wrapText="1"/>
    </xf>
    <xf numFmtId="0" fontId="25" fillId="2" borderId="12" applyAlignment="1" pivotButton="0" quotePrefix="0" xfId="0">
      <alignment wrapText="1"/>
    </xf>
    <xf numFmtId="0" fontId="25" fillId="5" borderId="14" applyAlignment="1" pivotButton="0" quotePrefix="0" xfId="0">
      <alignment wrapText="1"/>
    </xf>
    <xf numFmtId="164" fontId="23" fillId="2" borderId="0" applyAlignment="1" pivotButton="0" quotePrefix="0" xfId="0">
      <alignment wrapText="1"/>
    </xf>
    <xf numFmtId="0" fontId="1" fillId="2" borderId="2" pivotButton="0" quotePrefix="0" xfId="0"/>
    <xf numFmtId="0" fontId="1" fillId="5" borderId="15" pivotButton="0" quotePrefix="0" xfId="0"/>
    <xf numFmtId="0" fontId="1" fillId="5" borderId="17" pivotButton="0" quotePrefix="0" xfId="0"/>
    <xf numFmtId="164" fontId="22" fillId="0" borderId="0" pivotButton="0" quotePrefix="0" xfId="0"/>
    <xf numFmtId="2" fontId="10" fillId="0" borderId="0" applyAlignment="1" pivotButton="0" quotePrefix="0" xfId="0">
      <alignment horizontal="right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age" xfId="3" builtinId="5"/>
    <cellStyle name="Comma[0]" xfId="4" builtinId="6"/>
    <cellStyle name="Currency[0]" xfId="5" builtinId="7"/>
    <cellStyle name="Hyperlink" xfId="6" builtinId="8" hidden="1"/>
    <cellStyle name="Followed Hyperlink" xfId="7" builtinId="9" hidden="1"/>
    <cellStyle name="Comment" xfId="8" builtinId="10"/>
    <cellStyle name="Warning Text" xfId="9" builtinId="11"/>
    <cellStyle name="Title" xfId="10" builtinId="15"/>
    <cellStyle name="Title 1" xfId="11" builtinId="16"/>
    <cellStyle name="Title 2" xfId="12" builtinId="17"/>
    <cellStyle name="Title 3" xfId="13" builtinId="18"/>
    <cellStyle name="Title 4" xfId="14" builtinId="19"/>
    <cellStyle name="Input" xfId="15" builtinId="20"/>
    <cellStyle name="Output" xfId="16" builtinId="21"/>
    <cellStyle name="Calculation" xfId="17" builtinId="22"/>
    <cellStyle name="Check Cell" xfId="18" builtinId="23"/>
    <cellStyle name="Linked Cell" xfId="19" builtinId="24"/>
    <cellStyle name="Total" xfId="20" builtinId="25"/>
    <cellStyle name="Good" xfId="21" builtinId="26"/>
    <cellStyle name="Bad" xfId="22" builtinId="27"/>
    <cellStyle name="Neutral" xfId="23" builtinId="28"/>
    <cellStyle name="Accent1" xfId="24" builtinId="29"/>
    <cellStyle name="20% - Accent1" xfId="25" builtinId="30"/>
    <cellStyle name="40% - Accent1" xfId="26" builtinId="31"/>
    <cellStyle name="60% - Accent1" xfId="27" builtinId="32"/>
    <cellStyle name="Accent2" xfId="28" builtinId="33"/>
    <cellStyle name="20% - Accent2" xfId="29" builtinId="34"/>
    <cellStyle name="40% - Accent2" xfId="30" builtinId="35"/>
    <cellStyle name="60% - Accent2" xfId="31" builtinId="36"/>
    <cellStyle name="Accent3" xfId="32" builtinId="37"/>
    <cellStyle name="20% - Accent3" xfId="33" builtinId="38"/>
    <cellStyle name="40% - Accent3" xfId="34" builtinId="39"/>
    <cellStyle name="60% - Accent3" xfId="35" builtinId="40"/>
    <cellStyle name="Accent4" xfId="36" builtinId="41"/>
    <cellStyle name="20% - Accent4" xfId="37" builtinId="42"/>
    <cellStyle name="40% - Accent4" xfId="38" builtinId="43"/>
    <cellStyle name="60% - Accent4" xfId="39" builtinId="44"/>
    <cellStyle name="Accent5" xfId="40" builtinId="45"/>
    <cellStyle name="20% - Accent5" xfId="41" builtinId="46"/>
    <cellStyle name="40% - Accent5" xfId="42" builtinId="47"/>
    <cellStyle name="60% - Accent5" xfId="43" builtinId="48"/>
    <cellStyle name="Accent6" xfId="44" builtinId="49"/>
    <cellStyle name="20% - Accent6" xfId="45" builtinId="50"/>
    <cellStyle name="40% - Accent6" xfId="46" builtinId="51"/>
    <cellStyle name="60% - Accent6" xfId="47" builtinId="52"/>
    <cellStyle name="Explanatory Text" xfId="48" builtinId="53"/>
  </cellStyles>
  <dxfs count="7">
    <dxf>
      <font/>
      <fill>
        <patternFill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1" defaultTableStyle="TableStyleMedium2" defaultPivotStyle="PivotStyleLight16">
    <tableStyle name="ARPU-style" pivot="0" count="4">
      <tableStyleElement type="wholeTable" size="0" dxfId="4"/>
      <tableStyleElement type="headerRow" dxfId="1"/>
      <tableStyleElement type="firstRowStripe" dxfId="2"/>
      <tableStyleElement type="secondRowStripe" dxfId="3"/>
    </tableStyle>
    <tableStyle name="Av.Rw-style" pivot="0" count="4">
      <tableStyleElement type="wholeTable" size="0" dxfId="4"/>
      <tableStyleElement type="headerRow" dxfId="1"/>
      <tableStyleElement type="firstRowStripe" dxfId="2"/>
      <tableStyleElement type="secondRowStripe" dxfId="3"/>
    </tableStyle>
    <tableStyle name="And-style" pivot="0" count="3">
      <tableStyleElement type="headerRow" dxfId="1"/>
      <tableStyleElement type="firstRowStripe" dxfId="2"/>
      <tableStyleElement type="secondRowStripe" dxfId="5"/>
    </tableStyle>
    <tableStyle name="And-style 2" pivot="0" count="4">
      <tableStyleElement type="wholeTable" size="0" dxfId="4"/>
      <tableStyleElement type="headerRow" dxfId="1"/>
      <tableStyleElement type="firstRowStripe" dxfId="2"/>
      <tableStyleElement type="secondRowStripe" dxfId="5"/>
    </tableStyle>
    <tableStyle name="And-style 3" pivot="0" count="4">
      <tableStyleElement type="wholeTable" size="0" dxfId="4"/>
      <tableStyleElement type="headerRow" dxfId="1"/>
      <tableStyleElement type="firstRowStripe" dxfId="2"/>
      <tableStyleElement type="secondRowStripe" dxfId="5"/>
    </tableStyle>
    <tableStyle name="Boosters_And-style" pivot="0" count="4">
      <tableStyleElement type="wholeTable" size="0" dxfId="4"/>
      <tableStyleElement type="headerRow" dxfId="1"/>
      <tableStyleElement type="firstRowStripe" dxfId="2"/>
      <tableStyleElement type="secondRowStripe" dxfId="5"/>
    </tableStyle>
    <tableStyle name="Boosters_And-style 2" pivot="0" count="4">
      <tableStyleElement type="wholeTable" size="0" dxfId="4"/>
      <tableStyleElement type="headerRow" dxfId="1"/>
      <tableStyleElement type="firstRowStripe" dxfId="2"/>
      <tableStyleElement type="secondRowStripe" dxfId="5"/>
    </tableStyle>
    <tableStyle name="IOS-style" pivot="0" count="3">
      <tableStyleElement type="headerRow" dxfId="1"/>
      <tableStyleElement type="firstRowStripe" dxfId="2"/>
      <tableStyleElement type="secondRowStripe" dxfId="5"/>
    </tableStyle>
    <tableStyle name="IOS-style 2" pivot="0" count="4">
      <tableStyleElement type="wholeTable" size="0" dxfId="4"/>
      <tableStyleElement type="headerRow" dxfId="1"/>
      <tableStyleElement type="firstRowStripe" dxfId="2"/>
      <tableStyleElement type="secondRowStripe" dxfId="5"/>
    </tableStyle>
    <tableStyle name="Boosters_IOS-style" pivot="0" count="4">
      <tableStyleElement type="wholeTable" size="0" dxfId="4"/>
      <tableStyleElement type="headerRow" dxfId="1"/>
      <tableStyleElement type="firstRowStripe" dxfId="2"/>
      <tableStyleElement type="secondRowStripe" dxfId="5"/>
    </tableStyle>
    <tableStyle name="Boosters_IOS-style 2" pivot="0" count="4">
      <tableStyleElement type="wholeTable" size="0" dxfId="4"/>
      <tableStyleElement type="headerRow" dxfId="1"/>
      <tableStyleElement type="firstRowStripe" dxfId="2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 anchorCtr="1"/>
          <a:lstStyle/>
          <a:p>
            <a:pPr algn="ctr">
              <a:defRPr sz="1400" b="0" i="0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ko-KR" altLang="en-US" sz="1400" b="0" i="0" baseline="0">
                <a:solidFill>
                  <a:srgbClr val="757575"/>
                </a:solidFill>
                <a:latin typeface="Arial"/>
                <a:ea typeface="Arial"/>
              </a:rPr>
              <a:t xml:space="preserve">Level Bazında ARPU Değişimi </a:t>
            </a:r>
          </a:p>
        </rich>
      </tx>
      <layout/>
      <overlay val="0"/>
      <spPr>
        <a:noFill/>
        <a:ln>
          <a:noFill/>
          <a:prstDash val="solid"/>
          <a:round/>
        </a:ln>
      </spPr>
    </title>
    <plotArea>
      <layout/>
      <lineChart>
        <grouping val="standard"/>
        <varyColors val="1"/>
        <ser>
          <idx val="0"/>
          <order val="0"/>
          <tx>
            <v>Android ARPU</v>
          </tx>
          <spPr>
            <a:ln w="9525" cap="flat">
              <a:solidFill>
                <a:srgbClr val="F6B26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3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4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5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6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7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8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9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0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1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2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3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4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5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6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7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8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1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2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3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4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5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6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7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8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199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dPt>
            <idx val="200"/>
            <spPr>
              <a:ln w="9525" cap="flat">
                <a:solidFill>
                  <a:srgbClr val="F6B26B"/>
                </a:solidFill>
                <a:prstDash val="solid"/>
                <a:round/>
              </a:ln>
            </spPr>
          </dPt>
          <cat>
            <strRef>
              <f>ARPU!$U$2:$U$202</f>
              <strCache>
                <ptCount val="201"/>
                <pt idx="0">
                  <v>Level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</strCache>
            </strRef>
          </cat>
          <val>
            <numRef>
              <f>ARPU!$V$2:$V$202</f>
              <numCache>
                <formatCode>General</formatCode>
                <ptCount val="2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0.00272479564</v>
                </pt>
                <pt idx="4">
                  <v>0.0009136592051</v>
                </pt>
                <pt idx="5">
                  <v>0</v>
                </pt>
                <pt idx="6">
                  <v>0.0009394081729</v>
                </pt>
                <pt idx="7">
                  <v>0</v>
                </pt>
                <pt idx="8">
                  <v>0.001935171746</v>
                </pt>
                <pt idx="9">
                  <v>0.0009784735811999999</v>
                </pt>
                <pt idx="10">
                  <v>0.001014198783</v>
                </pt>
                <pt idx="11">
                  <v>0.01495844875</v>
                </pt>
                <pt idx="12">
                  <v>0.04324956166</v>
                </pt>
                <pt idx="13">
                  <v>0.001193317422</v>
                </pt>
                <pt idx="14">
                  <v>0.006802721088</v>
                </pt>
                <pt idx="15">
                  <v>0.001256281407</v>
                </pt>
                <pt idx="16">
                  <v>0.002609262883</v>
                </pt>
                <pt idx="17">
                  <v>0.005358338915</v>
                </pt>
                <pt idx="18">
                  <v>0.001367989056</v>
                </pt>
                <pt idx="19">
                  <v>0.01552575865</v>
                </pt>
                <pt idx="20">
                  <v>0.01089324619</v>
                </pt>
                <pt idx="21">
                  <v>0.01243201243</v>
                </pt>
                <pt idx="22">
                  <v>0.0104</v>
                </pt>
                <pt idx="23">
                  <v>0.007383100902</v>
                </pt>
                <pt idx="24">
                  <v>0</v>
                </pt>
                <pt idx="25">
                  <v>0</v>
                </pt>
                <pt idx="26">
                  <v>0.001727115717</v>
                </pt>
                <pt idx="27">
                  <v>0</v>
                </pt>
                <pt idx="28">
                  <v>0.008960573477</v>
                </pt>
                <pt idx="29">
                  <v>0</v>
                </pt>
                <pt idx="30">
                  <v>0.006445672192</v>
                </pt>
                <pt idx="31">
                  <v>0.01522359657</v>
                </pt>
                <pt idx="32">
                  <v>0.02879841112</v>
                </pt>
                <pt idx="33">
                  <v>0.006012024048</v>
                </pt>
                <pt idx="34">
                  <v>0.003083247688</v>
                </pt>
                <pt idx="35">
                  <v>0</v>
                </pt>
                <pt idx="36">
                  <v>0</v>
                </pt>
                <pt idx="37">
                  <v>0.002155172414</v>
                </pt>
                <pt idx="38">
                  <v>0.01082251082</v>
                </pt>
                <pt idx="39">
                  <v>0.009259259259000001</v>
                </pt>
                <pt idx="40">
                  <v>0.02959309494</v>
                </pt>
                <pt idx="41">
                  <v>0.006188118812</v>
                </pt>
                <pt idx="42">
                  <v>0.05221932115</v>
                </pt>
                <pt idx="43">
                  <v>0.03333333333</v>
                </pt>
                <pt idx="44">
                  <v>0.01744966443</v>
                </pt>
                <pt idx="45">
                  <v>0.00269541779</v>
                </pt>
                <pt idx="46">
                  <v>0.002706359946</v>
                </pt>
                <pt idx="47">
                  <v>0.01496598639</v>
                </pt>
                <pt idx="48">
                  <v>0</v>
                </pt>
                <pt idx="49">
                  <v>0.04378531073</v>
                </pt>
                <pt idx="50">
                  <v>0.03681885125</v>
                </pt>
                <pt idx="51">
                  <v>0.02825745683</v>
                </pt>
                <pt idx="52">
                  <v>0.009615384615</v>
                </pt>
                <pt idx="53">
                  <v>0.009708737864</v>
                </pt>
                <pt idx="54">
                  <v>0</v>
                </pt>
                <pt idx="55">
                  <v>0.0889292196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0.01679104478</v>
                </pt>
                <pt idx="60">
                  <v>0.01132075472</v>
                </pt>
                <pt idx="61">
                  <v>0.04466019417</v>
                </pt>
                <pt idx="62">
                  <v>0.003929273084</v>
                </pt>
                <pt idx="63">
                  <v>0</v>
                </pt>
                <pt idx="64">
                  <v>0.01796407186</v>
                </pt>
                <pt idx="65">
                  <v>0.13</v>
                </pt>
                <pt idx="66">
                  <v>0</v>
                </pt>
                <pt idx="67">
                  <v>0.03</v>
                </pt>
                <pt idx="68">
                  <v>0.005089058524</v>
                </pt>
                <pt idx="69">
                  <v>0</v>
                </pt>
                <pt idx="70">
                  <v>0.01515151515</v>
                </pt>
                <pt idx="71">
                  <v>0.05867346939</v>
                </pt>
                <pt idx="72">
                  <v>0</v>
                </pt>
                <pt idx="73">
                  <v>0.005141388175</v>
                </pt>
                <pt idx="74">
                  <v>0.01030927835</v>
                </pt>
                <pt idx="75">
                  <v>0.01092896175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0.005747126437</v>
                </pt>
                <pt idx="80">
                  <v>0.1085043988</v>
                </pt>
                <pt idx="81">
                  <v>0.005934718101</v>
                </pt>
                <pt idx="82">
                  <v>0.0178041543</v>
                </pt>
                <pt idx="83">
                  <v>0</v>
                </pt>
                <pt idx="84">
                  <v>0.0328358209</v>
                </pt>
                <pt idx="85">
                  <v>0.006191950464</v>
                </pt>
                <pt idx="86">
                  <v>0</v>
                </pt>
                <pt idx="87">
                  <v>0.1258064516</v>
                </pt>
                <pt idx="88">
                  <v>0.003184713376</v>
                </pt>
                <pt idx="89">
                  <v>0.02243589744</v>
                </pt>
                <pt idx="90">
                  <v>0.08552631579</v>
                </pt>
                <pt idx="91">
                  <v>0.01960784314</v>
                </pt>
                <pt idx="92">
                  <v>0.01993355482</v>
                </pt>
                <pt idx="93">
                  <v>0</v>
                </pt>
                <pt idx="94">
                  <v>0.03401360544</v>
                </pt>
                <pt idx="95">
                  <v>0.0438247012</v>
                </pt>
                <pt idx="96">
                  <v>0.008032128514</v>
                </pt>
                <pt idx="97">
                  <v>0.02380952381</v>
                </pt>
                <pt idx="98">
                  <v>0.003984063745</v>
                </pt>
                <pt idx="99">
                  <v>0.044</v>
                </pt>
                <pt idx="100">
                  <v>0</v>
                </pt>
                <pt idx="101">
                  <v>0</v>
                </pt>
                <pt idx="102">
                  <v>0.046875</v>
                </pt>
                <pt idx="103">
                  <v>0.03891050584</v>
                </pt>
                <pt idx="104">
                  <v>0.003921568627</v>
                </pt>
                <pt idx="105">
                  <v>0.02024291498</v>
                </pt>
                <pt idx="106">
                  <v>0</v>
                </pt>
                <pt idx="107">
                  <v>0.09836065574</v>
                </pt>
                <pt idx="108">
                  <v>0.04545454545</v>
                </pt>
                <pt idx="109">
                  <v>0.02479338843</v>
                </pt>
                <pt idx="110">
                  <v>0.004184100418</v>
                </pt>
                <pt idx="111">
                  <v>0.02553191489</v>
                </pt>
                <pt idx="112">
                  <v>0.3053097345</v>
                </pt>
                <pt idx="113">
                  <v>0</v>
                </pt>
                <pt idx="114">
                  <v>0</v>
                </pt>
                <pt idx="115">
                  <v>0.1784037559</v>
                </pt>
                <pt idx="116">
                  <v>0</v>
                </pt>
                <pt idx="117">
                  <v>0</v>
                </pt>
                <pt idx="118">
                  <v>0.038647343</v>
                </pt>
                <pt idx="119">
                  <v>0.03846153846</v>
                </pt>
                <pt idx="120">
                  <v>0.1895734597</v>
                </pt>
                <pt idx="121">
                  <v>0.07211538462</v>
                </pt>
                <pt idx="122">
                  <v>0.0243902439</v>
                </pt>
                <pt idx="123">
                  <v>0</v>
                </pt>
                <pt idx="124">
                  <v>0.155</v>
                </pt>
                <pt idx="125">
                  <v>0.06</v>
                </pt>
                <pt idx="126">
                  <v>0</v>
                </pt>
                <pt idx="127">
                  <v>0.02564102564</v>
                </pt>
                <pt idx="128">
                  <v>0</v>
                </pt>
                <pt idx="129">
                  <v>0.05555555556</v>
                </pt>
                <pt idx="130">
                  <v>0.04571428571</v>
                </pt>
                <pt idx="131">
                  <v>0</v>
                </pt>
                <pt idx="132">
                  <v>0</v>
                </pt>
                <pt idx="133">
                  <v>0.1575757576</v>
                </pt>
                <pt idx="134">
                  <v>0</v>
                </pt>
                <pt idx="135">
                  <v>0.03184713376</v>
                </pt>
                <pt idx="136">
                  <v>0.1812080537</v>
                </pt>
                <pt idx="137">
                  <v>0.2077922078</v>
                </pt>
                <pt idx="138">
                  <v>0</v>
                </pt>
                <pt idx="139">
                  <v>0</v>
                </pt>
                <pt idx="140">
                  <v>0.1678321678</v>
                </pt>
                <pt idx="141">
                  <v>0.05555555556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0.09090909091</v>
                </pt>
                <pt idx="146">
                  <v>0</v>
                </pt>
                <pt idx="147">
                  <v>0.3211678832</v>
                </pt>
                <pt idx="148">
                  <v>0</v>
                </pt>
                <pt idx="149">
                  <v>0.02941176471</v>
                </pt>
                <pt idx="150">
                  <v>0.01470588235</v>
                </pt>
                <pt idx="151">
                  <v>0.06106870229</v>
                </pt>
                <pt idx="152">
                  <v>0.06299212597999999</v>
                </pt>
                <pt idx="153">
                  <v>0.04761904762</v>
                </pt>
                <pt idx="154">
                  <v>0.119047619</v>
                </pt>
                <pt idx="155">
                  <v>0</v>
                </pt>
                <pt idx="156">
                  <v>0</v>
                </pt>
                <pt idx="157">
                  <v>0.0157480315</v>
                </pt>
                <pt idx="158">
                  <v>0</v>
                </pt>
                <pt idx="159">
                  <v>0.5630252101</v>
                </pt>
                <pt idx="160">
                  <v>0.05982905983</v>
                </pt>
                <pt idx="161">
                  <v>0</v>
                </pt>
                <pt idx="162">
                  <v>0</v>
                </pt>
                <pt idx="163">
                  <v>0.01769911504</v>
                </pt>
                <pt idx="164">
                  <v>0.01801801802</v>
                </pt>
                <pt idx="165">
                  <v>0.01904761905</v>
                </pt>
                <pt idx="166">
                  <v>0.08333333333</v>
                </pt>
                <pt idx="167">
                  <v>0.1588785047</v>
                </pt>
                <pt idx="168">
                  <v>0</v>
                </pt>
                <pt idx="169">
                  <v>0.1923076923</v>
                </pt>
                <pt idx="170">
                  <v>0.01923076923</v>
                </pt>
                <pt idx="171">
                  <v>0.1047619048</v>
                </pt>
                <pt idx="172">
                  <v>0.07766990291</v>
                </pt>
                <pt idx="173">
                  <v>0</v>
                </pt>
                <pt idx="174">
                  <v>0.01923076923</v>
                </pt>
                <pt idx="175">
                  <v>0.1747572816</v>
                </pt>
                <pt idx="176">
                  <v>0.2315789474</v>
                </pt>
                <pt idx="177">
                  <v>0.2795698925</v>
                </pt>
                <pt idx="178">
                  <v>0</v>
                </pt>
                <pt idx="179">
                  <v>0.1888888889</v>
                </pt>
                <pt idx="180">
                  <v>0</v>
                </pt>
                <pt idx="181">
                  <v>0.08695652174</v>
                </pt>
                <pt idx="182">
                  <v>0.1724137931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0.08536585366</v>
                </pt>
                <pt idx="188">
                  <v>0</v>
                </pt>
                <pt idx="189">
                  <v>0.1772151899</v>
                </pt>
                <pt idx="190">
                  <v>0</v>
                </pt>
                <pt idx="191">
                  <v>0</v>
                </pt>
                <pt idx="192">
                  <v>0.05063291139</v>
                </pt>
                <pt idx="193">
                  <v>0.02631578947</v>
                </pt>
                <pt idx="194">
                  <v>0.1066666667</v>
                </pt>
                <pt idx="195">
                  <v>0.05263157895</v>
                </pt>
                <pt idx="196">
                  <v>0.1733333333</v>
                </pt>
                <pt idx="197">
                  <v>0.06666666667</v>
                </pt>
                <pt idx="198">
                  <v>0.02666666667</v>
                </pt>
                <pt idx="199">
                  <v>0</v>
                </pt>
                <pt idx="200">
                  <v>0.1917808219</v>
                </pt>
              </numCache>
            </numRef>
          </val>
          <smooth val="1"/>
        </ser>
        <ser>
          <idx val="1"/>
          <order val="1"/>
          <tx>
            <v>IOS ARPU</v>
          </tx>
          <spPr>
            <a:ln w="9525" cap="flat">
              <a:solidFill>
                <a:srgbClr val="00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3"/>
            <marker>
              <symbol val="none"/>
              <spPr>
                <a:ln>
                  <a:prstDash val="solid"/>
                </a:ln>
              </spPr>
            </marker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0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cat>
            <strRef>
              <f>ARPU!$U$2:$U$202</f>
              <strCache>
                <ptCount val="201"/>
                <pt idx="0">
                  <v>Level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</strCache>
            </strRef>
          </cat>
          <val>
            <numRef>
              <f>ARPU!$W$2:$W$202</f>
              <numCache>
                <formatCode>General</formatCode>
                <ptCount val="2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0.02130681818</v>
                </pt>
                <pt idx="4">
                  <v>0.008534850639999999</v>
                </pt>
                <pt idx="5">
                  <v>0.002873563218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0.002989536622</v>
                </pt>
                <pt idx="11">
                  <v>0.04265402844</v>
                </pt>
                <pt idx="12">
                  <v>0.03294892916</v>
                </pt>
                <pt idx="13">
                  <v>0</v>
                </pt>
                <pt idx="14">
                  <v>0.01709401709</v>
                </pt>
                <pt idx="15">
                  <v>0</v>
                </pt>
                <pt idx="16">
                  <v>0</v>
                </pt>
                <pt idx="17">
                  <v>0.003610108303</v>
                </pt>
                <pt idx="18">
                  <v>0.01834862385</v>
                </pt>
                <pt idx="19">
                  <v>0.00185528757</v>
                </pt>
                <pt idx="20">
                  <v>0</v>
                </pt>
                <pt idx="21">
                  <v>0.02339181287</v>
                </pt>
                <pt idx="22">
                  <v>0</v>
                </pt>
                <pt idx="23">
                  <v>0.0205338809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0.002155172414</v>
                </pt>
                <pt idx="29">
                  <v>0</v>
                </pt>
                <pt idx="30">
                  <v>0</v>
                </pt>
                <pt idx="31">
                  <v>0.01354401806</v>
                </pt>
                <pt idx="32">
                  <v>0</v>
                </pt>
                <pt idx="33">
                  <v>0.004716981132</v>
                </pt>
                <pt idx="34">
                  <v>0</v>
                </pt>
                <pt idx="35">
                  <v>0.00488997555</v>
                </pt>
                <pt idx="36">
                  <v>0.004901960784</v>
                </pt>
                <pt idx="37">
                  <v>0</v>
                </pt>
                <pt idx="38">
                  <v>0.03015075377</v>
                </pt>
                <pt idx="39">
                  <v>0.03385416667</v>
                </pt>
                <pt idx="40">
                  <v>0.04469273743</v>
                </pt>
                <pt idx="41">
                  <v>0.005698005698</v>
                </pt>
                <pt idx="42">
                  <v>0.1006097561</v>
                </pt>
                <pt idx="43">
                  <v>0</v>
                </pt>
                <pt idx="44">
                  <v>0.003174603175</v>
                </pt>
                <pt idx="45">
                  <v>0</v>
                </pt>
                <pt idx="46">
                  <v>0.003205128205</v>
                </pt>
                <pt idx="47">
                  <v>0</v>
                </pt>
                <pt idx="48">
                  <v>0</v>
                </pt>
                <pt idx="49">
                  <v>0.02372881356</v>
                </pt>
                <pt idx="50">
                  <v>0.03180212014</v>
                </pt>
                <pt idx="51">
                  <v>0.09701492537</v>
                </pt>
                <pt idx="52">
                  <v>0</v>
                </pt>
                <pt idx="53">
                  <v>0</v>
                </pt>
                <pt idx="54">
                  <v>0.02281368821</v>
                </pt>
                <pt idx="55">
                  <v>0.1024590164</v>
                </pt>
                <pt idx="56">
                  <v>0</v>
                </pt>
                <pt idx="57">
                  <v>0.008230452675</v>
                </pt>
                <pt idx="58">
                  <v>0.008196721311000001</v>
                </pt>
                <pt idx="59">
                  <v>0.008230452675</v>
                </pt>
                <pt idx="60">
                  <v>0.008298755187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0.02222222222</v>
                </pt>
                <pt idx="65">
                  <v>0.118556701</v>
                </pt>
                <pt idx="66">
                  <v>0</v>
                </pt>
                <pt idx="67">
                  <v>0.01570680628</v>
                </pt>
                <pt idx="68">
                  <v>0.02645502646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0.09826589595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0.1324503311</v>
                </pt>
                <pt idx="88">
                  <v>0.08609271523000001</v>
                </pt>
                <pt idx="89">
                  <v>0</v>
                </pt>
                <pt idx="90">
                  <v>0.006756756757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0.04580152672</v>
                </pt>
                <pt idx="96">
                  <v>0.04580152672</v>
                </pt>
                <pt idx="97">
                  <v>0.015625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0.05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0.01709401709</v>
                </pt>
                <pt idx="106">
                  <v>0.08849557522</v>
                </pt>
                <pt idx="107">
                  <v>0.05405405405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0.04716981132</v>
                </pt>
                <pt idx="113">
                  <v>0</v>
                </pt>
                <pt idx="114">
                  <v>0</v>
                </pt>
                <pt idx="115">
                  <v>0.09708737864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0.0495049505</v>
                </pt>
                <pt idx="120">
                  <v>0.1704545455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0.2444444444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0.1585365854</v>
                </pt>
                <pt idx="131">
                  <v>0</v>
                </pt>
                <pt idx="132">
                  <v>0</v>
                </pt>
                <pt idx="133">
                  <v>0.1265822785</v>
                </pt>
                <pt idx="134">
                  <v>0</v>
                </pt>
                <pt idx="135">
                  <v>0.24</v>
                </pt>
                <pt idx="136">
                  <v>0.2</v>
                </pt>
                <pt idx="137">
                  <v>0.16</v>
                </pt>
                <pt idx="138">
                  <v>0</v>
                </pt>
                <pt idx="139">
                  <v>0.02666666667</v>
                </pt>
                <pt idx="140">
                  <v>0.02985074627</v>
                </pt>
                <pt idx="141">
                  <v>0.04411764706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0.2575757576</v>
                </pt>
                <pt idx="148">
                  <v>0</v>
                </pt>
                <pt idx="149">
                  <v>0.07246376811999999</v>
                </pt>
                <pt idx="150">
                  <v>0</v>
                </pt>
                <pt idx="151">
                  <v>0.01428571429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0.3606557377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0.03225806452</v>
                </pt>
                <pt idx="164">
                  <v>0.03278688525</v>
                </pt>
                <pt idx="165">
                  <v>0</v>
                </pt>
                <pt idx="166">
                  <v>0.03636363636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0.04347826087</v>
                </pt>
                <pt idx="173">
                  <v>0.04</v>
                </pt>
                <pt idx="174">
                  <v>0.09803921569</v>
                </pt>
                <pt idx="175">
                  <v>0.4150943396</v>
                </pt>
                <pt idx="176">
                  <v>0.2452830189</v>
                </pt>
                <pt idx="177">
                  <v>0.6666666667</v>
                </pt>
                <pt idx="178">
                  <v>0</v>
                </pt>
                <pt idx="179">
                  <v>0.1707317073</v>
                </pt>
                <pt idx="180">
                  <v>0</v>
                </pt>
                <pt idx="181">
                  <v>0.0487804878</v>
                </pt>
                <pt idx="182">
                  <v>0.1904761905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0.3055555556</v>
                </pt>
                <pt idx="188">
                  <v>0</v>
                </pt>
                <pt idx="189">
                  <v>0.3235294118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0.1470588235</v>
                </pt>
                <pt idx="194">
                  <v>0.4857142857</v>
                </pt>
                <pt idx="195">
                  <v>0.2352941176</v>
                </pt>
                <pt idx="196">
                  <v>0</v>
                </pt>
                <pt idx="197">
                  <v>0</v>
                </pt>
                <pt idx="198">
                  <v>0.1578947368</v>
                </pt>
                <pt idx="199">
                  <v>0</v>
                </pt>
                <pt idx="200">
                  <v>0</v>
                </pt>
              </numCache>
            </numRef>
          </val>
          <smooth val="1"/>
        </ser>
        <marker val="1"/>
        <smooth val="1"/>
        <axId val="1111"/>
        <axId val="2222"/>
      </lineChart>
      <catAx>
        <axId val="1111"/>
        <scaling>
          <orientation val="minMax"/>
        </scaling>
        <delete val="0"/>
        <axPos val="b"/>
        <title>
          <tx>
            <rich>
              <a:bodyPr rot="0" vert="horz" anchor="ctr" anchorCtr="1"/>
              <a:lstStyle/>
              <a:p>
                <a:pPr>
                  <a:defRPr sz="1000" b="0" i="0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baseline="0">
                    <a:solidFill>
                      <a:srgbClr val="000000"/>
                    </a:solidFill>
                    <a:latin typeface="Arial"/>
                    <a:ea typeface="Arial"/>
                  </a:rPr>
                  <a:t>Level</a:t>
                </a:r>
              </a:p>
            </rich>
          </tx>
          <layout/>
          <overlay val="0"/>
          <spPr>
            <a:noFill/>
            <a:ln>
              <a:noFill/>
              <a:prstDash val="solid"/>
              <a:round/>
            </a:ln>
          </spPr>
        </title>
        <majorTickMark val="none"/>
        <minorTickMark val="none"/>
        <tickLblPos val="nextTo"/>
        <spPr>
          <a:noFill/>
          <a:ln>
            <a:solidFill>
              <a:srgbClr val="898989"/>
            </a:solidFill>
            <a:prstDash val="solid"/>
            <a:round/>
          </a:ln>
        </spPr>
        <txPr>
          <a:bodyPr/>
          <a:lstStyle/>
          <a:p>
            <a:pPr>
              <a:defRPr sz="1000" b="0" i="0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t/>
            </a:r>
            <a:endParaRPr lang="ko-KR"/>
          </a:p>
        </txPr>
        <crossAx val="2222"/>
        <crosses val="autoZero"/>
        <auto val="1"/>
        <lblAlgn val="ctr"/>
        <lblOffset val="100"/>
      </catAx>
      <valAx>
        <axId val="2222"/>
        <scaling>
          <orientation val="minMax"/>
        </scaling>
        <delete val="0"/>
        <axPos val="l"/>
        <majorGridlines>
          <spPr>
            <a:ln w="635" cap="flat">
              <a:solidFill>
                <a:srgbClr val="B7B7B7"/>
              </a:solidFill>
              <a:prstDash val="solid"/>
              <a:round/>
            </a:ln>
          </spPr>
        </majorGridlines>
        <minorGridlines>
          <spPr>
            <a:ln w="635" cap="flat">
              <a:solidFill>
                <a:srgbClr val="CCCCCC"/>
              </a:solidFill>
              <a:prstDash val="solid"/>
              <a:round/>
            </a:ln>
          </spPr>
        </minorGridlines>
        <title>
          <tx>
            <rich>
              <a:bodyPr rot="-5400000" vert="horz" anchor="ctr" anchorCtr="1"/>
              <a:lstStyle/>
              <a:p>
                <a:pPr>
                  <a:defRPr sz="1000" b="0" i="0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baseline="0">
                    <a:solidFill>
                      <a:srgbClr val="000000"/>
                    </a:solidFill>
                    <a:latin typeface="Arial"/>
                    <a:ea typeface="Arial"/>
                  </a:rPr>
                  <a:t>ARPU Değeri ($)</a:t>
                </a:r>
              </a:p>
            </rich>
          </tx>
          <layout/>
          <overlay val="0"/>
          <spPr>
            <a:noFill/>
            <a:ln>
              <a:noFill/>
              <a:prstDash val="solid"/>
              <a:round/>
            </a:ln>
          </spPr>
        </title>
        <numFmt formatCode="_(&quot;$&quot;* #,##0.00_);_(&quot;$&quot;* \(#,##0.00\);_(&quot;$&quot;* &quot;-&quot;??_);_(@_)" sourceLinked="0"/>
        <majorTickMark val="none"/>
        <minorTickMark val="none"/>
        <tickLblPos val="nextTo"/>
        <spPr>
          <a:noFill/>
          <a:ln>
            <a:solidFill>
              <a:srgbClr val="898989"/>
            </a:solidFill>
            <a:prstDash val="solid"/>
            <a:round/>
          </a:ln>
        </spPr>
        <txPr>
          <a:bodyPr/>
          <a:lstStyle/>
          <a:p>
            <a:pPr>
              <a:defRPr sz="1400" b="1" i="0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t/>
            </a:r>
            <a:endParaRPr lang="ko-KR"/>
          </a:p>
        </txPr>
        <crossAx val="1111"/>
        <crosses val="autoZero"/>
        <crossBetween val="midCat"/>
      </valAx>
    </plotArea>
    <legend>
      <legendPos val="t"/>
      <layout/>
      <overlay val="0"/>
      <spPr>
        <a:noFill/>
        <a:ln>
          <a:noFill/>
          <a:prstDash val="solid"/>
          <a:round/>
        </a:ln>
      </spPr>
      <txPr>
        <a:bodyPr rot="0" vert="horz" anchor="t" anchorCtr="1"/>
        <a:lstStyle/>
        <a:p>
          <a:pPr>
            <a:defRPr sz="1100" b="0" i="0" baseline="0">
              <a:solidFill>
                <a:srgbClr val="1a1a1a"/>
              </a:solidFill>
              <a:latin typeface="Arial"/>
              <a:ea typeface="Arial"/>
            </a:defRPr>
          </a:pPr>
          <a:r>
            <a:t/>
          </a:r>
          <a:endParaRPr lang="ko-KR"/>
        </a:p>
      </txPr>
    </legend>
    <plotVisOnly val="1"/>
    <dispBlanksAs val="gap"/>
  </chart>
  <spPr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 anchorCtr="1"/>
          <a:lstStyle/>
          <a:p>
            <a:pPr algn="ctr">
              <a:defRPr sz="1400" b="0" i="0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ko-KR" altLang="en-US" sz="1400" b="0" i="0" baseline="0">
                <a:solidFill>
                  <a:srgbClr val="757575"/>
                </a:solidFill>
                <a:latin typeface="Arial"/>
                <a:ea typeface="Arial"/>
              </a:rPr>
              <a:t>Level Bazında Av.Rw Değişimi</a:t>
            </a:r>
          </a:p>
        </rich>
      </tx>
      <layout/>
      <overlay val="0"/>
      <spPr>
        <a:noFill/>
        <a:ln>
          <a:noFill/>
          <a:prstDash val="solid"/>
          <a:round/>
        </a:ln>
      </spPr>
    </title>
    <plotArea>
      <layout/>
      <lineChart>
        <grouping val="standard"/>
        <varyColors val="1"/>
        <ser>
          <idx val="0"/>
          <order val="0"/>
          <tx>
            <v>AND_Av.Rw</v>
          </tx>
          <spPr>
            <a:ln w="9525" cap="flat">
              <a:solidFill>
                <a:srgbClr val="F1C23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3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4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5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6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7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8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9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0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1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2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3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4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5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6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7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8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1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2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3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4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5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6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7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8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199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dPt>
            <idx val="200"/>
            <spPr>
              <a:ln w="9525" cap="flat">
                <a:solidFill>
                  <a:srgbClr val="F1C232"/>
                </a:solidFill>
                <a:prstDash val="solid"/>
                <a:round/>
              </a:ln>
            </spPr>
          </dPt>
          <cat>
            <strRef>
              <f>Av.Rw!$U$2:$U$202</f>
              <strCache>
                <ptCount val="201"/>
                <pt idx="0">
                  <v>Level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</strCache>
            </strRef>
          </cat>
          <val>
            <numRef>
              <f>Av.Rw!$V$2:$V$202</f>
              <numCache>
                <formatCode>General</formatCode>
                <ptCount val="2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0.153462603878116</v>
                </pt>
                <pt idx="12">
                  <v>0.0835768556399766</v>
                </pt>
                <pt idx="13">
                  <v>0.0900954653937948</v>
                </pt>
                <pt idx="14">
                  <v>0.123067408781694</v>
                </pt>
                <pt idx="15">
                  <v>0.09045226130653269</v>
                </pt>
                <pt idx="16">
                  <v>0.0932811480756686</v>
                </pt>
                <pt idx="17">
                  <v>0.0931011386470194</v>
                </pt>
                <pt idx="18">
                  <v>0.0875512995896033</v>
                </pt>
                <pt idx="19">
                  <v>0.174311926605505</v>
                </pt>
                <pt idx="20">
                  <v>0.108932461873638</v>
                </pt>
                <pt idx="21">
                  <v>0.211344211344211</v>
                </pt>
                <pt idx="22">
                  <v>0.1248</v>
                </pt>
                <pt idx="23">
                  <v>0.13453650533224</v>
                </pt>
                <pt idx="24">
                  <v>0.124789207419899</v>
                </pt>
                <pt idx="25">
                  <v>0.103918228279387</v>
                </pt>
                <pt idx="26">
                  <v>0.0958549222797927</v>
                </pt>
                <pt idx="27">
                  <v>0.108867427568042</v>
                </pt>
                <pt idx="28">
                  <v>0.09677419354838709</v>
                </pt>
                <pt idx="29">
                  <v>0.0995475113122172</v>
                </pt>
                <pt idx="30">
                  <v>0.10036832412523</v>
                </pt>
                <pt idx="31">
                  <v>0.128449096098953</v>
                </pt>
                <pt idx="32">
                  <v>0.111221449851043</v>
                </pt>
                <pt idx="33">
                  <v>0.0991983967935872</v>
                </pt>
                <pt idx="34">
                  <v>0.0955806783144913</v>
                </pt>
                <pt idx="35">
                  <v>0.1</v>
                </pt>
                <pt idx="36">
                  <v>0.0985169491525424</v>
                </pt>
                <pt idx="37">
                  <v>0.09375</v>
                </pt>
                <pt idx="38">
                  <v>0.08874458874458881</v>
                </pt>
                <pt idx="39">
                  <v>0.15625</v>
                </pt>
                <pt idx="40">
                  <v>0.266337854500617</v>
                </pt>
                <pt idx="41">
                  <v>0.118811881188119</v>
                </pt>
                <pt idx="42">
                  <v>0.245430809399478</v>
                </pt>
                <pt idx="43">
                  <v>0.138666666666667</v>
                </pt>
                <pt idx="44">
                  <v>0.138255033557047</v>
                </pt>
                <pt idx="45">
                  <v>0.138814016172507</v>
                </pt>
                <pt idx="46">
                  <v>0.127198917456022</v>
                </pt>
                <pt idx="47">
                  <v>0.125170068027211</v>
                </pt>
                <pt idx="48">
                  <v>0.147382920110193</v>
                </pt>
                <pt idx="49">
                  <v>0.225988700564972</v>
                </pt>
                <pt idx="50">
                  <v>0.225331369661267</v>
                </pt>
                <pt idx="51">
                  <v>0.271585557299843</v>
                </pt>
                <pt idx="52">
                  <v>0.184294871794872</v>
                </pt>
                <pt idx="53">
                  <v>0.134304207119741</v>
                </pt>
                <pt idx="54">
                  <v>0.12520325203252</v>
                </pt>
                <pt idx="55">
                  <v>0.295825771324864</v>
                </pt>
                <pt idx="56">
                  <v>0.127504553734062</v>
                </pt>
                <pt idx="57">
                  <v>0.111313868613139</v>
                </pt>
                <pt idx="58">
                  <v>0.131147540983607</v>
                </pt>
                <pt idx="59">
                  <v>0.199626865671642</v>
                </pt>
                <pt idx="60">
                  <v>0.126415094339623</v>
                </pt>
                <pt idx="61">
                  <v>0.186407766990291</v>
                </pt>
                <pt idx="62">
                  <v>0.182711198428291</v>
                </pt>
                <pt idx="63">
                  <v>0.118</v>
                </pt>
                <pt idx="64">
                  <v>0.135728542914172</v>
                </pt>
                <pt idx="65">
                  <v>0.41</v>
                </pt>
                <pt idx="66">
                  <v>0.09</v>
                </pt>
                <pt idx="67">
                  <v>0.1125</v>
                </pt>
                <pt idx="68">
                  <v>0.111959287531807</v>
                </pt>
                <pt idx="69">
                  <v>0.0909090909090909</v>
                </pt>
                <pt idx="70">
                  <v>0.0858585858585859</v>
                </pt>
                <pt idx="71">
                  <v>0.08418367346938781</v>
                </pt>
                <pt idx="72">
                  <v>0.0801033591731266</v>
                </pt>
                <pt idx="73">
                  <v>0.12853470437018</v>
                </pt>
                <pt idx="74">
                  <v>0.0721649484536082</v>
                </pt>
                <pt idx="75">
                  <v>0.292349726775956</v>
                </pt>
                <pt idx="76">
                  <v>0.09366391184573</v>
                </pt>
                <pt idx="77">
                  <v>0.101123595505618</v>
                </pt>
                <pt idx="78">
                  <v>0.0893854748603352</v>
                </pt>
                <pt idx="79">
                  <v>0.123563218390805</v>
                </pt>
                <pt idx="80">
                  <v>0.208211143695015</v>
                </pt>
                <pt idx="81">
                  <v>0.192878338278932</v>
                </pt>
                <pt idx="82">
                  <v>0.127596439169139</v>
                </pt>
                <pt idx="83">
                  <v>0.112759643916914</v>
                </pt>
                <pt idx="84">
                  <v>0.167164179104478</v>
                </pt>
                <pt idx="85">
                  <v>0.232198142414861</v>
                </pt>
                <pt idx="86">
                  <v>0.103125</v>
                </pt>
                <pt idx="87">
                  <v>0.245161290322581</v>
                </pt>
                <pt idx="88">
                  <v>0.121019108280255</v>
                </pt>
                <pt idx="89">
                  <v>0.115384615384615</v>
                </pt>
                <pt idx="90">
                  <v>0.203947368421053</v>
                </pt>
                <pt idx="91">
                  <v>0.130718954248366</v>
                </pt>
                <pt idx="92">
                  <v>0.169435215946844</v>
                </pt>
                <pt idx="93">
                  <v>0.127946127946128</v>
                </pt>
                <pt idx="94">
                  <v>0.112244897959184</v>
                </pt>
                <pt idx="95">
                  <v>0.326693227091633</v>
                </pt>
                <pt idx="96">
                  <v>0.140562248995984</v>
                </pt>
                <pt idx="97">
                  <v>0.19047619047619</v>
                </pt>
                <pt idx="98">
                  <v>0.103585657370518</v>
                </pt>
                <pt idx="99">
                  <v>0.124</v>
                </pt>
                <pt idx="100">
                  <v>0.107142857142857</v>
                </pt>
                <pt idx="101">
                  <v>0.1015625</v>
                </pt>
                <pt idx="102">
                  <v>0.08984375</v>
                </pt>
                <pt idx="103">
                  <v>0.101167315175097</v>
                </pt>
                <pt idx="104">
                  <v>0.141176470588235</v>
                </pt>
                <pt idx="105">
                  <v>0.178137651821862</v>
                </pt>
                <pt idx="106">
                  <v>0.186991869918699</v>
                </pt>
                <pt idx="107">
                  <v>0.237704918032787</v>
                </pt>
                <pt idx="108">
                  <v>0.21900826446281</v>
                </pt>
                <pt idx="109">
                  <v>0.161157024793388</v>
                </pt>
                <pt idx="110">
                  <v>0.205020920502092</v>
                </pt>
                <pt idx="111">
                  <v>0.234042553191489</v>
                </pt>
                <pt idx="112">
                  <v>0.287610619469027</v>
                </pt>
                <pt idx="113">
                  <v>0.165178571428571</v>
                </pt>
                <pt idx="114">
                  <v>0.183856502242152</v>
                </pt>
                <pt idx="115">
                  <v>0.394366197183099</v>
                </pt>
                <pt idx="116">
                  <v>0.209302325581395</v>
                </pt>
                <pt idx="117">
                  <v>0.201923076923077</v>
                </pt>
                <pt idx="118">
                  <v>0.251207729468599</v>
                </pt>
                <pt idx="119">
                  <v>0.216346153846154</v>
                </pt>
                <pt idx="120">
                  <v>0.393364928909953</v>
                </pt>
                <pt idx="121">
                  <v>0.298076923076923</v>
                </pt>
                <pt idx="122">
                  <v>0.224390243902439</v>
                </pt>
                <pt idx="123">
                  <v>0.195121951219512</v>
                </pt>
                <pt idx="124">
                  <v>0.425</v>
                </pt>
                <pt idx="125">
                  <v>0.205</v>
                </pt>
                <pt idx="126">
                  <v>0.208121827411168</v>
                </pt>
                <pt idx="127">
                  <v>0.235897435897436</v>
                </pt>
                <pt idx="128">
                  <v>0.376344086021505</v>
                </pt>
                <pt idx="129">
                  <v>0.322222222222222</v>
                </pt>
                <pt idx="130">
                  <v>0.308571428571429</v>
                </pt>
                <pt idx="131">
                  <v>0.213872832369942</v>
                </pt>
                <pt idx="132">
                  <v>0.339285714285714</v>
                </pt>
                <pt idx="133">
                  <v>0.375757575757576</v>
                </pt>
                <pt idx="134">
                  <v>0.174698795180723</v>
                </pt>
                <pt idx="135">
                  <v>0.337579617834395</v>
                </pt>
                <pt idx="136">
                  <v>0.416107382550336</v>
                </pt>
                <pt idx="137">
                  <v>0.409090909090909</v>
                </pt>
                <pt idx="138">
                  <v>0.212903225806452</v>
                </pt>
                <pt idx="139">
                  <v>0.297297297297297</v>
                </pt>
                <pt idx="140">
                  <v>0.440559440559441</v>
                </pt>
                <pt idx="141">
                  <v>0.256944444444444</v>
                </pt>
                <pt idx="142">
                  <v>0.267123287671233</v>
                </pt>
                <pt idx="143">
                  <v>0.227586206896552</v>
                </pt>
                <pt idx="144">
                  <v>0.215277777777778</v>
                </pt>
                <pt idx="145">
                  <v>0.293706293706294</v>
                </pt>
                <pt idx="146">
                  <v>0.237762237762238</v>
                </pt>
                <pt idx="147">
                  <v>0.394160583941606</v>
                </pt>
                <pt idx="148">
                  <v>0.248175182481752</v>
                </pt>
                <pt idx="149">
                  <v>0.264705882352941</v>
                </pt>
                <pt idx="150">
                  <v>0.257352941176471</v>
                </pt>
                <pt idx="151">
                  <v>0.374045801526718</v>
                </pt>
                <pt idx="152">
                  <v>0.291338582677165</v>
                </pt>
                <pt idx="153">
                  <v>0.253968253968254</v>
                </pt>
                <pt idx="154">
                  <v>0.325396825396825</v>
                </pt>
                <pt idx="155">
                  <v>0.206349206349206</v>
                </pt>
                <pt idx="156">
                  <v>0.244094488188976</v>
                </pt>
                <pt idx="157">
                  <v>0.346456692913386</v>
                </pt>
                <pt idx="158">
                  <v>0.276422764227642</v>
                </pt>
                <pt idx="159">
                  <v>0.495798319327731</v>
                </pt>
                <pt idx="160">
                  <v>0.264957264957265</v>
                </pt>
                <pt idx="161">
                  <v>0.25</v>
                </pt>
                <pt idx="162">
                  <v>0.224137931034483</v>
                </pt>
                <pt idx="163">
                  <v>0.309734513274336</v>
                </pt>
                <pt idx="164">
                  <v>0.297297297297297</v>
                </pt>
                <pt idx="165">
                  <v>0.323809523809524</v>
                </pt>
                <pt idx="166">
                  <v>0.314814814814815</v>
                </pt>
                <pt idx="167">
                  <v>0.327102803738318</v>
                </pt>
                <pt idx="168">
                  <v>0.252336448598131</v>
                </pt>
                <pt idx="169">
                  <v>0.423076923076923</v>
                </pt>
                <pt idx="170">
                  <v>0.25</v>
                </pt>
                <pt idx="171">
                  <v>0.266666666666667</v>
                </pt>
                <pt idx="172">
                  <v>0.320388349514563</v>
                </pt>
                <pt idx="173">
                  <v>0.294117647058824</v>
                </pt>
                <pt idx="174">
                  <v>0.240384615384615</v>
                </pt>
                <pt idx="175">
                  <v>0.300970873786408</v>
                </pt>
                <pt idx="176">
                  <v>0.305263157894737</v>
                </pt>
                <pt idx="177">
                  <v>0.354838709677419</v>
                </pt>
                <pt idx="178">
                  <v>0.228260869565217</v>
                </pt>
                <pt idx="179">
                  <v>0.311111111111111</v>
                </pt>
                <pt idx="180">
                  <v>0.21505376344086</v>
                </pt>
                <pt idx="181">
                  <v>0.304347826086957</v>
                </pt>
                <pt idx="182">
                  <v>0.402298850574713</v>
                </pt>
                <pt idx="183">
                  <v>0.252873563218391</v>
                </pt>
                <pt idx="184">
                  <v>0.218390804597701</v>
                </pt>
                <pt idx="185">
                  <v>0.255813953488372</v>
                </pt>
                <pt idx="186">
                  <v>0.306818181818182</v>
                </pt>
                <pt idx="187">
                  <v>0.378048780487805</v>
                </pt>
                <pt idx="188">
                  <v>0.226190476190476</v>
                </pt>
                <pt idx="189">
                  <v>0.455696202531646</v>
                </pt>
                <pt idx="190">
                  <v>0.320987654320988</v>
                </pt>
                <pt idx="191">
                  <v>0.175</v>
                </pt>
                <pt idx="192">
                  <v>0.240506329113924</v>
                </pt>
                <pt idx="193">
                  <v>0.368421052631579</v>
                </pt>
                <pt idx="194">
                  <v>0.266666666666667</v>
                </pt>
                <pt idx="195">
                  <v>0.355263157894737</v>
                </pt>
                <pt idx="196">
                  <v>0.293333333333333</v>
                </pt>
                <pt idx="197">
                  <v>0.266666666666667</v>
                </pt>
                <pt idx="198">
                  <v>0.266666666666667</v>
                </pt>
                <pt idx="199">
                  <v>0.213333333333333</v>
                </pt>
                <pt idx="200">
                  <v>0.342465753424658</v>
                </pt>
              </numCache>
            </numRef>
          </val>
          <smooth val="1"/>
        </ser>
        <ser>
          <idx val="1"/>
          <order val="1"/>
          <tx>
            <v>IOS_Av.Rw</v>
          </tx>
          <spPr>
            <a:ln w="9525" cap="flat">
              <a:solidFill>
                <a:srgbClr val="00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3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4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5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6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7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8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9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0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1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2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3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4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5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6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7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8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1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2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3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4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5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6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7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8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199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dPt>
            <idx val="200"/>
            <spPr>
              <a:ln w="9525" cap="flat">
                <a:solidFill>
                  <a:srgbClr val="00FF00"/>
                </a:solidFill>
                <a:prstDash val="solid"/>
                <a:round/>
              </a:ln>
            </spPr>
          </dPt>
          <cat>
            <strRef>
              <f>Av.Rw!$U$2:$U$202</f>
              <strCache>
                <ptCount val="201"/>
                <pt idx="0">
                  <v>Level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</strCache>
            </strRef>
          </cat>
          <val>
            <numRef>
              <f>Av.Rw!$W$2:$W$202</f>
              <numCache>
                <formatCode>General</formatCode>
                <ptCount val="2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0.151658767772512</v>
                </pt>
                <pt idx="12">
                  <v>0.0840197693574959</v>
                </pt>
                <pt idx="13">
                  <v>0.0756302521008403</v>
                </pt>
                <pt idx="14">
                  <v>0.11965811965812</v>
                </pt>
                <pt idx="15">
                  <v>0.08916083916083919</v>
                </pt>
                <pt idx="16">
                  <v>0.0799289520426288</v>
                </pt>
                <pt idx="17">
                  <v>0.0884476534296029</v>
                </pt>
                <pt idx="18">
                  <v>0.0880733944954129</v>
                </pt>
                <pt idx="19">
                  <v>0.152133580705009</v>
                </pt>
                <pt idx="20">
                  <v>0.10634328358209</v>
                </pt>
                <pt idx="21">
                  <v>0.177387914230019</v>
                </pt>
                <pt idx="22">
                  <v>0.0881763527054108</v>
                </pt>
                <pt idx="23">
                  <v>0.09034907597535941</v>
                </pt>
                <pt idx="24">
                  <v>0.0809128630705394</v>
                </pt>
                <pt idx="25">
                  <v>0.0782241014799154</v>
                </pt>
                <pt idx="26">
                  <v>0.0828025477707006</v>
                </pt>
                <pt idx="27">
                  <v>0.0980810234541578</v>
                </pt>
                <pt idx="28">
                  <v>0.0754310344827586</v>
                </pt>
                <pt idx="29">
                  <v>0.0655021834061135</v>
                </pt>
                <pt idx="30">
                  <v>0.0816777041942605</v>
                </pt>
                <pt idx="31">
                  <v>0.119638826185102</v>
                </pt>
                <pt idx="32">
                  <v>0.09953703703703699</v>
                </pt>
                <pt idx="33">
                  <v>0.129716981132075</v>
                </pt>
                <pt idx="34">
                  <v>0.089588377723971</v>
                </pt>
                <pt idx="35">
                  <v>0.117359413202934</v>
                </pt>
                <pt idx="36">
                  <v>0.08823529411764711</v>
                </pt>
                <pt idx="37">
                  <v>0.0818858560794045</v>
                </pt>
                <pt idx="38">
                  <v>0.09045226130653269</v>
                </pt>
                <pt idx="39">
                  <v>0.177083333333333</v>
                </pt>
                <pt idx="40">
                  <v>0.270949720670391</v>
                </pt>
                <pt idx="41">
                  <v>0.105413105413105</v>
                </pt>
                <pt idx="42">
                  <v>0.210365853658537</v>
                </pt>
                <pt idx="43">
                  <v>0.10410094637224</v>
                </pt>
                <pt idx="44">
                  <v>0.0825396825396825</v>
                </pt>
                <pt idx="45">
                  <v>0.101910828025478</v>
                </pt>
                <pt idx="46">
                  <v>0.09935897435897439</v>
                </pt>
                <pt idx="47">
                  <v>0.09935897435897439</v>
                </pt>
                <pt idx="48">
                  <v>0.126623376623377</v>
                </pt>
                <pt idx="49">
                  <v>0.189830508474576</v>
                </pt>
                <pt idx="50">
                  <v>0.166077738515901</v>
                </pt>
                <pt idx="51">
                  <v>0.167910447761194</v>
                </pt>
                <pt idx="52">
                  <v>0.136882129277567</v>
                </pt>
                <pt idx="53">
                  <v>0.0950570342205323</v>
                </pt>
                <pt idx="54">
                  <v>0.091254752851711</v>
                </pt>
                <pt idx="55">
                  <v>0.213114754098361</v>
                </pt>
                <pt idx="56">
                  <v>0.0619834710743802</v>
                </pt>
                <pt idx="57">
                  <v>0.0740740740740741</v>
                </pt>
                <pt idx="58">
                  <v>0.0655737704918033</v>
                </pt>
                <pt idx="59">
                  <v>0.106995884773663</v>
                </pt>
                <pt idx="60">
                  <v>0.0746887966804979</v>
                </pt>
                <pt idx="61">
                  <v>0.102127659574468</v>
                </pt>
                <pt idx="62">
                  <v>0.125</v>
                </pt>
                <pt idx="63">
                  <v>0.0701754385964912</v>
                </pt>
                <pt idx="64">
                  <v>0.08</v>
                </pt>
                <pt idx="65">
                  <v>0.278350515463918</v>
                </pt>
                <pt idx="66">
                  <v>0.077720207253886</v>
                </pt>
                <pt idx="67">
                  <v>0.0994764397905759</v>
                </pt>
                <pt idx="68">
                  <v>0.09523809523809521</v>
                </pt>
                <pt idx="69">
                  <v>0.0994764397905759</v>
                </pt>
                <pt idx="70">
                  <v>0.07853403141361261</v>
                </pt>
                <pt idx="71">
                  <v>0.09375</v>
                </pt>
                <pt idx="72">
                  <v>0.0871794871794872</v>
                </pt>
                <pt idx="73">
                  <v>0.135416666666667</v>
                </pt>
                <pt idx="74">
                  <v>0.0994764397905759</v>
                </pt>
                <pt idx="75">
                  <v>0.225433526011561</v>
                </pt>
                <pt idx="76">
                  <v>0.08</v>
                </pt>
                <pt idx="77">
                  <v>0.0898876404494382</v>
                </pt>
                <pt idx="78">
                  <v>0.0909090909090909</v>
                </pt>
                <pt idx="79">
                  <v>0.109195402298851</v>
                </pt>
                <pt idx="80">
                  <v>0.204678362573099</v>
                </pt>
                <pt idx="81">
                  <v>0.154761904761905</v>
                </pt>
                <pt idx="82">
                  <v>0.0963855421686747</v>
                </pt>
                <pt idx="83">
                  <v>0.0778443113772455</v>
                </pt>
                <pt idx="84">
                  <v>0.109090909090909</v>
                </pt>
                <pt idx="85">
                  <v>0.173913043478261</v>
                </pt>
                <pt idx="86">
                  <v>0.0817610062893082</v>
                </pt>
                <pt idx="87">
                  <v>0.145695364238411</v>
                </pt>
                <pt idx="88">
                  <v>0.105960264900662</v>
                </pt>
                <pt idx="89">
                  <v>0.100671140939597</v>
                </pt>
                <pt idx="90">
                  <v>0.155405405405405</v>
                </pt>
                <pt idx="91">
                  <v>0.0748299319727891</v>
                </pt>
                <pt idx="92">
                  <v>0.129251700680272</v>
                </pt>
                <pt idx="93">
                  <v>0.0608108108108108</v>
                </pt>
                <pt idx="94">
                  <v>0.0680272108843538</v>
                </pt>
                <pt idx="95">
                  <v>0.190839694656489</v>
                </pt>
                <pt idx="96">
                  <v>0.07633587786259539</v>
                </pt>
                <pt idx="97">
                  <v>0.1328125</v>
                </pt>
                <pt idx="98">
                  <v>0.0866141732283465</v>
                </pt>
                <pt idx="99">
                  <v>0.096</v>
                </pt>
                <pt idx="100">
                  <v>0.096</v>
                </pt>
                <pt idx="101">
                  <v>0.125</v>
                </pt>
                <pt idx="102">
                  <v>0.0756302521008403</v>
                </pt>
                <pt idx="103">
                  <v>0.092436974789916</v>
                </pt>
                <pt idx="104">
                  <v>0.11965811965812</v>
                </pt>
                <pt idx="105">
                  <v>0.153846153846154</v>
                </pt>
                <pt idx="106">
                  <v>0.115044247787611</v>
                </pt>
                <pt idx="107">
                  <v>0.144144144144144</v>
                </pt>
                <pt idx="108">
                  <v>0.125</v>
                </pt>
                <pt idx="109">
                  <v>0.116071428571429</v>
                </pt>
                <pt idx="110">
                  <v>0.123893805309735</v>
                </pt>
                <pt idx="111">
                  <v>0.132743362831858</v>
                </pt>
                <pt idx="112">
                  <v>0.216981132075472</v>
                </pt>
                <pt idx="113">
                  <v>0.0934579439252336</v>
                </pt>
                <pt idx="114">
                  <v>0.104761904761905</v>
                </pt>
                <pt idx="115">
                  <v>0.194174757281553</v>
                </pt>
                <pt idx="116">
                  <v>0.0679611650485437</v>
                </pt>
                <pt idx="117">
                  <v>0.08823529411764711</v>
                </pt>
                <pt idx="118">
                  <v>0.11</v>
                </pt>
                <pt idx="119">
                  <v>0.108910891089109</v>
                </pt>
                <pt idx="120">
                  <v>0.284090909090909</v>
                </pt>
                <pt idx="121">
                  <v>0.159090909090909</v>
                </pt>
                <pt idx="122">
                  <v>0.116279069767442</v>
                </pt>
                <pt idx="123">
                  <v>0.102272727272727</v>
                </pt>
                <pt idx="124">
                  <v>0.2</v>
                </pt>
                <pt idx="125">
                  <v>0.0919540229885058</v>
                </pt>
                <pt idx="126">
                  <v>0.0898876404494382</v>
                </pt>
                <pt idx="127">
                  <v>0.134831460674157</v>
                </pt>
                <pt idx="128">
                  <v>0.214285714285714</v>
                </pt>
                <pt idx="129">
                  <v>0.164705882352941</v>
                </pt>
                <pt idx="130">
                  <v>0.170731707317073</v>
                </pt>
                <pt idx="131">
                  <v>0.144578313253012</v>
                </pt>
                <pt idx="132">
                  <v>0.259259259259259</v>
                </pt>
                <pt idx="133">
                  <v>0.215189873417722</v>
                </pt>
                <pt idx="134">
                  <v>0.139240506329114</v>
                </pt>
                <pt idx="135">
                  <v>0.173333333333333</v>
                </pt>
                <pt idx="136">
                  <v>0.146666666666667</v>
                </pt>
                <pt idx="137">
                  <v>0.306666666666667</v>
                </pt>
                <pt idx="138">
                  <v>0.135135135135135</v>
                </pt>
                <pt idx="139">
                  <v>0.173333333333333</v>
                </pt>
                <pt idx="140">
                  <v>0.26865671641791</v>
                </pt>
                <pt idx="141">
                  <v>0.117647058823529</v>
                </pt>
                <pt idx="142">
                  <v>0.08823529411764711</v>
                </pt>
                <pt idx="143">
                  <v>0.0735294117647059</v>
                </pt>
                <pt idx="144">
                  <v>0.0441176470588235</v>
                </pt>
                <pt idx="145">
                  <v>0.08823529411764711</v>
                </pt>
                <pt idx="146">
                  <v>0.0757575757575758</v>
                </pt>
                <pt idx="147">
                  <v>0.212121212121212</v>
                </pt>
                <pt idx="148">
                  <v>0.0597014925373134</v>
                </pt>
                <pt idx="149">
                  <v>0.0869565217391304</v>
                </pt>
                <pt idx="150">
                  <v>0.0579710144927536</v>
                </pt>
                <pt idx="151">
                  <v>0.142857142857143</v>
                </pt>
                <pt idx="152">
                  <v>0.0869565217391304</v>
                </pt>
                <pt idx="153">
                  <v>0.104477611940299</v>
                </pt>
                <pt idx="154">
                  <v>0.153846153846154</v>
                </pt>
                <pt idx="155">
                  <v>0.112903225806452</v>
                </pt>
                <pt idx="156">
                  <v>0.107692307692308</v>
                </pt>
                <pt idx="157">
                  <v>0.166666666666667</v>
                </pt>
                <pt idx="158">
                  <v>0.121212121212121</v>
                </pt>
                <pt idx="159">
                  <v>0.311475409836066</v>
                </pt>
                <pt idx="160">
                  <v>0.114754098360656</v>
                </pt>
                <pt idx="161">
                  <v>0.09677419354838709</v>
                </pt>
                <pt idx="162">
                  <v>0.112903225806452</v>
                </pt>
                <pt idx="163">
                  <v>0.209677419354839</v>
                </pt>
                <pt idx="164">
                  <v>0.0983606557377049</v>
                </pt>
                <pt idx="165">
                  <v>0.157894736842105</v>
                </pt>
                <pt idx="166">
                  <v>0.181818181818182</v>
                </pt>
                <pt idx="167">
                  <v>0.226415094339623</v>
                </pt>
                <pt idx="168">
                  <v>0.176470588235294</v>
                </pt>
                <pt idx="169">
                  <v>0.340425531914894</v>
                </pt>
                <pt idx="170">
                  <v>0.222222222222222</v>
                </pt>
                <pt idx="171">
                  <v>0.222222222222222</v>
                </pt>
                <pt idx="172">
                  <v>0.260869565217391</v>
                </pt>
                <pt idx="173">
                  <v>0.22</v>
                </pt>
                <pt idx="174">
                  <v>0.156862745098039</v>
                </pt>
                <pt idx="175">
                  <v>0.264150943396226</v>
                </pt>
                <pt idx="176">
                  <v>0.207547169811321</v>
                </pt>
                <pt idx="177">
                  <v>0.395833333333333</v>
                </pt>
                <pt idx="178">
                  <v>0.266666666666667</v>
                </pt>
                <pt idx="179">
                  <v>0.292682926829268</v>
                </pt>
                <pt idx="180">
                  <v>0.2</v>
                </pt>
                <pt idx="181">
                  <v>0.219512195121951</v>
                </pt>
                <pt idx="182">
                  <v>0.285714285714286</v>
                </pt>
                <pt idx="183">
                  <v>0.17948717948718</v>
                </pt>
                <pt idx="184">
                  <v>0.128205128205128</v>
                </pt>
                <pt idx="185">
                  <v>0.131578947368421</v>
                </pt>
                <pt idx="186">
                  <v>0.189189189189189</v>
                </pt>
                <pt idx="187">
                  <v>0.25</v>
                </pt>
                <pt idx="188">
                  <v>0.111111111111111</v>
                </pt>
                <pt idx="189">
                  <v>0.264705882352941</v>
                </pt>
                <pt idx="190">
                  <v>0.205882352941176</v>
                </pt>
                <pt idx="191">
                  <v>0.142857142857143</v>
                </pt>
                <pt idx="192">
                  <v>0.142857142857143</v>
                </pt>
                <pt idx="193">
                  <v>0.235294117647059</v>
                </pt>
                <pt idx="194">
                  <v>0.0857142857142857</v>
                </pt>
                <pt idx="195">
                  <v>0.235294117647059</v>
                </pt>
                <pt idx="196">
                  <v>0.114285714285714</v>
                </pt>
                <pt idx="197">
                  <v>0.157894736842105</v>
                </pt>
                <pt idx="198">
                  <v>0.157894736842105</v>
                </pt>
                <pt idx="199">
                  <v>0.128205128205128</v>
                </pt>
                <pt idx="200">
                  <v>0.2</v>
                </pt>
              </numCache>
            </numRef>
          </val>
          <smooth val="1"/>
        </ser>
        <marker val="1"/>
        <smooth val="1"/>
        <axId val="1111"/>
        <axId val="2222"/>
      </lineChart>
      <catAx>
        <axId val="1111"/>
        <scaling>
          <orientation val="minMax"/>
        </scaling>
        <delete val="0"/>
        <axPos val="b"/>
        <title>
          <tx>
            <rich>
              <a:bodyPr rot="0" vert="horz" anchor="ctr" anchorCtr="1"/>
              <a:lstStyle/>
              <a:p>
                <a:pPr>
                  <a:defRPr sz="1000" b="0" i="0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baseline="0">
                    <a:solidFill>
                      <a:srgbClr val="000000"/>
                    </a:solidFill>
                    <a:latin typeface="Arial"/>
                    <a:ea typeface="Arial"/>
                  </a:rPr>
                  <a:t>Level</a:t>
                </a:r>
              </a:p>
            </rich>
          </tx>
          <layout/>
          <overlay val="0"/>
          <spPr>
            <a:noFill/>
            <a:ln>
              <a:noFill/>
              <a:prstDash val="solid"/>
              <a:round/>
            </a:ln>
          </spPr>
        </title>
        <majorTickMark val="none"/>
        <minorTickMark val="none"/>
        <tickLblPos val="nextTo"/>
        <spPr>
          <a:noFill/>
          <a:ln>
            <a:solidFill>
              <a:srgbClr val="898989"/>
            </a:solidFill>
            <a:prstDash val="solid"/>
            <a:round/>
          </a:ln>
        </spPr>
        <txPr>
          <a:bodyPr/>
          <a:lstStyle/>
          <a:p>
            <a:pPr>
              <a:defRPr sz="1000" b="0" i="0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t/>
            </a:r>
            <a:endParaRPr lang="ko-KR"/>
          </a:p>
        </txPr>
        <crossAx val="2222"/>
        <crosses val="autoZero"/>
        <auto val="1"/>
        <lblAlgn val="ctr"/>
        <lblOffset val="100"/>
      </catAx>
      <valAx>
        <axId val="2222"/>
        <scaling>
          <orientation val="minMax"/>
        </scaling>
        <delete val="0"/>
        <axPos val="l"/>
        <majorGridlines>
          <spPr>
            <a:ln w="635" cap="flat">
              <a:solidFill>
                <a:srgbClr val="B7B7B7"/>
              </a:solidFill>
              <a:prstDash val="solid"/>
              <a:round/>
            </a:ln>
          </spPr>
        </majorGridlines>
        <minorGridlines>
          <spPr>
            <a:ln w="635" cap="flat">
              <a:solidFill>
                <a:srgbClr val="CCCCCC"/>
              </a:solidFill>
              <a:prstDash val="solid"/>
              <a:round/>
            </a:ln>
          </spPr>
        </minorGridlines>
        <title>
          <tx>
            <rich>
              <a:bodyPr rot="-5400000" vert="horz" anchor="ctr" anchorCtr="1"/>
              <a:lstStyle/>
              <a:p>
                <a:pPr>
                  <a:defRPr sz="1000" b="0" i="0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baseline="0">
                    <a:solidFill>
                      <a:srgbClr val="000000"/>
                    </a:solidFill>
                    <a:latin typeface="Arial"/>
                    <a:ea typeface="Arial"/>
                  </a:rPr>
                  <a:t>Rwd. Orani</a:t>
                </a:r>
              </a:p>
            </rich>
          </tx>
          <layout/>
          <overlay val="0"/>
          <spPr>
            <a:noFill/>
            <a:ln>
              <a:noFill/>
              <a:prstDash val="solid"/>
              <a:round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solidFill>
              <a:srgbClr val="898989"/>
            </a:solidFill>
            <a:prstDash val="solid"/>
            <a:round/>
          </a:ln>
        </spPr>
        <txPr>
          <a:bodyPr/>
          <a:lstStyle/>
          <a:p>
            <a:pPr>
              <a:defRPr sz="1000" b="0" i="0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t/>
            </a:r>
            <a:endParaRPr lang="ko-KR"/>
          </a:p>
        </txPr>
        <crossAx val="1111"/>
        <crosses val="autoZero"/>
        <crossBetween val="midCat"/>
      </valAx>
    </plotArea>
    <legend>
      <legendPos val="t"/>
      <layout>
        <manualLayout>
          <xMode val="edge"/>
          <yMode val="edge"/>
          <wMode val="factor"/>
          <hMode val="factor"/>
          <x val="0.449922178482242"/>
          <y val="0.1101789709172259"/>
          <w val="0"/>
          <h val="0"/>
        </manualLayout>
      </layout>
      <spPr>
        <a:noFill/>
        <a:ln>
          <a:noFill/>
          <a:prstDash val="solid"/>
          <a:round/>
        </a:ln>
      </spPr>
      <txPr>
        <a:bodyPr rot="0" vert="horz" anchor="t" anchorCtr="1"/>
        <a:lstStyle/>
        <a:p>
          <a:pPr>
            <a:defRPr sz="1100" b="0" i="0" baseline="0">
              <a:solidFill>
                <a:srgbClr val="1a1a1a"/>
              </a:solidFill>
              <a:latin typeface="Arial"/>
              <a:ea typeface="Arial"/>
            </a:defRPr>
          </a:pPr>
          <a:r>
            <a:t/>
          </a:r>
          <a:endParaRPr lang="ko-KR"/>
        </a:p>
      </txPr>
    </legend>
    <plotVisOnly val="1"/>
    <dispBlanksAs val="gap"/>
  </chart>
  <spPr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twoCell">
    <from>
      <col>0</col>
      <colOff>0</colOff>
      <row>0</row>
      <rowOff>0</rowOff>
    </from>
    <to>
      <col>18</col>
      <colOff>742950</colOff>
      <row>23</row>
      <rowOff>57150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twoCell">
    <from>
      <col>0</col>
      <colOff>0</colOff>
      <row>0</row>
      <rowOff>9525</rowOff>
    </from>
    <to>
      <col>20</col>
      <colOff>400050</colOff>
      <row>25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5" displayName="Table5" ref="U2:W523" headerRowCount="1" totalsRowShown="0">
  <tableColumns count="3">
    <tableColumn id="1" name="Level"/>
    <tableColumn id="2" name=" ARPU AND"/>
    <tableColumn id="3" name="ARPU IOS"/>
  </tableColumns>
  <tableStyleInfo name="ARPU-style" showFirstColumn="1" showLastColumn="1" showRowStripes="1" showColumnStripes="0"/>
</table>
</file>

<file path=xl/tables/table2.xml><?xml version="1.0" encoding="utf-8"?>
<table xmlns="http://schemas.openxmlformats.org/spreadsheetml/2006/main" id="2" name="Table6" displayName="Table6" ref="U2:W523" headerRowCount="1" totalsRowShown="0">
  <tableColumns count="3">
    <tableColumn id="1" name="Level"/>
    <tableColumn id="2" name="AND_Avg Rwr"/>
    <tableColumn id="3" name="IOS_Avg Rwr"/>
  </tableColumns>
  <tableStyleInfo name="Av.Rw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D1:K1" header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And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M2:M1002" headerRowCount="1" totalsRowShown="0">
  <tableColumns count="1">
    <tableColumn id="1" name="LevelType"/>
  </tableColumns>
  <tableStyleInfo name="And-style 2" showFirstColumn="1" showLastColumn="1" showRowStripes="1" showColumnStripes="0"/>
</table>
</file>

<file path=xl/tables/table5.xml><?xml version="1.0" encoding="utf-8"?>
<table xmlns="http://schemas.openxmlformats.org/spreadsheetml/2006/main" id="5" name="Table7" displayName="Table7" ref="U2:V1002" headerRowCount="1" totalsRowShown="0">
  <tableColumns count="2">
    <tableColumn id="1" name="Owned Coin"/>
    <tableColumn id="2" name="Avg. Coin"/>
  </tableColumns>
  <tableStyleInfo name="And-style 3" showFirstColumn="1" showLastColumn="1" showRowStripes="1" showColumnStripes="0"/>
</table>
</file>

<file path=xl/tables/table6.xml><?xml version="1.0" encoding="utf-8"?>
<table xmlns="http://schemas.openxmlformats.org/spreadsheetml/2006/main" id="6" name="Table2" displayName="Table2" ref="J1:M402" headerRowCount="1" totalsRowShown="0">
  <tableColumns count="4">
    <tableColumn id="1" name="Complete"/>
    <tableColumn id="2" name="Column 1"/>
    <tableColumn id="3" name="Column 2"/>
    <tableColumn id="4" name="Column 3"/>
  </tableColumns>
  <tableStyleInfo name="Boosters_And-style" showFirstColumn="1" showLastColumn="1" showRowStripes="1" showColumnStripes="0"/>
</table>
</file>

<file path=xl/tables/table7.xml><?xml version="1.0" encoding="utf-8"?>
<table xmlns="http://schemas.openxmlformats.org/spreadsheetml/2006/main" id="7" name="Table3" displayName="Table3" ref="V1:X402" headerRowCount="1" totalsRowShown="0">
  <tableColumns count="3">
    <tableColumn id="1" name="Complete"/>
    <tableColumn id="2" name="Column 1"/>
    <tableColumn id="3" name="Column 2"/>
  </tableColumns>
  <tableStyleInfo name="Boosters_And-style 2" showFirstColumn="1" showLastColumn="1" showRowStripes="1" showColumnStripes="0"/>
</table>
</file>

<file path=xl/tables/table8.xml><?xml version="1.0" encoding="utf-8"?>
<table xmlns="http://schemas.openxmlformats.org/spreadsheetml/2006/main" id="8" name="Table_2" displayName="Table_2" ref="D1:K1" header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IOS-style" showFirstColumn="1" showLastColumn="1" showRowStripes="1" showColumnStripes="0"/>
</table>
</file>

<file path=xl/tables/table9.xml><?xml version="1.0" encoding="utf-8"?>
<table xmlns="http://schemas.openxmlformats.org/spreadsheetml/2006/main" id="9" name="Table1_2" displayName="Table1_2" ref="V2:AA402" headerRowCount="1" totalsRowShown="0">
  <tableColumns count="6">
    <tableColumn id="1" name="Time"/>
    <tableColumn id="2" name="timer_spent_with_playon"/>
    <tableColumn id="3" name="time_spent_without_playon"/>
    <tableColumn id="4" name="Avg_thinktime"/>
    <tableColumn id="5" name="coin_owned"/>
    <tableColumn id="6" name="coin_spent"/>
  </tableColumns>
  <tableStyleInfo name="IOS-style 2" showFirstColumn="1" showLastColumn="1" showRowStripes="1" showColumnStripes="0"/>
</table>
</file>

<file path=xl/tables/table10.xml><?xml version="1.0" encoding="utf-8"?>
<table xmlns="http://schemas.openxmlformats.org/spreadsheetml/2006/main" id="10" name="Table2_2" displayName="Table2_2" ref="J1:M402" headerRowCount="1" totalsRowShown="0">
  <tableColumns count="4">
    <tableColumn id="1" name="Complete"/>
    <tableColumn id="2" name="Column 1"/>
    <tableColumn id="3" name="Column 2"/>
    <tableColumn id="4" name="Column 3"/>
  </tableColumns>
  <tableStyleInfo name="Boosters_IOS-style" showFirstColumn="1" showLastColumn="1" showRowStripes="1" showColumnStripes="0"/>
</table>
</file>

<file path=xl/tables/table11.xml><?xml version="1.0" encoding="utf-8"?>
<table xmlns="http://schemas.openxmlformats.org/spreadsheetml/2006/main" id="11" name="Table3_2" displayName="Table3_2" ref="V1:X402" headerRowCount="1" totalsRowShown="0">
  <tableColumns count="3">
    <tableColumn id="1" name="Complete"/>
    <tableColumn id="2" name="Column 1"/>
    <tableColumn id="3" name="Column 2"/>
  </tableColumns>
  <tableStyleInfo name="Boosters_IOS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U1:W1216"/>
  <sheetViews>
    <sheetView workbookViewId="0">
      <selection activeCell="A1" sqref="A1"/>
    </sheetView>
  </sheetViews>
  <sheetFormatPr baseColWidth="8" defaultColWidth="12.63" defaultRowHeight="15.75" customHeight="1"/>
  <cols>
    <col width="15.29071413" customWidth="1" style="150" min="22" max="22"/>
    <col width="14.86214243" customWidth="1" style="150" min="23" max="23"/>
  </cols>
  <sheetData>
    <row r="1">
      <c r="U1" s="1" t="n"/>
      <c r="V1" s="2" t="n"/>
      <c r="W1" s="2" t="n"/>
    </row>
    <row r="2" ht="22.5" customHeight="1" s="150">
      <c r="U2" s="3" t="inlineStr">
        <is>
          <t>Level</t>
        </is>
      </c>
      <c r="V2" s="4" t="inlineStr">
        <is>
          <t xml:space="preserve"> ARPU AND</t>
        </is>
      </c>
      <c r="W2" s="4" t="inlineStr">
        <is>
          <t>ARPU IOS</t>
        </is>
      </c>
    </row>
    <row r="3" ht="22.5" customHeight="1" s="150">
      <c r="U3" s="5" t="n">
        <v>1</v>
      </c>
      <c r="V3" s="6">
        <f>And!O3</f>
        <v/>
      </c>
      <c r="W3" s="7">
        <f>IOS!O3</f>
        <v/>
      </c>
    </row>
    <row r="4" ht="22.5" customHeight="1" s="150">
      <c r="U4" s="8" t="n">
        <v>2</v>
      </c>
      <c r="V4" s="9">
        <f>And!O4</f>
        <v/>
      </c>
      <c r="W4" s="10">
        <f>IOS!O4</f>
        <v/>
      </c>
    </row>
    <row r="5" ht="22.5" customHeight="1" s="150">
      <c r="U5" s="5" t="n">
        <v>3</v>
      </c>
      <c r="V5" s="6">
        <f>And!O5</f>
        <v/>
      </c>
      <c r="W5" s="7">
        <f>IOS!O5</f>
        <v/>
      </c>
    </row>
    <row r="6" ht="22.5" customHeight="1" s="150">
      <c r="U6" s="8" t="n">
        <v>4</v>
      </c>
      <c r="V6" s="9">
        <f>And!O6</f>
        <v/>
      </c>
      <c r="W6" s="10">
        <f>IOS!O6</f>
        <v/>
      </c>
    </row>
    <row r="7" ht="22.5" customHeight="1" s="150">
      <c r="U7" s="5" t="n">
        <v>5</v>
      </c>
      <c r="V7" s="6">
        <f>And!O7</f>
        <v/>
      </c>
      <c r="W7" s="7">
        <f>IOS!O7</f>
        <v/>
      </c>
    </row>
    <row r="8" ht="22.5" customHeight="1" s="150">
      <c r="U8" s="8" t="n">
        <v>6</v>
      </c>
      <c r="V8" s="9">
        <f>And!O8</f>
        <v/>
      </c>
      <c r="W8" s="10">
        <f>IOS!O8</f>
        <v/>
      </c>
    </row>
    <row r="9" ht="22.5" customHeight="1" s="150">
      <c r="U9" s="5" t="n">
        <v>7</v>
      </c>
      <c r="V9" s="6">
        <f>And!O9</f>
        <v/>
      </c>
      <c r="W9" s="7">
        <f>IOS!O9</f>
        <v/>
      </c>
    </row>
    <row r="10" ht="22.5" customHeight="1" s="150">
      <c r="U10" s="8" t="n">
        <v>8</v>
      </c>
      <c r="V10" s="9">
        <f>And!O10</f>
        <v/>
      </c>
      <c r="W10" s="10">
        <f>IOS!O10</f>
        <v/>
      </c>
    </row>
    <row r="11" ht="22.5" customHeight="1" s="150">
      <c r="U11" s="5" t="n">
        <v>9</v>
      </c>
      <c r="V11" s="6">
        <f>And!O11</f>
        <v/>
      </c>
      <c r="W11" s="7">
        <f>IOS!O11</f>
        <v/>
      </c>
    </row>
    <row r="12" ht="22.5" customHeight="1" s="150">
      <c r="U12" s="8" t="n">
        <v>10</v>
      </c>
      <c r="V12" s="9">
        <f>And!O12</f>
        <v/>
      </c>
      <c r="W12" s="10">
        <f>IOS!O12</f>
        <v/>
      </c>
    </row>
    <row r="13" ht="22.5" customHeight="1" s="150">
      <c r="U13" s="5" t="n">
        <v>11</v>
      </c>
      <c r="V13" s="6">
        <f>And!O13</f>
        <v/>
      </c>
      <c r="W13" s="7">
        <f>IOS!O13</f>
        <v/>
      </c>
    </row>
    <row r="14" ht="22.5" customHeight="1" s="150">
      <c r="U14" s="8" t="n">
        <v>12</v>
      </c>
      <c r="V14" s="9">
        <f>And!O14</f>
        <v/>
      </c>
      <c r="W14" s="10">
        <f>IOS!O14</f>
        <v/>
      </c>
    </row>
    <row r="15" ht="22.5" customHeight="1" s="150">
      <c r="U15" s="5" t="n">
        <v>13</v>
      </c>
      <c r="V15" s="6">
        <f>And!O15</f>
        <v/>
      </c>
      <c r="W15" s="7">
        <f>IOS!O15</f>
        <v/>
      </c>
    </row>
    <row r="16" ht="22.5" customHeight="1" s="150">
      <c r="U16" s="8" t="n">
        <v>14</v>
      </c>
      <c r="V16" s="9">
        <f>And!O16</f>
        <v/>
      </c>
      <c r="W16" s="10">
        <f>IOS!O16</f>
        <v/>
      </c>
    </row>
    <row r="17" ht="22.5" customHeight="1" s="150">
      <c r="U17" s="5" t="n">
        <v>15</v>
      </c>
      <c r="V17" s="6">
        <f>And!O17</f>
        <v/>
      </c>
      <c r="W17" s="7">
        <f>IOS!O17</f>
        <v/>
      </c>
    </row>
    <row r="18" ht="22.5" customHeight="1" s="150">
      <c r="U18" s="8" t="n">
        <v>16</v>
      </c>
      <c r="V18" s="9">
        <f>And!O18</f>
        <v/>
      </c>
      <c r="W18" s="10">
        <f>IOS!O18</f>
        <v/>
      </c>
    </row>
    <row r="19" ht="22.5" customHeight="1" s="150">
      <c r="U19" s="5" t="n">
        <v>17</v>
      </c>
      <c r="V19" s="6">
        <f>And!O19</f>
        <v/>
      </c>
      <c r="W19" s="7">
        <f>IOS!O19</f>
        <v/>
      </c>
    </row>
    <row r="20" ht="22.5" customHeight="1" s="150">
      <c r="U20" s="8" t="n">
        <v>18</v>
      </c>
      <c r="V20" s="9">
        <f>And!O20</f>
        <v/>
      </c>
      <c r="W20" s="10">
        <f>IOS!O20</f>
        <v/>
      </c>
    </row>
    <row r="21" ht="22.5" customHeight="1" s="150">
      <c r="U21" s="5" t="n">
        <v>19</v>
      </c>
      <c r="V21" s="6">
        <f>And!O21</f>
        <v/>
      </c>
      <c r="W21" s="7">
        <f>IOS!O21</f>
        <v/>
      </c>
    </row>
    <row r="22" ht="22.5" customHeight="1" s="150">
      <c r="U22" s="8" t="n">
        <v>20</v>
      </c>
      <c r="V22" s="9">
        <f>And!O22</f>
        <v/>
      </c>
      <c r="W22" s="10">
        <f>IOS!O22</f>
        <v/>
      </c>
    </row>
    <row r="23" ht="22.5" customHeight="1" s="150">
      <c r="U23" s="5" t="n">
        <v>21</v>
      </c>
      <c r="V23" s="6">
        <f>And!O23</f>
        <v/>
      </c>
      <c r="W23" s="7">
        <f>IOS!O23</f>
        <v/>
      </c>
    </row>
    <row r="24" ht="22.5" customHeight="1" s="150">
      <c r="U24" s="8" t="n">
        <v>22</v>
      </c>
      <c r="V24" s="9">
        <f>And!O24</f>
        <v/>
      </c>
      <c r="W24" s="10">
        <f>IOS!O24</f>
        <v/>
      </c>
    </row>
    <row r="25" ht="22.5" customHeight="1" s="150">
      <c r="U25" s="5" t="n">
        <v>23</v>
      </c>
      <c r="V25" s="6">
        <f>And!O25</f>
        <v/>
      </c>
      <c r="W25" s="7">
        <f>IOS!O25</f>
        <v/>
      </c>
    </row>
    <row r="26" ht="22.5" customHeight="1" s="150">
      <c r="U26" s="8" t="n">
        <v>24</v>
      </c>
      <c r="V26" s="9">
        <f>And!O26</f>
        <v/>
      </c>
      <c r="W26" s="10">
        <f>IOS!O26</f>
        <v/>
      </c>
    </row>
    <row r="27" ht="22.5" customHeight="1" s="150">
      <c r="U27" s="5" t="n">
        <v>25</v>
      </c>
      <c r="V27" s="6">
        <f>And!O27</f>
        <v/>
      </c>
      <c r="W27" s="7">
        <f>IOS!O27</f>
        <v/>
      </c>
    </row>
    <row r="28" ht="22.5" customHeight="1" s="150">
      <c r="U28" s="8" t="n">
        <v>26</v>
      </c>
      <c r="V28" s="9">
        <f>And!O28</f>
        <v/>
      </c>
      <c r="W28" s="10">
        <f>IOS!O28</f>
        <v/>
      </c>
    </row>
    <row r="29" ht="22.5" customHeight="1" s="150">
      <c r="U29" s="5" t="n">
        <v>27</v>
      </c>
      <c r="V29" s="6">
        <f>And!O29</f>
        <v/>
      </c>
      <c r="W29" s="7">
        <f>IOS!O29</f>
        <v/>
      </c>
    </row>
    <row r="30" ht="22.5" customHeight="1" s="150">
      <c r="U30" s="8" t="n">
        <v>28</v>
      </c>
      <c r="V30" s="9">
        <f>And!O30</f>
        <v/>
      </c>
      <c r="W30" s="10">
        <f>IOS!O30</f>
        <v/>
      </c>
    </row>
    <row r="31" ht="22.5" customHeight="1" s="150">
      <c r="U31" s="5" t="n">
        <v>29</v>
      </c>
      <c r="V31" s="6">
        <f>And!O31</f>
        <v/>
      </c>
      <c r="W31" s="7">
        <f>IOS!O31</f>
        <v/>
      </c>
    </row>
    <row r="32" ht="22.5" customHeight="1" s="150">
      <c r="U32" s="8" t="n">
        <v>30</v>
      </c>
      <c r="V32" s="9">
        <f>And!O32</f>
        <v/>
      </c>
      <c r="W32" s="10">
        <f>IOS!O32</f>
        <v/>
      </c>
    </row>
    <row r="33" ht="22.5" customHeight="1" s="150">
      <c r="U33" s="5" t="n">
        <v>31</v>
      </c>
      <c r="V33" s="6">
        <f>And!O33</f>
        <v/>
      </c>
      <c r="W33" s="7">
        <f>IOS!O33</f>
        <v/>
      </c>
    </row>
    <row r="34" ht="22.5" customHeight="1" s="150">
      <c r="U34" s="8" t="n">
        <v>32</v>
      </c>
      <c r="V34" s="9">
        <f>And!O34</f>
        <v/>
      </c>
      <c r="W34" s="10">
        <f>IOS!O34</f>
        <v/>
      </c>
    </row>
    <row r="35" ht="22.5" customHeight="1" s="150">
      <c r="U35" s="5" t="n">
        <v>33</v>
      </c>
      <c r="V35" s="6">
        <f>And!O35</f>
        <v/>
      </c>
      <c r="W35" s="7">
        <f>IOS!O35</f>
        <v/>
      </c>
    </row>
    <row r="36" ht="22.5" customHeight="1" s="150">
      <c r="U36" s="8" t="n">
        <v>34</v>
      </c>
      <c r="V36" s="9">
        <f>And!O36</f>
        <v/>
      </c>
      <c r="W36" s="10">
        <f>IOS!O36</f>
        <v/>
      </c>
    </row>
    <row r="37" ht="22.5" customHeight="1" s="150">
      <c r="U37" s="5" t="n">
        <v>35</v>
      </c>
      <c r="V37" s="6">
        <f>And!O37</f>
        <v/>
      </c>
      <c r="W37" s="7">
        <f>IOS!O37</f>
        <v/>
      </c>
    </row>
    <row r="38" ht="22.5" customHeight="1" s="150">
      <c r="U38" s="8" t="n">
        <v>36</v>
      </c>
      <c r="V38" s="9">
        <f>And!O38</f>
        <v/>
      </c>
      <c r="W38" s="10">
        <f>IOS!O38</f>
        <v/>
      </c>
    </row>
    <row r="39" ht="22.5" customHeight="1" s="150">
      <c r="U39" s="5" t="n">
        <v>37</v>
      </c>
      <c r="V39" s="6">
        <f>And!O39</f>
        <v/>
      </c>
      <c r="W39" s="7">
        <f>IOS!O39</f>
        <v/>
      </c>
    </row>
    <row r="40" ht="22.5" customHeight="1" s="150">
      <c r="U40" s="8" t="n">
        <v>38</v>
      </c>
      <c r="V40" s="9">
        <f>And!O40</f>
        <v/>
      </c>
      <c r="W40" s="10">
        <f>IOS!O40</f>
        <v/>
      </c>
    </row>
    <row r="41" ht="22.5" customHeight="1" s="150">
      <c r="U41" s="5" t="n">
        <v>39</v>
      </c>
      <c r="V41" s="6">
        <f>And!O41</f>
        <v/>
      </c>
      <c r="W41" s="7">
        <f>IOS!O41</f>
        <v/>
      </c>
    </row>
    <row r="42" ht="22.5" customHeight="1" s="150">
      <c r="U42" s="8" t="n">
        <v>40</v>
      </c>
      <c r="V42" s="9">
        <f>And!O42</f>
        <v/>
      </c>
      <c r="W42" s="10">
        <f>IOS!O42</f>
        <v/>
      </c>
    </row>
    <row r="43" ht="22.5" customHeight="1" s="150">
      <c r="U43" s="5" t="n">
        <v>41</v>
      </c>
      <c r="V43" s="6">
        <f>And!O43</f>
        <v/>
      </c>
      <c r="W43" s="7">
        <f>IOS!O43</f>
        <v/>
      </c>
    </row>
    <row r="44" ht="22.5" customHeight="1" s="150">
      <c r="U44" s="8" t="n">
        <v>42</v>
      </c>
      <c r="V44" s="9">
        <f>And!O44</f>
        <v/>
      </c>
      <c r="W44" s="10">
        <f>IOS!O44</f>
        <v/>
      </c>
    </row>
    <row r="45" ht="22.5" customHeight="1" s="150">
      <c r="U45" s="5" t="n">
        <v>43</v>
      </c>
      <c r="V45" s="6">
        <f>And!O45</f>
        <v/>
      </c>
      <c r="W45" s="7">
        <f>IOS!O45</f>
        <v/>
      </c>
    </row>
    <row r="46" ht="22.5" customHeight="1" s="150">
      <c r="U46" s="8" t="n">
        <v>44</v>
      </c>
      <c r="V46" s="9">
        <f>And!O46</f>
        <v/>
      </c>
      <c r="W46" s="10">
        <f>IOS!O46</f>
        <v/>
      </c>
    </row>
    <row r="47" ht="22.5" customHeight="1" s="150">
      <c r="U47" s="5" t="n">
        <v>45</v>
      </c>
      <c r="V47" s="6">
        <f>And!O47</f>
        <v/>
      </c>
      <c r="W47" s="7">
        <f>IOS!O47</f>
        <v/>
      </c>
    </row>
    <row r="48" ht="22.5" customHeight="1" s="150">
      <c r="U48" s="8" t="n">
        <v>46</v>
      </c>
      <c r="V48" s="9">
        <f>And!O48</f>
        <v/>
      </c>
      <c r="W48" s="10">
        <f>IOS!O48</f>
        <v/>
      </c>
    </row>
    <row r="49" ht="22.5" customHeight="1" s="150">
      <c r="U49" s="5" t="n">
        <v>47</v>
      </c>
      <c r="V49" s="6">
        <f>And!O49</f>
        <v/>
      </c>
      <c r="W49" s="7">
        <f>IOS!O49</f>
        <v/>
      </c>
    </row>
    <row r="50" ht="22.5" customHeight="1" s="150">
      <c r="U50" s="8" t="n">
        <v>48</v>
      </c>
      <c r="V50" s="9">
        <f>And!O50</f>
        <v/>
      </c>
      <c r="W50" s="10">
        <f>IOS!O50</f>
        <v/>
      </c>
    </row>
    <row r="51" ht="22.5" customHeight="1" s="150">
      <c r="U51" s="5" t="n">
        <v>49</v>
      </c>
      <c r="V51" s="6">
        <f>And!O51</f>
        <v/>
      </c>
      <c r="W51" s="7">
        <f>IOS!O51</f>
        <v/>
      </c>
    </row>
    <row r="52" ht="22.5" customHeight="1" s="150">
      <c r="U52" s="8" t="n">
        <v>50</v>
      </c>
      <c r="V52" s="9">
        <f>And!O52</f>
        <v/>
      </c>
      <c r="W52" s="10">
        <f>IOS!O52</f>
        <v/>
      </c>
    </row>
    <row r="53" ht="22.5" customHeight="1" s="150">
      <c r="U53" s="5" t="n">
        <v>51</v>
      </c>
      <c r="V53" s="6">
        <f>And!O53</f>
        <v/>
      </c>
      <c r="W53" s="7">
        <f>IOS!O53</f>
        <v/>
      </c>
    </row>
    <row r="54" ht="22.5" customHeight="1" s="150">
      <c r="U54" s="8" t="n">
        <v>52</v>
      </c>
      <c r="V54" s="9">
        <f>And!O54</f>
        <v/>
      </c>
      <c r="W54" s="10">
        <f>IOS!O54</f>
        <v/>
      </c>
    </row>
    <row r="55" ht="22.5" customHeight="1" s="150">
      <c r="U55" s="5" t="n">
        <v>53</v>
      </c>
      <c r="V55" s="6">
        <f>And!O55</f>
        <v/>
      </c>
      <c r="W55" s="7">
        <f>IOS!O55</f>
        <v/>
      </c>
    </row>
    <row r="56" ht="22.5" customHeight="1" s="150">
      <c r="U56" s="8" t="n">
        <v>54</v>
      </c>
      <c r="V56" s="9">
        <f>And!O56</f>
        <v/>
      </c>
      <c r="W56" s="10">
        <f>IOS!O56</f>
        <v/>
      </c>
    </row>
    <row r="57" ht="22.5" customHeight="1" s="150">
      <c r="U57" s="5" t="n">
        <v>55</v>
      </c>
      <c r="V57" s="6">
        <f>And!O57</f>
        <v/>
      </c>
      <c r="W57" s="7">
        <f>IOS!O57</f>
        <v/>
      </c>
    </row>
    <row r="58" ht="22.5" customHeight="1" s="150">
      <c r="U58" s="8" t="n">
        <v>56</v>
      </c>
      <c r="V58" s="9">
        <f>And!O58</f>
        <v/>
      </c>
      <c r="W58" s="10">
        <f>IOS!O58</f>
        <v/>
      </c>
    </row>
    <row r="59" ht="22.5" customHeight="1" s="150">
      <c r="U59" s="5" t="n">
        <v>57</v>
      </c>
      <c r="V59" s="6">
        <f>And!O59</f>
        <v/>
      </c>
      <c r="W59" s="7">
        <f>IOS!O59</f>
        <v/>
      </c>
    </row>
    <row r="60" ht="22.5" customHeight="1" s="150">
      <c r="U60" s="8" t="n">
        <v>58</v>
      </c>
      <c r="V60" s="9">
        <f>And!O60</f>
        <v/>
      </c>
      <c r="W60" s="10">
        <f>IOS!O60</f>
        <v/>
      </c>
    </row>
    <row r="61" ht="22.5" customHeight="1" s="150">
      <c r="U61" s="5" t="n">
        <v>59</v>
      </c>
      <c r="V61" s="6">
        <f>And!O61</f>
        <v/>
      </c>
      <c r="W61" s="7">
        <f>IOS!O61</f>
        <v/>
      </c>
    </row>
    <row r="62" ht="22.5" customHeight="1" s="150">
      <c r="U62" s="8" t="n">
        <v>60</v>
      </c>
      <c r="V62" s="9">
        <f>And!O62</f>
        <v/>
      </c>
      <c r="W62" s="10">
        <f>IOS!O62</f>
        <v/>
      </c>
    </row>
    <row r="63" ht="22.5" customHeight="1" s="150">
      <c r="U63" s="5" t="n">
        <v>61</v>
      </c>
      <c r="V63" s="6">
        <f>And!O63</f>
        <v/>
      </c>
      <c r="W63" s="7">
        <f>IOS!O63</f>
        <v/>
      </c>
    </row>
    <row r="64" ht="22.5" customHeight="1" s="150">
      <c r="U64" s="8" t="n">
        <v>62</v>
      </c>
      <c r="V64" s="9">
        <f>And!O64</f>
        <v/>
      </c>
      <c r="W64" s="10">
        <f>IOS!O64</f>
        <v/>
      </c>
    </row>
    <row r="65" ht="22.5" customHeight="1" s="150">
      <c r="U65" s="5" t="n">
        <v>63</v>
      </c>
      <c r="V65" s="6">
        <f>And!O65</f>
        <v/>
      </c>
      <c r="W65" s="7">
        <f>IOS!O65</f>
        <v/>
      </c>
    </row>
    <row r="66" ht="22.5" customHeight="1" s="150">
      <c r="U66" s="8" t="n">
        <v>64</v>
      </c>
      <c r="V66" s="9">
        <f>And!O66</f>
        <v/>
      </c>
      <c r="W66" s="10">
        <f>IOS!O66</f>
        <v/>
      </c>
    </row>
    <row r="67" ht="22.5" customHeight="1" s="150">
      <c r="U67" s="5" t="n">
        <v>65</v>
      </c>
      <c r="V67" s="6">
        <f>And!O67</f>
        <v/>
      </c>
      <c r="W67" s="7">
        <f>IOS!O67</f>
        <v/>
      </c>
    </row>
    <row r="68" ht="22.5" customHeight="1" s="150">
      <c r="U68" s="8" t="n">
        <v>66</v>
      </c>
      <c r="V68" s="9">
        <f>And!O68</f>
        <v/>
      </c>
      <c r="W68" s="10">
        <f>IOS!O68</f>
        <v/>
      </c>
    </row>
    <row r="69" ht="22.5" customHeight="1" s="150">
      <c r="U69" s="5" t="n">
        <v>67</v>
      </c>
      <c r="V69" s="6">
        <f>And!O69</f>
        <v/>
      </c>
      <c r="W69" s="7">
        <f>IOS!O69</f>
        <v/>
      </c>
    </row>
    <row r="70" ht="22.5" customHeight="1" s="150">
      <c r="U70" s="8" t="n">
        <v>68</v>
      </c>
      <c r="V70" s="9">
        <f>And!O70</f>
        <v/>
      </c>
      <c r="W70" s="10">
        <f>IOS!O70</f>
        <v/>
      </c>
    </row>
    <row r="71" ht="22.5" customHeight="1" s="150">
      <c r="U71" s="5" t="n">
        <v>69</v>
      </c>
      <c r="V71" s="6">
        <f>And!O71</f>
        <v/>
      </c>
      <c r="W71" s="7">
        <f>IOS!O71</f>
        <v/>
      </c>
    </row>
    <row r="72" ht="22.5" customHeight="1" s="150">
      <c r="U72" s="8" t="n">
        <v>70</v>
      </c>
      <c r="V72" s="9">
        <f>And!O72</f>
        <v/>
      </c>
      <c r="W72" s="10">
        <f>IOS!O72</f>
        <v/>
      </c>
    </row>
    <row r="73" ht="22.5" customHeight="1" s="150">
      <c r="U73" s="5" t="n">
        <v>71</v>
      </c>
      <c r="V73" s="6">
        <f>And!O73</f>
        <v/>
      </c>
      <c r="W73" s="7">
        <f>IOS!O73</f>
        <v/>
      </c>
    </row>
    <row r="74" ht="22.5" customHeight="1" s="150">
      <c r="U74" s="8" t="n">
        <v>72</v>
      </c>
      <c r="V74" s="9">
        <f>And!O74</f>
        <v/>
      </c>
      <c r="W74" s="10">
        <f>IOS!O74</f>
        <v/>
      </c>
    </row>
    <row r="75" ht="22.5" customHeight="1" s="150">
      <c r="U75" s="5" t="n">
        <v>73</v>
      </c>
      <c r="V75" s="6">
        <f>And!O75</f>
        <v/>
      </c>
      <c r="W75" s="7">
        <f>IOS!O75</f>
        <v/>
      </c>
    </row>
    <row r="76" ht="22.5" customHeight="1" s="150">
      <c r="U76" s="8" t="n">
        <v>74</v>
      </c>
      <c r="V76" s="9">
        <f>And!O76</f>
        <v/>
      </c>
      <c r="W76" s="10">
        <f>IOS!O76</f>
        <v/>
      </c>
    </row>
    <row r="77" ht="22.5" customHeight="1" s="150">
      <c r="U77" s="5" t="n">
        <v>75</v>
      </c>
      <c r="V77" s="6">
        <f>And!O77</f>
        <v/>
      </c>
      <c r="W77" s="7">
        <f>IOS!O77</f>
        <v/>
      </c>
    </row>
    <row r="78" ht="22.5" customHeight="1" s="150">
      <c r="U78" s="8" t="n">
        <v>76</v>
      </c>
      <c r="V78" s="9">
        <f>And!O78</f>
        <v/>
      </c>
      <c r="W78" s="10">
        <f>IOS!O78</f>
        <v/>
      </c>
    </row>
    <row r="79" ht="22.5" customHeight="1" s="150">
      <c r="U79" s="5" t="n">
        <v>77</v>
      </c>
      <c r="V79" s="6">
        <f>And!O79</f>
        <v/>
      </c>
      <c r="W79" s="7">
        <f>IOS!O79</f>
        <v/>
      </c>
    </row>
    <row r="80" ht="22.5" customHeight="1" s="150">
      <c r="U80" s="8" t="n">
        <v>78</v>
      </c>
      <c r="V80" s="9">
        <f>And!O80</f>
        <v/>
      </c>
      <c r="W80" s="10">
        <f>IOS!O80</f>
        <v/>
      </c>
    </row>
    <row r="81" ht="22.5" customHeight="1" s="150">
      <c r="U81" s="5" t="n">
        <v>79</v>
      </c>
      <c r="V81" s="6">
        <f>And!O81</f>
        <v/>
      </c>
      <c r="W81" s="7">
        <f>IOS!O81</f>
        <v/>
      </c>
    </row>
    <row r="82" ht="22.5" customHeight="1" s="150">
      <c r="U82" s="8" t="n">
        <v>80</v>
      </c>
      <c r="V82" s="9">
        <f>And!O82</f>
        <v/>
      </c>
      <c r="W82" s="10">
        <f>IOS!O82</f>
        <v/>
      </c>
    </row>
    <row r="83" ht="22.5" customHeight="1" s="150">
      <c r="U83" s="5" t="n">
        <v>81</v>
      </c>
      <c r="V83" s="6">
        <f>And!O83</f>
        <v/>
      </c>
      <c r="W83" s="7">
        <f>IOS!O83</f>
        <v/>
      </c>
    </row>
    <row r="84" ht="22.5" customHeight="1" s="150">
      <c r="U84" s="8" t="n">
        <v>82</v>
      </c>
      <c r="V84" s="9">
        <f>And!O84</f>
        <v/>
      </c>
      <c r="W84" s="10">
        <f>IOS!O84</f>
        <v/>
      </c>
    </row>
    <row r="85" ht="22.5" customHeight="1" s="150">
      <c r="U85" s="5" t="n">
        <v>83</v>
      </c>
      <c r="V85" s="6">
        <f>And!O85</f>
        <v/>
      </c>
      <c r="W85" s="7">
        <f>IOS!O85</f>
        <v/>
      </c>
    </row>
    <row r="86" ht="22.5" customHeight="1" s="150">
      <c r="U86" s="8" t="n">
        <v>84</v>
      </c>
      <c r="V86" s="9">
        <f>And!O86</f>
        <v/>
      </c>
      <c r="W86" s="10">
        <f>IOS!O86</f>
        <v/>
      </c>
    </row>
    <row r="87" ht="22.5" customHeight="1" s="150">
      <c r="U87" s="5" t="n">
        <v>85</v>
      </c>
      <c r="V87" s="6">
        <f>And!O87</f>
        <v/>
      </c>
      <c r="W87" s="7">
        <f>IOS!O87</f>
        <v/>
      </c>
    </row>
    <row r="88" ht="22.5" customHeight="1" s="150">
      <c r="U88" s="8" t="n">
        <v>86</v>
      </c>
      <c r="V88" s="9">
        <f>And!O88</f>
        <v/>
      </c>
      <c r="W88" s="10">
        <f>IOS!O88</f>
        <v/>
      </c>
    </row>
    <row r="89" ht="22.5" customHeight="1" s="150">
      <c r="U89" s="5" t="n">
        <v>87</v>
      </c>
      <c r="V89" s="6">
        <f>And!O89</f>
        <v/>
      </c>
      <c r="W89" s="7">
        <f>IOS!O89</f>
        <v/>
      </c>
    </row>
    <row r="90" ht="22.5" customHeight="1" s="150">
      <c r="U90" s="8" t="n">
        <v>88</v>
      </c>
      <c r="V90" s="9">
        <f>And!O90</f>
        <v/>
      </c>
      <c r="W90" s="10">
        <f>IOS!O90</f>
        <v/>
      </c>
    </row>
    <row r="91" ht="22.5" customHeight="1" s="150">
      <c r="U91" s="5" t="n">
        <v>89</v>
      </c>
      <c r="V91" s="6">
        <f>And!O91</f>
        <v/>
      </c>
      <c r="W91" s="7">
        <f>IOS!O91</f>
        <v/>
      </c>
    </row>
    <row r="92" ht="22.5" customHeight="1" s="150">
      <c r="U92" s="8" t="n">
        <v>90</v>
      </c>
      <c r="V92" s="9">
        <f>And!O92</f>
        <v/>
      </c>
      <c r="W92" s="10">
        <f>IOS!O92</f>
        <v/>
      </c>
    </row>
    <row r="93" ht="22.5" customHeight="1" s="150">
      <c r="U93" s="5" t="n">
        <v>91</v>
      </c>
      <c r="V93" s="6">
        <f>And!O93</f>
        <v/>
      </c>
      <c r="W93" s="7">
        <f>IOS!O93</f>
        <v/>
      </c>
    </row>
    <row r="94" ht="22.5" customHeight="1" s="150">
      <c r="U94" s="8" t="n">
        <v>92</v>
      </c>
      <c r="V94" s="9">
        <f>And!O94</f>
        <v/>
      </c>
      <c r="W94" s="10">
        <f>IOS!O94</f>
        <v/>
      </c>
    </row>
    <row r="95" ht="22.5" customHeight="1" s="150">
      <c r="U95" s="5" t="n">
        <v>93</v>
      </c>
      <c r="V95" s="6">
        <f>And!O95</f>
        <v/>
      </c>
      <c r="W95" s="7">
        <f>IOS!O95</f>
        <v/>
      </c>
    </row>
    <row r="96" ht="22.5" customHeight="1" s="150">
      <c r="U96" s="8" t="n">
        <v>94</v>
      </c>
      <c r="V96" s="9">
        <f>And!O96</f>
        <v/>
      </c>
      <c r="W96" s="10">
        <f>IOS!O96</f>
        <v/>
      </c>
    </row>
    <row r="97" ht="22.5" customHeight="1" s="150">
      <c r="U97" s="5" t="n">
        <v>95</v>
      </c>
      <c r="V97" s="6">
        <f>And!O97</f>
        <v/>
      </c>
      <c r="W97" s="7">
        <f>IOS!O97</f>
        <v/>
      </c>
    </row>
    <row r="98" ht="22.5" customHeight="1" s="150">
      <c r="U98" s="8" t="n">
        <v>96</v>
      </c>
      <c r="V98" s="9">
        <f>And!O98</f>
        <v/>
      </c>
      <c r="W98" s="10">
        <f>IOS!O98</f>
        <v/>
      </c>
    </row>
    <row r="99" ht="22.5" customHeight="1" s="150">
      <c r="U99" s="5" t="n">
        <v>97</v>
      </c>
      <c r="V99" s="6">
        <f>And!O99</f>
        <v/>
      </c>
      <c r="W99" s="7">
        <f>IOS!O99</f>
        <v/>
      </c>
    </row>
    <row r="100" ht="22.5" customHeight="1" s="150">
      <c r="U100" s="8" t="n">
        <v>98</v>
      </c>
      <c r="V100" s="9">
        <f>And!O100</f>
        <v/>
      </c>
      <c r="W100" s="10">
        <f>IOS!O100</f>
        <v/>
      </c>
    </row>
    <row r="101" ht="22.5" customHeight="1" s="150">
      <c r="U101" s="5" t="n">
        <v>99</v>
      </c>
      <c r="V101" s="6">
        <f>And!O101</f>
        <v/>
      </c>
      <c r="W101" s="7">
        <f>IOS!O101</f>
        <v/>
      </c>
    </row>
    <row r="102" ht="22.5" customHeight="1" s="150">
      <c r="U102" s="8" t="n">
        <v>100</v>
      </c>
      <c r="V102" s="9">
        <f>And!O102</f>
        <v/>
      </c>
      <c r="W102" s="10">
        <f>IOS!O102</f>
        <v/>
      </c>
    </row>
    <row r="103" ht="22.5" customHeight="1" s="150">
      <c r="U103" s="5" t="n">
        <v>101</v>
      </c>
      <c r="V103" s="6">
        <f>And!O103</f>
        <v/>
      </c>
      <c r="W103" s="7">
        <f>IOS!O103</f>
        <v/>
      </c>
    </row>
    <row r="104" ht="22.5" customHeight="1" s="150">
      <c r="U104" s="8" t="n">
        <v>102</v>
      </c>
      <c r="V104" s="9">
        <f>And!O104</f>
        <v/>
      </c>
      <c r="W104" s="10">
        <f>IOS!O104</f>
        <v/>
      </c>
    </row>
    <row r="105" ht="22.5" customHeight="1" s="150">
      <c r="U105" s="5" t="n">
        <v>103</v>
      </c>
      <c r="V105" s="6">
        <f>And!O105</f>
        <v/>
      </c>
      <c r="W105" s="7">
        <f>IOS!O105</f>
        <v/>
      </c>
    </row>
    <row r="106" ht="22.5" customHeight="1" s="150">
      <c r="U106" s="8" t="n">
        <v>104</v>
      </c>
      <c r="V106" s="9">
        <f>And!O106</f>
        <v/>
      </c>
      <c r="W106" s="10">
        <f>IOS!O106</f>
        <v/>
      </c>
    </row>
    <row r="107" ht="22.5" customHeight="1" s="150">
      <c r="U107" s="5" t="n">
        <v>105</v>
      </c>
      <c r="V107" s="6">
        <f>And!O107</f>
        <v/>
      </c>
      <c r="W107" s="7">
        <f>IOS!O107</f>
        <v/>
      </c>
    </row>
    <row r="108" ht="22.5" customHeight="1" s="150">
      <c r="U108" s="8" t="n">
        <v>106</v>
      </c>
      <c r="V108" s="9">
        <f>And!O108</f>
        <v/>
      </c>
      <c r="W108" s="10">
        <f>IOS!O108</f>
        <v/>
      </c>
    </row>
    <row r="109" ht="22.5" customHeight="1" s="150">
      <c r="U109" s="5" t="n">
        <v>107</v>
      </c>
      <c r="V109" s="6">
        <f>And!O109</f>
        <v/>
      </c>
      <c r="W109" s="7">
        <f>IOS!O109</f>
        <v/>
      </c>
    </row>
    <row r="110" ht="22.5" customHeight="1" s="150">
      <c r="U110" s="8" t="n">
        <v>108</v>
      </c>
      <c r="V110" s="9">
        <f>And!O110</f>
        <v/>
      </c>
      <c r="W110" s="10">
        <f>IOS!O110</f>
        <v/>
      </c>
    </row>
    <row r="111" ht="22.5" customHeight="1" s="150">
      <c r="U111" s="5" t="n">
        <v>109</v>
      </c>
      <c r="V111" s="6">
        <f>And!O111</f>
        <v/>
      </c>
      <c r="W111" s="7">
        <f>IOS!O111</f>
        <v/>
      </c>
    </row>
    <row r="112" ht="22.5" customHeight="1" s="150">
      <c r="U112" s="8" t="n">
        <v>110</v>
      </c>
      <c r="V112" s="9">
        <f>And!O112</f>
        <v/>
      </c>
      <c r="W112" s="10">
        <f>IOS!O112</f>
        <v/>
      </c>
    </row>
    <row r="113" ht="22.5" customHeight="1" s="150">
      <c r="U113" s="5" t="n">
        <v>111</v>
      </c>
      <c r="V113" s="6">
        <f>And!O113</f>
        <v/>
      </c>
      <c r="W113" s="7">
        <f>IOS!O113</f>
        <v/>
      </c>
    </row>
    <row r="114" ht="22.5" customHeight="1" s="150">
      <c r="U114" s="8" t="n">
        <v>112</v>
      </c>
      <c r="V114" s="9">
        <f>And!O114</f>
        <v/>
      </c>
      <c r="W114" s="10">
        <f>IOS!O114</f>
        <v/>
      </c>
    </row>
    <row r="115" ht="22.5" customHeight="1" s="150">
      <c r="U115" s="5" t="n">
        <v>113</v>
      </c>
      <c r="V115" s="6">
        <f>And!O115</f>
        <v/>
      </c>
      <c r="W115" s="7">
        <f>IOS!O115</f>
        <v/>
      </c>
    </row>
    <row r="116" ht="22.5" customHeight="1" s="150">
      <c r="U116" s="8" t="n">
        <v>114</v>
      </c>
      <c r="V116" s="9">
        <f>And!O116</f>
        <v/>
      </c>
      <c r="W116" s="10">
        <f>IOS!O116</f>
        <v/>
      </c>
    </row>
    <row r="117" ht="22.5" customHeight="1" s="150">
      <c r="U117" s="5" t="n">
        <v>115</v>
      </c>
      <c r="V117" s="6">
        <f>And!O117</f>
        <v/>
      </c>
      <c r="W117" s="7">
        <f>IOS!O117</f>
        <v/>
      </c>
    </row>
    <row r="118" ht="22.5" customHeight="1" s="150">
      <c r="U118" s="8" t="n">
        <v>116</v>
      </c>
      <c r="V118" s="9">
        <f>And!O118</f>
        <v/>
      </c>
      <c r="W118" s="10">
        <f>IOS!O118</f>
        <v/>
      </c>
    </row>
    <row r="119" ht="22.5" customHeight="1" s="150">
      <c r="U119" s="5" t="n">
        <v>117</v>
      </c>
      <c r="V119" s="6">
        <f>And!O119</f>
        <v/>
      </c>
      <c r="W119" s="7">
        <f>IOS!O119</f>
        <v/>
      </c>
    </row>
    <row r="120" ht="22.5" customHeight="1" s="150">
      <c r="U120" s="8" t="n">
        <v>118</v>
      </c>
      <c r="V120" s="9">
        <f>And!O120</f>
        <v/>
      </c>
      <c r="W120" s="10">
        <f>IOS!O120</f>
        <v/>
      </c>
    </row>
    <row r="121" ht="22.5" customHeight="1" s="150">
      <c r="U121" s="5" t="n">
        <v>119</v>
      </c>
      <c r="V121" s="6">
        <f>And!O121</f>
        <v/>
      </c>
      <c r="W121" s="7">
        <f>IOS!O121</f>
        <v/>
      </c>
    </row>
    <row r="122" ht="22.5" customHeight="1" s="150">
      <c r="U122" s="8" t="n">
        <v>120</v>
      </c>
      <c r="V122" s="9">
        <f>And!O122</f>
        <v/>
      </c>
      <c r="W122" s="10">
        <f>IOS!O122</f>
        <v/>
      </c>
    </row>
    <row r="123" ht="22.5" customHeight="1" s="150">
      <c r="U123" s="5" t="n">
        <v>121</v>
      </c>
      <c r="V123" s="6">
        <f>And!O123</f>
        <v/>
      </c>
      <c r="W123" s="7">
        <f>IOS!O123</f>
        <v/>
      </c>
    </row>
    <row r="124" ht="22.5" customHeight="1" s="150">
      <c r="U124" s="8" t="n">
        <v>122</v>
      </c>
      <c r="V124" s="9">
        <f>And!O124</f>
        <v/>
      </c>
      <c r="W124" s="10">
        <f>IOS!O124</f>
        <v/>
      </c>
    </row>
    <row r="125" ht="22.5" customHeight="1" s="150">
      <c r="U125" s="5" t="n">
        <v>123</v>
      </c>
      <c r="V125" s="6">
        <f>And!O125</f>
        <v/>
      </c>
      <c r="W125" s="7">
        <f>IOS!O125</f>
        <v/>
      </c>
    </row>
    <row r="126" ht="22.5" customHeight="1" s="150">
      <c r="U126" s="8" t="n">
        <v>124</v>
      </c>
      <c r="V126" s="9">
        <f>And!O126</f>
        <v/>
      </c>
      <c r="W126" s="10">
        <f>IOS!O126</f>
        <v/>
      </c>
    </row>
    <row r="127" ht="22.5" customHeight="1" s="150">
      <c r="U127" s="5" t="n">
        <v>125</v>
      </c>
      <c r="V127" s="6">
        <f>And!O127</f>
        <v/>
      </c>
      <c r="W127" s="7">
        <f>IOS!O127</f>
        <v/>
      </c>
    </row>
    <row r="128" ht="22.5" customHeight="1" s="150">
      <c r="U128" s="8" t="n">
        <v>126</v>
      </c>
      <c r="V128" s="9">
        <f>And!O128</f>
        <v/>
      </c>
      <c r="W128" s="10">
        <f>IOS!O128</f>
        <v/>
      </c>
    </row>
    <row r="129" ht="22.5" customHeight="1" s="150">
      <c r="U129" s="5" t="n">
        <v>127</v>
      </c>
      <c r="V129" s="6">
        <f>And!O129</f>
        <v/>
      </c>
      <c r="W129" s="7">
        <f>IOS!O129</f>
        <v/>
      </c>
    </row>
    <row r="130" ht="22.5" customHeight="1" s="150">
      <c r="U130" s="8" t="n">
        <v>128</v>
      </c>
      <c r="V130" s="9">
        <f>And!O130</f>
        <v/>
      </c>
      <c r="W130" s="10">
        <f>IOS!O130</f>
        <v/>
      </c>
    </row>
    <row r="131" ht="22.5" customHeight="1" s="150">
      <c r="U131" s="5" t="n">
        <v>129</v>
      </c>
      <c r="V131" s="6">
        <f>And!O131</f>
        <v/>
      </c>
      <c r="W131" s="7">
        <f>IOS!O131</f>
        <v/>
      </c>
    </row>
    <row r="132" ht="22.5" customHeight="1" s="150">
      <c r="U132" s="8" t="n">
        <v>130</v>
      </c>
      <c r="V132" s="9">
        <f>And!O132</f>
        <v/>
      </c>
      <c r="W132" s="10">
        <f>IOS!O132</f>
        <v/>
      </c>
    </row>
    <row r="133" ht="22.5" customHeight="1" s="150">
      <c r="U133" s="5" t="n">
        <v>131</v>
      </c>
      <c r="V133" s="6">
        <f>And!O133</f>
        <v/>
      </c>
      <c r="W133" s="7">
        <f>IOS!O133</f>
        <v/>
      </c>
    </row>
    <row r="134" ht="22.5" customHeight="1" s="150">
      <c r="U134" s="8" t="n">
        <v>132</v>
      </c>
      <c r="V134" s="9">
        <f>And!O134</f>
        <v/>
      </c>
      <c r="W134" s="10">
        <f>IOS!O134</f>
        <v/>
      </c>
    </row>
    <row r="135" ht="22.5" customHeight="1" s="150">
      <c r="U135" s="5" t="n">
        <v>133</v>
      </c>
      <c r="V135" s="6">
        <f>And!O135</f>
        <v/>
      </c>
      <c r="W135" s="7">
        <f>IOS!O135</f>
        <v/>
      </c>
    </row>
    <row r="136" ht="22.5" customHeight="1" s="150">
      <c r="U136" s="8" t="n">
        <v>134</v>
      </c>
      <c r="V136" s="9">
        <f>And!O136</f>
        <v/>
      </c>
      <c r="W136" s="10">
        <f>IOS!O136</f>
        <v/>
      </c>
    </row>
    <row r="137" ht="22.5" customHeight="1" s="150">
      <c r="U137" s="5" t="n">
        <v>135</v>
      </c>
      <c r="V137" s="6">
        <f>And!O137</f>
        <v/>
      </c>
      <c r="W137" s="7">
        <f>IOS!O137</f>
        <v/>
      </c>
    </row>
    <row r="138" ht="22.5" customHeight="1" s="150">
      <c r="U138" s="8" t="n">
        <v>136</v>
      </c>
      <c r="V138" s="9">
        <f>And!O138</f>
        <v/>
      </c>
      <c r="W138" s="10">
        <f>IOS!O138</f>
        <v/>
      </c>
    </row>
    <row r="139" ht="22.5" customHeight="1" s="150">
      <c r="U139" s="5" t="n">
        <v>137</v>
      </c>
      <c r="V139" s="6">
        <f>And!O139</f>
        <v/>
      </c>
      <c r="W139" s="7">
        <f>IOS!O139</f>
        <v/>
      </c>
    </row>
    <row r="140" ht="22.5" customHeight="1" s="150">
      <c r="U140" s="8" t="n">
        <v>138</v>
      </c>
      <c r="V140" s="9">
        <f>And!O140</f>
        <v/>
      </c>
      <c r="W140" s="10">
        <f>IOS!O140</f>
        <v/>
      </c>
    </row>
    <row r="141" ht="22.5" customHeight="1" s="150">
      <c r="U141" s="5" t="n">
        <v>139</v>
      </c>
      <c r="V141" s="6">
        <f>And!O141</f>
        <v/>
      </c>
      <c r="W141" s="7">
        <f>IOS!O141</f>
        <v/>
      </c>
    </row>
    <row r="142" ht="22.5" customHeight="1" s="150">
      <c r="U142" s="8" t="n">
        <v>140</v>
      </c>
      <c r="V142" s="9">
        <f>And!O142</f>
        <v/>
      </c>
      <c r="W142" s="10">
        <f>IOS!O142</f>
        <v/>
      </c>
    </row>
    <row r="143" ht="22.5" customHeight="1" s="150">
      <c r="U143" s="5" t="n">
        <v>141</v>
      </c>
      <c r="V143" s="6">
        <f>And!O143</f>
        <v/>
      </c>
      <c r="W143" s="7">
        <f>IOS!O143</f>
        <v/>
      </c>
    </row>
    <row r="144" ht="22.5" customHeight="1" s="150">
      <c r="U144" s="8" t="n">
        <v>142</v>
      </c>
      <c r="V144" s="9">
        <f>And!O144</f>
        <v/>
      </c>
      <c r="W144" s="10">
        <f>IOS!O144</f>
        <v/>
      </c>
    </row>
    <row r="145" ht="22.5" customHeight="1" s="150">
      <c r="U145" s="5" t="n">
        <v>143</v>
      </c>
      <c r="V145" s="6">
        <f>And!O145</f>
        <v/>
      </c>
      <c r="W145" s="7">
        <f>IOS!O145</f>
        <v/>
      </c>
    </row>
    <row r="146" ht="22.5" customHeight="1" s="150">
      <c r="U146" s="8" t="n">
        <v>144</v>
      </c>
      <c r="V146" s="9">
        <f>And!O146</f>
        <v/>
      </c>
      <c r="W146" s="10">
        <f>IOS!O146</f>
        <v/>
      </c>
    </row>
    <row r="147" ht="22.5" customHeight="1" s="150">
      <c r="U147" s="5" t="n">
        <v>145</v>
      </c>
      <c r="V147" s="6">
        <f>And!O147</f>
        <v/>
      </c>
      <c r="W147" s="7">
        <f>IOS!O147</f>
        <v/>
      </c>
    </row>
    <row r="148" ht="22.5" customHeight="1" s="150">
      <c r="U148" s="8" t="n">
        <v>146</v>
      </c>
      <c r="V148" s="9">
        <f>And!O148</f>
        <v/>
      </c>
      <c r="W148" s="10">
        <f>IOS!O148</f>
        <v/>
      </c>
    </row>
    <row r="149" ht="22.5" customHeight="1" s="150">
      <c r="U149" s="5" t="n">
        <v>147</v>
      </c>
      <c r="V149" s="6">
        <f>And!O149</f>
        <v/>
      </c>
      <c r="W149" s="7">
        <f>IOS!O149</f>
        <v/>
      </c>
    </row>
    <row r="150" ht="22.5" customHeight="1" s="150">
      <c r="U150" s="8" t="n">
        <v>148</v>
      </c>
      <c r="V150" s="9">
        <f>And!O150</f>
        <v/>
      </c>
      <c r="W150" s="10">
        <f>IOS!O150</f>
        <v/>
      </c>
    </row>
    <row r="151" ht="22.5" customHeight="1" s="150">
      <c r="U151" s="5" t="n">
        <v>149</v>
      </c>
      <c r="V151" s="6">
        <f>And!O151</f>
        <v/>
      </c>
      <c r="W151" s="7">
        <f>IOS!O151</f>
        <v/>
      </c>
    </row>
    <row r="152" ht="22.5" customHeight="1" s="150">
      <c r="U152" s="8" t="n">
        <v>150</v>
      </c>
      <c r="V152" s="9">
        <f>And!O152</f>
        <v/>
      </c>
      <c r="W152" s="10">
        <f>IOS!O152</f>
        <v/>
      </c>
    </row>
    <row r="153" ht="22.5" customHeight="1" s="150">
      <c r="U153" s="5" t="n">
        <v>151</v>
      </c>
      <c r="V153" s="6">
        <f>And!O153</f>
        <v/>
      </c>
      <c r="W153" s="7">
        <f>IOS!O153</f>
        <v/>
      </c>
    </row>
    <row r="154" ht="22.5" customHeight="1" s="150">
      <c r="U154" s="8" t="n">
        <v>152</v>
      </c>
      <c r="V154" s="9">
        <f>And!O154</f>
        <v/>
      </c>
      <c r="W154" s="10">
        <f>IOS!O154</f>
        <v/>
      </c>
    </row>
    <row r="155" ht="22.5" customHeight="1" s="150">
      <c r="U155" s="5" t="n">
        <v>153</v>
      </c>
      <c r="V155" s="6">
        <f>And!O155</f>
        <v/>
      </c>
      <c r="W155" s="7">
        <f>IOS!O155</f>
        <v/>
      </c>
    </row>
    <row r="156" ht="22.5" customHeight="1" s="150">
      <c r="U156" s="8" t="n">
        <v>154</v>
      </c>
      <c r="V156" s="9">
        <f>And!O156</f>
        <v/>
      </c>
      <c r="W156" s="10">
        <f>IOS!O156</f>
        <v/>
      </c>
    </row>
    <row r="157" ht="22.5" customHeight="1" s="150">
      <c r="U157" s="5" t="n">
        <v>155</v>
      </c>
      <c r="V157" s="6">
        <f>And!O157</f>
        <v/>
      </c>
      <c r="W157" s="7">
        <f>IOS!O157</f>
        <v/>
      </c>
    </row>
    <row r="158" ht="22.5" customHeight="1" s="150">
      <c r="U158" s="8" t="n">
        <v>156</v>
      </c>
      <c r="V158" s="9">
        <f>And!O158</f>
        <v/>
      </c>
      <c r="W158" s="10">
        <f>IOS!O158</f>
        <v/>
      </c>
    </row>
    <row r="159" ht="22.5" customHeight="1" s="150">
      <c r="U159" s="5" t="n">
        <v>157</v>
      </c>
      <c r="V159" s="6">
        <f>And!O159</f>
        <v/>
      </c>
      <c r="W159" s="7">
        <f>IOS!O159</f>
        <v/>
      </c>
    </row>
    <row r="160" ht="22.5" customHeight="1" s="150">
      <c r="U160" s="8" t="n">
        <v>158</v>
      </c>
      <c r="V160" s="9">
        <f>And!O160</f>
        <v/>
      </c>
      <c r="W160" s="10">
        <f>IOS!O160</f>
        <v/>
      </c>
    </row>
    <row r="161" ht="22.5" customHeight="1" s="150">
      <c r="U161" s="5" t="n">
        <v>159</v>
      </c>
      <c r="V161" s="6">
        <f>And!O161</f>
        <v/>
      </c>
      <c r="W161" s="7">
        <f>IOS!O161</f>
        <v/>
      </c>
    </row>
    <row r="162" ht="22.5" customHeight="1" s="150">
      <c r="U162" s="8" t="n">
        <v>160</v>
      </c>
      <c r="V162" s="9">
        <f>And!O162</f>
        <v/>
      </c>
      <c r="W162" s="10">
        <f>IOS!O162</f>
        <v/>
      </c>
    </row>
    <row r="163" ht="22.5" customHeight="1" s="150">
      <c r="U163" s="5" t="n">
        <v>161</v>
      </c>
      <c r="V163" s="6">
        <f>And!O163</f>
        <v/>
      </c>
      <c r="W163" s="7">
        <f>IOS!O163</f>
        <v/>
      </c>
    </row>
    <row r="164" ht="22.5" customHeight="1" s="150">
      <c r="U164" s="8" t="n">
        <v>162</v>
      </c>
      <c r="V164" s="9">
        <f>And!O164</f>
        <v/>
      </c>
      <c r="W164" s="10">
        <f>IOS!O164</f>
        <v/>
      </c>
    </row>
    <row r="165" ht="22.5" customHeight="1" s="150">
      <c r="U165" s="5" t="n">
        <v>163</v>
      </c>
      <c r="V165" s="6">
        <f>And!O165</f>
        <v/>
      </c>
      <c r="W165" s="7">
        <f>IOS!O165</f>
        <v/>
      </c>
    </row>
    <row r="166" ht="22.5" customHeight="1" s="150">
      <c r="U166" s="8" t="n">
        <v>164</v>
      </c>
      <c r="V166" s="9">
        <f>And!O166</f>
        <v/>
      </c>
      <c r="W166" s="10">
        <f>IOS!O166</f>
        <v/>
      </c>
    </row>
    <row r="167" ht="22.5" customHeight="1" s="150">
      <c r="U167" s="5" t="n">
        <v>165</v>
      </c>
      <c r="V167" s="6">
        <f>And!O167</f>
        <v/>
      </c>
      <c r="W167" s="7">
        <f>IOS!O167</f>
        <v/>
      </c>
    </row>
    <row r="168" ht="22.5" customHeight="1" s="150">
      <c r="U168" s="8" t="n">
        <v>166</v>
      </c>
      <c r="V168" s="9">
        <f>And!O168</f>
        <v/>
      </c>
      <c r="W168" s="10">
        <f>IOS!O168</f>
        <v/>
      </c>
    </row>
    <row r="169" ht="22.5" customHeight="1" s="150">
      <c r="U169" s="5" t="n">
        <v>167</v>
      </c>
      <c r="V169" s="6">
        <f>And!O169</f>
        <v/>
      </c>
      <c r="W169" s="7">
        <f>IOS!O169</f>
        <v/>
      </c>
    </row>
    <row r="170" ht="22.5" customHeight="1" s="150">
      <c r="U170" s="8" t="n">
        <v>168</v>
      </c>
      <c r="V170" s="9">
        <f>And!O170</f>
        <v/>
      </c>
      <c r="W170" s="10">
        <f>IOS!O170</f>
        <v/>
      </c>
    </row>
    <row r="171" ht="22.5" customHeight="1" s="150">
      <c r="U171" s="5" t="n">
        <v>169</v>
      </c>
      <c r="V171" s="6">
        <f>And!O171</f>
        <v/>
      </c>
      <c r="W171" s="7">
        <f>IOS!O171</f>
        <v/>
      </c>
    </row>
    <row r="172" ht="22.5" customHeight="1" s="150">
      <c r="U172" s="8" t="n">
        <v>170</v>
      </c>
      <c r="V172" s="9">
        <f>And!O172</f>
        <v/>
      </c>
      <c r="W172" s="10">
        <f>IOS!O172</f>
        <v/>
      </c>
    </row>
    <row r="173" ht="22.5" customHeight="1" s="150">
      <c r="U173" s="5" t="n">
        <v>171</v>
      </c>
      <c r="V173" s="6">
        <f>And!O173</f>
        <v/>
      </c>
      <c r="W173" s="7">
        <f>IOS!O173</f>
        <v/>
      </c>
    </row>
    <row r="174" ht="22.5" customHeight="1" s="150">
      <c r="U174" s="8" t="n">
        <v>172</v>
      </c>
      <c r="V174" s="9">
        <f>And!O174</f>
        <v/>
      </c>
      <c r="W174" s="10">
        <f>IOS!O174</f>
        <v/>
      </c>
    </row>
    <row r="175" ht="22.5" customHeight="1" s="150">
      <c r="U175" s="5" t="n">
        <v>173</v>
      </c>
      <c r="V175" s="6">
        <f>And!O175</f>
        <v/>
      </c>
      <c r="W175" s="7">
        <f>IOS!O175</f>
        <v/>
      </c>
    </row>
    <row r="176" ht="22.5" customHeight="1" s="150">
      <c r="U176" s="8" t="n">
        <v>174</v>
      </c>
      <c r="V176" s="9">
        <f>And!O176</f>
        <v/>
      </c>
      <c r="W176" s="10">
        <f>IOS!O176</f>
        <v/>
      </c>
    </row>
    <row r="177" ht="22.5" customHeight="1" s="150">
      <c r="U177" s="5" t="n">
        <v>175</v>
      </c>
      <c r="V177" s="6">
        <f>And!O177</f>
        <v/>
      </c>
      <c r="W177" s="7">
        <f>IOS!O177</f>
        <v/>
      </c>
    </row>
    <row r="178" ht="22.5" customHeight="1" s="150">
      <c r="U178" s="8" t="n">
        <v>176</v>
      </c>
      <c r="V178" s="9">
        <f>And!O178</f>
        <v/>
      </c>
      <c r="W178" s="10">
        <f>IOS!O178</f>
        <v/>
      </c>
    </row>
    <row r="179" ht="22.5" customHeight="1" s="150">
      <c r="U179" s="5" t="n">
        <v>177</v>
      </c>
      <c r="V179" s="6">
        <f>And!O179</f>
        <v/>
      </c>
      <c r="W179" s="7">
        <f>IOS!O179</f>
        <v/>
      </c>
    </row>
    <row r="180" ht="22.5" customHeight="1" s="150">
      <c r="U180" s="8" t="n">
        <v>178</v>
      </c>
      <c r="V180" s="9">
        <f>And!O180</f>
        <v/>
      </c>
      <c r="W180" s="10">
        <f>IOS!O180</f>
        <v/>
      </c>
    </row>
    <row r="181" ht="22.5" customHeight="1" s="150">
      <c r="U181" s="5" t="n">
        <v>179</v>
      </c>
      <c r="V181" s="6">
        <f>And!O181</f>
        <v/>
      </c>
      <c r="W181" s="7">
        <f>IOS!O181</f>
        <v/>
      </c>
    </row>
    <row r="182" ht="22.5" customHeight="1" s="150">
      <c r="U182" s="8" t="n">
        <v>180</v>
      </c>
      <c r="V182" s="9">
        <f>And!O182</f>
        <v/>
      </c>
      <c r="W182" s="10">
        <f>IOS!O182</f>
        <v/>
      </c>
    </row>
    <row r="183" ht="22.5" customHeight="1" s="150">
      <c r="U183" s="5" t="n">
        <v>181</v>
      </c>
      <c r="V183" s="6">
        <f>And!O183</f>
        <v/>
      </c>
      <c r="W183" s="7">
        <f>IOS!O183</f>
        <v/>
      </c>
    </row>
    <row r="184" ht="22.5" customHeight="1" s="150">
      <c r="U184" s="8" t="n">
        <v>182</v>
      </c>
      <c r="V184" s="9">
        <f>And!O184</f>
        <v/>
      </c>
      <c r="W184" s="10">
        <f>IOS!O184</f>
        <v/>
      </c>
    </row>
    <row r="185" ht="22.5" customHeight="1" s="150">
      <c r="U185" s="5" t="n">
        <v>183</v>
      </c>
      <c r="V185" s="6">
        <f>And!O185</f>
        <v/>
      </c>
      <c r="W185" s="7">
        <f>IOS!O185</f>
        <v/>
      </c>
    </row>
    <row r="186" ht="22.5" customHeight="1" s="150">
      <c r="U186" s="8" t="n">
        <v>184</v>
      </c>
      <c r="V186" s="9">
        <f>And!O186</f>
        <v/>
      </c>
      <c r="W186" s="10">
        <f>IOS!O186</f>
        <v/>
      </c>
    </row>
    <row r="187" ht="22.5" customHeight="1" s="150">
      <c r="U187" s="5" t="n">
        <v>185</v>
      </c>
      <c r="V187" s="6">
        <f>And!O187</f>
        <v/>
      </c>
      <c r="W187" s="7">
        <f>IOS!O187</f>
        <v/>
      </c>
    </row>
    <row r="188" ht="22.5" customHeight="1" s="150">
      <c r="U188" s="8" t="n">
        <v>186</v>
      </c>
      <c r="V188" s="9">
        <f>And!O188</f>
        <v/>
      </c>
      <c r="W188" s="10">
        <f>IOS!O188</f>
        <v/>
      </c>
    </row>
    <row r="189" ht="22.5" customHeight="1" s="150">
      <c r="U189" s="5" t="n">
        <v>187</v>
      </c>
      <c r="V189" s="6">
        <f>And!O189</f>
        <v/>
      </c>
      <c r="W189" s="7">
        <f>IOS!O189</f>
        <v/>
      </c>
    </row>
    <row r="190" ht="22.5" customHeight="1" s="150">
      <c r="U190" s="8" t="n">
        <v>188</v>
      </c>
      <c r="V190" s="9">
        <f>And!O190</f>
        <v/>
      </c>
      <c r="W190" s="10">
        <f>IOS!O190</f>
        <v/>
      </c>
    </row>
    <row r="191" ht="22.5" customHeight="1" s="150">
      <c r="U191" s="5" t="n">
        <v>189</v>
      </c>
      <c r="V191" s="6">
        <f>And!O191</f>
        <v/>
      </c>
      <c r="W191" s="7">
        <f>IOS!O191</f>
        <v/>
      </c>
    </row>
    <row r="192" ht="22.5" customHeight="1" s="150">
      <c r="U192" s="8" t="n">
        <v>190</v>
      </c>
      <c r="V192" s="9">
        <f>And!O192</f>
        <v/>
      </c>
      <c r="W192" s="10">
        <f>IOS!O192</f>
        <v/>
      </c>
    </row>
    <row r="193" ht="22.5" customHeight="1" s="150">
      <c r="U193" s="5" t="n">
        <v>191</v>
      </c>
      <c r="V193" s="6">
        <f>And!O193</f>
        <v/>
      </c>
      <c r="W193" s="7">
        <f>IOS!O193</f>
        <v/>
      </c>
    </row>
    <row r="194" ht="22.5" customHeight="1" s="150">
      <c r="U194" s="8" t="n">
        <v>192</v>
      </c>
      <c r="V194" s="9">
        <f>And!O194</f>
        <v/>
      </c>
      <c r="W194" s="10">
        <f>IOS!O194</f>
        <v/>
      </c>
    </row>
    <row r="195" ht="22.5" customHeight="1" s="150">
      <c r="U195" s="5" t="n">
        <v>193</v>
      </c>
      <c r="V195" s="6">
        <f>And!O195</f>
        <v/>
      </c>
      <c r="W195" s="7">
        <f>IOS!O195</f>
        <v/>
      </c>
    </row>
    <row r="196" ht="22.5" customHeight="1" s="150">
      <c r="U196" s="8" t="n">
        <v>194</v>
      </c>
      <c r="V196" s="9">
        <f>And!O196</f>
        <v/>
      </c>
      <c r="W196" s="10">
        <f>IOS!O196</f>
        <v/>
      </c>
    </row>
    <row r="197" ht="22.5" customHeight="1" s="150">
      <c r="U197" s="5" t="n">
        <v>195</v>
      </c>
      <c r="V197" s="6">
        <f>And!O197</f>
        <v/>
      </c>
      <c r="W197" s="7">
        <f>IOS!O197</f>
        <v/>
      </c>
    </row>
    <row r="198" ht="22.5" customHeight="1" s="150">
      <c r="U198" s="8" t="n">
        <v>196</v>
      </c>
      <c r="V198" s="9">
        <f>And!O198</f>
        <v/>
      </c>
      <c r="W198" s="10">
        <f>IOS!O198</f>
        <v/>
      </c>
    </row>
    <row r="199" ht="22.5" customHeight="1" s="150">
      <c r="U199" s="5" t="n">
        <v>197</v>
      </c>
      <c r="V199" s="6">
        <f>And!O199</f>
        <v/>
      </c>
      <c r="W199" s="7">
        <f>IOS!O199</f>
        <v/>
      </c>
    </row>
    <row r="200" ht="22.5" customHeight="1" s="150">
      <c r="U200" s="8" t="n">
        <v>198</v>
      </c>
      <c r="V200" s="9">
        <f>And!O200</f>
        <v/>
      </c>
      <c r="W200" s="10">
        <f>IOS!O200</f>
        <v/>
      </c>
    </row>
    <row r="201" ht="22.5" customHeight="1" s="150">
      <c r="U201" s="5" t="n">
        <v>199</v>
      </c>
      <c r="V201" s="6">
        <f>And!O201</f>
        <v/>
      </c>
      <c r="W201" s="7">
        <f>IOS!O201</f>
        <v/>
      </c>
    </row>
    <row r="202" ht="22.5" customHeight="1" s="150">
      <c r="U202" s="8" t="n">
        <v>200</v>
      </c>
      <c r="V202" s="9">
        <f>And!O202</f>
        <v/>
      </c>
      <c r="W202" s="10">
        <f>IOS!O202</f>
        <v/>
      </c>
    </row>
    <row r="203" ht="22.5" customHeight="1" s="150">
      <c r="U203" s="5" t="n">
        <v>201</v>
      </c>
      <c r="V203" s="6">
        <f>And!O203</f>
        <v/>
      </c>
      <c r="W203" s="7">
        <f>IOS!O203</f>
        <v/>
      </c>
    </row>
    <row r="204" ht="22.5" customHeight="1" s="150">
      <c r="U204" s="8" t="n">
        <v>202</v>
      </c>
      <c r="V204" s="9">
        <f>And!O204</f>
        <v/>
      </c>
      <c r="W204" s="10">
        <f>IOS!O204</f>
        <v/>
      </c>
    </row>
    <row r="205" ht="22.5" customHeight="1" s="150">
      <c r="U205" s="5" t="n">
        <v>203</v>
      </c>
      <c r="V205" s="6">
        <f>And!O205</f>
        <v/>
      </c>
      <c r="W205" s="7">
        <f>IOS!O205</f>
        <v/>
      </c>
    </row>
    <row r="206" ht="22.5" customHeight="1" s="150">
      <c r="U206" s="8" t="n">
        <v>204</v>
      </c>
      <c r="V206" s="9">
        <f>And!O206</f>
        <v/>
      </c>
      <c r="W206" s="10">
        <f>IOS!O206</f>
        <v/>
      </c>
    </row>
    <row r="207" ht="22.5" customHeight="1" s="150">
      <c r="U207" s="5" t="n">
        <v>205</v>
      </c>
      <c r="V207" s="6">
        <f>And!O207</f>
        <v/>
      </c>
      <c r="W207" s="7">
        <f>IOS!O207</f>
        <v/>
      </c>
    </row>
    <row r="208" ht="22.5" customHeight="1" s="150">
      <c r="U208" s="8" t="n">
        <v>206</v>
      </c>
      <c r="V208" s="9">
        <f>And!O208</f>
        <v/>
      </c>
      <c r="W208" s="10">
        <f>IOS!O208</f>
        <v/>
      </c>
    </row>
    <row r="209" ht="22.5" customHeight="1" s="150">
      <c r="U209" s="5" t="n">
        <v>207</v>
      </c>
      <c r="V209" s="6">
        <f>And!O209</f>
        <v/>
      </c>
      <c r="W209" s="7">
        <f>IOS!O209</f>
        <v/>
      </c>
    </row>
    <row r="210" ht="22.5" customHeight="1" s="150">
      <c r="U210" s="8" t="n">
        <v>208</v>
      </c>
      <c r="V210" s="9">
        <f>And!O210</f>
        <v/>
      </c>
      <c r="W210" s="10">
        <f>IOS!O210</f>
        <v/>
      </c>
    </row>
    <row r="211" ht="22.5" customHeight="1" s="150">
      <c r="U211" s="5" t="n">
        <v>209</v>
      </c>
      <c r="V211" s="6">
        <f>And!O211</f>
        <v/>
      </c>
      <c r="W211" s="7">
        <f>IOS!O211</f>
        <v/>
      </c>
    </row>
    <row r="212" ht="22.5" customHeight="1" s="150">
      <c r="U212" s="8" t="n">
        <v>210</v>
      </c>
      <c r="V212" s="9">
        <f>And!O212</f>
        <v/>
      </c>
      <c r="W212" s="10">
        <f>IOS!O212</f>
        <v/>
      </c>
    </row>
    <row r="213" ht="22.5" customHeight="1" s="150">
      <c r="U213" s="5" t="n">
        <v>211</v>
      </c>
      <c r="V213" s="6">
        <f>And!O213</f>
        <v/>
      </c>
      <c r="W213" s="7">
        <f>IOS!O213</f>
        <v/>
      </c>
    </row>
    <row r="214" ht="22.5" customHeight="1" s="150">
      <c r="U214" s="8" t="n">
        <v>212</v>
      </c>
      <c r="V214" s="9">
        <f>And!O214</f>
        <v/>
      </c>
      <c r="W214" s="10">
        <f>IOS!O214</f>
        <v/>
      </c>
    </row>
    <row r="215" ht="22.5" customHeight="1" s="150">
      <c r="U215" s="5" t="n">
        <v>213</v>
      </c>
      <c r="V215" s="6">
        <f>And!O215</f>
        <v/>
      </c>
      <c r="W215" s="7">
        <f>IOS!O215</f>
        <v/>
      </c>
    </row>
    <row r="216" ht="22.5" customHeight="1" s="150">
      <c r="U216" s="8" t="n">
        <v>214</v>
      </c>
      <c r="V216" s="9">
        <f>And!O216</f>
        <v/>
      </c>
      <c r="W216" s="10">
        <f>IOS!O216</f>
        <v/>
      </c>
    </row>
    <row r="217" ht="22.5" customHeight="1" s="150">
      <c r="U217" s="5" t="n">
        <v>215</v>
      </c>
      <c r="V217" s="6">
        <f>And!O217</f>
        <v/>
      </c>
      <c r="W217" s="7">
        <f>IOS!O217</f>
        <v/>
      </c>
    </row>
    <row r="218" ht="22.5" customHeight="1" s="150">
      <c r="U218" s="8" t="n">
        <v>216</v>
      </c>
      <c r="V218" s="9">
        <f>And!O218</f>
        <v/>
      </c>
      <c r="W218" s="10">
        <f>IOS!O218</f>
        <v/>
      </c>
    </row>
    <row r="219" ht="22.5" customHeight="1" s="150">
      <c r="U219" s="5" t="n">
        <v>217</v>
      </c>
      <c r="V219" s="6">
        <f>And!O219</f>
        <v/>
      </c>
      <c r="W219" s="7">
        <f>IOS!O219</f>
        <v/>
      </c>
    </row>
    <row r="220" ht="22.5" customHeight="1" s="150">
      <c r="U220" s="8" t="n">
        <v>218</v>
      </c>
      <c r="V220" s="9">
        <f>And!O220</f>
        <v/>
      </c>
      <c r="W220" s="10">
        <f>IOS!O220</f>
        <v/>
      </c>
    </row>
    <row r="221" ht="22.5" customHeight="1" s="150">
      <c r="U221" s="5" t="n">
        <v>219</v>
      </c>
      <c r="V221" s="6">
        <f>And!O221</f>
        <v/>
      </c>
      <c r="W221" s="7">
        <f>IOS!O221</f>
        <v/>
      </c>
    </row>
    <row r="222" ht="22.5" customHeight="1" s="150">
      <c r="U222" s="8" t="n">
        <v>220</v>
      </c>
      <c r="V222" s="9">
        <f>And!O222</f>
        <v/>
      </c>
      <c r="W222" s="10">
        <f>IOS!O222</f>
        <v/>
      </c>
    </row>
    <row r="223" ht="22.5" customHeight="1" s="150">
      <c r="U223" s="5" t="n">
        <v>221</v>
      </c>
      <c r="V223" s="6">
        <f>And!O223</f>
        <v/>
      </c>
      <c r="W223" s="7">
        <f>IOS!O223</f>
        <v/>
      </c>
    </row>
    <row r="224" ht="22.5" customHeight="1" s="150">
      <c r="U224" s="8" t="n">
        <v>222</v>
      </c>
      <c r="V224" s="9">
        <f>And!O224</f>
        <v/>
      </c>
      <c r="W224" s="10">
        <f>IOS!O224</f>
        <v/>
      </c>
    </row>
    <row r="225" ht="22.5" customHeight="1" s="150">
      <c r="U225" s="5" t="n">
        <v>223</v>
      </c>
      <c r="V225" s="6">
        <f>And!O225</f>
        <v/>
      </c>
      <c r="W225" s="7">
        <f>IOS!O225</f>
        <v/>
      </c>
    </row>
    <row r="226" ht="22.5" customHeight="1" s="150">
      <c r="U226" s="8" t="n">
        <v>224</v>
      </c>
      <c r="V226" s="9">
        <f>And!O226</f>
        <v/>
      </c>
      <c r="W226" s="10">
        <f>IOS!O226</f>
        <v/>
      </c>
    </row>
    <row r="227" ht="22.5" customHeight="1" s="150">
      <c r="U227" s="5" t="n">
        <v>225</v>
      </c>
      <c r="V227" s="6">
        <f>And!O227</f>
        <v/>
      </c>
      <c r="W227" s="7">
        <f>IOS!O227</f>
        <v/>
      </c>
    </row>
    <row r="228" ht="22.5" customHeight="1" s="150">
      <c r="U228" s="8" t="n">
        <v>226</v>
      </c>
      <c r="V228" s="9">
        <f>And!O228</f>
        <v/>
      </c>
      <c r="W228" s="10">
        <f>IOS!O228</f>
        <v/>
      </c>
    </row>
    <row r="229" ht="22.5" customHeight="1" s="150">
      <c r="U229" s="5" t="n">
        <v>227</v>
      </c>
      <c r="V229" s="6">
        <f>And!O229</f>
        <v/>
      </c>
      <c r="W229" s="7">
        <f>IOS!O229</f>
        <v/>
      </c>
    </row>
    <row r="230" ht="22.5" customHeight="1" s="150">
      <c r="U230" s="8" t="n">
        <v>228</v>
      </c>
      <c r="V230" s="9">
        <f>And!O230</f>
        <v/>
      </c>
      <c r="W230" s="10">
        <f>IOS!O230</f>
        <v/>
      </c>
    </row>
    <row r="231" ht="22.5" customHeight="1" s="150">
      <c r="U231" s="5" t="n">
        <v>229</v>
      </c>
      <c r="V231" s="6">
        <f>And!O231</f>
        <v/>
      </c>
      <c r="W231" s="7">
        <f>IOS!O231</f>
        <v/>
      </c>
    </row>
    <row r="232" ht="22.5" customHeight="1" s="150">
      <c r="U232" s="8" t="n">
        <v>230</v>
      </c>
      <c r="V232" s="9">
        <f>And!O232</f>
        <v/>
      </c>
      <c r="W232" s="10">
        <f>IOS!O232</f>
        <v/>
      </c>
    </row>
    <row r="233" ht="22.5" customHeight="1" s="150">
      <c r="U233" s="5" t="n">
        <v>231</v>
      </c>
      <c r="V233" s="6">
        <f>And!O233</f>
        <v/>
      </c>
      <c r="W233" s="7">
        <f>IOS!O233</f>
        <v/>
      </c>
    </row>
    <row r="234" ht="22.5" customHeight="1" s="150">
      <c r="U234" s="8" t="n">
        <v>232</v>
      </c>
      <c r="V234" s="9">
        <f>And!O234</f>
        <v/>
      </c>
      <c r="W234" s="10">
        <f>IOS!O234</f>
        <v/>
      </c>
    </row>
    <row r="235" ht="22.5" customHeight="1" s="150">
      <c r="U235" s="5" t="n">
        <v>233</v>
      </c>
      <c r="V235" s="6">
        <f>And!O235</f>
        <v/>
      </c>
      <c r="W235" s="7">
        <f>IOS!O235</f>
        <v/>
      </c>
    </row>
    <row r="236" ht="22.5" customHeight="1" s="150">
      <c r="U236" s="8" t="n">
        <v>234</v>
      </c>
      <c r="V236" s="9">
        <f>And!O236</f>
        <v/>
      </c>
      <c r="W236" s="10">
        <f>IOS!O236</f>
        <v/>
      </c>
    </row>
    <row r="237" ht="22.5" customHeight="1" s="150">
      <c r="U237" s="5" t="n">
        <v>235</v>
      </c>
      <c r="V237" s="6">
        <f>And!O237</f>
        <v/>
      </c>
      <c r="W237" s="7">
        <f>IOS!O237</f>
        <v/>
      </c>
    </row>
    <row r="238" ht="22.5" customHeight="1" s="150">
      <c r="U238" s="8" t="n">
        <v>236</v>
      </c>
      <c r="V238" s="9">
        <f>And!O238</f>
        <v/>
      </c>
      <c r="W238" s="10">
        <f>IOS!O238</f>
        <v/>
      </c>
    </row>
    <row r="239" ht="22.5" customHeight="1" s="150">
      <c r="U239" s="5" t="n">
        <v>237</v>
      </c>
      <c r="V239" s="6">
        <f>And!O239</f>
        <v/>
      </c>
      <c r="W239" s="7">
        <f>IOS!O239</f>
        <v/>
      </c>
    </row>
    <row r="240" ht="22.5" customHeight="1" s="150">
      <c r="U240" s="8" t="n">
        <v>238</v>
      </c>
      <c r="V240" s="9">
        <f>And!O240</f>
        <v/>
      </c>
      <c r="W240" s="10">
        <f>IOS!O240</f>
        <v/>
      </c>
    </row>
    <row r="241" ht="22.5" customHeight="1" s="150">
      <c r="U241" s="5" t="n">
        <v>239</v>
      </c>
      <c r="V241" s="6">
        <f>And!O241</f>
        <v/>
      </c>
      <c r="W241" s="7">
        <f>IOS!O241</f>
        <v/>
      </c>
    </row>
    <row r="242" ht="22.5" customHeight="1" s="150">
      <c r="U242" s="8" t="n">
        <v>240</v>
      </c>
      <c r="V242" s="9">
        <f>And!O242</f>
        <v/>
      </c>
      <c r="W242" s="10">
        <f>IOS!O242</f>
        <v/>
      </c>
    </row>
    <row r="243" ht="22.5" customHeight="1" s="150">
      <c r="U243" s="5" t="n">
        <v>241</v>
      </c>
      <c r="V243" s="6">
        <f>And!O243</f>
        <v/>
      </c>
      <c r="W243" s="7">
        <f>IOS!O243</f>
        <v/>
      </c>
    </row>
    <row r="244" ht="22.5" customHeight="1" s="150">
      <c r="U244" s="8" t="n">
        <v>242</v>
      </c>
      <c r="V244" s="9">
        <f>And!O244</f>
        <v/>
      </c>
      <c r="W244" s="10">
        <f>IOS!O244</f>
        <v/>
      </c>
    </row>
    <row r="245" ht="22.5" customHeight="1" s="150">
      <c r="U245" s="5" t="n">
        <v>243</v>
      </c>
      <c r="V245" s="6">
        <f>And!O245</f>
        <v/>
      </c>
      <c r="W245" s="7">
        <f>IOS!O245</f>
        <v/>
      </c>
    </row>
    <row r="246" ht="22.5" customHeight="1" s="150">
      <c r="U246" s="8" t="n">
        <v>244</v>
      </c>
      <c r="V246" s="9">
        <f>And!O246</f>
        <v/>
      </c>
      <c r="W246" s="10">
        <f>IOS!O246</f>
        <v/>
      </c>
    </row>
    <row r="247" ht="22.5" customHeight="1" s="150">
      <c r="U247" s="5" t="n">
        <v>245</v>
      </c>
      <c r="V247" s="6">
        <f>And!O247</f>
        <v/>
      </c>
      <c r="W247" s="7">
        <f>IOS!O247</f>
        <v/>
      </c>
    </row>
    <row r="248" ht="22.5" customHeight="1" s="150">
      <c r="U248" s="8" t="n">
        <v>246</v>
      </c>
      <c r="V248" s="9">
        <f>And!O248</f>
        <v/>
      </c>
      <c r="W248" s="10">
        <f>IOS!O248</f>
        <v/>
      </c>
    </row>
    <row r="249" ht="22.5" customHeight="1" s="150">
      <c r="U249" s="5" t="n">
        <v>247</v>
      </c>
      <c r="V249" s="6">
        <f>And!O249</f>
        <v/>
      </c>
      <c r="W249" s="7">
        <f>IOS!O249</f>
        <v/>
      </c>
    </row>
    <row r="250" ht="22.5" customHeight="1" s="150">
      <c r="U250" s="8" t="n">
        <v>248</v>
      </c>
      <c r="V250" s="9">
        <f>And!O250</f>
        <v/>
      </c>
      <c r="W250" s="10">
        <f>IOS!O250</f>
        <v/>
      </c>
    </row>
    <row r="251" ht="22.5" customHeight="1" s="150">
      <c r="U251" s="5" t="n">
        <v>249</v>
      </c>
      <c r="V251" s="6">
        <f>And!O251</f>
        <v/>
      </c>
      <c r="W251" s="7">
        <f>IOS!O251</f>
        <v/>
      </c>
    </row>
    <row r="252" ht="22.5" customHeight="1" s="150">
      <c r="U252" s="8" t="n">
        <v>250</v>
      </c>
      <c r="V252" s="9">
        <f>And!O252</f>
        <v/>
      </c>
      <c r="W252" s="10">
        <f>IOS!O252</f>
        <v/>
      </c>
    </row>
    <row r="253" ht="22.5" customHeight="1" s="150">
      <c r="U253" s="5" t="n">
        <v>251</v>
      </c>
      <c r="V253" s="6">
        <f>And!O253</f>
        <v/>
      </c>
      <c r="W253" s="7">
        <f>IOS!O253</f>
        <v/>
      </c>
    </row>
    <row r="254" ht="22.5" customHeight="1" s="150">
      <c r="U254" s="8" t="n">
        <v>252</v>
      </c>
      <c r="V254" s="9">
        <f>And!O254</f>
        <v/>
      </c>
      <c r="W254" s="10">
        <f>IOS!O254</f>
        <v/>
      </c>
    </row>
    <row r="255" ht="22.5" customHeight="1" s="150">
      <c r="U255" s="5" t="n">
        <v>253</v>
      </c>
      <c r="V255" s="6">
        <f>And!O255</f>
        <v/>
      </c>
      <c r="W255" s="7">
        <f>IOS!O255</f>
        <v/>
      </c>
    </row>
    <row r="256" ht="22.5" customHeight="1" s="150">
      <c r="U256" s="8" t="n">
        <v>254</v>
      </c>
      <c r="V256" s="9">
        <f>And!O256</f>
        <v/>
      </c>
      <c r="W256" s="10">
        <f>IOS!O256</f>
        <v/>
      </c>
    </row>
    <row r="257" ht="22.5" customHeight="1" s="150">
      <c r="U257" s="5" t="n">
        <v>255</v>
      </c>
      <c r="V257" s="6">
        <f>And!O257</f>
        <v/>
      </c>
      <c r="W257" s="7">
        <f>IOS!O257</f>
        <v/>
      </c>
    </row>
    <row r="258" ht="22.5" customHeight="1" s="150">
      <c r="U258" s="8" t="n">
        <v>256</v>
      </c>
      <c r="V258" s="9">
        <f>And!O258</f>
        <v/>
      </c>
      <c r="W258" s="10">
        <f>IOS!O258</f>
        <v/>
      </c>
    </row>
    <row r="259" ht="22.5" customHeight="1" s="150">
      <c r="U259" s="5" t="n">
        <v>257</v>
      </c>
      <c r="V259" s="6">
        <f>And!O259</f>
        <v/>
      </c>
      <c r="W259" s="7">
        <f>IOS!O259</f>
        <v/>
      </c>
    </row>
    <row r="260" ht="22.5" customHeight="1" s="150">
      <c r="U260" s="8" t="n">
        <v>258</v>
      </c>
      <c r="V260" s="9">
        <f>And!O260</f>
        <v/>
      </c>
      <c r="W260" s="10">
        <f>IOS!O260</f>
        <v/>
      </c>
    </row>
    <row r="261" ht="22.5" customHeight="1" s="150">
      <c r="U261" s="5" t="n">
        <v>259</v>
      </c>
      <c r="V261" s="6">
        <f>And!O261</f>
        <v/>
      </c>
      <c r="W261" s="7">
        <f>IOS!O261</f>
        <v/>
      </c>
    </row>
    <row r="262" ht="22.5" customHeight="1" s="150">
      <c r="U262" s="8" t="n">
        <v>260</v>
      </c>
      <c r="V262" s="9">
        <f>And!O262</f>
        <v/>
      </c>
      <c r="W262" s="10">
        <f>IOS!O262</f>
        <v/>
      </c>
    </row>
    <row r="263" ht="22.5" customHeight="1" s="150">
      <c r="U263" s="5" t="n">
        <v>261</v>
      </c>
      <c r="V263" s="6">
        <f>And!O263</f>
        <v/>
      </c>
      <c r="W263" s="7">
        <f>IOS!O263</f>
        <v/>
      </c>
    </row>
    <row r="264" ht="22.5" customHeight="1" s="150">
      <c r="U264" s="8" t="n">
        <v>262</v>
      </c>
      <c r="V264" s="9">
        <f>And!O264</f>
        <v/>
      </c>
      <c r="W264" s="10">
        <f>IOS!O264</f>
        <v/>
      </c>
    </row>
    <row r="265" ht="22.5" customHeight="1" s="150">
      <c r="U265" s="5" t="n">
        <v>263</v>
      </c>
      <c r="V265" s="6">
        <f>And!O265</f>
        <v/>
      </c>
      <c r="W265" s="7">
        <f>IOS!O265</f>
        <v/>
      </c>
    </row>
    <row r="266" ht="22.5" customHeight="1" s="150">
      <c r="U266" s="8" t="n">
        <v>264</v>
      </c>
      <c r="V266" s="9">
        <f>And!O266</f>
        <v/>
      </c>
      <c r="W266" s="10">
        <f>IOS!O266</f>
        <v/>
      </c>
    </row>
    <row r="267" ht="22.5" customHeight="1" s="150">
      <c r="U267" s="5" t="n">
        <v>265</v>
      </c>
      <c r="V267" s="6">
        <f>And!O267</f>
        <v/>
      </c>
      <c r="W267" s="7">
        <f>IOS!O267</f>
        <v/>
      </c>
    </row>
    <row r="268" ht="22.5" customHeight="1" s="150">
      <c r="U268" s="8" t="n">
        <v>266</v>
      </c>
      <c r="V268" s="9">
        <f>And!O268</f>
        <v/>
      </c>
      <c r="W268" s="10">
        <f>IOS!O268</f>
        <v/>
      </c>
    </row>
    <row r="269" ht="22.5" customHeight="1" s="150">
      <c r="U269" s="5" t="n">
        <v>267</v>
      </c>
      <c r="V269" s="6">
        <f>And!O269</f>
        <v/>
      </c>
      <c r="W269" s="7">
        <f>IOS!O269</f>
        <v/>
      </c>
    </row>
    <row r="270" ht="22.5" customHeight="1" s="150">
      <c r="U270" s="8" t="n">
        <v>268</v>
      </c>
      <c r="V270" s="9">
        <f>And!O270</f>
        <v/>
      </c>
      <c r="W270" s="10">
        <f>IOS!O270</f>
        <v/>
      </c>
    </row>
    <row r="271" ht="22.5" customHeight="1" s="150">
      <c r="U271" s="5" t="n">
        <v>269</v>
      </c>
      <c r="V271" s="6">
        <f>And!O271</f>
        <v/>
      </c>
      <c r="W271" s="7">
        <f>IOS!O271</f>
        <v/>
      </c>
    </row>
    <row r="272" ht="22.5" customHeight="1" s="150">
      <c r="U272" s="8" t="n">
        <v>270</v>
      </c>
      <c r="V272" s="9">
        <f>And!O272</f>
        <v/>
      </c>
      <c r="W272" s="10">
        <f>IOS!O272</f>
        <v/>
      </c>
    </row>
    <row r="273" ht="22.5" customHeight="1" s="150">
      <c r="U273" s="5" t="n">
        <v>271</v>
      </c>
      <c r="V273" s="6">
        <f>And!O273</f>
        <v/>
      </c>
      <c r="W273" s="7">
        <f>IOS!O273</f>
        <v/>
      </c>
    </row>
    <row r="274" ht="22.5" customHeight="1" s="150">
      <c r="U274" s="8" t="n">
        <v>272</v>
      </c>
      <c r="V274" s="9">
        <f>And!O274</f>
        <v/>
      </c>
      <c r="W274" s="10">
        <f>IOS!O274</f>
        <v/>
      </c>
    </row>
    <row r="275" ht="22.5" customHeight="1" s="150">
      <c r="U275" s="5" t="n">
        <v>273</v>
      </c>
      <c r="V275" s="6">
        <f>And!O275</f>
        <v/>
      </c>
      <c r="W275" s="7">
        <f>IOS!O275</f>
        <v/>
      </c>
    </row>
    <row r="276" ht="22.5" customHeight="1" s="150">
      <c r="U276" s="8" t="n">
        <v>274</v>
      </c>
      <c r="V276" s="9">
        <f>And!O276</f>
        <v/>
      </c>
      <c r="W276" s="10">
        <f>IOS!O276</f>
        <v/>
      </c>
    </row>
    <row r="277" ht="22.5" customHeight="1" s="150">
      <c r="U277" s="5" t="n">
        <v>275</v>
      </c>
      <c r="V277" s="6">
        <f>And!O277</f>
        <v/>
      </c>
      <c r="W277" s="7">
        <f>IOS!O277</f>
        <v/>
      </c>
    </row>
    <row r="278" ht="22.5" customHeight="1" s="150">
      <c r="U278" s="8" t="n">
        <v>276</v>
      </c>
      <c r="V278" s="9">
        <f>And!O278</f>
        <v/>
      </c>
      <c r="W278" s="10">
        <f>IOS!O278</f>
        <v/>
      </c>
    </row>
    <row r="279" ht="22.5" customHeight="1" s="150">
      <c r="U279" s="5" t="n">
        <v>277</v>
      </c>
      <c r="V279" s="6">
        <f>And!O279</f>
        <v/>
      </c>
      <c r="W279" s="7">
        <f>IOS!O279</f>
        <v/>
      </c>
    </row>
    <row r="280" ht="22.5" customHeight="1" s="150">
      <c r="U280" s="8" t="n">
        <v>278</v>
      </c>
      <c r="V280" s="9">
        <f>And!O280</f>
        <v/>
      </c>
      <c r="W280" s="10">
        <f>IOS!O280</f>
        <v/>
      </c>
    </row>
    <row r="281" ht="22.5" customHeight="1" s="150">
      <c r="U281" s="5" t="n">
        <v>279</v>
      </c>
      <c r="V281" s="6">
        <f>And!O281</f>
        <v/>
      </c>
      <c r="W281" s="7">
        <f>IOS!O281</f>
        <v/>
      </c>
    </row>
    <row r="282" ht="22.5" customHeight="1" s="150">
      <c r="U282" s="8" t="n">
        <v>280</v>
      </c>
      <c r="V282" s="9">
        <f>And!O282</f>
        <v/>
      </c>
      <c r="W282" s="10">
        <f>IOS!O282</f>
        <v/>
      </c>
    </row>
    <row r="283" ht="22.5" customHeight="1" s="150">
      <c r="U283" s="5" t="n">
        <v>281</v>
      </c>
      <c r="V283" s="6">
        <f>And!O283</f>
        <v/>
      </c>
      <c r="W283" s="7">
        <f>IOS!O283</f>
        <v/>
      </c>
    </row>
    <row r="284" ht="22.5" customHeight="1" s="150">
      <c r="U284" s="8" t="n">
        <v>282</v>
      </c>
      <c r="V284" s="9">
        <f>And!O284</f>
        <v/>
      </c>
      <c r="W284" s="10">
        <f>IOS!O284</f>
        <v/>
      </c>
    </row>
    <row r="285" ht="22.5" customHeight="1" s="150">
      <c r="U285" s="5" t="n">
        <v>283</v>
      </c>
      <c r="V285" s="6">
        <f>And!O285</f>
        <v/>
      </c>
      <c r="W285" s="7">
        <f>IOS!O285</f>
        <v/>
      </c>
    </row>
    <row r="286" ht="22.5" customHeight="1" s="150">
      <c r="U286" s="8" t="n">
        <v>284</v>
      </c>
      <c r="V286" s="9">
        <f>And!O286</f>
        <v/>
      </c>
      <c r="W286" s="10">
        <f>IOS!O286</f>
        <v/>
      </c>
    </row>
    <row r="287" ht="22.5" customHeight="1" s="150">
      <c r="U287" s="5" t="n">
        <v>285</v>
      </c>
      <c r="V287" s="6">
        <f>And!O287</f>
        <v/>
      </c>
      <c r="W287" s="7">
        <f>IOS!O287</f>
        <v/>
      </c>
    </row>
    <row r="288" ht="22.5" customHeight="1" s="150">
      <c r="U288" s="8" t="n">
        <v>286</v>
      </c>
      <c r="V288" s="9">
        <f>And!O288</f>
        <v/>
      </c>
      <c r="W288" s="10">
        <f>IOS!O288</f>
        <v/>
      </c>
    </row>
    <row r="289" ht="22.5" customHeight="1" s="150">
      <c r="U289" s="5" t="n">
        <v>287</v>
      </c>
      <c r="V289" s="6">
        <f>And!O289</f>
        <v/>
      </c>
      <c r="W289" s="7">
        <f>IOS!O289</f>
        <v/>
      </c>
    </row>
    <row r="290" ht="22.5" customHeight="1" s="150">
      <c r="U290" s="8" t="n">
        <v>288</v>
      </c>
      <c r="V290" s="9">
        <f>And!O290</f>
        <v/>
      </c>
      <c r="W290" s="10">
        <f>IOS!O290</f>
        <v/>
      </c>
    </row>
    <row r="291" ht="22.5" customHeight="1" s="150">
      <c r="U291" s="5" t="n">
        <v>289</v>
      </c>
      <c r="V291" s="6">
        <f>And!O291</f>
        <v/>
      </c>
      <c r="W291" s="7">
        <f>IOS!O291</f>
        <v/>
      </c>
    </row>
    <row r="292" ht="22.5" customHeight="1" s="150">
      <c r="U292" s="8" t="n">
        <v>290</v>
      </c>
      <c r="V292" s="9">
        <f>And!O292</f>
        <v/>
      </c>
      <c r="W292" s="10">
        <f>IOS!O292</f>
        <v/>
      </c>
    </row>
    <row r="293" ht="22.5" customHeight="1" s="150">
      <c r="U293" s="5" t="n">
        <v>291</v>
      </c>
      <c r="V293" s="6">
        <f>And!O293</f>
        <v/>
      </c>
      <c r="W293" s="7">
        <f>IOS!O293</f>
        <v/>
      </c>
    </row>
    <row r="294" ht="22.5" customHeight="1" s="150">
      <c r="U294" s="8" t="n">
        <v>292</v>
      </c>
      <c r="V294" s="9">
        <f>And!O294</f>
        <v/>
      </c>
      <c r="W294" s="10">
        <f>IOS!O294</f>
        <v/>
      </c>
    </row>
    <row r="295" ht="22.5" customHeight="1" s="150">
      <c r="U295" s="5" t="n">
        <v>293</v>
      </c>
      <c r="V295" s="6">
        <f>And!O295</f>
        <v/>
      </c>
      <c r="W295" s="7">
        <f>IOS!O295</f>
        <v/>
      </c>
    </row>
    <row r="296" ht="22.5" customHeight="1" s="150">
      <c r="U296" s="8" t="n">
        <v>294</v>
      </c>
      <c r="V296" s="9">
        <f>And!O296</f>
        <v/>
      </c>
      <c r="W296" s="10">
        <f>IOS!O296</f>
        <v/>
      </c>
    </row>
    <row r="297" ht="22.5" customHeight="1" s="150">
      <c r="U297" s="5" t="n">
        <v>295</v>
      </c>
      <c r="V297" s="6">
        <f>And!O297</f>
        <v/>
      </c>
      <c r="W297" s="7">
        <f>IOS!O297</f>
        <v/>
      </c>
    </row>
    <row r="298" ht="22.5" customHeight="1" s="150">
      <c r="U298" s="8" t="n">
        <v>296</v>
      </c>
      <c r="V298" s="9">
        <f>And!O298</f>
        <v/>
      </c>
      <c r="W298" s="10">
        <f>IOS!O298</f>
        <v/>
      </c>
    </row>
    <row r="299" ht="22.5" customHeight="1" s="150">
      <c r="U299" s="5" t="n">
        <v>297</v>
      </c>
      <c r="V299" s="6">
        <f>And!O299</f>
        <v/>
      </c>
      <c r="W299" s="7">
        <f>IOS!O299</f>
        <v/>
      </c>
    </row>
    <row r="300" ht="22.5" customHeight="1" s="150">
      <c r="U300" s="8" t="n">
        <v>298</v>
      </c>
      <c r="V300" s="9">
        <f>And!O300</f>
        <v/>
      </c>
      <c r="W300" s="10">
        <f>IOS!O300</f>
        <v/>
      </c>
    </row>
    <row r="301" ht="22.5" customHeight="1" s="150">
      <c r="U301" s="5" t="n">
        <v>299</v>
      </c>
      <c r="V301" s="6">
        <f>And!O301</f>
        <v/>
      </c>
      <c r="W301" s="7">
        <f>IOS!O301</f>
        <v/>
      </c>
    </row>
    <row r="302" ht="22.5" customHeight="1" s="150">
      <c r="U302" s="8" t="n">
        <v>300</v>
      </c>
      <c r="V302" s="9">
        <f>And!O302</f>
        <v/>
      </c>
      <c r="W302" s="10">
        <f>IOS!O302</f>
        <v/>
      </c>
    </row>
    <row r="303" ht="22.5" customHeight="1" s="150">
      <c r="U303" s="5" t="n">
        <v>301</v>
      </c>
      <c r="V303" s="6">
        <f>And!O303</f>
        <v/>
      </c>
      <c r="W303" s="7">
        <f>IOS!O303</f>
        <v/>
      </c>
    </row>
    <row r="304" ht="22.5" customHeight="1" s="150">
      <c r="U304" s="8" t="n">
        <v>302</v>
      </c>
      <c r="V304" s="9">
        <f>And!O304</f>
        <v/>
      </c>
      <c r="W304" s="10">
        <f>IOS!O304</f>
        <v/>
      </c>
    </row>
    <row r="305" ht="22.5" customHeight="1" s="150">
      <c r="U305" s="5" t="n">
        <v>303</v>
      </c>
      <c r="V305" s="6">
        <f>And!O305</f>
        <v/>
      </c>
      <c r="W305" s="7">
        <f>IOS!O305</f>
        <v/>
      </c>
    </row>
    <row r="306" ht="22.5" customHeight="1" s="150">
      <c r="U306" s="8" t="n">
        <v>304</v>
      </c>
      <c r="V306" s="9">
        <f>And!O306</f>
        <v/>
      </c>
      <c r="W306" s="10">
        <f>IOS!O306</f>
        <v/>
      </c>
    </row>
    <row r="307" ht="22.5" customHeight="1" s="150">
      <c r="U307" s="5" t="n">
        <v>305</v>
      </c>
      <c r="V307" s="6">
        <f>And!O307</f>
        <v/>
      </c>
      <c r="W307" s="7">
        <f>IOS!O307</f>
        <v/>
      </c>
    </row>
    <row r="308" ht="22.5" customHeight="1" s="150">
      <c r="U308" s="8" t="n">
        <v>306</v>
      </c>
      <c r="V308" s="9">
        <f>And!O308</f>
        <v/>
      </c>
      <c r="W308" s="10">
        <f>IOS!O308</f>
        <v/>
      </c>
    </row>
    <row r="309" ht="22.5" customHeight="1" s="150">
      <c r="U309" s="5" t="n">
        <v>307</v>
      </c>
      <c r="V309" s="6">
        <f>And!O309</f>
        <v/>
      </c>
      <c r="W309" s="7">
        <f>IOS!O309</f>
        <v/>
      </c>
    </row>
    <row r="310" ht="22.5" customHeight="1" s="150">
      <c r="U310" s="8" t="n">
        <v>308</v>
      </c>
      <c r="V310" s="9">
        <f>And!O310</f>
        <v/>
      </c>
      <c r="W310" s="10">
        <f>IOS!O310</f>
        <v/>
      </c>
    </row>
    <row r="311" ht="22.5" customHeight="1" s="150">
      <c r="U311" s="5" t="n">
        <v>309</v>
      </c>
      <c r="V311" s="6">
        <f>And!O311</f>
        <v/>
      </c>
      <c r="W311" s="7">
        <f>IOS!O311</f>
        <v/>
      </c>
    </row>
    <row r="312" ht="22.5" customHeight="1" s="150">
      <c r="U312" s="8" t="n">
        <v>310</v>
      </c>
      <c r="V312" s="9">
        <f>And!O312</f>
        <v/>
      </c>
      <c r="W312" s="10">
        <f>IOS!O312</f>
        <v/>
      </c>
    </row>
    <row r="313" ht="22.5" customHeight="1" s="150">
      <c r="U313" s="5" t="n">
        <v>311</v>
      </c>
      <c r="V313" s="6">
        <f>And!O313</f>
        <v/>
      </c>
      <c r="W313" s="7">
        <f>IOS!O313</f>
        <v/>
      </c>
    </row>
    <row r="314" ht="22.5" customHeight="1" s="150">
      <c r="U314" s="8" t="n">
        <v>312</v>
      </c>
      <c r="V314" s="9">
        <f>And!O314</f>
        <v/>
      </c>
      <c r="W314" s="10">
        <f>IOS!O314</f>
        <v/>
      </c>
    </row>
    <row r="315" ht="22.5" customHeight="1" s="150">
      <c r="U315" s="5" t="n">
        <v>313</v>
      </c>
      <c r="V315" s="6">
        <f>And!O315</f>
        <v/>
      </c>
      <c r="W315" s="7">
        <f>IOS!O315</f>
        <v/>
      </c>
    </row>
    <row r="316" ht="22.5" customHeight="1" s="150">
      <c r="U316" s="8" t="n">
        <v>314</v>
      </c>
      <c r="V316" s="9">
        <f>And!O316</f>
        <v/>
      </c>
      <c r="W316" s="10">
        <f>IOS!O316</f>
        <v/>
      </c>
    </row>
    <row r="317" ht="22.5" customHeight="1" s="150">
      <c r="U317" s="5" t="n">
        <v>315</v>
      </c>
      <c r="V317" s="6">
        <f>And!O317</f>
        <v/>
      </c>
      <c r="W317" s="7">
        <f>IOS!O317</f>
        <v/>
      </c>
    </row>
    <row r="318" ht="22.5" customHeight="1" s="150">
      <c r="U318" s="8" t="n">
        <v>316</v>
      </c>
      <c r="V318" s="9">
        <f>And!O318</f>
        <v/>
      </c>
      <c r="W318" s="10">
        <f>IOS!O318</f>
        <v/>
      </c>
    </row>
    <row r="319" ht="22.5" customHeight="1" s="150">
      <c r="U319" s="5" t="n">
        <v>317</v>
      </c>
      <c r="V319" s="6">
        <f>And!O319</f>
        <v/>
      </c>
      <c r="W319" s="7">
        <f>IOS!O319</f>
        <v/>
      </c>
    </row>
    <row r="320" ht="22.5" customHeight="1" s="150">
      <c r="U320" s="8" t="n">
        <v>318</v>
      </c>
      <c r="V320" s="9">
        <f>And!O320</f>
        <v/>
      </c>
      <c r="W320" s="10">
        <f>IOS!O320</f>
        <v/>
      </c>
    </row>
    <row r="321" ht="22.5" customHeight="1" s="150">
      <c r="U321" s="5" t="n">
        <v>319</v>
      </c>
      <c r="V321" s="6">
        <f>And!O321</f>
        <v/>
      </c>
      <c r="W321" s="7">
        <f>IOS!O321</f>
        <v/>
      </c>
    </row>
    <row r="322" ht="22.5" customHeight="1" s="150">
      <c r="U322" s="8" t="n">
        <v>320</v>
      </c>
      <c r="V322" s="9">
        <f>And!O322</f>
        <v/>
      </c>
      <c r="W322" s="10">
        <f>IOS!O322</f>
        <v/>
      </c>
    </row>
    <row r="323" ht="22.5" customHeight="1" s="150">
      <c r="U323" s="5" t="n">
        <v>321</v>
      </c>
      <c r="V323" s="6">
        <f>And!O323</f>
        <v/>
      </c>
      <c r="W323" s="7">
        <f>IOS!O323</f>
        <v/>
      </c>
    </row>
    <row r="324" ht="22.5" customHeight="1" s="150">
      <c r="U324" s="8" t="n">
        <v>322</v>
      </c>
      <c r="V324" s="9">
        <f>And!O324</f>
        <v/>
      </c>
      <c r="W324" s="10">
        <f>IOS!O324</f>
        <v/>
      </c>
    </row>
    <row r="325" ht="22.5" customHeight="1" s="150">
      <c r="U325" s="5" t="n">
        <v>323</v>
      </c>
      <c r="V325" s="6">
        <f>And!O325</f>
        <v/>
      </c>
      <c r="W325" s="7">
        <f>IOS!O325</f>
        <v/>
      </c>
    </row>
    <row r="326" ht="22.5" customHeight="1" s="150">
      <c r="U326" s="8" t="n">
        <v>324</v>
      </c>
      <c r="V326" s="9">
        <f>And!O326</f>
        <v/>
      </c>
      <c r="W326" s="10">
        <f>IOS!O326</f>
        <v/>
      </c>
    </row>
    <row r="327" ht="22.5" customHeight="1" s="150">
      <c r="U327" s="5" t="n">
        <v>325</v>
      </c>
      <c r="V327" s="6">
        <f>And!O327</f>
        <v/>
      </c>
      <c r="W327" s="7">
        <f>IOS!O327</f>
        <v/>
      </c>
    </row>
    <row r="328" ht="22.5" customHeight="1" s="150">
      <c r="U328" s="8" t="n">
        <v>326</v>
      </c>
      <c r="V328" s="9">
        <f>And!O328</f>
        <v/>
      </c>
      <c r="W328" s="10">
        <f>IOS!O328</f>
        <v/>
      </c>
    </row>
    <row r="329" ht="22.5" customHeight="1" s="150">
      <c r="U329" s="5" t="n">
        <v>327</v>
      </c>
      <c r="V329" s="6">
        <f>And!O329</f>
        <v/>
      </c>
      <c r="W329" s="7">
        <f>IOS!O329</f>
        <v/>
      </c>
    </row>
    <row r="330" ht="22.5" customHeight="1" s="150">
      <c r="U330" s="8" t="n">
        <v>328</v>
      </c>
      <c r="V330" s="9">
        <f>And!O330</f>
        <v/>
      </c>
      <c r="W330" s="10">
        <f>IOS!O330</f>
        <v/>
      </c>
    </row>
    <row r="331" ht="22.5" customHeight="1" s="150">
      <c r="U331" s="5" t="n">
        <v>329</v>
      </c>
      <c r="V331" s="6">
        <f>And!O331</f>
        <v/>
      </c>
      <c r="W331" s="7">
        <f>IOS!O331</f>
        <v/>
      </c>
    </row>
    <row r="332" ht="22.5" customHeight="1" s="150">
      <c r="U332" s="8" t="n">
        <v>330</v>
      </c>
      <c r="V332" s="9">
        <f>And!O332</f>
        <v/>
      </c>
      <c r="W332" s="10">
        <f>IOS!O332</f>
        <v/>
      </c>
    </row>
    <row r="333" ht="22.5" customHeight="1" s="150">
      <c r="U333" s="5" t="n">
        <v>331</v>
      </c>
      <c r="V333" s="6">
        <f>And!O333</f>
        <v/>
      </c>
      <c r="W333" s="7">
        <f>IOS!O333</f>
        <v/>
      </c>
    </row>
    <row r="334" ht="22.5" customHeight="1" s="150">
      <c r="U334" s="8" t="n">
        <v>332</v>
      </c>
      <c r="V334" s="9">
        <f>And!O334</f>
        <v/>
      </c>
      <c r="W334" s="10">
        <f>IOS!O334</f>
        <v/>
      </c>
    </row>
    <row r="335" ht="22.5" customHeight="1" s="150">
      <c r="U335" s="5" t="n">
        <v>333</v>
      </c>
      <c r="V335" s="6">
        <f>And!O335</f>
        <v/>
      </c>
      <c r="W335" s="7">
        <f>IOS!O335</f>
        <v/>
      </c>
    </row>
    <row r="336" ht="22.5" customHeight="1" s="150">
      <c r="U336" s="8" t="n">
        <v>334</v>
      </c>
      <c r="V336" s="9">
        <f>And!O336</f>
        <v/>
      </c>
      <c r="W336" s="10">
        <f>IOS!O336</f>
        <v/>
      </c>
    </row>
    <row r="337" ht="22.5" customHeight="1" s="150">
      <c r="U337" s="5" t="n">
        <v>335</v>
      </c>
      <c r="V337" s="6">
        <f>And!O337</f>
        <v/>
      </c>
      <c r="W337" s="7">
        <f>IOS!O337</f>
        <v/>
      </c>
    </row>
    <row r="338" ht="22.5" customHeight="1" s="150">
      <c r="U338" s="8" t="n">
        <v>336</v>
      </c>
      <c r="V338" s="9">
        <f>And!O338</f>
        <v/>
      </c>
      <c r="W338" s="10">
        <f>IOS!O338</f>
        <v/>
      </c>
    </row>
    <row r="339" ht="22.5" customHeight="1" s="150">
      <c r="U339" s="5" t="n">
        <v>337</v>
      </c>
      <c r="V339" s="6">
        <f>And!O339</f>
        <v/>
      </c>
      <c r="W339" s="7">
        <f>IOS!O339</f>
        <v/>
      </c>
    </row>
    <row r="340" ht="22.5" customHeight="1" s="150">
      <c r="U340" s="8" t="n">
        <v>338</v>
      </c>
      <c r="V340" s="9">
        <f>And!O340</f>
        <v/>
      </c>
      <c r="W340" s="10">
        <f>IOS!O340</f>
        <v/>
      </c>
    </row>
    <row r="341" ht="22.5" customHeight="1" s="150">
      <c r="U341" s="5" t="n">
        <v>339</v>
      </c>
      <c r="V341" s="6">
        <f>And!O341</f>
        <v/>
      </c>
      <c r="W341" s="7">
        <f>IOS!O341</f>
        <v/>
      </c>
    </row>
    <row r="342" ht="22.5" customHeight="1" s="150">
      <c r="U342" s="8" t="n">
        <v>340</v>
      </c>
      <c r="V342" s="9">
        <f>And!O342</f>
        <v/>
      </c>
      <c r="W342" s="10">
        <f>IOS!O342</f>
        <v/>
      </c>
    </row>
    <row r="343" ht="22.5" customHeight="1" s="150">
      <c r="U343" s="5" t="n">
        <v>341</v>
      </c>
      <c r="V343" s="6">
        <f>And!O343</f>
        <v/>
      </c>
      <c r="W343" s="7">
        <f>IOS!O343</f>
        <v/>
      </c>
    </row>
    <row r="344" ht="22.5" customHeight="1" s="150">
      <c r="U344" s="8" t="n">
        <v>342</v>
      </c>
      <c r="V344" s="9">
        <f>And!O344</f>
        <v/>
      </c>
      <c r="W344" s="10">
        <f>IOS!O344</f>
        <v/>
      </c>
    </row>
    <row r="345" ht="22.5" customHeight="1" s="150">
      <c r="U345" s="5" t="n">
        <v>343</v>
      </c>
      <c r="V345" s="6">
        <f>And!O345</f>
        <v/>
      </c>
      <c r="W345" s="7">
        <f>IOS!O345</f>
        <v/>
      </c>
    </row>
    <row r="346" ht="22.5" customHeight="1" s="150">
      <c r="U346" s="8" t="n">
        <v>344</v>
      </c>
      <c r="V346" s="9">
        <f>And!O346</f>
        <v/>
      </c>
      <c r="W346" s="10">
        <f>IOS!O346</f>
        <v/>
      </c>
    </row>
    <row r="347" ht="22.5" customHeight="1" s="150">
      <c r="U347" s="5" t="n">
        <v>345</v>
      </c>
      <c r="V347" s="6">
        <f>And!O347</f>
        <v/>
      </c>
      <c r="W347" s="7">
        <f>IOS!O347</f>
        <v/>
      </c>
    </row>
    <row r="348" ht="22.5" customHeight="1" s="150">
      <c r="U348" s="8" t="n">
        <v>346</v>
      </c>
      <c r="V348" s="9">
        <f>And!O348</f>
        <v/>
      </c>
      <c r="W348" s="10">
        <f>IOS!O348</f>
        <v/>
      </c>
    </row>
    <row r="349" ht="22.5" customHeight="1" s="150">
      <c r="U349" s="5" t="n">
        <v>347</v>
      </c>
      <c r="V349" s="6">
        <f>And!O349</f>
        <v/>
      </c>
      <c r="W349" s="7">
        <f>IOS!O349</f>
        <v/>
      </c>
    </row>
    <row r="350" ht="22.5" customHeight="1" s="150">
      <c r="U350" s="8" t="n">
        <v>348</v>
      </c>
      <c r="V350" s="9">
        <f>And!O350</f>
        <v/>
      </c>
      <c r="W350" s="10">
        <f>IOS!O350</f>
        <v/>
      </c>
    </row>
    <row r="351" ht="22.5" customHeight="1" s="150">
      <c r="U351" s="5" t="n">
        <v>349</v>
      </c>
      <c r="V351" s="6">
        <f>And!O351</f>
        <v/>
      </c>
      <c r="W351" s="7">
        <f>IOS!O351</f>
        <v/>
      </c>
    </row>
    <row r="352" ht="22.5" customHeight="1" s="150">
      <c r="U352" s="8" t="n">
        <v>350</v>
      </c>
      <c r="V352" s="9">
        <f>And!O352</f>
        <v/>
      </c>
      <c r="W352" s="10">
        <f>IOS!O352</f>
        <v/>
      </c>
    </row>
    <row r="353" ht="22.5" customHeight="1" s="150">
      <c r="U353" s="5" t="n">
        <v>351</v>
      </c>
      <c r="V353" s="6">
        <f>And!O353</f>
        <v/>
      </c>
      <c r="W353" s="7">
        <f>IOS!O353</f>
        <v/>
      </c>
    </row>
    <row r="354" ht="22.5" customHeight="1" s="150">
      <c r="U354" s="8" t="n">
        <v>352</v>
      </c>
      <c r="V354" s="9">
        <f>And!O354</f>
        <v/>
      </c>
      <c r="W354" s="10">
        <f>IOS!O354</f>
        <v/>
      </c>
    </row>
    <row r="355" ht="22.5" customHeight="1" s="150">
      <c r="U355" s="5" t="n">
        <v>353</v>
      </c>
      <c r="V355" s="6">
        <f>And!O355</f>
        <v/>
      </c>
      <c r="W355" s="7">
        <f>IOS!O355</f>
        <v/>
      </c>
    </row>
    <row r="356" ht="22.5" customHeight="1" s="150">
      <c r="U356" s="8" t="n">
        <v>354</v>
      </c>
      <c r="V356" s="9">
        <f>And!O356</f>
        <v/>
      </c>
      <c r="W356" s="10">
        <f>IOS!O356</f>
        <v/>
      </c>
    </row>
    <row r="357" ht="22.5" customHeight="1" s="150">
      <c r="U357" s="5" t="n">
        <v>355</v>
      </c>
      <c r="V357" s="6">
        <f>And!O357</f>
        <v/>
      </c>
      <c r="W357" s="7">
        <f>IOS!O357</f>
        <v/>
      </c>
    </row>
    <row r="358" ht="22.5" customHeight="1" s="150">
      <c r="U358" s="8" t="n">
        <v>356</v>
      </c>
      <c r="V358" s="9">
        <f>And!O358</f>
        <v/>
      </c>
      <c r="W358" s="10">
        <f>IOS!O358</f>
        <v/>
      </c>
    </row>
    <row r="359" ht="22.5" customHeight="1" s="150">
      <c r="U359" s="5" t="n">
        <v>357</v>
      </c>
      <c r="V359" s="6">
        <f>And!O359</f>
        <v/>
      </c>
      <c r="W359" s="7">
        <f>IOS!O359</f>
        <v/>
      </c>
    </row>
    <row r="360" ht="22.5" customHeight="1" s="150">
      <c r="U360" s="8" t="n">
        <v>358</v>
      </c>
      <c r="V360" s="9">
        <f>And!O360</f>
        <v/>
      </c>
      <c r="W360" s="10">
        <f>IOS!O360</f>
        <v/>
      </c>
    </row>
    <row r="361" ht="22.5" customHeight="1" s="150">
      <c r="U361" s="5" t="n">
        <v>359</v>
      </c>
      <c r="V361" s="6">
        <f>And!O361</f>
        <v/>
      </c>
      <c r="W361" s="7">
        <f>IOS!O361</f>
        <v/>
      </c>
    </row>
    <row r="362" ht="22.5" customHeight="1" s="150">
      <c r="U362" s="8" t="n">
        <v>360</v>
      </c>
      <c r="V362" s="9">
        <f>And!O362</f>
        <v/>
      </c>
      <c r="W362" s="10">
        <f>IOS!O362</f>
        <v/>
      </c>
    </row>
    <row r="363" ht="22.5" customHeight="1" s="150">
      <c r="U363" s="5" t="n">
        <v>361</v>
      </c>
      <c r="V363" s="6">
        <f>And!O363</f>
        <v/>
      </c>
      <c r="W363" s="7">
        <f>IOS!O363</f>
        <v/>
      </c>
    </row>
    <row r="364" ht="22.5" customHeight="1" s="150">
      <c r="U364" s="8" t="n">
        <v>362</v>
      </c>
      <c r="V364" s="9">
        <f>And!O364</f>
        <v/>
      </c>
      <c r="W364" s="10">
        <f>IOS!O364</f>
        <v/>
      </c>
    </row>
    <row r="365" ht="22.5" customHeight="1" s="150">
      <c r="U365" s="5" t="n">
        <v>363</v>
      </c>
      <c r="V365" s="6">
        <f>And!O365</f>
        <v/>
      </c>
      <c r="W365" s="7">
        <f>IOS!O365</f>
        <v/>
      </c>
    </row>
    <row r="366" ht="22.5" customHeight="1" s="150">
      <c r="U366" s="8" t="n">
        <v>364</v>
      </c>
      <c r="V366" s="9">
        <f>And!O366</f>
        <v/>
      </c>
      <c r="W366" s="10">
        <f>IOS!O366</f>
        <v/>
      </c>
    </row>
    <row r="367" ht="22.5" customHeight="1" s="150">
      <c r="U367" s="5" t="n">
        <v>365</v>
      </c>
      <c r="V367" s="6">
        <f>And!O367</f>
        <v/>
      </c>
      <c r="W367" s="7">
        <f>IOS!O367</f>
        <v/>
      </c>
    </row>
    <row r="368" ht="22.5" customHeight="1" s="150">
      <c r="U368" s="8" t="n">
        <v>366</v>
      </c>
      <c r="V368" s="9">
        <f>And!O368</f>
        <v/>
      </c>
      <c r="W368" s="10">
        <f>IOS!O368</f>
        <v/>
      </c>
    </row>
    <row r="369" ht="22.5" customHeight="1" s="150">
      <c r="U369" s="5" t="n">
        <v>367</v>
      </c>
      <c r="V369" s="6">
        <f>And!O369</f>
        <v/>
      </c>
      <c r="W369" s="7">
        <f>IOS!O369</f>
        <v/>
      </c>
    </row>
    <row r="370" ht="22.5" customHeight="1" s="150">
      <c r="U370" s="8" t="n">
        <v>368</v>
      </c>
      <c r="V370" s="9">
        <f>And!O370</f>
        <v/>
      </c>
      <c r="W370" s="10">
        <f>IOS!O370</f>
        <v/>
      </c>
    </row>
    <row r="371" ht="22.5" customHeight="1" s="150">
      <c r="U371" s="5" t="n">
        <v>369</v>
      </c>
      <c r="V371" s="6">
        <f>And!O371</f>
        <v/>
      </c>
      <c r="W371" s="7">
        <f>IOS!O371</f>
        <v/>
      </c>
    </row>
    <row r="372" ht="22.5" customHeight="1" s="150">
      <c r="U372" s="8" t="n">
        <v>370</v>
      </c>
      <c r="V372" s="9">
        <f>And!O372</f>
        <v/>
      </c>
      <c r="W372" s="10">
        <f>IOS!O372</f>
        <v/>
      </c>
    </row>
    <row r="373" ht="22.5" customHeight="1" s="150">
      <c r="U373" s="5" t="n">
        <v>371</v>
      </c>
      <c r="V373" s="6">
        <f>And!O373</f>
        <v/>
      </c>
      <c r="W373" s="7">
        <f>IOS!O373</f>
        <v/>
      </c>
    </row>
    <row r="374" ht="22.5" customHeight="1" s="150">
      <c r="U374" s="8" t="n">
        <v>372</v>
      </c>
      <c r="V374" s="9">
        <f>And!O374</f>
        <v/>
      </c>
      <c r="W374" s="10">
        <f>IOS!O374</f>
        <v/>
      </c>
    </row>
    <row r="375" ht="22.5" customHeight="1" s="150">
      <c r="U375" s="5" t="n">
        <v>373</v>
      </c>
      <c r="V375" s="6">
        <f>And!O375</f>
        <v/>
      </c>
      <c r="W375" s="7">
        <f>IOS!O375</f>
        <v/>
      </c>
    </row>
    <row r="376" ht="22.5" customHeight="1" s="150">
      <c r="U376" s="8" t="n">
        <v>374</v>
      </c>
      <c r="V376" s="9">
        <f>And!O376</f>
        <v/>
      </c>
      <c r="W376" s="10">
        <f>IOS!O376</f>
        <v/>
      </c>
    </row>
    <row r="377" ht="22.5" customHeight="1" s="150">
      <c r="U377" s="5" t="n">
        <v>375</v>
      </c>
      <c r="V377" s="6">
        <f>And!O377</f>
        <v/>
      </c>
      <c r="W377" s="7">
        <f>IOS!O377</f>
        <v/>
      </c>
    </row>
    <row r="378" ht="22.5" customHeight="1" s="150">
      <c r="U378" s="8" t="n">
        <v>376</v>
      </c>
      <c r="V378" s="9">
        <f>And!O378</f>
        <v/>
      </c>
      <c r="W378" s="10">
        <f>IOS!O378</f>
        <v/>
      </c>
    </row>
    <row r="379" ht="22.5" customHeight="1" s="150">
      <c r="U379" s="5" t="n">
        <v>377</v>
      </c>
      <c r="V379" s="6">
        <f>And!O379</f>
        <v/>
      </c>
      <c r="W379" s="7">
        <f>IOS!O379</f>
        <v/>
      </c>
    </row>
    <row r="380" ht="22.5" customHeight="1" s="150">
      <c r="U380" s="8" t="n">
        <v>378</v>
      </c>
      <c r="V380" s="9">
        <f>And!O380</f>
        <v/>
      </c>
      <c r="W380" s="10">
        <f>IOS!O380</f>
        <v/>
      </c>
    </row>
    <row r="381" ht="22.5" customHeight="1" s="150">
      <c r="U381" s="5" t="n">
        <v>379</v>
      </c>
      <c r="V381" s="6">
        <f>And!O381</f>
        <v/>
      </c>
      <c r="W381" s="7">
        <f>IOS!O381</f>
        <v/>
      </c>
    </row>
    <row r="382" ht="22.5" customHeight="1" s="150">
      <c r="U382" s="8" t="n">
        <v>380</v>
      </c>
      <c r="V382" s="9">
        <f>And!O382</f>
        <v/>
      </c>
      <c r="W382" s="10">
        <f>IOS!O382</f>
        <v/>
      </c>
    </row>
    <row r="383" ht="22.5" customHeight="1" s="150">
      <c r="U383" s="5" t="n">
        <v>381</v>
      </c>
      <c r="V383" s="6">
        <f>And!O383</f>
        <v/>
      </c>
      <c r="W383" s="7">
        <f>IOS!O383</f>
        <v/>
      </c>
    </row>
    <row r="384" ht="22.5" customHeight="1" s="150">
      <c r="U384" s="8" t="n">
        <v>382</v>
      </c>
      <c r="V384" s="9">
        <f>And!O384</f>
        <v/>
      </c>
      <c r="W384" s="10">
        <f>IOS!O384</f>
        <v/>
      </c>
    </row>
    <row r="385" ht="22.5" customHeight="1" s="150">
      <c r="U385" s="5" t="n">
        <v>383</v>
      </c>
      <c r="V385" s="6">
        <f>And!O385</f>
        <v/>
      </c>
      <c r="W385" s="7">
        <f>IOS!O385</f>
        <v/>
      </c>
    </row>
    <row r="386" ht="22.5" customHeight="1" s="150">
      <c r="U386" s="8" t="n">
        <v>384</v>
      </c>
      <c r="V386" s="9">
        <f>And!O386</f>
        <v/>
      </c>
      <c r="W386" s="10">
        <f>IOS!O386</f>
        <v/>
      </c>
    </row>
    <row r="387" ht="22.5" customHeight="1" s="150">
      <c r="U387" s="5" t="n">
        <v>385</v>
      </c>
      <c r="V387" s="6">
        <f>And!O387</f>
        <v/>
      </c>
      <c r="W387" s="7">
        <f>IOS!O387</f>
        <v/>
      </c>
    </row>
    <row r="388" ht="22.5" customHeight="1" s="150">
      <c r="U388" s="8" t="n">
        <v>386</v>
      </c>
      <c r="V388" s="9">
        <f>And!O388</f>
        <v/>
      </c>
      <c r="W388" s="10">
        <f>IOS!O388</f>
        <v/>
      </c>
    </row>
    <row r="389" ht="22.5" customHeight="1" s="150">
      <c r="U389" s="5" t="n">
        <v>387</v>
      </c>
      <c r="V389" s="6">
        <f>And!O389</f>
        <v/>
      </c>
      <c r="W389" s="7">
        <f>IOS!O389</f>
        <v/>
      </c>
    </row>
    <row r="390" ht="22.5" customHeight="1" s="150">
      <c r="U390" s="8" t="n">
        <v>388</v>
      </c>
      <c r="V390" s="9">
        <f>And!O390</f>
        <v/>
      </c>
      <c r="W390" s="10">
        <f>IOS!O390</f>
        <v/>
      </c>
    </row>
    <row r="391" ht="22.5" customHeight="1" s="150">
      <c r="U391" s="5" t="n">
        <v>389</v>
      </c>
      <c r="V391" s="6">
        <f>And!O391</f>
        <v/>
      </c>
      <c r="W391" s="7">
        <f>IOS!O391</f>
        <v/>
      </c>
    </row>
    <row r="392" ht="22.5" customHeight="1" s="150">
      <c r="U392" s="8" t="n">
        <v>390</v>
      </c>
      <c r="V392" s="9">
        <f>And!O392</f>
        <v/>
      </c>
      <c r="W392" s="10">
        <f>IOS!O392</f>
        <v/>
      </c>
    </row>
    <row r="393" ht="22.5" customHeight="1" s="150">
      <c r="U393" s="5" t="n">
        <v>391</v>
      </c>
      <c r="V393" s="6">
        <f>And!O393</f>
        <v/>
      </c>
      <c r="W393" s="7">
        <f>IOS!O393</f>
        <v/>
      </c>
    </row>
    <row r="394" ht="22.5" customHeight="1" s="150">
      <c r="U394" s="8" t="n">
        <v>392</v>
      </c>
      <c r="V394" s="9">
        <f>And!O394</f>
        <v/>
      </c>
      <c r="W394" s="10">
        <f>IOS!O394</f>
        <v/>
      </c>
    </row>
    <row r="395" ht="22.5" customHeight="1" s="150">
      <c r="U395" s="5" t="n">
        <v>393</v>
      </c>
      <c r="V395" s="6">
        <f>And!O395</f>
        <v/>
      </c>
      <c r="W395" s="7">
        <f>IOS!O395</f>
        <v/>
      </c>
    </row>
    <row r="396" ht="22.5" customHeight="1" s="150">
      <c r="U396" s="8" t="n">
        <v>394</v>
      </c>
      <c r="V396" s="9">
        <f>And!O396</f>
        <v/>
      </c>
      <c r="W396" s="10">
        <f>IOS!O396</f>
        <v/>
      </c>
    </row>
    <row r="397" ht="22.5" customHeight="1" s="150">
      <c r="U397" s="5" t="n">
        <v>395</v>
      </c>
      <c r="V397" s="6">
        <f>And!O397</f>
        <v/>
      </c>
      <c r="W397" s="7">
        <f>IOS!O397</f>
        <v/>
      </c>
    </row>
    <row r="398" ht="22.5" customHeight="1" s="150">
      <c r="U398" s="8" t="n">
        <v>396</v>
      </c>
      <c r="V398" s="9">
        <f>And!O398</f>
        <v/>
      </c>
      <c r="W398" s="10">
        <f>IOS!O398</f>
        <v/>
      </c>
    </row>
    <row r="399" ht="22.5" customHeight="1" s="150">
      <c r="U399" s="5" t="n">
        <v>397</v>
      </c>
      <c r="V399" s="6">
        <f>And!O399</f>
        <v/>
      </c>
      <c r="W399" s="7">
        <f>IOS!O399</f>
        <v/>
      </c>
    </row>
    <row r="400" ht="22.5" customHeight="1" s="150">
      <c r="U400" s="8" t="n">
        <v>398</v>
      </c>
      <c r="V400" s="9">
        <f>And!O400</f>
        <v/>
      </c>
      <c r="W400" s="10">
        <f>IOS!O400</f>
        <v/>
      </c>
    </row>
    <row r="401" ht="22.5" customHeight="1" s="150">
      <c r="U401" s="5" t="n">
        <v>399</v>
      </c>
      <c r="V401" s="6">
        <f>And!O401</f>
        <v/>
      </c>
      <c r="W401" s="7">
        <f>IOS!O401</f>
        <v/>
      </c>
    </row>
    <row r="402" ht="22.5" customHeight="1" s="150">
      <c r="U402" s="8" t="n">
        <v>400</v>
      </c>
      <c r="V402" s="9">
        <f>And!O402</f>
        <v/>
      </c>
      <c r="W402" s="10">
        <f>IOS!O402</f>
        <v/>
      </c>
    </row>
    <row r="403" ht="22.5" customHeight="1" s="150">
      <c r="U403" s="5" t="n">
        <v>401</v>
      </c>
      <c r="V403" s="6">
        <f>And!O403</f>
        <v/>
      </c>
      <c r="W403" s="7">
        <f>IOS!O403</f>
        <v/>
      </c>
    </row>
    <row r="404" ht="22.5" customHeight="1" s="150">
      <c r="U404" s="8" t="n">
        <v>402</v>
      </c>
      <c r="V404" s="9">
        <f>And!O404</f>
        <v/>
      </c>
      <c r="W404" s="10">
        <f>IOS!O404</f>
        <v/>
      </c>
    </row>
    <row r="405" ht="22.5" customHeight="1" s="150">
      <c r="U405" s="5" t="n">
        <v>403</v>
      </c>
      <c r="V405" s="6">
        <f>And!O405</f>
        <v/>
      </c>
      <c r="W405" s="7">
        <f>IOS!O405</f>
        <v/>
      </c>
    </row>
    <row r="406" ht="22.5" customHeight="1" s="150">
      <c r="U406" s="8" t="n">
        <v>404</v>
      </c>
      <c r="V406" s="9">
        <f>And!O406</f>
        <v/>
      </c>
      <c r="W406" s="10">
        <f>IOS!O406</f>
        <v/>
      </c>
    </row>
    <row r="407" ht="22.5" customHeight="1" s="150">
      <c r="U407" s="5" t="n">
        <v>405</v>
      </c>
      <c r="V407" s="6">
        <f>And!O407</f>
        <v/>
      </c>
      <c r="W407" s="7">
        <f>IOS!O407</f>
        <v/>
      </c>
    </row>
    <row r="408" ht="22.5" customHeight="1" s="150">
      <c r="U408" s="8" t="n">
        <v>406</v>
      </c>
      <c r="V408" s="9">
        <f>And!O408</f>
        <v/>
      </c>
      <c r="W408" s="10">
        <f>IOS!O408</f>
        <v/>
      </c>
    </row>
    <row r="409" ht="22.5" customHeight="1" s="150">
      <c r="U409" s="5" t="n">
        <v>407</v>
      </c>
      <c r="V409" s="6">
        <f>And!O409</f>
        <v/>
      </c>
      <c r="W409" s="7">
        <f>IOS!O409</f>
        <v/>
      </c>
    </row>
    <row r="410" ht="22.5" customHeight="1" s="150">
      <c r="U410" s="8" t="n">
        <v>408</v>
      </c>
      <c r="V410" s="9">
        <f>And!O410</f>
        <v/>
      </c>
      <c r="W410" s="10">
        <f>IOS!O410</f>
        <v/>
      </c>
    </row>
    <row r="411" ht="22.5" customHeight="1" s="150">
      <c r="U411" s="5" t="n">
        <v>409</v>
      </c>
      <c r="V411" s="6">
        <f>And!O411</f>
        <v/>
      </c>
      <c r="W411" s="7">
        <f>IOS!O411</f>
        <v/>
      </c>
    </row>
    <row r="412" ht="22.5" customHeight="1" s="150">
      <c r="U412" s="8" t="n">
        <v>410</v>
      </c>
      <c r="V412" s="9">
        <f>And!O412</f>
        <v/>
      </c>
      <c r="W412" s="10">
        <f>IOS!O412</f>
        <v/>
      </c>
    </row>
    <row r="413" ht="22.5" customHeight="1" s="150">
      <c r="U413" s="5" t="n">
        <v>411</v>
      </c>
      <c r="V413" s="6">
        <f>And!O413</f>
        <v/>
      </c>
      <c r="W413" s="7">
        <f>IOS!O413</f>
        <v/>
      </c>
    </row>
    <row r="414" ht="22.5" customHeight="1" s="150">
      <c r="U414" s="8" t="n">
        <v>412</v>
      </c>
      <c r="V414" s="9">
        <f>And!O414</f>
        <v/>
      </c>
      <c r="W414" s="10">
        <f>IOS!O414</f>
        <v/>
      </c>
    </row>
    <row r="415" ht="22.5" customHeight="1" s="150">
      <c r="U415" s="5" t="n">
        <v>413</v>
      </c>
      <c r="V415" s="6">
        <f>And!O415</f>
        <v/>
      </c>
      <c r="W415" s="7">
        <f>IOS!O415</f>
        <v/>
      </c>
    </row>
    <row r="416" ht="22.5" customHeight="1" s="150">
      <c r="U416" s="8" t="n">
        <v>414</v>
      </c>
      <c r="V416" s="9">
        <f>And!O416</f>
        <v/>
      </c>
      <c r="W416" s="10">
        <f>IOS!O416</f>
        <v/>
      </c>
    </row>
    <row r="417" ht="22.5" customHeight="1" s="150">
      <c r="U417" s="5" t="n">
        <v>415</v>
      </c>
      <c r="V417" s="6">
        <f>And!O417</f>
        <v/>
      </c>
      <c r="W417" s="7">
        <f>IOS!O417</f>
        <v/>
      </c>
    </row>
    <row r="418" ht="22.5" customHeight="1" s="150">
      <c r="U418" s="8" t="n">
        <v>416</v>
      </c>
      <c r="V418" s="9">
        <f>And!O418</f>
        <v/>
      </c>
      <c r="W418" s="10">
        <f>IOS!O418</f>
        <v/>
      </c>
    </row>
    <row r="419" ht="22.5" customHeight="1" s="150">
      <c r="U419" s="5" t="n">
        <v>417</v>
      </c>
      <c r="V419" s="6">
        <f>And!O419</f>
        <v/>
      </c>
      <c r="W419" s="7">
        <f>IOS!O419</f>
        <v/>
      </c>
    </row>
    <row r="420" ht="22.5" customHeight="1" s="150">
      <c r="U420" s="8" t="n">
        <v>418</v>
      </c>
      <c r="V420" s="9">
        <f>And!O420</f>
        <v/>
      </c>
      <c r="W420" s="10">
        <f>IOS!O420</f>
        <v/>
      </c>
    </row>
    <row r="421" ht="22.5" customHeight="1" s="150">
      <c r="U421" s="5" t="n">
        <v>419</v>
      </c>
      <c r="V421" s="6">
        <f>And!O421</f>
        <v/>
      </c>
      <c r="W421" s="7">
        <f>IOS!O421</f>
        <v/>
      </c>
    </row>
    <row r="422" ht="22.5" customHeight="1" s="150">
      <c r="U422" s="8" t="n">
        <v>420</v>
      </c>
      <c r="V422" s="9">
        <f>And!O422</f>
        <v/>
      </c>
      <c r="W422" s="10">
        <f>IOS!O422</f>
        <v/>
      </c>
    </row>
    <row r="423" ht="22.5" customHeight="1" s="150">
      <c r="U423" s="5" t="n">
        <v>421</v>
      </c>
      <c r="V423" s="6">
        <f>And!O423</f>
        <v/>
      </c>
      <c r="W423" s="7">
        <f>IOS!O423</f>
        <v/>
      </c>
    </row>
    <row r="424" ht="22.5" customHeight="1" s="150">
      <c r="U424" s="8" t="n">
        <v>422</v>
      </c>
      <c r="V424" s="9">
        <f>And!O424</f>
        <v/>
      </c>
      <c r="W424" s="10">
        <f>IOS!O424</f>
        <v/>
      </c>
    </row>
    <row r="425" ht="22.5" customHeight="1" s="150">
      <c r="U425" s="5" t="n">
        <v>423</v>
      </c>
      <c r="V425" s="6">
        <f>And!O425</f>
        <v/>
      </c>
      <c r="W425" s="7">
        <f>IOS!O425</f>
        <v/>
      </c>
    </row>
    <row r="426" ht="22.5" customHeight="1" s="150">
      <c r="U426" s="8" t="n">
        <v>424</v>
      </c>
      <c r="V426" s="9">
        <f>And!O426</f>
        <v/>
      </c>
      <c r="W426" s="10">
        <f>IOS!O426</f>
        <v/>
      </c>
    </row>
    <row r="427" ht="22.5" customHeight="1" s="150">
      <c r="U427" s="5" t="n">
        <v>425</v>
      </c>
      <c r="V427" s="6">
        <f>And!O427</f>
        <v/>
      </c>
      <c r="W427" s="7">
        <f>IOS!O427</f>
        <v/>
      </c>
    </row>
    <row r="428" ht="22.5" customHeight="1" s="150">
      <c r="U428" s="8" t="n">
        <v>426</v>
      </c>
      <c r="V428" s="9">
        <f>And!O428</f>
        <v/>
      </c>
      <c r="W428" s="10">
        <f>IOS!O428</f>
        <v/>
      </c>
    </row>
    <row r="429" ht="22.5" customHeight="1" s="150">
      <c r="U429" s="5" t="n">
        <v>427</v>
      </c>
      <c r="V429" s="6">
        <f>And!O429</f>
        <v/>
      </c>
      <c r="W429" s="7">
        <f>IOS!O429</f>
        <v/>
      </c>
    </row>
    <row r="430" ht="22.5" customHeight="1" s="150">
      <c r="U430" s="8" t="n">
        <v>428</v>
      </c>
      <c r="V430" s="9">
        <f>And!O430</f>
        <v/>
      </c>
      <c r="W430" s="10">
        <f>IOS!O430</f>
        <v/>
      </c>
    </row>
    <row r="431" ht="22.5" customHeight="1" s="150">
      <c r="U431" s="5" t="n">
        <v>429</v>
      </c>
      <c r="V431" s="6">
        <f>And!O431</f>
        <v/>
      </c>
      <c r="W431" s="7">
        <f>IOS!O431</f>
        <v/>
      </c>
    </row>
    <row r="432" ht="22.5" customHeight="1" s="150">
      <c r="U432" s="8" t="n">
        <v>430</v>
      </c>
      <c r="V432" s="9">
        <f>And!O432</f>
        <v/>
      </c>
      <c r="W432" s="10">
        <f>IOS!O432</f>
        <v/>
      </c>
    </row>
    <row r="433" ht="22.5" customHeight="1" s="150">
      <c r="U433" s="5" t="n">
        <v>431</v>
      </c>
      <c r="V433" s="6">
        <f>And!O433</f>
        <v/>
      </c>
      <c r="W433" s="7">
        <f>IOS!O433</f>
        <v/>
      </c>
    </row>
    <row r="434" ht="22.5" customHeight="1" s="150">
      <c r="U434" s="8" t="n">
        <v>432</v>
      </c>
      <c r="V434" s="9">
        <f>And!O434</f>
        <v/>
      </c>
      <c r="W434" s="10">
        <f>IOS!O434</f>
        <v/>
      </c>
    </row>
    <row r="435" ht="22.5" customHeight="1" s="150">
      <c r="U435" s="5" t="n">
        <v>433</v>
      </c>
      <c r="V435" s="6">
        <f>And!O435</f>
        <v/>
      </c>
      <c r="W435" s="7">
        <f>IOS!O435</f>
        <v/>
      </c>
    </row>
    <row r="436" ht="22.5" customHeight="1" s="150">
      <c r="U436" s="8" t="n">
        <v>434</v>
      </c>
      <c r="V436" s="9">
        <f>And!O436</f>
        <v/>
      </c>
      <c r="W436" s="10">
        <f>IOS!O436</f>
        <v/>
      </c>
    </row>
    <row r="437" ht="22.5" customHeight="1" s="150">
      <c r="U437" s="5" t="n">
        <v>435</v>
      </c>
      <c r="V437" s="6">
        <f>And!O437</f>
        <v/>
      </c>
      <c r="W437" s="7">
        <f>IOS!O437</f>
        <v/>
      </c>
    </row>
    <row r="438" ht="22.5" customHeight="1" s="150">
      <c r="U438" s="8" t="n">
        <v>436</v>
      </c>
      <c r="V438" s="9">
        <f>And!O438</f>
        <v/>
      </c>
      <c r="W438" s="10">
        <f>IOS!O438</f>
        <v/>
      </c>
    </row>
    <row r="439" ht="22.5" customHeight="1" s="150">
      <c r="U439" s="5" t="n">
        <v>437</v>
      </c>
      <c r="V439" s="6">
        <f>And!O439</f>
        <v/>
      </c>
      <c r="W439" s="7">
        <f>IOS!O439</f>
        <v/>
      </c>
    </row>
    <row r="440" ht="22.5" customHeight="1" s="150">
      <c r="U440" s="8" t="n">
        <v>438</v>
      </c>
      <c r="V440" s="9">
        <f>And!O440</f>
        <v/>
      </c>
      <c r="W440" s="10">
        <f>IOS!O440</f>
        <v/>
      </c>
    </row>
    <row r="441" ht="22.5" customHeight="1" s="150">
      <c r="U441" s="5" t="n">
        <v>439</v>
      </c>
      <c r="V441" s="6">
        <f>And!O441</f>
        <v/>
      </c>
      <c r="W441" s="7">
        <f>IOS!O441</f>
        <v/>
      </c>
    </row>
    <row r="442" ht="22.5" customHeight="1" s="150">
      <c r="U442" s="8" t="n">
        <v>440</v>
      </c>
      <c r="V442" s="9">
        <f>And!O442</f>
        <v/>
      </c>
      <c r="W442" s="10">
        <f>IOS!O442</f>
        <v/>
      </c>
    </row>
    <row r="443" ht="22.5" customHeight="1" s="150">
      <c r="U443" s="5" t="n">
        <v>441</v>
      </c>
      <c r="V443" s="6">
        <f>And!O443</f>
        <v/>
      </c>
      <c r="W443" s="7">
        <f>IOS!O443</f>
        <v/>
      </c>
    </row>
    <row r="444" ht="22.5" customHeight="1" s="150">
      <c r="U444" s="8" t="n">
        <v>442</v>
      </c>
      <c r="V444" s="9">
        <f>And!O444</f>
        <v/>
      </c>
      <c r="W444" s="10">
        <f>IOS!O444</f>
        <v/>
      </c>
    </row>
    <row r="445" ht="22.5" customHeight="1" s="150">
      <c r="U445" s="5" t="n">
        <v>443</v>
      </c>
      <c r="V445" s="6">
        <f>And!O445</f>
        <v/>
      </c>
      <c r="W445" s="7">
        <f>IOS!O445</f>
        <v/>
      </c>
    </row>
    <row r="446" ht="22.5" customHeight="1" s="150">
      <c r="U446" s="8" t="n">
        <v>444</v>
      </c>
      <c r="V446" s="9">
        <f>And!O446</f>
        <v/>
      </c>
      <c r="W446" s="10">
        <f>IOS!O446</f>
        <v/>
      </c>
    </row>
    <row r="447" ht="22.5" customHeight="1" s="150">
      <c r="U447" s="5" t="n">
        <v>445</v>
      </c>
      <c r="V447" s="6">
        <f>And!O447</f>
        <v/>
      </c>
      <c r="W447" s="7">
        <f>IOS!O447</f>
        <v/>
      </c>
    </row>
    <row r="448" ht="22.5" customHeight="1" s="150">
      <c r="U448" s="8" t="n">
        <v>446</v>
      </c>
      <c r="V448" s="9">
        <f>And!O448</f>
        <v/>
      </c>
      <c r="W448" s="10">
        <f>IOS!O448</f>
        <v/>
      </c>
    </row>
    <row r="449" ht="22.5" customHeight="1" s="150">
      <c r="U449" s="5" t="n">
        <v>447</v>
      </c>
      <c r="V449" s="6">
        <f>And!O449</f>
        <v/>
      </c>
      <c r="W449" s="7">
        <f>IOS!O449</f>
        <v/>
      </c>
    </row>
    <row r="450" ht="22.5" customHeight="1" s="150">
      <c r="U450" s="8" t="n">
        <v>448</v>
      </c>
      <c r="V450" s="9">
        <f>And!O450</f>
        <v/>
      </c>
      <c r="W450" s="10">
        <f>IOS!O450</f>
        <v/>
      </c>
    </row>
    <row r="451" ht="22.5" customHeight="1" s="150">
      <c r="U451" s="5" t="n">
        <v>449</v>
      </c>
      <c r="V451" s="6">
        <f>And!O451</f>
        <v/>
      </c>
      <c r="W451" s="7">
        <f>IOS!O451</f>
        <v/>
      </c>
    </row>
    <row r="452" ht="22.5" customHeight="1" s="150">
      <c r="U452" s="8" t="n">
        <v>450</v>
      </c>
      <c r="V452" s="9">
        <f>And!O452</f>
        <v/>
      </c>
      <c r="W452" s="10">
        <f>IOS!O452</f>
        <v/>
      </c>
    </row>
    <row r="453" ht="22.5" customHeight="1" s="150">
      <c r="U453" s="5" t="n">
        <v>451</v>
      </c>
      <c r="V453" s="6">
        <f>And!O453</f>
        <v/>
      </c>
      <c r="W453" s="7">
        <f>IOS!O453</f>
        <v/>
      </c>
    </row>
    <row r="454" ht="22.5" customHeight="1" s="150">
      <c r="U454" s="8" t="n">
        <v>452</v>
      </c>
      <c r="V454" s="9">
        <f>And!O454</f>
        <v/>
      </c>
      <c r="W454" s="10">
        <f>IOS!O454</f>
        <v/>
      </c>
    </row>
    <row r="455" ht="22.5" customHeight="1" s="150">
      <c r="U455" s="5" t="n">
        <v>453</v>
      </c>
      <c r="V455" s="6">
        <f>And!O455</f>
        <v/>
      </c>
      <c r="W455" s="7">
        <f>IOS!O455</f>
        <v/>
      </c>
    </row>
    <row r="456" ht="22.5" customHeight="1" s="150">
      <c r="U456" s="8" t="n">
        <v>454</v>
      </c>
      <c r="V456" s="9">
        <f>And!O456</f>
        <v/>
      </c>
      <c r="W456" s="10">
        <f>IOS!O456</f>
        <v/>
      </c>
    </row>
    <row r="457" ht="22.5" customHeight="1" s="150">
      <c r="U457" s="5" t="n">
        <v>455</v>
      </c>
      <c r="V457" s="6">
        <f>And!O457</f>
        <v/>
      </c>
      <c r="W457" s="7">
        <f>IOS!O457</f>
        <v/>
      </c>
    </row>
    <row r="458" ht="22.5" customHeight="1" s="150">
      <c r="U458" s="8" t="n">
        <v>456</v>
      </c>
      <c r="V458" s="9">
        <f>And!O458</f>
        <v/>
      </c>
      <c r="W458" s="10">
        <f>IOS!O458</f>
        <v/>
      </c>
    </row>
    <row r="459" ht="22.5" customHeight="1" s="150">
      <c r="U459" s="5" t="n">
        <v>457</v>
      </c>
      <c r="V459" s="6">
        <f>And!O459</f>
        <v/>
      </c>
      <c r="W459" s="7">
        <f>IOS!O459</f>
        <v/>
      </c>
    </row>
    <row r="460" ht="22.5" customHeight="1" s="150">
      <c r="U460" s="8" t="n">
        <v>458</v>
      </c>
      <c r="V460" s="9">
        <f>And!O460</f>
        <v/>
      </c>
      <c r="W460" s="10">
        <f>IOS!O460</f>
        <v/>
      </c>
    </row>
    <row r="461" ht="22.5" customHeight="1" s="150">
      <c r="U461" s="5" t="n">
        <v>459</v>
      </c>
      <c r="V461" s="6">
        <f>And!O461</f>
        <v/>
      </c>
      <c r="W461" s="7">
        <f>IOS!O461</f>
        <v/>
      </c>
    </row>
    <row r="462" ht="22.5" customHeight="1" s="150">
      <c r="U462" s="8" t="n">
        <v>460</v>
      </c>
      <c r="V462" s="9">
        <f>And!O462</f>
        <v/>
      </c>
      <c r="W462" s="10">
        <f>IOS!O462</f>
        <v/>
      </c>
    </row>
    <row r="463" ht="22.5" customHeight="1" s="150">
      <c r="U463" s="5" t="n">
        <v>461</v>
      </c>
      <c r="V463" s="6">
        <f>And!O463</f>
        <v/>
      </c>
      <c r="W463" s="7">
        <f>IOS!O463</f>
        <v/>
      </c>
    </row>
    <row r="464" ht="22.5" customHeight="1" s="150">
      <c r="U464" s="8" t="n">
        <v>462</v>
      </c>
      <c r="V464" s="9">
        <f>And!O464</f>
        <v/>
      </c>
      <c r="W464" s="10">
        <f>IOS!O464</f>
        <v/>
      </c>
    </row>
    <row r="465" ht="22.5" customHeight="1" s="150">
      <c r="U465" s="5" t="n">
        <v>463</v>
      </c>
      <c r="V465" s="6">
        <f>And!O465</f>
        <v/>
      </c>
      <c r="W465" s="7">
        <f>IOS!O465</f>
        <v/>
      </c>
    </row>
    <row r="466" ht="22.5" customHeight="1" s="150">
      <c r="U466" s="8" t="n">
        <v>464</v>
      </c>
      <c r="V466" s="9">
        <f>And!O466</f>
        <v/>
      </c>
      <c r="W466" s="10">
        <f>IOS!O466</f>
        <v/>
      </c>
    </row>
    <row r="467" ht="22.5" customHeight="1" s="150">
      <c r="U467" s="5" t="n">
        <v>465</v>
      </c>
      <c r="V467" s="6">
        <f>And!O467</f>
        <v/>
      </c>
      <c r="W467" s="7">
        <f>IOS!O467</f>
        <v/>
      </c>
    </row>
    <row r="468" ht="22.5" customHeight="1" s="150">
      <c r="U468" s="8" t="n">
        <v>466</v>
      </c>
      <c r="V468" s="9">
        <f>And!O468</f>
        <v/>
      </c>
      <c r="W468" s="10">
        <f>IOS!O468</f>
        <v/>
      </c>
    </row>
    <row r="469" ht="22.5" customHeight="1" s="150">
      <c r="U469" s="5" t="n">
        <v>467</v>
      </c>
      <c r="V469" s="6">
        <f>And!O469</f>
        <v/>
      </c>
      <c r="W469" s="7">
        <f>IOS!O469</f>
        <v/>
      </c>
    </row>
    <row r="470" ht="22.5" customHeight="1" s="150">
      <c r="U470" s="8" t="n">
        <v>468</v>
      </c>
      <c r="V470" s="9">
        <f>And!O470</f>
        <v/>
      </c>
      <c r="W470" s="10">
        <f>IOS!O470</f>
        <v/>
      </c>
    </row>
    <row r="471" ht="22.5" customHeight="1" s="150">
      <c r="U471" s="5" t="n">
        <v>469</v>
      </c>
      <c r="V471" s="6">
        <f>And!O471</f>
        <v/>
      </c>
      <c r="W471" s="7">
        <f>IOS!O471</f>
        <v/>
      </c>
    </row>
    <row r="472" ht="22.5" customHeight="1" s="150">
      <c r="U472" s="8" t="n">
        <v>470</v>
      </c>
      <c r="V472" s="9">
        <f>And!O472</f>
        <v/>
      </c>
      <c r="W472" s="10">
        <f>IOS!O472</f>
        <v/>
      </c>
    </row>
    <row r="473" ht="22.5" customHeight="1" s="150">
      <c r="U473" s="5" t="n">
        <v>471</v>
      </c>
      <c r="V473" s="6">
        <f>And!O473</f>
        <v/>
      </c>
      <c r="W473" s="7">
        <f>IOS!O473</f>
        <v/>
      </c>
    </row>
    <row r="474" ht="22.5" customHeight="1" s="150">
      <c r="U474" s="8" t="n">
        <v>472</v>
      </c>
      <c r="V474" s="9">
        <f>And!O474</f>
        <v/>
      </c>
      <c r="W474" s="10">
        <f>IOS!O474</f>
        <v/>
      </c>
    </row>
    <row r="475" ht="22.5" customHeight="1" s="150">
      <c r="U475" s="5" t="n">
        <v>473</v>
      </c>
      <c r="V475" s="6">
        <f>And!O475</f>
        <v/>
      </c>
      <c r="W475" s="7">
        <f>IOS!O475</f>
        <v/>
      </c>
    </row>
    <row r="476" ht="22.5" customHeight="1" s="150">
      <c r="U476" s="8" t="n">
        <v>474</v>
      </c>
      <c r="V476" s="9">
        <f>And!O476</f>
        <v/>
      </c>
      <c r="W476" s="10">
        <f>IOS!O476</f>
        <v/>
      </c>
    </row>
    <row r="477" ht="22.5" customHeight="1" s="150">
      <c r="U477" s="5" t="n">
        <v>475</v>
      </c>
      <c r="V477" s="6">
        <f>And!O477</f>
        <v/>
      </c>
      <c r="W477" s="7">
        <f>IOS!O477</f>
        <v/>
      </c>
    </row>
    <row r="478" ht="22.5" customHeight="1" s="150">
      <c r="U478" s="8" t="n">
        <v>476</v>
      </c>
      <c r="V478" s="9">
        <f>And!O478</f>
        <v/>
      </c>
      <c r="W478" s="10">
        <f>IOS!O478</f>
        <v/>
      </c>
    </row>
    <row r="479" ht="22.5" customHeight="1" s="150">
      <c r="U479" s="5" t="n">
        <v>477</v>
      </c>
      <c r="V479" s="6">
        <f>And!O479</f>
        <v/>
      </c>
      <c r="W479" s="7">
        <f>IOS!O479</f>
        <v/>
      </c>
    </row>
    <row r="480" ht="22.5" customHeight="1" s="150">
      <c r="U480" s="8" t="n">
        <v>478</v>
      </c>
      <c r="V480" s="9">
        <f>And!O480</f>
        <v/>
      </c>
      <c r="W480" s="10">
        <f>IOS!O480</f>
        <v/>
      </c>
    </row>
    <row r="481" ht="22.5" customHeight="1" s="150">
      <c r="U481" s="5" t="n">
        <v>479</v>
      </c>
      <c r="V481" s="6">
        <f>And!O481</f>
        <v/>
      </c>
      <c r="W481" s="7">
        <f>IOS!O481</f>
        <v/>
      </c>
    </row>
    <row r="482" ht="22.5" customHeight="1" s="150">
      <c r="U482" s="8" t="n">
        <v>480</v>
      </c>
      <c r="V482" s="9">
        <f>And!O482</f>
        <v/>
      </c>
      <c r="W482" s="10">
        <f>IOS!O482</f>
        <v/>
      </c>
    </row>
    <row r="483" ht="22.5" customHeight="1" s="150">
      <c r="U483" s="5" t="n">
        <v>481</v>
      </c>
      <c r="V483" s="6">
        <f>And!O483</f>
        <v/>
      </c>
      <c r="W483" s="7">
        <f>IOS!O483</f>
        <v/>
      </c>
    </row>
    <row r="484" ht="22.5" customHeight="1" s="150">
      <c r="U484" s="8" t="n">
        <v>482</v>
      </c>
      <c r="V484" s="9">
        <f>And!O484</f>
        <v/>
      </c>
      <c r="W484" s="10">
        <f>IOS!O484</f>
        <v/>
      </c>
    </row>
    <row r="485" ht="22.5" customHeight="1" s="150">
      <c r="U485" s="5" t="n">
        <v>483</v>
      </c>
      <c r="V485" s="6">
        <f>And!O485</f>
        <v/>
      </c>
      <c r="W485" s="7">
        <f>IOS!O485</f>
        <v/>
      </c>
    </row>
    <row r="486" ht="22.5" customHeight="1" s="150">
      <c r="U486" s="8" t="n">
        <v>484</v>
      </c>
      <c r="V486" s="9">
        <f>And!O486</f>
        <v/>
      </c>
      <c r="W486" s="10">
        <f>IOS!O486</f>
        <v/>
      </c>
    </row>
    <row r="487" ht="22.5" customHeight="1" s="150">
      <c r="U487" s="5" t="n">
        <v>485</v>
      </c>
      <c r="V487" s="6">
        <f>And!O487</f>
        <v/>
      </c>
      <c r="W487" s="7">
        <f>IOS!O487</f>
        <v/>
      </c>
    </row>
    <row r="488" ht="22.5" customHeight="1" s="150">
      <c r="U488" s="8" t="n">
        <v>486</v>
      </c>
      <c r="V488" s="9">
        <f>And!O488</f>
        <v/>
      </c>
      <c r="W488" s="10">
        <f>IOS!O488</f>
        <v/>
      </c>
    </row>
    <row r="489" ht="22.5" customHeight="1" s="150">
      <c r="U489" s="5" t="n">
        <v>487</v>
      </c>
      <c r="V489" s="6">
        <f>And!O489</f>
        <v/>
      </c>
      <c r="W489" s="7">
        <f>IOS!O489</f>
        <v/>
      </c>
    </row>
    <row r="490" ht="22.5" customHeight="1" s="150">
      <c r="U490" s="8" t="n">
        <v>488</v>
      </c>
      <c r="V490" s="9">
        <f>And!O490</f>
        <v/>
      </c>
      <c r="W490" s="10">
        <f>IOS!O490</f>
        <v/>
      </c>
    </row>
    <row r="491" ht="22.5" customHeight="1" s="150">
      <c r="U491" s="5" t="n">
        <v>489</v>
      </c>
      <c r="V491" s="6">
        <f>And!O491</f>
        <v/>
      </c>
      <c r="W491" s="7">
        <f>IOS!O491</f>
        <v/>
      </c>
    </row>
    <row r="492" ht="22.5" customHeight="1" s="150">
      <c r="U492" s="8" t="n">
        <v>490</v>
      </c>
      <c r="V492" s="9">
        <f>And!O492</f>
        <v/>
      </c>
      <c r="W492" s="10">
        <f>IOS!O492</f>
        <v/>
      </c>
    </row>
    <row r="493" ht="22.5" customHeight="1" s="150">
      <c r="U493" s="5" t="n">
        <v>491</v>
      </c>
      <c r="V493" s="6">
        <f>And!O493</f>
        <v/>
      </c>
      <c r="W493" s="7">
        <f>IOS!O493</f>
        <v/>
      </c>
    </row>
    <row r="494" ht="22.5" customHeight="1" s="150">
      <c r="U494" s="8" t="n">
        <v>492</v>
      </c>
      <c r="V494" s="9">
        <f>And!O494</f>
        <v/>
      </c>
      <c r="W494" s="10">
        <f>IOS!O494</f>
        <v/>
      </c>
    </row>
    <row r="495" ht="22.5" customHeight="1" s="150">
      <c r="U495" s="5" t="n">
        <v>493</v>
      </c>
      <c r="V495" s="6">
        <f>And!O495</f>
        <v/>
      </c>
      <c r="W495" s="7">
        <f>IOS!O495</f>
        <v/>
      </c>
    </row>
    <row r="496" ht="22.5" customHeight="1" s="150">
      <c r="U496" s="8" t="n">
        <v>494</v>
      </c>
      <c r="V496" s="9">
        <f>And!O496</f>
        <v/>
      </c>
      <c r="W496" s="10">
        <f>IOS!O496</f>
        <v/>
      </c>
    </row>
    <row r="497" ht="22.5" customHeight="1" s="150">
      <c r="U497" s="5" t="n">
        <v>495</v>
      </c>
      <c r="V497" s="6">
        <f>And!O497</f>
        <v/>
      </c>
      <c r="W497" s="7">
        <f>IOS!O497</f>
        <v/>
      </c>
    </row>
    <row r="498" ht="22.5" customHeight="1" s="150">
      <c r="U498" s="8" t="n">
        <v>496</v>
      </c>
      <c r="V498" s="9">
        <f>And!O498</f>
        <v/>
      </c>
      <c r="W498" s="10">
        <f>IOS!O498</f>
        <v/>
      </c>
    </row>
    <row r="499" ht="22.5" customHeight="1" s="150">
      <c r="U499" s="5" t="n">
        <v>497</v>
      </c>
      <c r="V499" s="6">
        <f>And!O499</f>
        <v/>
      </c>
      <c r="W499" s="7">
        <f>IOS!O499</f>
        <v/>
      </c>
    </row>
    <row r="500" ht="22.5" customHeight="1" s="150">
      <c r="U500" s="8" t="n">
        <v>498</v>
      </c>
      <c r="V500" s="9">
        <f>And!O500</f>
        <v/>
      </c>
      <c r="W500" s="10">
        <f>IOS!O500</f>
        <v/>
      </c>
    </row>
    <row r="501" ht="22.5" customHeight="1" s="150">
      <c r="U501" s="5" t="n">
        <v>499</v>
      </c>
      <c r="V501" s="6">
        <f>And!O501</f>
        <v/>
      </c>
      <c r="W501" s="7">
        <f>IOS!O501</f>
        <v/>
      </c>
    </row>
    <row r="502" ht="22.5" customHeight="1" s="150">
      <c r="U502" s="8" t="n">
        <v>500</v>
      </c>
      <c r="V502" s="9">
        <f>And!O502</f>
        <v/>
      </c>
      <c r="W502" s="10">
        <f>IOS!O502</f>
        <v/>
      </c>
    </row>
    <row r="503" ht="22.5" customHeight="1" s="150">
      <c r="U503" s="5" t="n">
        <v>501</v>
      </c>
      <c r="V503" s="11">
        <f>And!O503</f>
        <v/>
      </c>
      <c r="W503" s="12">
        <f>IOS!O503</f>
        <v/>
      </c>
    </row>
    <row r="504" ht="22.5" customHeight="1" s="150">
      <c r="U504" s="8" t="n">
        <v>502</v>
      </c>
      <c r="V504" s="13">
        <f>And!O504</f>
        <v/>
      </c>
      <c r="W504" s="14">
        <f>IOS!O504</f>
        <v/>
      </c>
    </row>
    <row r="505" ht="22.5" customHeight="1" s="150">
      <c r="U505" s="5" t="n">
        <v>503</v>
      </c>
      <c r="V505" s="11">
        <f>And!O505</f>
        <v/>
      </c>
      <c r="W505" s="12">
        <f>IOS!O505</f>
        <v/>
      </c>
    </row>
    <row r="506" ht="22.5" customHeight="1" s="150">
      <c r="U506" s="8" t="n">
        <v>504</v>
      </c>
      <c r="V506" s="13">
        <f>And!O506</f>
        <v/>
      </c>
      <c r="W506" s="14">
        <f>IOS!O506</f>
        <v/>
      </c>
    </row>
    <row r="507" ht="22.5" customHeight="1" s="150">
      <c r="U507" s="5" t="n">
        <v>505</v>
      </c>
      <c r="V507" s="11">
        <f>And!O507</f>
        <v/>
      </c>
      <c r="W507" s="12">
        <f>IOS!O507</f>
        <v/>
      </c>
    </row>
    <row r="508" ht="22.5" customHeight="1" s="150">
      <c r="U508" s="8" t="n">
        <v>506</v>
      </c>
      <c r="V508" s="13">
        <f>And!O508</f>
        <v/>
      </c>
      <c r="W508" s="14">
        <f>IOS!O508</f>
        <v/>
      </c>
    </row>
    <row r="509" ht="22.5" customHeight="1" s="150">
      <c r="U509" s="5" t="n">
        <v>507</v>
      </c>
      <c r="V509" s="11">
        <f>And!O509</f>
        <v/>
      </c>
      <c r="W509" s="12">
        <f>IOS!O509</f>
        <v/>
      </c>
    </row>
    <row r="510" ht="22.5" customHeight="1" s="150">
      <c r="U510" s="8" t="n">
        <v>508</v>
      </c>
      <c r="V510" s="13">
        <f>And!O510</f>
        <v/>
      </c>
      <c r="W510" s="14">
        <f>IOS!O510</f>
        <v/>
      </c>
    </row>
    <row r="511" ht="22.5" customHeight="1" s="150">
      <c r="U511" s="5" t="n">
        <v>509</v>
      </c>
      <c r="V511" s="11">
        <f>And!O511</f>
        <v/>
      </c>
      <c r="W511" s="12">
        <f>IOS!O511</f>
        <v/>
      </c>
    </row>
    <row r="512" ht="22.5" customHeight="1" s="150">
      <c r="U512" s="8" t="n">
        <v>510</v>
      </c>
      <c r="V512" s="13">
        <f>And!O512</f>
        <v/>
      </c>
      <c r="W512" s="14">
        <f>IOS!O512</f>
        <v/>
      </c>
    </row>
    <row r="513" ht="22.5" customHeight="1" s="150">
      <c r="U513" s="5" t="n">
        <v>511</v>
      </c>
      <c r="V513" s="11">
        <f>And!O513</f>
        <v/>
      </c>
      <c r="W513" s="12">
        <f>IOS!O513</f>
        <v/>
      </c>
    </row>
    <row r="514" ht="22.5" customHeight="1" s="150">
      <c r="U514" s="8" t="n">
        <v>512</v>
      </c>
      <c r="V514" s="13">
        <f>And!O514</f>
        <v/>
      </c>
      <c r="W514" s="14">
        <f>IOS!O514</f>
        <v/>
      </c>
    </row>
    <row r="515" ht="22.5" customHeight="1" s="150">
      <c r="U515" s="5" t="n">
        <v>513</v>
      </c>
      <c r="V515" s="11">
        <f>And!O515</f>
        <v/>
      </c>
      <c r="W515" s="12">
        <f>IOS!O515</f>
        <v/>
      </c>
    </row>
    <row r="516" ht="22.5" customHeight="1" s="150">
      <c r="U516" s="8" t="n">
        <v>514</v>
      </c>
      <c r="V516" s="13">
        <f>And!O516</f>
        <v/>
      </c>
      <c r="W516" s="14">
        <f>IOS!O516</f>
        <v/>
      </c>
    </row>
    <row r="517" ht="22.5" customHeight="1" s="150">
      <c r="U517" s="5" t="n">
        <v>515</v>
      </c>
      <c r="V517" s="11">
        <f>And!O517</f>
        <v/>
      </c>
      <c r="W517" s="12">
        <f>IOS!O517</f>
        <v/>
      </c>
    </row>
    <row r="518" ht="22.5" customHeight="1" s="150">
      <c r="U518" s="8" t="n">
        <v>516</v>
      </c>
      <c r="V518" s="13">
        <f>And!O518</f>
        <v/>
      </c>
      <c r="W518" s="14">
        <f>IOS!O518</f>
        <v/>
      </c>
    </row>
    <row r="519" ht="22.5" customHeight="1" s="150">
      <c r="U519" s="5" t="n">
        <v>517</v>
      </c>
      <c r="V519" s="11">
        <f>And!O519</f>
        <v/>
      </c>
      <c r="W519" s="12">
        <f>IOS!O519</f>
        <v/>
      </c>
    </row>
    <row r="520" ht="22.5" customHeight="1" s="150">
      <c r="U520" s="8" t="n">
        <v>518</v>
      </c>
      <c r="V520" s="13">
        <f>And!O520</f>
        <v/>
      </c>
      <c r="W520" s="14">
        <f>IOS!O520</f>
        <v/>
      </c>
    </row>
    <row r="521" ht="22.5" customHeight="1" s="150">
      <c r="U521" s="5" t="n">
        <v>519</v>
      </c>
      <c r="V521" s="11">
        <f>And!O521</f>
        <v/>
      </c>
      <c r="W521" s="12">
        <f>IOS!O521</f>
        <v/>
      </c>
    </row>
    <row r="522" ht="22.5" customHeight="1" s="150">
      <c r="U522" s="8" t="n">
        <v>520</v>
      </c>
      <c r="V522" s="13">
        <f>And!O522</f>
        <v/>
      </c>
      <c r="W522" s="14">
        <f>IOS!O522</f>
        <v/>
      </c>
    </row>
    <row r="523" ht="22.5" customHeight="1" s="150">
      <c r="U523" s="15" t="n">
        <v>521</v>
      </c>
      <c r="V523" s="16">
        <f>And!O523</f>
        <v/>
      </c>
      <c r="W523" s="17">
        <f>IOS!O523</f>
        <v/>
      </c>
    </row>
    <row r="524">
      <c r="U524" s="18" t="n">
        <v>522</v>
      </c>
      <c r="V524" s="19" t="n"/>
      <c r="W524" s="2" t="n"/>
    </row>
    <row r="525">
      <c r="U525" s="18" t="n">
        <v>523</v>
      </c>
      <c r="V525" s="19" t="n"/>
      <c r="W525" s="2" t="n"/>
    </row>
    <row r="526">
      <c r="U526" s="18" t="n">
        <v>524</v>
      </c>
      <c r="V526" s="19" t="n"/>
      <c r="W526" s="2" t="n"/>
    </row>
    <row r="527">
      <c r="U527" s="18" t="n">
        <v>525</v>
      </c>
      <c r="V527" s="19" t="n"/>
      <c r="W527" s="2" t="n"/>
    </row>
    <row r="528">
      <c r="U528" s="18" t="n">
        <v>526</v>
      </c>
      <c r="V528" s="19" t="n"/>
      <c r="W528" s="2" t="n"/>
    </row>
    <row r="529">
      <c r="U529" s="18" t="n">
        <v>527</v>
      </c>
      <c r="V529" s="19" t="n"/>
      <c r="W529" s="2" t="n"/>
    </row>
    <row r="530">
      <c r="U530" s="18" t="n">
        <v>528</v>
      </c>
      <c r="V530" s="19" t="n"/>
      <c r="W530" s="2" t="n"/>
    </row>
    <row r="531">
      <c r="U531" s="18" t="n">
        <v>529</v>
      </c>
      <c r="V531" s="19" t="n"/>
      <c r="W531" s="2" t="n"/>
    </row>
    <row r="532">
      <c r="U532" s="18" t="n">
        <v>530</v>
      </c>
      <c r="V532" s="19" t="n"/>
      <c r="W532" s="2" t="n"/>
    </row>
    <row r="533">
      <c r="U533" s="18" t="n">
        <v>531</v>
      </c>
      <c r="V533" s="19" t="n"/>
      <c r="W533" s="2" t="n"/>
    </row>
    <row r="534">
      <c r="U534" s="18" t="n">
        <v>532</v>
      </c>
      <c r="V534" s="19" t="n"/>
      <c r="W534" s="2" t="n"/>
    </row>
    <row r="535">
      <c r="U535" s="18" t="n">
        <v>533</v>
      </c>
      <c r="V535" s="19" t="n"/>
      <c r="W535" s="2" t="n"/>
    </row>
    <row r="536">
      <c r="U536" s="18" t="n">
        <v>534</v>
      </c>
      <c r="V536" s="19" t="n"/>
      <c r="W536" s="2" t="n"/>
    </row>
    <row r="537">
      <c r="U537" s="18" t="n">
        <v>535</v>
      </c>
      <c r="V537" s="19" t="n"/>
      <c r="W537" s="2" t="n"/>
    </row>
    <row r="538">
      <c r="U538" s="18" t="n">
        <v>536</v>
      </c>
      <c r="V538" s="19" t="n"/>
      <c r="W538" s="2" t="n"/>
    </row>
    <row r="539">
      <c r="U539" s="18" t="n">
        <v>537</v>
      </c>
      <c r="V539" s="19" t="n"/>
      <c r="W539" s="2" t="n"/>
    </row>
    <row r="540">
      <c r="U540" s="18" t="n">
        <v>538</v>
      </c>
      <c r="V540" s="19" t="n"/>
      <c r="W540" s="2" t="n"/>
    </row>
    <row r="541">
      <c r="U541" s="18" t="n">
        <v>539</v>
      </c>
      <c r="V541" s="19" t="n"/>
      <c r="W541" s="2" t="n"/>
    </row>
    <row r="542">
      <c r="U542" s="18" t="n">
        <v>540</v>
      </c>
      <c r="V542" s="19" t="n"/>
      <c r="W542" s="2" t="n"/>
    </row>
    <row r="543">
      <c r="U543" s="18" t="n">
        <v>541</v>
      </c>
      <c r="V543" s="19" t="n"/>
      <c r="W543" s="2" t="n"/>
    </row>
    <row r="544">
      <c r="U544" s="18" t="n">
        <v>542</v>
      </c>
      <c r="V544" s="19" t="n"/>
      <c r="W544" s="2" t="n"/>
    </row>
    <row r="545">
      <c r="U545" s="18" t="n">
        <v>543</v>
      </c>
      <c r="V545" s="19" t="n"/>
      <c r="W545" s="2" t="n"/>
    </row>
    <row r="546">
      <c r="U546" s="18" t="n">
        <v>544</v>
      </c>
      <c r="V546" s="19" t="n"/>
      <c r="W546" s="2" t="n"/>
    </row>
    <row r="547">
      <c r="U547" s="18" t="n">
        <v>545</v>
      </c>
      <c r="V547" s="19" t="n"/>
      <c r="W547" s="2" t="n"/>
    </row>
    <row r="548">
      <c r="U548" s="18" t="n">
        <v>546</v>
      </c>
      <c r="V548" s="19" t="n"/>
      <c r="W548" s="2" t="n"/>
    </row>
    <row r="549">
      <c r="U549" s="18" t="n">
        <v>547</v>
      </c>
      <c r="V549" s="19" t="n"/>
      <c r="W549" s="2" t="n"/>
    </row>
    <row r="550">
      <c r="U550" s="18" t="n">
        <v>548</v>
      </c>
      <c r="V550" s="19" t="n"/>
      <c r="W550" s="2" t="n"/>
    </row>
    <row r="551">
      <c r="U551" s="18" t="n">
        <v>549</v>
      </c>
      <c r="V551" s="19" t="n"/>
      <c r="W551" s="2" t="n"/>
    </row>
    <row r="552">
      <c r="U552" s="18" t="n">
        <v>550</v>
      </c>
      <c r="V552" s="19" t="n"/>
      <c r="W552" s="2" t="n"/>
    </row>
    <row r="553">
      <c r="U553" s="18" t="n">
        <v>551</v>
      </c>
      <c r="V553" s="19" t="n"/>
      <c r="W553" s="2" t="n"/>
    </row>
    <row r="554">
      <c r="U554" s="18" t="n">
        <v>552</v>
      </c>
      <c r="V554" s="19" t="n"/>
      <c r="W554" s="2" t="n"/>
    </row>
    <row r="555">
      <c r="U555" s="18" t="n">
        <v>553</v>
      </c>
      <c r="V555" s="19" t="n"/>
      <c r="W555" s="2" t="n"/>
    </row>
    <row r="556">
      <c r="U556" s="18" t="n">
        <v>554</v>
      </c>
      <c r="V556" s="19" t="n"/>
      <c r="W556" s="2" t="n"/>
    </row>
    <row r="557">
      <c r="U557" s="18" t="n">
        <v>555</v>
      </c>
      <c r="V557" s="19" t="n"/>
      <c r="W557" s="2" t="n"/>
    </row>
    <row r="558">
      <c r="U558" s="18" t="n">
        <v>556</v>
      </c>
      <c r="V558" s="19" t="n"/>
      <c r="W558" s="2" t="n"/>
    </row>
    <row r="559">
      <c r="U559" s="18" t="n">
        <v>557</v>
      </c>
      <c r="V559" s="19" t="n"/>
      <c r="W559" s="2" t="n"/>
    </row>
    <row r="560">
      <c r="U560" s="18" t="n">
        <v>558</v>
      </c>
      <c r="V560" s="19" t="n"/>
      <c r="W560" s="2" t="n"/>
    </row>
    <row r="561">
      <c r="U561" s="18" t="n">
        <v>559</v>
      </c>
      <c r="V561" s="19" t="n"/>
      <c r="W561" s="2" t="n"/>
    </row>
    <row r="562">
      <c r="U562" s="18" t="n">
        <v>560</v>
      </c>
      <c r="V562" s="19" t="n"/>
      <c r="W562" s="2" t="n"/>
    </row>
    <row r="563">
      <c r="U563" s="18" t="n">
        <v>561</v>
      </c>
      <c r="V563" s="19" t="n"/>
      <c r="W563" s="2" t="n"/>
    </row>
    <row r="564">
      <c r="U564" s="18" t="n">
        <v>562</v>
      </c>
      <c r="V564" s="19" t="n"/>
      <c r="W564" s="2" t="n"/>
    </row>
    <row r="565">
      <c r="U565" s="18" t="n">
        <v>563</v>
      </c>
      <c r="V565" s="19" t="n"/>
      <c r="W565" s="2" t="n"/>
    </row>
    <row r="566">
      <c r="U566" s="18" t="n">
        <v>564</v>
      </c>
      <c r="V566" s="19" t="n"/>
      <c r="W566" s="2" t="n"/>
    </row>
    <row r="567">
      <c r="U567" s="18" t="n">
        <v>565</v>
      </c>
      <c r="V567" s="19" t="n"/>
      <c r="W567" s="2" t="n"/>
    </row>
    <row r="568">
      <c r="U568" s="18" t="n">
        <v>566</v>
      </c>
      <c r="V568" s="19" t="n"/>
      <c r="W568" s="2" t="n"/>
    </row>
    <row r="569">
      <c r="U569" s="18" t="n">
        <v>567</v>
      </c>
      <c r="V569" s="19" t="n"/>
      <c r="W569" s="2" t="n"/>
    </row>
    <row r="570">
      <c r="U570" s="18" t="n">
        <v>568</v>
      </c>
      <c r="V570" s="19" t="n"/>
      <c r="W570" s="2" t="n"/>
    </row>
    <row r="571">
      <c r="U571" s="18" t="n">
        <v>569</v>
      </c>
      <c r="V571" s="19" t="n"/>
      <c r="W571" s="2" t="n"/>
    </row>
    <row r="572">
      <c r="U572" s="18" t="n">
        <v>570</v>
      </c>
      <c r="V572" s="19" t="n"/>
      <c r="W572" s="2" t="n"/>
    </row>
    <row r="573">
      <c r="U573" s="18" t="n">
        <v>571</v>
      </c>
      <c r="V573" s="19" t="n"/>
      <c r="W573" s="2" t="n"/>
    </row>
    <row r="574">
      <c r="U574" s="18" t="n">
        <v>572</v>
      </c>
      <c r="V574" s="19" t="n"/>
      <c r="W574" s="2" t="n"/>
    </row>
    <row r="575">
      <c r="U575" s="18" t="n">
        <v>573</v>
      </c>
      <c r="V575" s="19" t="n"/>
      <c r="W575" s="2" t="n"/>
    </row>
    <row r="576">
      <c r="U576" s="18" t="n">
        <v>574</v>
      </c>
      <c r="V576" s="19" t="n"/>
      <c r="W576" s="2" t="n"/>
    </row>
    <row r="577">
      <c r="U577" s="18" t="n">
        <v>575</v>
      </c>
      <c r="V577" s="19" t="n"/>
      <c r="W577" s="2" t="n"/>
    </row>
    <row r="578">
      <c r="U578" s="18" t="n">
        <v>576</v>
      </c>
      <c r="V578" s="19" t="n"/>
      <c r="W578" s="2" t="n"/>
    </row>
    <row r="579">
      <c r="U579" s="18" t="n">
        <v>577</v>
      </c>
      <c r="V579" s="19" t="n"/>
      <c r="W579" s="2" t="n"/>
    </row>
    <row r="580">
      <c r="U580" s="18" t="n">
        <v>578</v>
      </c>
      <c r="V580" s="19" t="n"/>
      <c r="W580" s="2" t="n"/>
    </row>
    <row r="581">
      <c r="U581" s="18" t="n">
        <v>579</v>
      </c>
      <c r="V581" s="19" t="n"/>
      <c r="W581" s="2" t="n"/>
    </row>
    <row r="582">
      <c r="U582" s="18" t="n">
        <v>580</v>
      </c>
      <c r="V582" s="19" t="n"/>
      <c r="W582" s="2" t="n"/>
    </row>
    <row r="583">
      <c r="U583" s="18" t="n">
        <v>581</v>
      </c>
      <c r="V583" s="19" t="n"/>
      <c r="W583" s="2" t="n"/>
    </row>
    <row r="584">
      <c r="U584" s="18" t="n">
        <v>582</v>
      </c>
      <c r="V584" s="19" t="n"/>
      <c r="W584" s="2" t="n"/>
    </row>
    <row r="585">
      <c r="U585" s="18" t="n">
        <v>583</v>
      </c>
      <c r="V585" s="19" t="n"/>
      <c r="W585" s="2" t="n"/>
    </row>
    <row r="586">
      <c r="U586" s="18" t="n">
        <v>584</v>
      </c>
      <c r="V586" s="19" t="n"/>
      <c r="W586" s="2" t="n"/>
    </row>
    <row r="587">
      <c r="U587" s="18" t="n">
        <v>585</v>
      </c>
      <c r="V587" s="19" t="n"/>
      <c r="W587" s="2" t="n"/>
    </row>
    <row r="588">
      <c r="U588" s="18" t="n">
        <v>586</v>
      </c>
      <c r="V588" s="19" t="n"/>
      <c r="W588" s="2" t="n"/>
    </row>
    <row r="589">
      <c r="U589" s="18" t="n">
        <v>587</v>
      </c>
      <c r="V589" s="19" t="n"/>
      <c r="W589" s="2" t="n"/>
    </row>
    <row r="590">
      <c r="U590" s="18" t="n">
        <v>588</v>
      </c>
      <c r="V590" s="19" t="n"/>
      <c r="W590" s="2" t="n"/>
    </row>
    <row r="591">
      <c r="U591" s="18" t="n">
        <v>589</v>
      </c>
      <c r="V591" s="19" t="n"/>
      <c r="W591" s="2" t="n"/>
    </row>
    <row r="592">
      <c r="U592" s="18" t="n">
        <v>590</v>
      </c>
      <c r="V592" s="19" t="n"/>
      <c r="W592" s="2" t="n"/>
    </row>
    <row r="593">
      <c r="U593" s="18" t="n">
        <v>591</v>
      </c>
      <c r="V593" s="19" t="n"/>
      <c r="W593" s="2" t="n"/>
    </row>
    <row r="594">
      <c r="U594" s="18" t="n">
        <v>592</v>
      </c>
      <c r="V594" s="19" t="n"/>
      <c r="W594" s="2" t="n"/>
    </row>
    <row r="595">
      <c r="U595" s="18" t="n">
        <v>593</v>
      </c>
      <c r="V595" s="19" t="n"/>
      <c r="W595" s="2" t="n"/>
    </row>
    <row r="596">
      <c r="U596" s="18" t="n">
        <v>594</v>
      </c>
      <c r="V596" s="19" t="n"/>
      <c r="W596" s="2" t="n"/>
    </row>
    <row r="597">
      <c r="U597" s="18" t="n">
        <v>595</v>
      </c>
      <c r="V597" s="19" t="n"/>
      <c r="W597" s="2" t="n"/>
    </row>
    <row r="598">
      <c r="U598" s="18" t="n">
        <v>596</v>
      </c>
      <c r="V598" s="19" t="n"/>
      <c r="W598" s="2" t="n"/>
    </row>
    <row r="599">
      <c r="U599" s="18" t="n">
        <v>597</v>
      </c>
      <c r="V599" s="19" t="n"/>
      <c r="W599" s="2" t="n"/>
    </row>
    <row r="600">
      <c r="U600" s="18" t="n">
        <v>598</v>
      </c>
      <c r="V600" s="19" t="n"/>
      <c r="W600" s="2" t="n"/>
    </row>
    <row r="601">
      <c r="U601" s="18" t="n">
        <v>599</v>
      </c>
      <c r="V601" s="19" t="n"/>
      <c r="W601" s="2" t="n"/>
    </row>
    <row r="602">
      <c r="U602" s="18" t="n">
        <v>600</v>
      </c>
      <c r="V602" s="19" t="n"/>
      <c r="W602" s="2" t="n"/>
    </row>
    <row r="603">
      <c r="U603" s="18" t="n">
        <v>601</v>
      </c>
      <c r="V603" s="19" t="n"/>
      <c r="W603" s="2" t="n"/>
    </row>
    <row r="604">
      <c r="U604" s="18" t="n">
        <v>602</v>
      </c>
      <c r="V604" s="19" t="n"/>
      <c r="W604" s="2" t="n"/>
    </row>
    <row r="605">
      <c r="U605" s="18" t="n">
        <v>603</v>
      </c>
      <c r="V605" s="19" t="n"/>
      <c r="W605" s="2" t="n"/>
    </row>
    <row r="606">
      <c r="U606" s="18" t="n">
        <v>604</v>
      </c>
      <c r="V606" s="19" t="n"/>
      <c r="W606" s="2" t="n"/>
    </row>
    <row r="607">
      <c r="U607" s="18" t="n">
        <v>605</v>
      </c>
      <c r="V607" s="19" t="n"/>
      <c r="W607" s="2" t="n"/>
    </row>
    <row r="608">
      <c r="U608" s="18" t="n">
        <v>606</v>
      </c>
      <c r="V608" s="19" t="n"/>
      <c r="W608" s="2" t="n"/>
    </row>
    <row r="609">
      <c r="U609" s="18" t="n">
        <v>607</v>
      </c>
      <c r="V609" s="19" t="n"/>
      <c r="W609" s="2" t="n"/>
    </row>
    <row r="610">
      <c r="U610" s="18" t="n">
        <v>608</v>
      </c>
      <c r="V610" s="19" t="n"/>
      <c r="W610" s="2" t="n"/>
    </row>
    <row r="611">
      <c r="U611" s="18" t="n">
        <v>609</v>
      </c>
      <c r="V611" s="19" t="n"/>
      <c r="W611" s="2" t="n"/>
    </row>
    <row r="612">
      <c r="U612" s="18" t="n">
        <v>610</v>
      </c>
      <c r="V612" s="19" t="n"/>
      <c r="W612" s="2" t="n"/>
    </row>
    <row r="613">
      <c r="U613" s="18" t="n">
        <v>611</v>
      </c>
      <c r="V613" s="19" t="n"/>
      <c r="W613" s="2" t="n"/>
    </row>
    <row r="614">
      <c r="U614" s="18" t="n">
        <v>612</v>
      </c>
      <c r="V614" s="19" t="n"/>
      <c r="W614" s="2" t="n"/>
    </row>
    <row r="615">
      <c r="U615" s="18" t="n">
        <v>613</v>
      </c>
      <c r="V615" s="19" t="n"/>
      <c r="W615" s="2" t="n"/>
    </row>
    <row r="616">
      <c r="U616" s="18" t="n">
        <v>614</v>
      </c>
      <c r="V616" s="19" t="n"/>
      <c r="W616" s="2" t="n"/>
    </row>
    <row r="617">
      <c r="U617" s="18" t="n">
        <v>615</v>
      </c>
      <c r="V617" s="19" t="n"/>
      <c r="W617" s="2" t="n"/>
    </row>
    <row r="618">
      <c r="U618" s="18" t="n">
        <v>616</v>
      </c>
      <c r="V618" s="19" t="n"/>
      <c r="W618" s="2" t="n"/>
    </row>
    <row r="619">
      <c r="U619" s="18" t="n">
        <v>617</v>
      </c>
      <c r="V619" s="19" t="n"/>
      <c r="W619" s="2" t="n"/>
    </row>
    <row r="620">
      <c r="U620" s="18" t="n">
        <v>618</v>
      </c>
      <c r="V620" s="19" t="n"/>
      <c r="W620" s="2" t="n"/>
    </row>
    <row r="621">
      <c r="U621" s="18" t="n">
        <v>619</v>
      </c>
      <c r="V621" s="19" t="n"/>
      <c r="W621" s="2" t="n"/>
    </row>
    <row r="622">
      <c r="U622" s="18" t="n">
        <v>620</v>
      </c>
      <c r="V622" s="19" t="n"/>
      <c r="W622" s="2" t="n"/>
    </row>
    <row r="623">
      <c r="U623" s="18" t="n">
        <v>621</v>
      </c>
      <c r="V623" s="19" t="n"/>
      <c r="W623" s="2" t="n"/>
    </row>
    <row r="624">
      <c r="U624" s="18" t="n">
        <v>622</v>
      </c>
      <c r="V624" s="19" t="n"/>
      <c r="W624" s="2" t="n"/>
    </row>
    <row r="625">
      <c r="U625" s="18" t="n">
        <v>623</v>
      </c>
      <c r="V625" s="19" t="n"/>
      <c r="W625" s="2" t="n"/>
    </row>
    <row r="626">
      <c r="U626" s="18" t="n">
        <v>624</v>
      </c>
      <c r="V626" s="19" t="n"/>
      <c r="W626" s="2" t="n"/>
    </row>
    <row r="627">
      <c r="U627" s="18" t="n">
        <v>625</v>
      </c>
      <c r="V627" s="19" t="n"/>
      <c r="W627" s="2" t="n"/>
    </row>
    <row r="628">
      <c r="U628" s="18" t="n">
        <v>626</v>
      </c>
      <c r="V628" s="19" t="n"/>
      <c r="W628" s="2" t="n"/>
    </row>
    <row r="629">
      <c r="U629" s="18" t="n">
        <v>627</v>
      </c>
      <c r="V629" s="19" t="n"/>
      <c r="W629" s="2" t="n"/>
    </row>
    <row r="630">
      <c r="U630" s="18" t="n">
        <v>628</v>
      </c>
      <c r="V630" s="19" t="n"/>
      <c r="W630" s="2" t="n"/>
    </row>
    <row r="631">
      <c r="U631" s="18" t="n">
        <v>629</v>
      </c>
      <c r="V631" s="19" t="n"/>
      <c r="W631" s="2" t="n"/>
    </row>
    <row r="632">
      <c r="U632" s="18" t="n">
        <v>630</v>
      </c>
      <c r="V632" s="19" t="n"/>
      <c r="W632" s="2" t="n"/>
    </row>
    <row r="633">
      <c r="U633" s="18" t="n">
        <v>631</v>
      </c>
      <c r="V633" s="19" t="n"/>
      <c r="W633" s="2" t="n"/>
    </row>
    <row r="634">
      <c r="U634" s="18" t="n">
        <v>632</v>
      </c>
      <c r="V634" s="19" t="n"/>
      <c r="W634" s="2" t="n"/>
    </row>
    <row r="635">
      <c r="U635" s="18" t="n">
        <v>633</v>
      </c>
      <c r="V635" s="19" t="n"/>
      <c r="W635" s="2" t="n"/>
    </row>
    <row r="636">
      <c r="U636" s="18" t="n">
        <v>634</v>
      </c>
      <c r="V636" s="19" t="n"/>
      <c r="W636" s="2" t="n"/>
    </row>
    <row r="637">
      <c r="U637" s="18" t="n">
        <v>635</v>
      </c>
      <c r="V637" s="19" t="n"/>
      <c r="W637" s="2" t="n"/>
    </row>
    <row r="638">
      <c r="U638" s="18" t="n">
        <v>636</v>
      </c>
      <c r="V638" s="19" t="n"/>
      <c r="W638" s="2" t="n"/>
    </row>
    <row r="639">
      <c r="U639" s="18" t="n">
        <v>637</v>
      </c>
      <c r="V639" s="19" t="n"/>
      <c r="W639" s="2" t="n"/>
    </row>
    <row r="640">
      <c r="U640" s="18" t="n">
        <v>638</v>
      </c>
      <c r="V640" s="19" t="n"/>
      <c r="W640" s="2" t="n"/>
    </row>
    <row r="641">
      <c r="U641" s="18" t="n">
        <v>639</v>
      </c>
      <c r="V641" s="19" t="n"/>
      <c r="W641" s="2" t="n"/>
    </row>
    <row r="642">
      <c r="U642" s="18" t="n">
        <v>640</v>
      </c>
      <c r="V642" s="19" t="n"/>
      <c r="W642" s="2" t="n"/>
    </row>
    <row r="643">
      <c r="U643" s="18" t="n">
        <v>641</v>
      </c>
      <c r="V643" s="19" t="n"/>
      <c r="W643" s="2" t="n"/>
    </row>
    <row r="644">
      <c r="U644" s="18" t="n">
        <v>642</v>
      </c>
      <c r="V644" s="19" t="n"/>
      <c r="W644" s="2" t="n"/>
    </row>
    <row r="645">
      <c r="U645" s="18" t="n">
        <v>643</v>
      </c>
      <c r="V645" s="19" t="n"/>
      <c r="W645" s="2" t="n"/>
    </row>
    <row r="646">
      <c r="U646" s="18" t="n">
        <v>644</v>
      </c>
      <c r="V646" s="19" t="n"/>
      <c r="W646" s="2" t="n"/>
    </row>
    <row r="647">
      <c r="U647" s="18" t="n">
        <v>645</v>
      </c>
      <c r="V647" s="19" t="n"/>
      <c r="W647" s="2" t="n"/>
    </row>
    <row r="648">
      <c r="U648" s="18" t="n">
        <v>646</v>
      </c>
      <c r="V648" s="19" t="n"/>
      <c r="W648" s="2" t="n"/>
    </row>
    <row r="649">
      <c r="U649" s="18" t="n">
        <v>647</v>
      </c>
      <c r="V649" s="19" t="n"/>
      <c r="W649" s="2" t="n"/>
    </row>
    <row r="650">
      <c r="U650" s="18" t="n">
        <v>648</v>
      </c>
      <c r="V650" s="19" t="n"/>
      <c r="W650" s="2" t="n"/>
    </row>
    <row r="651">
      <c r="U651" s="18" t="n">
        <v>649</v>
      </c>
      <c r="V651" s="19" t="n"/>
      <c r="W651" s="2" t="n"/>
    </row>
    <row r="652">
      <c r="U652" s="18" t="n">
        <v>650</v>
      </c>
      <c r="V652" s="19" t="n"/>
      <c r="W652" s="2" t="n"/>
    </row>
    <row r="653">
      <c r="U653" s="18" t="n">
        <v>651</v>
      </c>
      <c r="V653" s="19" t="n"/>
      <c r="W653" s="2" t="n"/>
    </row>
    <row r="654">
      <c r="U654" s="18" t="n">
        <v>652</v>
      </c>
      <c r="V654" s="19" t="n"/>
      <c r="W654" s="2" t="n"/>
    </row>
    <row r="655">
      <c r="U655" s="18" t="n">
        <v>653</v>
      </c>
      <c r="V655" s="19" t="n"/>
      <c r="W655" s="2" t="n"/>
    </row>
    <row r="656">
      <c r="U656" s="18" t="n">
        <v>654</v>
      </c>
      <c r="V656" s="19" t="n"/>
      <c r="W656" s="2" t="n"/>
    </row>
    <row r="657">
      <c r="U657" s="18" t="n">
        <v>655</v>
      </c>
      <c r="V657" s="19" t="n"/>
      <c r="W657" s="2" t="n"/>
    </row>
    <row r="658">
      <c r="U658" s="18" t="n">
        <v>656</v>
      </c>
      <c r="V658" s="19" t="n"/>
      <c r="W658" s="19" t="n"/>
    </row>
    <row r="659">
      <c r="U659" s="18" t="n">
        <v>657</v>
      </c>
      <c r="V659" s="19" t="n"/>
      <c r="W659" s="19" t="n"/>
    </row>
    <row r="660">
      <c r="U660" s="18" t="n">
        <v>658</v>
      </c>
      <c r="V660" s="19" t="n"/>
      <c r="W660" s="19" t="n"/>
    </row>
    <row r="661">
      <c r="U661" s="18" t="n">
        <v>659</v>
      </c>
      <c r="V661" s="19" t="n"/>
      <c r="W661" s="19" t="n"/>
    </row>
    <row r="662">
      <c r="U662" s="18" t="n">
        <v>660</v>
      </c>
      <c r="V662" s="19" t="n"/>
      <c r="W662" s="19" t="n"/>
    </row>
    <row r="663">
      <c r="U663" s="18" t="n">
        <v>661</v>
      </c>
      <c r="V663" s="19" t="n"/>
      <c r="W663" s="19" t="n"/>
    </row>
    <row r="664">
      <c r="U664" s="18" t="n">
        <v>662</v>
      </c>
      <c r="V664" s="19" t="n"/>
      <c r="W664" s="19" t="n"/>
    </row>
    <row r="665">
      <c r="U665" s="18" t="n">
        <v>663</v>
      </c>
      <c r="V665" s="19" t="n"/>
      <c r="W665" s="19" t="n"/>
    </row>
    <row r="666">
      <c r="U666" s="18" t="n">
        <v>664</v>
      </c>
      <c r="V666" s="19" t="n"/>
      <c r="W666" s="19" t="n"/>
    </row>
    <row r="667">
      <c r="U667" s="18" t="n">
        <v>665</v>
      </c>
      <c r="V667" s="19" t="n"/>
      <c r="W667" s="19" t="n"/>
    </row>
    <row r="668">
      <c r="U668" s="18" t="n">
        <v>666</v>
      </c>
      <c r="V668" s="19" t="n"/>
      <c r="W668" s="19" t="n"/>
    </row>
    <row r="669">
      <c r="U669" s="18" t="n">
        <v>667</v>
      </c>
      <c r="V669" s="19" t="n"/>
      <c r="W669" s="19" t="n"/>
    </row>
    <row r="670">
      <c r="U670" s="18" t="n">
        <v>668</v>
      </c>
      <c r="V670" s="19" t="n"/>
      <c r="W670" s="19" t="n"/>
    </row>
    <row r="671">
      <c r="U671" s="18" t="n">
        <v>669</v>
      </c>
      <c r="V671" s="19" t="n"/>
      <c r="W671" s="19" t="n"/>
    </row>
    <row r="672">
      <c r="U672" s="18" t="n">
        <v>670</v>
      </c>
      <c r="V672" s="19" t="n"/>
      <c r="W672" s="19" t="n"/>
    </row>
    <row r="673">
      <c r="U673" s="18" t="n">
        <v>671</v>
      </c>
      <c r="V673" s="19" t="n"/>
      <c r="W673" s="19" t="n"/>
    </row>
    <row r="674">
      <c r="U674" s="18" t="n">
        <v>672</v>
      </c>
      <c r="V674" s="19" t="n"/>
      <c r="W674" s="19" t="n"/>
    </row>
    <row r="675">
      <c r="U675" s="18" t="n">
        <v>673</v>
      </c>
      <c r="V675" s="19" t="n"/>
      <c r="W675" s="19" t="n"/>
    </row>
    <row r="676">
      <c r="U676" s="18" t="n">
        <v>674</v>
      </c>
      <c r="V676" s="19" t="n"/>
      <c r="W676" s="19" t="n"/>
    </row>
    <row r="677">
      <c r="U677" s="18" t="n">
        <v>675</v>
      </c>
      <c r="V677" s="19" t="n"/>
      <c r="W677" s="19" t="n"/>
    </row>
    <row r="678">
      <c r="U678" s="18" t="n">
        <v>676</v>
      </c>
      <c r="V678" s="19" t="n"/>
      <c r="W678" s="19" t="n"/>
    </row>
    <row r="679">
      <c r="U679" s="18" t="n">
        <v>677</v>
      </c>
      <c r="V679" s="19" t="n"/>
      <c r="W679" s="19" t="n"/>
    </row>
    <row r="680">
      <c r="U680" s="18" t="n">
        <v>678</v>
      </c>
      <c r="V680" s="19" t="n"/>
      <c r="W680" s="19" t="n"/>
    </row>
    <row r="681">
      <c r="U681" s="18" t="n">
        <v>679</v>
      </c>
      <c r="V681" s="19" t="n"/>
      <c r="W681" s="19" t="n"/>
    </row>
    <row r="682">
      <c r="U682" s="18" t="n">
        <v>680</v>
      </c>
      <c r="V682" s="19" t="n"/>
      <c r="W682" s="19" t="n"/>
    </row>
    <row r="683">
      <c r="U683" s="18" t="n">
        <v>681</v>
      </c>
      <c r="V683" s="19" t="n"/>
      <c r="W683" s="19" t="n"/>
    </row>
    <row r="684">
      <c r="U684" s="18" t="n">
        <v>682</v>
      </c>
      <c r="V684" s="19" t="n"/>
      <c r="W684" s="19" t="n"/>
    </row>
    <row r="685">
      <c r="U685" s="18" t="n">
        <v>683</v>
      </c>
      <c r="V685" s="19" t="n"/>
      <c r="W685" s="19" t="n"/>
    </row>
    <row r="686">
      <c r="U686" s="18" t="n">
        <v>684</v>
      </c>
      <c r="V686" s="19" t="n"/>
      <c r="W686" s="19" t="n"/>
    </row>
    <row r="687">
      <c r="U687" s="18" t="n">
        <v>685</v>
      </c>
      <c r="V687" s="19" t="n"/>
      <c r="W687" s="19" t="n"/>
    </row>
    <row r="688">
      <c r="U688" s="18" t="n">
        <v>686</v>
      </c>
      <c r="V688" s="19" t="n"/>
      <c r="W688" s="19" t="n"/>
    </row>
    <row r="689">
      <c r="U689" s="18" t="n">
        <v>687</v>
      </c>
      <c r="V689" s="19" t="n"/>
      <c r="W689" s="19" t="n"/>
    </row>
    <row r="690">
      <c r="U690" s="18" t="n">
        <v>688</v>
      </c>
      <c r="V690" s="19" t="n"/>
      <c r="W690" s="19" t="n"/>
    </row>
    <row r="691">
      <c r="U691" s="18" t="n">
        <v>689</v>
      </c>
      <c r="V691" s="19" t="n"/>
      <c r="W691" s="19" t="n"/>
    </row>
    <row r="692">
      <c r="U692" s="18" t="n">
        <v>690</v>
      </c>
      <c r="V692" s="19" t="n"/>
      <c r="W692" s="19" t="n"/>
    </row>
    <row r="693">
      <c r="U693" s="18" t="n">
        <v>691</v>
      </c>
      <c r="V693" s="19" t="n"/>
      <c r="W693" s="19" t="n"/>
    </row>
    <row r="694">
      <c r="U694" s="18" t="n">
        <v>692</v>
      </c>
      <c r="V694" s="19" t="n"/>
      <c r="W694" s="19" t="n"/>
    </row>
    <row r="695">
      <c r="U695" s="18" t="n">
        <v>693</v>
      </c>
      <c r="V695" s="19" t="n"/>
      <c r="W695" s="19" t="n"/>
    </row>
    <row r="696">
      <c r="U696" s="18" t="n">
        <v>694</v>
      </c>
      <c r="V696" s="19" t="n"/>
      <c r="W696" s="19" t="n"/>
    </row>
    <row r="697">
      <c r="U697" s="18" t="n">
        <v>695</v>
      </c>
      <c r="V697" s="19" t="n"/>
      <c r="W697" s="19" t="n"/>
    </row>
    <row r="698">
      <c r="U698" s="18" t="n">
        <v>696</v>
      </c>
      <c r="V698" s="19" t="n"/>
      <c r="W698" s="19" t="n"/>
    </row>
    <row r="699">
      <c r="U699" s="18" t="n">
        <v>697</v>
      </c>
      <c r="V699" s="19" t="n"/>
      <c r="W699" s="19" t="n"/>
    </row>
    <row r="700">
      <c r="U700" s="18" t="n">
        <v>698</v>
      </c>
      <c r="V700" s="19" t="n"/>
      <c r="W700" s="19" t="n"/>
    </row>
    <row r="701">
      <c r="U701" s="18" t="n">
        <v>699</v>
      </c>
      <c r="V701" s="19" t="n"/>
      <c r="W701" s="19" t="n"/>
    </row>
    <row r="702">
      <c r="U702" s="18" t="n">
        <v>700</v>
      </c>
      <c r="V702" s="19" t="n"/>
      <c r="W702" s="19" t="n"/>
    </row>
    <row r="703">
      <c r="U703" s="18" t="n">
        <v>701</v>
      </c>
      <c r="V703" s="19" t="n"/>
      <c r="W703" s="19" t="n"/>
    </row>
    <row r="704">
      <c r="U704" s="18" t="n">
        <v>702</v>
      </c>
      <c r="V704" s="19" t="n"/>
      <c r="W704" s="19" t="n"/>
    </row>
    <row r="705">
      <c r="U705" s="18" t="n">
        <v>703</v>
      </c>
      <c r="V705" s="19" t="n"/>
      <c r="W705" s="19" t="n"/>
    </row>
    <row r="706">
      <c r="U706" s="18" t="n">
        <v>704</v>
      </c>
      <c r="V706" s="19" t="n"/>
      <c r="W706" s="19" t="n"/>
    </row>
    <row r="707">
      <c r="U707" s="18" t="n">
        <v>705</v>
      </c>
      <c r="V707" s="19" t="n"/>
      <c r="W707" s="19" t="n"/>
    </row>
    <row r="708">
      <c r="U708" s="18" t="n">
        <v>706</v>
      </c>
      <c r="V708" s="19" t="n"/>
      <c r="W708" s="19" t="n"/>
    </row>
    <row r="709">
      <c r="U709" s="18" t="n">
        <v>707</v>
      </c>
      <c r="V709" s="19" t="n"/>
      <c r="W709" s="19" t="n"/>
    </row>
    <row r="710">
      <c r="U710" s="18" t="n">
        <v>708</v>
      </c>
      <c r="V710" s="19" t="n"/>
      <c r="W710" s="19" t="n"/>
    </row>
    <row r="711">
      <c r="U711" s="18" t="n">
        <v>709</v>
      </c>
      <c r="V711" s="19" t="n"/>
      <c r="W711" s="19" t="n"/>
    </row>
    <row r="712">
      <c r="U712" s="18" t="n">
        <v>710</v>
      </c>
      <c r="V712" s="19" t="n"/>
      <c r="W712" s="19" t="n"/>
    </row>
    <row r="713">
      <c r="U713" s="18" t="n">
        <v>711</v>
      </c>
      <c r="V713" s="19" t="n"/>
      <c r="W713" s="19" t="n"/>
    </row>
    <row r="714">
      <c r="U714" s="18" t="n">
        <v>712</v>
      </c>
      <c r="V714" s="19" t="n"/>
      <c r="W714" s="19" t="n"/>
    </row>
    <row r="715">
      <c r="U715" s="18" t="n">
        <v>713</v>
      </c>
      <c r="V715" s="19" t="n"/>
      <c r="W715" s="19" t="n"/>
    </row>
    <row r="716">
      <c r="U716" s="18" t="n">
        <v>714</v>
      </c>
      <c r="V716" s="19" t="n"/>
      <c r="W716" s="19" t="n"/>
    </row>
    <row r="717">
      <c r="U717" s="18" t="n">
        <v>715</v>
      </c>
      <c r="V717" s="19" t="n"/>
      <c r="W717" s="19" t="n"/>
    </row>
    <row r="718">
      <c r="U718" s="18" t="n">
        <v>716</v>
      </c>
      <c r="V718" s="19" t="n"/>
      <c r="W718" s="19" t="n"/>
    </row>
    <row r="719">
      <c r="U719" s="18" t="n">
        <v>717</v>
      </c>
      <c r="V719" s="19" t="n"/>
      <c r="W719" s="19" t="n"/>
    </row>
    <row r="720">
      <c r="U720" s="18" t="n">
        <v>718</v>
      </c>
      <c r="V720" s="19" t="n"/>
      <c r="W720" s="19" t="n"/>
    </row>
    <row r="721">
      <c r="U721" s="18" t="n">
        <v>719</v>
      </c>
      <c r="V721" s="19" t="n"/>
      <c r="W721" s="19" t="n"/>
    </row>
    <row r="722">
      <c r="U722" s="18" t="n">
        <v>720</v>
      </c>
      <c r="V722" s="19" t="n"/>
      <c r="W722" s="19" t="n"/>
    </row>
    <row r="723">
      <c r="U723" s="18" t="n">
        <v>721</v>
      </c>
      <c r="V723" s="19" t="n"/>
      <c r="W723" s="19" t="n"/>
    </row>
    <row r="724">
      <c r="U724" s="18" t="n">
        <v>722</v>
      </c>
      <c r="V724" s="19" t="n"/>
      <c r="W724" s="19" t="n"/>
    </row>
    <row r="725">
      <c r="U725" s="18" t="n">
        <v>723</v>
      </c>
      <c r="V725" s="19" t="n"/>
      <c r="W725" s="19" t="n"/>
    </row>
    <row r="726">
      <c r="U726" s="18" t="n">
        <v>724</v>
      </c>
      <c r="V726" s="19" t="n"/>
      <c r="W726" s="19" t="n"/>
    </row>
    <row r="727">
      <c r="U727" s="18" t="n">
        <v>725</v>
      </c>
      <c r="V727" s="19" t="n"/>
      <c r="W727" s="19" t="n"/>
    </row>
    <row r="728">
      <c r="U728" s="18" t="n">
        <v>726</v>
      </c>
      <c r="V728" s="19" t="n"/>
      <c r="W728" s="19" t="n"/>
    </row>
    <row r="729">
      <c r="U729" s="18" t="n">
        <v>727</v>
      </c>
      <c r="V729" s="19" t="n"/>
      <c r="W729" s="19" t="n"/>
    </row>
    <row r="730">
      <c r="U730" s="18" t="n">
        <v>728</v>
      </c>
      <c r="V730" s="19" t="n"/>
      <c r="W730" s="19" t="n"/>
    </row>
    <row r="731">
      <c r="U731" s="18" t="n">
        <v>729</v>
      </c>
      <c r="V731" s="19" t="n"/>
      <c r="W731" s="19" t="n"/>
    </row>
    <row r="732">
      <c r="U732" s="18" t="n">
        <v>730</v>
      </c>
      <c r="V732" s="19" t="n"/>
      <c r="W732" s="19" t="n"/>
    </row>
    <row r="733">
      <c r="U733" s="18" t="n">
        <v>731</v>
      </c>
      <c r="V733" s="19" t="n"/>
      <c r="W733" s="19" t="n"/>
    </row>
    <row r="734">
      <c r="U734" s="18" t="n">
        <v>732</v>
      </c>
      <c r="V734" s="19" t="n"/>
      <c r="W734" s="19" t="n"/>
    </row>
    <row r="735">
      <c r="U735" s="18" t="n">
        <v>733</v>
      </c>
      <c r="V735" s="19" t="n"/>
      <c r="W735" s="19" t="n"/>
    </row>
    <row r="736">
      <c r="U736" s="18" t="n">
        <v>734</v>
      </c>
      <c r="V736" s="19" t="n"/>
      <c r="W736" s="19" t="n"/>
    </row>
    <row r="737">
      <c r="U737" s="18" t="n">
        <v>735</v>
      </c>
      <c r="V737" s="19" t="n"/>
      <c r="W737" s="19" t="n"/>
    </row>
    <row r="738">
      <c r="U738" s="18" t="n">
        <v>736</v>
      </c>
      <c r="V738" s="19" t="n"/>
      <c r="W738" s="19" t="n"/>
    </row>
    <row r="739">
      <c r="U739" s="18" t="n">
        <v>737</v>
      </c>
      <c r="V739" s="19" t="n"/>
      <c r="W739" s="19" t="n"/>
    </row>
    <row r="740">
      <c r="U740" s="18" t="n">
        <v>738</v>
      </c>
      <c r="V740" s="19" t="n"/>
      <c r="W740" s="19" t="n"/>
    </row>
    <row r="741">
      <c r="U741" s="18" t="n">
        <v>739</v>
      </c>
      <c r="V741" s="19" t="n"/>
      <c r="W741" s="19" t="n"/>
    </row>
    <row r="742">
      <c r="U742" s="18" t="n">
        <v>740</v>
      </c>
      <c r="V742" s="19" t="n"/>
      <c r="W742" s="19" t="n"/>
    </row>
    <row r="743">
      <c r="U743" s="18" t="n">
        <v>741</v>
      </c>
      <c r="V743" s="19" t="n"/>
      <c r="W743" s="19" t="n"/>
    </row>
    <row r="744">
      <c r="U744" s="18" t="n">
        <v>742</v>
      </c>
      <c r="V744" s="19" t="n"/>
      <c r="W744" s="19" t="n"/>
    </row>
    <row r="745">
      <c r="U745" s="18" t="n">
        <v>743</v>
      </c>
      <c r="V745" s="19" t="n"/>
      <c r="W745" s="19" t="n"/>
    </row>
    <row r="746">
      <c r="U746" s="18" t="n">
        <v>744</v>
      </c>
      <c r="V746" s="19" t="n"/>
      <c r="W746" s="19" t="n"/>
    </row>
    <row r="747">
      <c r="U747" s="18" t="n">
        <v>745</v>
      </c>
      <c r="V747" s="19" t="n"/>
      <c r="W747" s="19" t="n"/>
    </row>
    <row r="748">
      <c r="U748" s="18" t="n">
        <v>746</v>
      </c>
      <c r="V748" s="19" t="n"/>
      <c r="W748" s="19" t="n"/>
    </row>
    <row r="749">
      <c r="U749" s="18" t="n">
        <v>747</v>
      </c>
      <c r="V749" s="19" t="n"/>
      <c r="W749" s="19" t="n"/>
    </row>
    <row r="750">
      <c r="U750" s="18" t="n">
        <v>748</v>
      </c>
      <c r="V750" s="19" t="n"/>
      <c r="W750" s="19" t="n"/>
    </row>
    <row r="751">
      <c r="U751" s="18" t="n">
        <v>749</v>
      </c>
      <c r="V751" s="19" t="n"/>
      <c r="W751" s="19" t="n"/>
    </row>
    <row r="752">
      <c r="U752" s="18" t="n">
        <v>750</v>
      </c>
      <c r="V752" s="19" t="n"/>
      <c r="W752" s="19" t="n"/>
    </row>
    <row r="753">
      <c r="U753" s="18" t="n">
        <v>751</v>
      </c>
      <c r="V753" s="20" t="n"/>
      <c r="W753" s="20" t="n"/>
    </row>
    <row r="754">
      <c r="U754" s="18" t="n">
        <v>752</v>
      </c>
      <c r="V754" s="21" t="n"/>
      <c r="W754" s="21" t="n"/>
    </row>
    <row r="755">
      <c r="U755" s="18" t="n">
        <v>753</v>
      </c>
      <c r="V755" s="20" t="n"/>
      <c r="W755" s="20" t="n"/>
    </row>
    <row r="756">
      <c r="U756" s="18" t="n">
        <v>754</v>
      </c>
      <c r="V756" s="21" t="n"/>
      <c r="W756" s="21" t="n"/>
    </row>
    <row r="757">
      <c r="U757" s="18" t="n">
        <v>755</v>
      </c>
      <c r="V757" s="20" t="n"/>
      <c r="W757" s="20" t="n"/>
    </row>
    <row r="758">
      <c r="U758" s="18" t="n">
        <v>756</v>
      </c>
      <c r="V758" s="21" t="n"/>
      <c r="W758" s="21" t="n"/>
    </row>
    <row r="759">
      <c r="U759" s="18" t="n">
        <v>757</v>
      </c>
      <c r="V759" s="20" t="n"/>
      <c r="W759" s="20" t="n"/>
    </row>
    <row r="760">
      <c r="U760" s="18" t="n">
        <v>758</v>
      </c>
      <c r="V760" s="21" t="n"/>
      <c r="W760" s="21" t="n"/>
    </row>
    <row r="761">
      <c r="U761" s="18" t="n">
        <v>759</v>
      </c>
      <c r="V761" s="20" t="n"/>
      <c r="W761" s="20" t="n"/>
    </row>
    <row r="762">
      <c r="U762" s="18" t="n">
        <v>760</v>
      </c>
      <c r="V762" s="21" t="n"/>
      <c r="W762" s="21" t="n"/>
    </row>
    <row r="763">
      <c r="U763" s="18" t="n">
        <v>761</v>
      </c>
      <c r="V763" s="20" t="n"/>
      <c r="W763" s="20" t="n"/>
    </row>
    <row r="764">
      <c r="U764" s="18" t="n">
        <v>762</v>
      </c>
      <c r="V764" s="21" t="n"/>
      <c r="W764" s="21" t="n"/>
    </row>
    <row r="765">
      <c r="U765" s="18" t="n">
        <v>763</v>
      </c>
      <c r="V765" s="20" t="n"/>
      <c r="W765" s="20" t="n"/>
    </row>
    <row r="766">
      <c r="U766" s="18" t="n">
        <v>764</v>
      </c>
      <c r="V766" s="21" t="n"/>
      <c r="W766" s="21" t="n"/>
    </row>
    <row r="767">
      <c r="U767" s="18" t="n">
        <v>765</v>
      </c>
      <c r="V767" s="20" t="n"/>
      <c r="W767" s="20" t="n"/>
    </row>
    <row r="768">
      <c r="U768" s="18" t="n">
        <v>766</v>
      </c>
      <c r="V768" s="21" t="n"/>
      <c r="W768" s="21" t="n"/>
    </row>
    <row r="769">
      <c r="U769" s="18" t="n">
        <v>767</v>
      </c>
      <c r="V769" s="20" t="n"/>
      <c r="W769" s="20" t="n"/>
    </row>
    <row r="770">
      <c r="U770" s="18" t="n">
        <v>768</v>
      </c>
      <c r="V770" s="21" t="n"/>
      <c r="W770" s="21" t="n"/>
    </row>
    <row r="771">
      <c r="U771" s="18" t="n">
        <v>769</v>
      </c>
      <c r="V771" s="20" t="n"/>
      <c r="W771" s="20" t="n"/>
    </row>
    <row r="772">
      <c r="U772" s="18" t="n">
        <v>770</v>
      </c>
      <c r="V772" s="21" t="n"/>
      <c r="W772" s="21" t="n"/>
    </row>
    <row r="773">
      <c r="U773" s="18" t="n">
        <v>771</v>
      </c>
      <c r="V773" s="20" t="n"/>
      <c r="W773" s="20" t="n"/>
    </row>
    <row r="774">
      <c r="U774" s="18" t="n">
        <v>772</v>
      </c>
      <c r="V774" s="21" t="n"/>
      <c r="W774" s="21" t="n"/>
    </row>
    <row r="775">
      <c r="U775" s="18" t="n">
        <v>773</v>
      </c>
      <c r="V775" s="20" t="n"/>
      <c r="W775" s="20" t="n"/>
    </row>
    <row r="776">
      <c r="U776" s="18" t="n">
        <v>774</v>
      </c>
      <c r="V776" s="21" t="n"/>
      <c r="W776" s="21" t="n"/>
    </row>
    <row r="777">
      <c r="U777" s="18" t="n">
        <v>775</v>
      </c>
      <c r="V777" s="20" t="n"/>
      <c r="W777" s="20" t="n"/>
    </row>
    <row r="778">
      <c r="U778" s="18" t="n">
        <v>776</v>
      </c>
      <c r="V778" s="21" t="n"/>
      <c r="W778" s="21" t="n"/>
    </row>
    <row r="779">
      <c r="U779" s="18" t="n">
        <v>777</v>
      </c>
      <c r="V779" s="20" t="n"/>
      <c r="W779" s="20" t="n"/>
    </row>
    <row r="780">
      <c r="U780" s="18" t="n">
        <v>778</v>
      </c>
      <c r="V780" s="21" t="n"/>
      <c r="W780" s="21" t="n"/>
    </row>
    <row r="781">
      <c r="U781" s="18" t="n">
        <v>779</v>
      </c>
      <c r="V781" s="20" t="n"/>
      <c r="W781" s="20" t="n"/>
    </row>
    <row r="782">
      <c r="U782" s="18" t="n">
        <v>780</v>
      </c>
      <c r="V782" s="21" t="n"/>
      <c r="W782" s="21" t="n"/>
    </row>
    <row r="783">
      <c r="U783" s="18" t="n">
        <v>781</v>
      </c>
      <c r="V783" s="20" t="n"/>
      <c r="W783" s="20" t="n"/>
    </row>
    <row r="784">
      <c r="U784" s="18" t="n">
        <v>782</v>
      </c>
      <c r="V784" s="21" t="n"/>
      <c r="W784" s="21" t="n"/>
    </row>
    <row r="785">
      <c r="U785" s="18" t="n">
        <v>783</v>
      </c>
      <c r="V785" s="20" t="n"/>
      <c r="W785" s="20" t="n"/>
    </row>
    <row r="786">
      <c r="U786" s="18" t="n">
        <v>784</v>
      </c>
      <c r="V786" s="21" t="n"/>
      <c r="W786" s="21" t="n"/>
    </row>
    <row r="787">
      <c r="U787" s="18" t="n">
        <v>785</v>
      </c>
      <c r="V787" s="20" t="n"/>
      <c r="W787" s="20" t="n"/>
    </row>
    <row r="788">
      <c r="U788" s="18" t="n">
        <v>786</v>
      </c>
      <c r="V788" s="21" t="n"/>
      <c r="W788" s="21" t="n"/>
    </row>
    <row r="789">
      <c r="U789" s="18" t="n">
        <v>787</v>
      </c>
      <c r="V789" s="20" t="n"/>
      <c r="W789" s="20" t="n"/>
    </row>
    <row r="790">
      <c r="U790" s="18" t="n">
        <v>788</v>
      </c>
      <c r="V790" s="21" t="n"/>
      <c r="W790" s="21" t="n"/>
    </row>
    <row r="791">
      <c r="U791" s="18" t="n">
        <v>789</v>
      </c>
      <c r="V791" s="20" t="n"/>
      <c r="W791" s="20" t="n"/>
    </row>
    <row r="792">
      <c r="U792" s="18" t="n">
        <v>790</v>
      </c>
      <c r="V792" s="21" t="n"/>
      <c r="W792" s="21" t="n"/>
    </row>
    <row r="793">
      <c r="U793" s="18" t="n">
        <v>791</v>
      </c>
      <c r="V793" s="20" t="n"/>
      <c r="W793" s="20" t="n"/>
    </row>
    <row r="794">
      <c r="U794" s="18" t="n">
        <v>792</v>
      </c>
      <c r="V794" s="21" t="n"/>
      <c r="W794" s="21" t="n"/>
    </row>
    <row r="795">
      <c r="U795" s="18" t="n">
        <v>793</v>
      </c>
      <c r="V795" s="20" t="n"/>
      <c r="W795" s="20" t="n"/>
    </row>
    <row r="796">
      <c r="U796" s="18" t="n">
        <v>794</v>
      </c>
      <c r="V796" s="21" t="n"/>
      <c r="W796" s="21" t="n"/>
    </row>
    <row r="797">
      <c r="U797" s="18" t="n">
        <v>795</v>
      </c>
      <c r="V797" s="20" t="n"/>
      <c r="W797" s="20" t="n"/>
    </row>
    <row r="798">
      <c r="U798" s="18" t="n">
        <v>796</v>
      </c>
      <c r="V798" s="21" t="n"/>
      <c r="W798" s="21" t="n"/>
    </row>
    <row r="799">
      <c r="U799" s="18" t="n">
        <v>797</v>
      </c>
      <c r="V799" s="20" t="n"/>
      <c r="W799" s="20" t="n"/>
    </row>
    <row r="800">
      <c r="U800" s="18" t="n">
        <v>798</v>
      </c>
      <c r="V800" s="21" t="n"/>
      <c r="W800" s="21" t="n"/>
    </row>
    <row r="801">
      <c r="U801" s="18" t="n">
        <v>799</v>
      </c>
      <c r="V801" s="20" t="n"/>
      <c r="W801" s="20" t="n"/>
    </row>
    <row r="802">
      <c r="U802" s="18" t="n">
        <v>800</v>
      </c>
      <c r="V802" s="21" t="n"/>
      <c r="W802" s="21" t="n"/>
    </row>
    <row r="803">
      <c r="U803" s="18" t="n">
        <v>801</v>
      </c>
      <c r="V803" s="20" t="n"/>
      <c r="W803" s="20" t="n"/>
    </row>
    <row r="804">
      <c r="U804" s="18" t="n">
        <v>802</v>
      </c>
      <c r="V804" s="21" t="n"/>
      <c r="W804" s="21" t="n"/>
    </row>
    <row r="805">
      <c r="U805" s="18" t="n">
        <v>803</v>
      </c>
      <c r="V805" s="20" t="n"/>
      <c r="W805" s="20" t="n"/>
    </row>
    <row r="806">
      <c r="U806" s="18" t="n">
        <v>804</v>
      </c>
      <c r="V806" s="21" t="n"/>
      <c r="W806" s="21" t="n"/>
    </row>
    <row r="807">
      <c r="U807" s="18" t="n">
        <v>805</v>
      </c>
      <c r="V807" s="20" t="n"/>
      <c r="W807" s="20" t="n"/>
    </row>
    <row r="808">
      <c r="U808" s="18" t="n">
        <v>806</v>
      </c>
      <c r="V808" s="21" t="n"/>
      <c r="W808" s="21" t="n"/>
    </row>
    <row r="809">
      <c r="U809" s="18" t="n">
        <v>807</v>
      </c>
      <c r="V809" s="20" t="n"/>
      <c r="W809" s="20" t="n"/>
    </row>
    <row r="810">
      <c r="U810" s="18" t="n">
        <v>808</v>
      </c>
      <c r="V810" s="21" t="n"/>
      <c r="W810" s="21" t="n"/>
    </row>
    <row r="811">
      <c r="U811" s="18" t="n">
        <v>809</v>
      </c>
      <c r="V811" s="20" t="n"/>
      <c r="W811" s="20" t="n"/>
    </row>
    <row r="812">
      <c r="U812" s="18" t="n">
        <v>810</v>
      </c>
      <c r="V812" s="21" t="n"/>
      <c r="W812" s="21" t="n"/>
    </row>
    <row r="813">
      <c r="U813" s="18" t="n">
        <v>811</v>
      </c>
      <c r="V813" s="20" t="n"/>
      <c r="W813" s="20" t="n"/>
    </row>
    <row r="814">
      <c r="U814" s="18" t="n">
        <v>812</v>
      </c>
      <c r="V814" s="21" t="n"/>
      <c r="W814" s="21" t="n"/>
    </row>
    <row r="815">
      <c r="U815" s="18" t="n">
        <v>813</v>
      </c>
      <c r="V815" s="20" t="n"/>
      <c r="W815" s="20" t="n"/>
    </row>
    <row r="816">
      <c r="U816" s="18" t="n">
        <v>814</v>
      </c>
      <c r="V816" s="21" t="n"/>
      <c r="W816" s="21" t="n"/>
    </row>
    <row r="817">
      <c r="U817" s="18" t="n">
        <v>815</v>
      </c>
      <c r="V817" s="20" t="n"/>
      <c r="W817" s="20" t="n"/>
    </row>
    <row r="818">
      <c r="U818" s="18" t="n">
        <v>816</v>
      </c>
      <c r="V818" s="21" t="n"/>
      <c r="W818" s="21" t="n"/>
    </row>
    <row r="819">
      <c r="U819" s="18" t="n">
        <v>817</v>
      </c>
      <c r="V819" s="20" t="n"/>
      <c r="W819" s="20" t="n"/>
    </row>
    <row r="820">
      <c r="U820" s="18" t="n">
        <v>818</v>
      </c>
      <c r="V820" s="21" t="n"/>
      <c r="W820" s="21" t="n"/>
    </row>
    <row r="821">
      <c r="U821" s="18" t="n">
        <v>819</v>
      </c>
      <c r="V821" s="20" t="n"/>
      <c r="W821" s="20" t="n"/>
    </row>
    <row r="822">
      <c r="U822" s="18" t="n">
        <v>820</v>
      </c>
      <c r="V822" s="21" t="n"/>
      <c r="W822" s="21" t="n"/>
    </row>
    <row r="823">
      <c r="U823" s="18" t="n">
        <v>821</v>
      </c>
      <c r="V823" s="20" t="n"/>
      <c r="W823" s="20" t="n"/>
    </row>
    <row r="824">
      <c r="U824" s="18" t="n">
        <v>822</v>
      </c>
      <c r="V824" s="21" t="n"/>
      <c r="W824" s="21" t="n"/>
    </row>
    <row r="825">
      <c r="U825" s="18" t="n">
        <v>823</v>
      </c>
      <c r="V825" s="20" t="n"/>
      <c r="W825" s="20" t="n"/>
    </row>
    <row r="826">
      <c r="U826" s="18" t="n">
        <v>824</v>
      </c>
      <c r="V826" s="21" t="n"/>
      <c r="W826" s="21" t="n"/>
    </row>
    <row r="827">
      <c r="U827" s="18" t="n">
        <v>825</v>
      </c>
      <c r="V827" s="20" t="n"/>
      <c r="W827" s="20" t="n"/>
    </row>
    <row r="828">
      <c r="U828" s="18" t="n">
        <v>826</v>
      </c>
      <c r="V828" s="21" t="n"/>
      <c r="W828" s="21" t="n"/>
    </row>
    <row r="829">
      <c r="U829" s="18" t="n">
        <v>827</v>
      </c>
      <c r="V829" s="20" t="n"/>
      <c r="W829" s="20" t="n"/>
    </row>
    <row r="830">
      <c r="U830" s="18" t="n">
        <v>828</v>
      </c>
      <c r="V830" s="21" t="n"/>
      <c r="W830" s="21" t="n"/>
    </row>
    <row r="831">
      <c r="U831" s="18" t="n">
        <v>829</v>
      </c>
      <c r="V831" s="20" t="n"/>
      <c r="W831" s="20" t="n"/>
    </row>
    <row r="832">
      <c r="U832" s="18" t="n">
        <v>830</v>
      </c>
      <c r="V832" s="21" t="n"/>
      <c r="W832" s="21" t="n"/>
    </row>
    <row r="833">
      <c r="U833" s="18" t="n">
        <v>831</v>
      </c>
      <c r="V833" s="20" t="n"/>
      <c r="W833" s="20" t="n"/>
    </row>
    <row r="834">
      <c r="U834" s="18" t="n">
        <v>832</v>
      </c>
      <c r="V834" s="21" t="n"/>
      <c r="W834" s="21" t="n"/>
    </row>
    <row r="835">
      <c r="U835" s="18" t="n">
        <v>833</v>
      </c>
      <c r="V835" s="20" t="n"/>
      <c r="W835" s="20" t="n"/>
    </row>
    <row r="836">
      <c r="U836" s="18" t="n">
        <v>834</v>
      </c>
      <c r="V836" s="21" t="n"/>
      <c r="W836" s="21" t="n"/>
    </row>
    <row r="837">
      <c r="U837" s="18" t="n">
        <v>835</v>
      </c>
      <c r="V837" s="20" t="n"/>
      <c r="W837" s="20" t="n"/>
    </row>
    <row r="838">
      <c r="U838" s="18" t="n">
        <v>836</v>
      </c>
      <c r="V838" s="21" t="n"/>
      <c r="W838" s="21" t="n"/>
    </row>
    <row r="839">
      <c r="U839" s="18" t="n">
        <v>837</v>
      </c>
      <c r="V839" s="20" t="n"/>
      <c r="W839" s="20" t="n"/>
    </row>
    <row r="840">
      <c r="U840" s="18" t="n">
        <v>838</v>
      </c>
      <c r="V840" s="21" t="n"/>
      <c r="W840" s="21" t="n"/>
    </row>
    <row r="841">
      <c r="U841" s="18" t="n">
        <v>839</v>
      </c>
      <c r="V841" s="20" t="n"/>
      <c r="W841" s="20" t="n"/>
    </row>
    <row r="842">
      <c r="U842" s="18" t="n">
        <v>840</v>
      </c>
      <c r="V842" s="21" t="n"/>
      <c r="W842" s="21" t="n"/>
    </row>
    <row r="843">
      <c r="U843" s="18" t="n">
        <v>841</v>
      </c>
      <c r="V843" s="20" t="n"/>
      <c r="W843" s="20" t="n"/>
    </row>
    <row r="844">
      <c r="U844" s="18" t="n">
        <v>842</v>
      </c>
      <c r="V844" s="21" t="n"/>
      <c r="W844" s="21" t="n"/>
    </row>
    <row r="845">
      <c r="U845" s="18" t="n">
        <v>843</v>
      </c>
      <c r="V845" s="20" t="n"/>
      <c r="W845" s="20" t="n"/>
    </row>
    <row r="846">
      <c r="U846" s="18" t="n">
        <v>844</v>
      </c>
      <c r="V846" s="21" t="n"/>
      <c r="W846" s="21" t="n"/>
    </row>
    <row r="847">
      <c r="U847" s="18" t="n">
        <v>845</v>
      </c>
      <c r="V847" s="20" t="n"/>
      <c r="W847" s="20" t="n"/>
    </row>
    <row r="848">
      <c r="U848" s="18" t="n">
        <v>846</v>
      </c>
      <c r="V848" s="21" t="n"/>
      <c r="W848" s="21" t="n"/>
    </row>
    <row r="849">
      <c r="U849" s="18" t="n">
        <v>847</v>
      </c>
      <c r="V849" s="20" t="n"/>
      <c r="W849" s="20" t="n"/>
    </row>
    <row r="850">
      <c r="U850" s="18" t="n">
        <v>848</v>
      </c>
      <c r="V850" s="21" t="n"/>
      <c r="W850" s="21" t="n"/>
    </row>
    <row r="851">
      <c r="U851" s="18" t="n">
        <v>849</v>
      </c>
      <c r="V851" s="20" t="n"/>
      <c r="W851" s="20" t="n"/>
    </row>
    <row r="852">
      <c r="U852" s="18" t="n">
        <v>850</v>
      </c>
      <c r="V852" s="21" t="n"/>
      <c r="W852" s="21" t="n"/>
    </row>
    <row r="853">
      <c r="U853" s="18" t="n">
        <v>851</v>
      </c>
      <c r="V853" s="20" t="n"/>
      <c r="W853" s="20" t="n"/>
    </row>
    <row r="854">
      <c r="U854" s="18" t="n">
        <v>852</v>
      </c>
      <c r="V854" s="21" t="n"/>
      <c r="W854" s="21" t="n"/>
    </row>
    <row r="855">
      <c r="U855" s="18" t="n">
        <v>853</v>
      </c>
      <c r="V855" s="20" t="n"/>
      <c r="W855" s="20" t="n"/>
    </row>
    <row r="856">
      <c r="U856" s="18" t="n">
        <v>854</v>
      </c>
      <c r="V856" s="21" t="n"/>
      <c r="W856" s="21" t="n"/>
    </row>
    <row r="857">
      <c r="U857" s="18" t="n">
        <v>855</v>
      </c>
      <c r="V857" s="20" t="n"/>
      <c r="W857" s="20" t="n"/>
    </row>
    <row r="858">
      <c r="U858" s="18" t="n">
        <v>856</v>
      </c>
      <c r="V858" s="21" t="n"/>
      <c r="W858" s="21" t="n"/>
    </row>
    <row r="859">
      <c r="U859" s="18" t="n">
        <v>857</v>
      </c>
      <c r="V859" s="20" t="n"/>
      <c r="W859" s="20" t="n"/>
    </row>
    <row r="860">
      <c r="U860" s="18" t="n">
        <v>858</v>
      </c>
      <c r="V860" s="21" t="n"/>
      <c r="W860" s="21" t="n"/>
    </row>
    <row r="861">
      <c r="U861" s="18" t="n">
        <v>859</v>
      </c>
      <c r="V861" s="20" t="n"/>
      <c r="W861" s="20" t="n"/>
    </row>
    <row r="862">
      <c r="U862" s="18" t="n">
        <v>860</v>
      </c>
      <c r="V862" s="21" t="n"/>
      <c r="W862" s="21" t="n"/>
    </row>
    <row r="863">
      <c r="U863" s="18" t="n">
        <v>861</v>
      </c>
      <c r="V863" s="20" t="n"/>
      <c r="W863" s="20" t="n"/>
    </row>
    <row r="864">
      <c r="U864" s="18" t="n">
        <v>862</v>
      </c>
      <c r="V864" s="21" t="n"/>
      <c r="W864" s="21" t="n"/>
    </row>
    <row r="865">
      <c r="U865" s="18" t="n">
        <v>863</v>
      </c>
      <c r="V865" s="20" t="n"/>
      <c r="W865" s="20" t="n"/>
    </row>
    <row r="866">
      <c r="U866" s="18" t="n">
        <v>864</v>
      </c>
      <c r="V866" s="21" t="n"/>
      <c r="W866" s="21" t="n"/>
    </row>
    <row r="867">
      <c r="U867" s="18" t="n">
        <v>865</v>
      </c>
      <c r="V867" s="20" t="n"/>
      <c r="W867" s="20" t="n"/>
    </row>
    <row r="868">
      <c r="U868" s="18" t="n">
        <v>866</v>
      </c>
      <c r="V868" s="21" t="n"/>
      <c r="W868" s="21" t="n"/>
    </row>
    <row r="869">
      <c r="U869" s="18" t="n">
        <v>867</v>
      </c>
      <c r="V869" s="20" t="n"/>
      <c r="W869" s="20" t="n"/>
    </row>
    <row r="870">
      <c r="U870" s="18" t="n">
        <v>868</v>
      </c>
      <c r="V870" s="21" t="n"/>
      <c r="W870" s="21" t="n"/>
    </row>
    <row r="871">
      <c r="U871" s="18" t="n">
        <v>869</v>
      </c>
      <c r="V871" s="20" t="n"/>
      <c r="W871" s="20" t="n"/>
    </row>
    <row r="872">
      <c r="U872" s="18" t="n">
        <v>870</v>
      </c>
      <c r="V872" s="21" t="n"/>
      <c r="W872" s="21" t="n"/>
    </row>
    <row r="873">
      <c r="U873" s="18" t="n">
        <v>871</v>
      </c>
      <c r="V873" s="20" t="n"/>
      <c r="W873" s="20" t="n"/>
    </row>
    <row r="874">
      <c r="U874" s="18" t="n">
        <v>872</v>
      </c>
      <c r="V874" s="21" t="n"/>
      <c r="W874" s="21" t="n"/>
    </row>
    <row r="875">
      <c r="U875" s="18" t="n">
        <v>873</v>
      </c>
      <c r="V875" s="20" t="n"/>
      <c r="W875" s="20" t="n"/>
    </row>
    <row r="876">
      <c r="U876" s="18" t="n">
        <v>874</v>
      </c>
      <c r="V876" s="21" t="n"/>
      <c r="W876" s="21" t="n"/>
    </row>
    <row r="877">
      <c r="U877" s="18" t="n">
        <v>875</v>
      </c>
      <c r="V877" s="20" t="n"/>
      <c r="W877" s="20" t="n"/>
    </row>
    <row r="878">
      <c r="U878" s="18" t="n">
        <v>876</v>
      </c>
      <c r="V878" s="21" t="n"/>
      <c r="W878" s="21" t="n"/>
    </row>
    <row r="879">
      <c r="U879" s="18" t="n">
        <v>877</v>
      </c>
      <c r="V879" s="20" t="n"/>
      <c r="W879" s="20" t="n"/>
    </row>
    <row r="880">
      <c r="U880" s="18" t="n">
        <v>878</v>
      </c>
      <c r="V880" s="21" t="n"/>
      <c r="W880" s="21" t="n"/>
    </row>
    <row r="881">
      <c r="U881" s="18" t="n">
        <v>879</v>
      </c>
      <c r="V881" s="20" t="n"/>
      <c r="W881" s="20" t="n"/>
    </row>
    <row r="882">
      <c r="U882" s="18" t="n">
        <v>880</v>
      </c>
      <c r="V882" s="21" t="n"/>
      <c r="W882" s="21" t="n"/>
    </row>
    <row r="883">
      <c r="U883" s="18" t="n">
        <v>881</v>
      </c>
      <c r="V883" s="20" t="n"/>
      <c r="W883" s="20" t="n"/>
    </row>
    <row r="884">
      <c r="U884" s="18" t="n">
        <v>882</v>
      </c>
      <c r="V884" s="21" t="n"/>
      <c r="W884" s="21" t="n"/>
    </row>
    <row r="885">
      <c r="U885" s="18" t="n">
        <v>883</v>
      </c>
      <c r="V885" s="20" t="n"/>
      <c r="W885" s="20" t="n"/>
    </row>
    <row r="886">
      <c r="U886" s="18" t="n">
        <v>884</v>
      </c>
      <c r="V886" s="21" t="n"/>
      <c r="W886" s="21" t="n"/>
    </row>
    <row r="887">
      <c r="U887" s="18" t="n">
        <v>885</v>
      </c>
      <c r="V887" s="20" t="n"/>
      <c r="W887" s="20" t="n"/>
    </row>
    <row r="888">
      <c r="U888" s="18" t="n">
        <v>886</v>
      </c>
      <c r="V888" s="21" t="n"/>
      <c r="W888" s="21" t="n"/>
    </row>
    <row r="889">
      <c r="U889" s="18" t="n">
        <v>887</v>
      </c>
      <c r="V889" s="20" t="n"/>
      <c r="W889" s="20" t="n"/>
    </row>
    <row r="890">
      <c r="U890" s="18" t="n">
        <v>888</v>
      </c>
      <c r="V890" s="21" t="n"/>
      <c r="W890" s="21" t="n"/>
    </row>
    <row r="891">
      <c r="U891" s="18" t="n">
        <v>889</v>
      </c>
      <c r="V891" s="20" t="n"/>
      <c r="W891" s="20" t="n"/>
    </row>
    <row r="892">
      <c r="U892" s="18" t="n">
        <v>890</v>
      </c>
      <c r="V892" s="21" t="n"/>
      <c r="W892" s="21" t="n"/>
    </row>
    <row r="893">
      <c r="U893" s="18" t="n">
        <v>891</v>
      </c>
      <c r="V893" s="20" t="n"/>
      <c r="W893" s="20" t="n"/>
    </row>
    <row r="894">
      <c r="U894" s="18" t="n">
        <v>892</v>
      </c>
      <c r="V894" s="21" t="n"/>
      <c r="W894" s="21" t="n"/>
    </row>
    <row r="895">
      <c r="U895" s="18" t="n">
        <v>893</v>
      </c>
      <c r="V895" s="20" t="n"/>
      <c r="W895" s="20" t="n"/>
    </row>
    <row r="896">
      <c r="U896" s="18" t="n">
        <v>894</v>
      </c>
      <c r="V896" s="21" t="n"/>
      <c r="W896" s="21" t="n"/>
    </row>
    <row r="897">
      <c r="U897" s="18" t="n">
        <v>895</v>
      </c>
      <c r="V897" s="20" t="n"/>
      <c r="W897" s="20" t="n"/>
    </row>
    <row r="898">
      <c r="U898" s="18" t="n">
        <v>896</v>
      </c>
      <c r="V898" s="21" t="n"/>
      <c r="W898" s="21" t="n"/>
    </row>
    <row r="899">
      <c r="U899" s="18" t="n">
        <v>897</v>
      </c>
      <c r="V899" s="20" t="n"/>
      <c r="W899" s="20" t="n"/>
    </row>
    <row r="900">
      <c r="U900" s="18" t="n">
        <v>898</v>
      </c>
      <c r="V900" s="21" t="n"/>
      <c r="W900" s="21" t="n"/>
    </row>
    <row r="901">
      <c r="U901" s="18" t="n">
        <v>899</v>
      </c>
      <c r="V901" s="20" t="n"/>
      <c r="W901" s="20" t="n"/>
    </row>
    <row r="902">
      <c r="U902" s="18" t="n">
        <v>900</v>
      </c>
      <c r="V902" s="21" t="n"/>
      <c r="W902" s="21" t="n"/>
    </row>
    <row r="903">
      <c r="U903" s="18" t="n">
        <v>901</v>
      </c>
      <c r="V903" s="20" t="n"/>
      <c r="W903" s="20" t="n"/>
    </row>
    <row r="904">
      <c r="U904" s="18" t="n">
        <v>902</v>
      </c>
      <c r="V904" s="21" t="n"/>
      <c r="W904" s="21" t="n"/>
    </row>
    <row r="905">
      <c r="U905" s="18" t="n">
        <v>903</v>
      </c>
      <c r="V905" s="20" t="n"/>
      <c r="W905" s="20" t="n"/>
    </row>
    <row r="906">
      <c r="U906" s="18" t="n">
        <v>904</v>
      </c>
      <c r="V906" s="21" t="n"/>
      <c r="W906" s="21" t="n"/>
    </row>
    <row r="907">
      <c r="U907" s="18" t="n">
        <v>905</v>
      </c>
      <c r="V907" s="20" t="n"/>
      <c r="W907" s="20" t="n"/>
    </row>
    <row r="908">
      <c r="U908" s="18" t="n">
        <v>906</v>
      </c>
      <c r="V908" s="21" t="n"/>
      <c r="W908" s="21" t="n"/>
    </row>
    <row r="909">
      <c r="U909" s="18" t="n">
        <v>907</v>
      </c>
      <c r="V909" s="20" t="n"/>
      <c r="W909" s="20" t="n"/>
    </row>
    <row r="910">
      <c r="U910" s="18" t="n">
        <v>908</v>
      </c>
      <c r="V910" s="21" t="n"/>
      <c r="W910" s="21" t="n"/>
    </row>
    <row r="911">
      <c r="U911" s="18" t="n">
        <v>909</v>
      </c>
      <c r="V911" s="20" t="n"/>
      <c r="W911" s="20" t="n"/>
    </row>
    <row r="912">
      <c r="U912" s="18" t="n">
        <v>910</v>
      </c>
      <c r="V912" s="21" t="n"/>
      <c r="W912" s="21" t="n"/>
    </row>
    <row r="913">
      <c r="U913" s="18" t="n">
        <v>911</v>
      </c>
      <c r="V913" s="20" t="n"/>
      <c r="W913" s="20" t="n"/>
    </row>
    <row r="914">
      <c r="U914" s="18" t="n">
        <v>912</v>
      </c>
      <c r="V914" s="21" t="n"/>
      <c r="W914" s="21" t="n"/>
    </row>
    <row r="915">
      <c r="U915" s="18" t="n">
        <v>913</v>
      </c>
      <c r="V915" s="20" t="n"/>
      <c r="W915" s="20" t="n"/>
    </row>
    <row r="916">
      <c r="U916" s="18" t="n">
        <v>914</v>
      </c>
      <c r="V916" s="21" t="n"/>
      <c r="W916" s="21" t="n"/>
    </row>
    <row r="917">
      <c r="U917" s="18" t="n">
        <v>915</v>
      </c>
      <c r="V917" s="20" t="n"/>
      <c r="W917" s="20" t="n"/>
    </row>
    <row r="918">
      <c r="U918" s="18" t="n">
        <v>916</v>
      </c>
      <c r="V918" s="21" t="n"/>
      <c r="W918" s="21" t="n"/>
    </row>
    <row r="919">
      <c r="U919" s="18" t="n">
        <v>917</v>
      </c>
      <c r="V919" s="20" t="n"/>
      <c r="W919" s="20" t="n"/>
    </row>
    <row r="920">
      <c r="U920" s="18" t="n">
        <v>918</v>
      </c>
      <c r="V920" s="21" t="n"/>
      <c r="W920" s="21" t="n"/>
    </row>
    <row r="921">
      <c r="U921" s="18" t="n">
        <v>919</v>
      </c>
      <c r="V921" s="20" t="n"/>
      <c r="W921" s="20" t="n"/>
    </row>
    <row r="922">
      <c r="U922" s="18" t="n">
        <v>920</v>
      </c>
      <c r="V922" s="21" t="n"/>
      <c r="W922" s="21" t="n"/>
    </row>
    <row r="923">
      <c r="U923" s="18" t="n">
        <v>921</v>
      </c>
      <c r="V923" s="20" t="n"/>
      <c r="W923" s="20" t="n"/>
    </row>
    <row r="924">
      <c r="U924" s="18" t="n">
        <v>922</v>
      </c>
      <c r="V924" s="21" t="n"/>
      <c r="W924" s="21" t="n"/>
    </row>
    <row r="925">
      <c r="U925" s="18" t="n">
        <v>923</v>
      </c>
      <c r="V925" s="20" t="n"/>
      <c r="W925" s="20" t="n"/>
    </row>
    <row r="926">
      <c r="U926" s="18" t="n">
        <v>924</v>
      </c>
      <c r="V926" s="21" t="n"/>
      <c r="W926" s="21" t="n"/>
    </row>
    <row r="927">
      <c r="U927" s="18" t="n">
        <v>925</v>
      </c>
      <c r="V927" s="20" t="n"/>
      <c r="W927" s="20" t="n"/>
    </row>
    <row r="928">
      <c r="U928" s="18" t="n">
        <v>926</v>
      </c>
      <c r="V928" s="21" t="n"/>
      <c r="W928" s="21" t="n"/>
    </row>
    <row r="929">
      <c r="U929" s="18" t="n">
        <v>927</v>
      </c>
      <c r="V929" s="20" t="n"/>
      <c r="W929" s="20" t="n"/>
    </row>
    <row r="930">
      <c r="U930" s="18" t="n">
        <v>928</v>
      </c>
      <c r="V930" s="21" t="n"/>
      <c r="W930" s="21" t="n"/>
    </row>
    <row r="931">
      <c r="U931" s="18" t="n">
        <v>929</v>
      </c>
      <c r="V931" s="20" t="n"/>
      <c r="W931" s="20" t="n"/>
    </row>
    <row r="932">
      <c r="U932" s="18" t="n">
        <v>930</v>
      </c>
      <c r="V932" s="21" t="n"/>
      <c r="W932" s="21" t="n"/>
    </row>
    <row r="933">
      <c r="U933" s="18" t="n">
        <v>931</v>
      </c>
      <c r="V933" s="20" t="n"/>
      <c r="W933" s="20" t="n"/>
    </row>
    <row r="934">
      <c r="U934" s="18" t="n">
        <v>932</v>
      </c>
      <c r="V934" s="21" t="n"/>
      <c r="W934" s="21" t="n"/>
    </row>
    <row r="935">
      <c r="U935" s="18" t="n">
        <v>933</v>
      </c>
      <c r="V935" s="20" t="n"/>
      <c r="W935" s="20" t="n"/>
    </row>
    <row r="936">
      <c r="U936" s="18" t="n">
        <v>934</v>
      </c>
      <c r="V936" s="21" t="n"/>
      <c r="W936" s="21" t="n"/>
    </row>
    <row r="937">
      <c r="U937" s="18" t="n">
        <v>935</v>
      </c>
      <c r="V937" s="20" t="n"/>
      <c r="W937" s="20" t="n"/>
    </row>
    <row r="938">
      <c r="U938" s="18" t="n">
        <v>936</v>
      </c>
      <c r="V938" s="21" t="n"/>
      <c r="W938" s="21" t="n"/>
    </row>
    <row r="939">
      <c r="U939" s="18" t="n">
        <v>937</v>
      </c>
      <c r="V939" s="20" t="n"/>
      <c r="W939" s="20" t="n"/>
    </row>
    <row r="940">
      <c r="U940" s="18" t="n">
        <v>938</v>
      </c>
      <c r="V940" s="21" t="n"/>
      <c r="W940" s="21" t="n"/>
    </row>
    <row r="941">
      <c r="U941" s="18" t="n">
        <v>939</v>
      </c>
      <c r="V941" s="20" t="n"/>
      <c r="W941" s="20" t="n"/>
    </row>
    <row r="942">
      <c r="U942" s="18" t="n">
        <v>940</v>
      </c>
      <c r="V942" s="21" t="n"/>
      <c r="W942" s="21" t="n"/>
    </row>
    <row r="943">
      <c r="U943" s="18" t="n">
        <v>941</v>
      </c>
      <c r="V943" s="20" t="n"/>
      <c r="W943" s="20" t="n"/>
    </row>
    <row r="944">
      <c r="U944" s="18" t="n">
        <v>942</v>
      </c>
      <c r="V944" s="21" t="n"/>
      <c r="W944" s="21" t="n"/>
    </row>
    <row r="945">
      <c r="U945" s="18" t="n">
        <v>943</v>
      </c>
      <c r="V945" s="20" t="n"/>
      <c r="W945" s="20" t="n"/>
    </row>
    <row r="946">
      <c r="U946" s="18" t="n">
        <v>944</v>
      </c>
      <c r="V946" s="21" t="n"/>
      <c r="W946" s="21" t="n"/>
    </row>
    <row r="947">
      <c r="U947" s="18" t="n">
        <v>945</v>
      </c>
      <c r="V947" s="20" t="n"/>
      <c r="W947" s="20" t="n"/>
    </row>
    <row r="948">
      <c r="U948" s="18" t="n">
        <v>946</v>
      </c>
      <c r="V948" s="21" t="n"/>
      <c r="W948" s="21" t="n"/>
    </row>
    <row r="949">
      <c r="U949" s="18" t="n">
        <v>947</v>
      </c>
      <c r="V949" s="20" t="n"/>
      <c r="W949" s="20" t="n"/>
    </row>
    <row r="950">
      <c r="U950" s="18" t="n">
        <v>948</v>
      </c>
      <c r="V950" s="21" t="n"/>
      <c r="W950" s="21" t="n"/>
    </row>
    <row r="951">
      <c r="U951" s="18" t="n">
        <v>949</v>
      </c>
      <c r="V951" s="20" t="n"/>
      <c r="W951" s="20" t="n"/>
    </row>
    <row r="952">
      <c r="U952" s="18" t="n">
        <v>950</v>
      </c>
      <c r="V952" s="21" t="n"/>
      <c r="W952" s="21" t="n"/>
    </row>
    <row r="953">
      <c r="U953" s="18" t="n">
        <v>951</v>
      </c>
      <c r="V953" s="20" t="n"/>
      <c r="W953" s="20" t="n"/>
    </row>
    <row r="954">
      <c r="U954" s="18" t="n">
        <v>952</v>
      </c>
      <c r="V954" s="21" t="n"/>
      <c r="W954" s="21" t="n"/>
    </row>
    <row r="955">
      <c r="U955" s="18" t="n">
        <v>953</v>
      </c>
      <c r="V955" s="20" t="n"/>
      <c r="W955" s="20" t="n"/>
    </row>
    <row r="956">
      <c r="U956" s="18" t="n">
        <v>954</v>
      </c>
      <c r="V956" s="21" t="n"/>
      <c r="W956" s="21" t="n"/>
    </row>
    <row r="957">
      <c r="U957" s="18" t="n">
        <v>955</v>
      </c>
      <c r="V957" s="20" t="n"/>
      <c r="W957" s="20" t="n"/>
    </row>
    <row r="958">
      <c r="U958" s="18" t="n">
        <v>956</v>
      </c>
      <c r="V958" s="21" t="n"/>
      <c r="W958" s="21" t="n"/>
    </row>
    <row r="959">
      <c r="U959" s="18" t="n">
        <v>957</v>
      </c>
      <c r="V959" s="20" t="n"/>
      <c r="W959" s="20" t="n"/>
    </row>
    <row r="960">
      <c r="U960" s="18" t="n">
        <v>958</v>
      </c>
      <c r="V960" s="21" t="n"/>
      <c r="W960" s="21" t="n"/>
    </row>
    <row r="961">
      <c r="U961" s="18" t="n">
        <v>959</v>
      </c>
      <c r="V961" s="20" t="n"/>
      <c r="W961" s="20" t="n"/>
    </row>
    <row r="962">
      <c r="U962" s="18" t="n">
        <v>960</v>
      </c>
      <c r="V962" s="21" t="n"/>
      <c r="W962" s="21" t="n"/>
    </row>
    <row r="963">
      <c r="U963" s="18" t="n">
        <v>961</v>
      </c>
      <c r="V963" s="20" t="n"/>
      <c r="W963" s="20" t="n"/>
    </row>
    <row r="964">
      <c r="U964" s="18" t="n">
        <v>962</v>
      </c>
      <c r="V964" s="21" t="n"/>
      <c r="W964" s="21" t="n"/>
    </row>
    <row r="965">
      <c r="U965" s="18" t="n">
        <v>963</v>
      </c>
      <c r="V965" s="20" t="n"/>
      <c r="W965" s="20" t="n"/>
    </row>
    <row r="966">
      <c r="U966" s="18" t="n">
        <v>964</v>
      </c>
      <c r="V966" s="21" t="n"/>
      <c r="W966" s="21" t="n"/>
    </row>
    <row r="967">
      <c r="U967" s="18" t="n">
        <v>965</v>
      </c>
      <c r="V967" s="20" t="n"/>
      <c r="W967" s="20" t="n"/>
    </row>
    <row r="968">
      <c r="U968" s="18" t="n">
        <v>966</v>
      </c>
      <c r="V968" s="21" t="n"/>
      <c r="W968" s="21" t="n"/>
    </row>
    <row r="969">
      <c r="U969" s="18" t="n">
        <v>967</v>
      </c>
      <c r="V969" s="20" t="n"/>
      <c r="W969" s="20" t="n"/>
    </row>
    <row r="970">
      <c r="U970" s="18" t="n">
        <v>968</v>
      </c>
      <c r="V970" s="21" t="n"/>
      <c r="W970" s="21" t="n"/>
    </row>
    <row r="971">
      <c r="U971" s="18" t="n">
        <v>969</v>
      </c>
      <c r="V971" s="20" t="n"/>
      <c r="W971" s="20" t="n"/>
    </row>
    <row r="972">
      <c r="U972" s="18" t="n">
        <v>970</v>
      </c>
      <c r="V972" s="21" t="n"/>
      <c r="W972" s="21" t="n"/>
    </row>
    <row r="973">
      <c r="U973" s="18" t="n">
        <v>971</v>
      </c>
      <c r="V973" s="20" t="n"/>
      <c r="W973" s="20" t="n"/>
    </row>
    <row r="974">
      <c r="U974" s="18" t="n">
        <v>972</v>
      </c>
      <c r="V974" s="21" t="n"/>
      <c r="W974" s="21" t="n"/>
    </row>
    <row r="975">
      <c r="U975" s="18" t="n">
        <v>973</v>
      </c>
      <c r="V975" s="20" t="n"/>
      <c r="W975" s="20" t="n"/>
    </row>
    <row r="976">
      <c r="U976" s="18" t="n">
        <v>974</v>
      </c>
      <c r="V976" s="21" t="n"/>
      <c r="W976" s="21" t="n"/>
    </row>
    <row r="977">
      <c r="U977" s="18" t="n">
        <v>975</v>
      </c>
      <c r="V977" s="20" t="n"/>
      <c r="W977" s="20" t="n"/>
    </row>
    <row r="978">
      <c r="U978" s="18" t="n">
        <v>976</v>
      </c>
      <c r="V978" s="21" t="n"/>
      <c r="W978" s="21" t="n"/>
    </row>
    <row r="979">
      <c r="U979" s="18" t="n">
        <v>977</v>
      </c>
      <c r="V979" s="20" t="n"/>
      <c r="W979" s="20" t="n"/>
    </row>
    <row r="980">
      <c r="U980" s="18" t="n">
        <v>978</v>
      </c>
      <c r="V980" s="21" t="n"/>
      <c r="W980" s="21" t="n"/>
    </row>
    <row r="981">
      <c r="U981" s="18" t="n">
        <v>979</v>
      </c>
      <c r="V981" s="20" t="n"/>
      <c r="W981" s="20" t="n"/>
    </row>
    <row r="982">
      <c r="U982" s="18" t="n">
        <v>980</v>
      </c>
      <c r="V982" s="21" t="n"/>
      <c r="W982" s="21" t="n"/>
    </row>
    <row r="983">
      <c r="U983" s="18" t="n">
        <v>981</v>
      </c>
      <c r="V983" s="20" t="n"/>
      <c r="W983" s="20" t="n"/>
    </row>
    <row r="984">
      <c r="U984" s="18" t="n">
        <v>982</v>
      </c>
      <c r="V984" s="21" t="n"/>
      <c r="W984" s="21" t="n"/>
    </row>
    <row r="985">
      <c r="U985" s="18" t="n">
        <v>983</v>
      </c>
      <c r="V985" s="20" t="n"/>
      <c r="W985" s="20" t="n"/>
    </row>
    <row r="986">
      <c r="U986" s="18" t="n">
        <v>984</v>
      </c>
      <c r="V986" s="21" t="n"/>
      <c r="W986" s="21" t="n"/>
    </row>
    <row r="987">
      <c r="U987" s="18" t="n">
        <v>985</v>
      </c>
      <c r="V987" s="20" t="n"/>
      <c r="W987" s="20" t="n"/>
    </row>
    <row r="988">
      <c r="U988" s="18" t="n">
        <v>986</v>
      </c>
      <c r="V988" s="21" t="n"/>
      <c r="W988" s="21" t="n"/>
    </row>
    <row r="989">
      <c r="U989" s="18" t="n">
        <v>987</v>
      </c>
      <c r="V989" s="20" t="n"/>
      <c r="W989" s="20" t="n"/>
    </row>
    <row r="990">
      <c r="U990" s="18" t="n">
        <v>988</v>
      </c>
      <c r="V990" s="21" t="n"/>
      <c r="W990" s="21" t="n"/>
    </row>
    <row r="991">
      <c r="U991" s="18" t="n">
        <v>989</v>
      </c>
      <c r="V991" s="20" t="n"/>
      <c r="W991" s="20" t="n"/>
    </row>
    <row r="992">
      <c r="U992" s="18" t="n">
        <v>990</v>
      </c>
      <c r="V992" s="21" t="n"/>
      <c r="W992" s="21" t="n"/>
    </row>
    <row r="993">
      <c r="U993" s="18" t="n">
        <v>991</v>
      </c>
      <c r="V993" s="20" t="n"/>
      <c r="W993" s="20" t="n"/>
    </row>
    <row r="994">
      <c r="U994" s="18" t="n">
        <v>992</v>
      </c>
      <c r="V994" s="21" t="n"/>
      <c r="W994" s="21" t="n"/>
    </row>
    <row r="995">
      <c r="U995" s="18" t="n">
        <v>993</v>
      </c>
      <c r="V995" s="20" t="n"/>
      <c r="W995" s="20" t="n"/>
    </row>
    <row r="996">
      <c r="U996" s="18" t="n">
        <v>994</v>
      </c>
      <c r="V996" s="21" t="n"/>
      <c r="W996" s="21" t="n"/>
    </row>
    <row r="997">
      <c r="U997" s="18" t="n">
        <v>995</v>
      </c>
      <c r="V997" s="20" t="n"/>
      <c r="W997" s="20" t="n"/>
    </row>
    <row r="998">
      <c r="U998" s="18" t="n">
        <v>996</v>
      </c>
      <c r="V998" s="21" t="n"/>
      <c r="W998" s="21" t="n"/>
    </row>
    <row r="999">
      <c r="U999" s="18" t="n">
        <v>997</v>
      </c>
      <c r="V999" s="20" t="n"/>
      <c r="W999" s="20" t="n"/>
    </row>
    <row r="1000">
      <c r="U1000" s="18" t="n">
        <v>998</v>
      </c>
      <c r="V1000" s="21" t="n"/>
      <c r="W1000" s="21" t="n"/>
    </row>
    <row r="1001">
      <c r="U1001" s="18" t="n">
        <v>999</v>
      </c>
      <c r="V1001" s="20" t="n"/>
      <c r="W1001" s="20" t="n"/>
    </row>
    <row r="1002">
      <c r="U1002" s="18" t="n">
        <v>1000</v>
      </c>
      <c r="V1002" s="21" t="n"/>
      <c r="W1002" s="21" t="n"/>
    </row>
    <row r="1003">
      <c r="U1003" s="18" t="n">
        <v>1001</v>
      </c>
      <c r="V1003" s="2" t="n"/>
      <c r="W1003" s="2" t="n"/>
    </row>
    <row r="1004">
      <c r="U1004" s="18" t="n">
        <v>1002</v>
      </c>
      <c r="V1004" s="2" t="n"/>
      <c r="W1004" s="2" t="n"/>
    </row>
    <row r="1005">
      <c r="U1005" s="18" t="n">
        <v>1003</v>
      </c>
      <c r="V1005" s="2" t="n"/>
      <c r="W1005" s="2" t="n"/>
    </row>
    <row r="1006">
      <c r="U1006" s="18" t="n">
        <v>1004</v>
      </c>
      <c r="V1006" s="2" t="n"/>
      <c r="W1006" s="2" t="n"/>
    </row>
    <row r="1007">
      <c r="U1007" s="18" t="n">
        <v>1005</v>
      </c>
      <c r="V1007" s="2" t="n"/>
      <c r="W1007" s="2" t="n"/>
    </row>
    <row r="1008">
      <c r="U1008" s="18" t="n">
        <v>1006</v>
      </c>
      <c r="V1008" s="2" t="n"/>
      <c r="W1008" s="2" t="n"/>
    </row>
    <row r="1009">
      <c r="U1009" s="18" t="n">
        <v>1007</v>
      </c>
      <c r="V1009" s="2" t="n"/>
      <c r="W1009" s="2" t="n"/>
    </row>
    <row r="1010">
      <c r="U1010" s="18" t="n">
        <v>1008</v>
      </c>
      <c r="V1010" s="2" t="n"/>
      <c r="W1010" s="2" t="n"/>
    </row>
    <row r="1011">
      <c r="U1011" s="18" t="n">
        <v>1009</v>
      </c>
      <c r="V1011" s="2" t="n"/>
      <c r="W1011" s="2" t="n"/>
    </row>
    <row r="1012">
      <c r="U1012" s="18" t="n">
        <v>1010</v>
      </c>
      <c r="V1012" s="2" t="n"/>
      <c r="W1012" s="2" t="n"/>
    </row>
    <row r="1013">
      <c r="U1013" s="18" t="n">
        <v>1011</v>
      </c>
      <c r="V1013" s="2" t="n"/>
      <c r="W1013" s="2" t="n"/>
    </row>
    <row r="1014">
      <c r="U1014" s="18" t="n">
        <v>1012</v>
      </c>
      <c r="V1014" s="2" t="n"/>
      <c r="W1014" s="2" t="n"/>
    </row>
    <row r="1015">
      <c r="U1015" s="18" t="n">
        <v>1013</v>
      </c>
      <c r="V1015" s="2" t="n"/>
      <c r="W1015" s="2" t="n"/>
    </row>
    <row r="1016">
      <c r="U1016" s="18" t="n">
        <v>1014</v>
      </c>
      <c r="V1016" s="2" t="n"/>
      <c r="W1016" s="2" t="n"/>
    </row>
    <row r="1017">
      <c r="U1017" s="18" t="n">
        <v>1015</v>
      </c>
      <c r="V1017" s="2" t="n"/>
      <c r="W1017" s="2" t="n"/>
    </row>
    <row r="1018">
      <c r="U1018" s="18" t="n">
        <v>1016</v>
      </c>
      <c r="V1018" s="2" t="n"/>
      <c r="W1018" s="2" t="n"/>
    </row>
    <row r="1019">
      <c r="U1019" s="18" t="n">
        <v>1017</v>
      </c>
      <c r="V1019" s="2" t="n"/>
      <c r="W1019" s="2" t="n"/>
    </row>
    <row r="1020">
      <c r="U1020" s="18" t="n">
        <v>1018</v>
      </c>
      <c r="V1020" s="2" t="n"/>
      <c r="W1020" s="2" t="n"/>
    </row>
    <row r="1021">
      <c r="U1021" s="18" t="n">
        <v>1019</v>
      </c>
      <c r="V1021" s="2" t="n"/>
      <c r="W1021" s="2" t="n"/>
    </row>
    <row r="1022">
      <c r="U1022" s="18" t="n">
        <v>1020</v>
      </c>
      <c r="V1022" s="2" t="n"/>
      <c r="W1022" s="2" t="n"/>
    </row>
    <row r="1023">
      <c r="U1023" s="18" t="n">
        <v>1021</v>
      </c>
      <c r="V1023" s="2" t="n"/>
      <c r="W1023" s="2" t="n"/>
    </row>
    <row r="1024">
      <c r="U1024" s="18" t="n">
        <v>1022</v>
      </c>
      <c r="V1024" s="2" t="n"/>
      <c r="W1024" s="2" t="n"/>
    </row>
    <row r="1025">
      <c r="U1025" s="18" t="n">
        <v>1023</v>
      </c>
      <c r="V1025" s="2" t="n"/>
      <c r="W1025" s="2" t="n"/>
    </row>
    <row r="1026">
      <c r="U1026" s="18" t="n">
        <v>1024</v>
      </c>
      <c r="V1026" s="2" t="n"/>
      <c r="W1026" s="2" t="n"/>
    </row>
    <row r="1027">
      <c r="U1027" s="18" t="n">
        <v>1025</v>
      </c>
      <c r="V1027" s="2" t="n"/>
      <c r="W1027" s="2" t="n"/>
    </row>
    <row r="1028">
      <c r="U1028" s="18" t="n">
        <v>1026</v>
      </c>
      <c r="V1028" s="2" t="n"/>
      <c r="W1028" s="2" t="n"/>
    </row>
    <row r="1029">
      <c r="U1029" s="18" t="n">
        <v>1027</v>
      </c>
      <c r="V1029" s="2" t="n"/>
      <c r="W1029" s="2" t="n"/>
    </row>
    <row r="1030">
      <c r="U1030" s="18" t="n">
        <v>1028</v>
      </c>
      <c r="V1030" s="2" t="n"/>
      <c r="W1030" s="2" t="n"/>
    </row>
    <row r="1031">
      <c r="U1031" s="18" t="n">
        <v>1029</v>
      </c>
      <c r="V1031" s="2" t="n"/>
      <c r="W1031" s="2" t="n"/>
    </row>
    <row r="1032">
      <c r="U1032" s="18" t="n">
        <v>1030</v>
      </c>
      <c r="V1032" s="2" t="n"/>
      <c r="W1032" s="2" t="n"/>
    </row>
    <row r="1033">
      <c r="U1033" s="18" t="n">
        <v>1031</v>
      </c>
      <c r="V1033" s="2" t="n"/>
      <c r="W1033" s="2" t="n"/>
    </row>
    <row r="1034">
      <c r="U1034" s="18" t="n">
        <v>1032</v>
      </c>
      <c r="V1034" s="2" t="n"/>
      <c r="W1034" s="2" t="n"/>
    </row>
    <row r="1035">
      <c r="U1035" s="18" t="n">
        <v>1033</v>
      </c>
      <c r="V1035" s="2" t="n"/>
      <c r="W1035" s="2" t="n"/>
    </row>
    <row r="1036">
      <c r="U1036" s="18" t="n">
        <v>1034</v>
      </c>
      <c r="V1036" s="2" t="n"/>
      <c r="W1036" s="2" t="n"/>
    </row>
    <row r="1037">
      <c r="U1037" s="18" t="n">
        <v>1035</v>
      </c>
      <c r="V1037" s="2" t="n"/>
      <c r="W1037" s="2" t="n"/>
    </row>
    <row r="1038">
      <c r="U1038" s="18" t="n">
        <v>1036</v>
      </c>
      <c r="V1038" s="2" t="n"/>
      <c r="W1038" s="2" t="n"/>
    </row>
    <row r="1039">
      <c r="U1039" s="18" t="n">
        <v>1037</v>
      </c>
      <c r="V1039" s="2" t="n"/>
      <c r="W1039" s="2" t="n"/>
    </row>
    <row r="1040">
      <c r="U1040" s="18" t="n">
        <v>1038</v>
      </c>
      <c r="V1040" s="2" t="n"/>
      <c r="W1040" s="2" t="n"/>
    </row>
    <row r="1041">
      <c r="U1041" s="18" t="n">
        <v>1039</v>
      </c>
      <c r="V1041" s="2" t="n"/>
      <c r="W1041" s="2" t="n"/>
    </row>
    <row r="1042">
      <c r="U1042" s="18" t="n">
        <v>1040</v>
      </c>
      <c r="V1042" s="2" t="n"/>
      <c r="W1042" s="2" t="n"/>
    </row>
    <row r="1043">
      <c r="U1043" s="18" t="n">
        <v>1041</v>
      </c>
      <c r="V1043" s="2" t="n"/>
      <c r="W1043" s="2" t="n"/>
    </row>
    <row r="1044">
      <c r="U1044" s="18" t="n">
        <v>1042</v>
      </c>
      <c r="V1044" s="2" t="n"/>
      <c r="W1044" s="2" t="n"/>
    </row>
    <row r="1045">
      <c r="U1045" s="18" t="n">
        <v>1043</v>
      </c>
      <c r="V1045" s="2" t="n"/>
      <c r="W1045" s="2" t="n"/>
    </row>
    <row r="1046">
      <c r="U1046" s="18" t="n">
        <v>1044</v>
      </c>
      <c r="V1046" s="2" t="n"/>
      <c r="W1046" s="2" t="n"/>
    </row>
    <row r="1047">
      <c r="U1047" s="18" t="n">
        <v>1045</v>
      </c>
      <c r="V1047" s="2" t="n"/>
      <c r="W1047" s="2" t="n"/>
    </row>
    <row r="1048">
      <c r="U1048" s="18" t="n">
        <v>1046</v>
      </c>
      <c r="V1048" s="2" t="n"/>
      <c r="W1048" s="2" t="n"/>
    </row>
    <row r="1049">
      <c r="U1049" s="18" t="n">
        <v>1047</v>
      </c>
      <c r="V1049" s="2" t="n"/>
      <c r="W1049" s="2" t="n"/>
    </row>
    <row r="1050">
      <c r="U1050" s="18" t="n">
        <v>1048</v>
      </c>
      <c r="V1050" s="2" t="n"/>
      <c r="W1050" s="2" t="n"/>
    </row>
    <row r="1051">
      <c r="U1051" s="18" t="n">
        <v>1049</v>
      </c>
      <c r="V1051" s="2" t="n"/>
      <c r="W1051" s="2" t="n"/>
    </row>
    <row r="1052">
      <c r="U1052" s="18" t="n">
        <v>1050</v>
      </c>
      <c r="V1052" s="2" t="n"/>
      <c r="W1052" s="2" t="n"/>
    </row>
    <row r="1053">
      <c r="U1053" s="18" t="n">
        <v>1051</v>
      </c>
      <c r="V1053" s="2" t="n"/>
      <c r="W1053" s="2" t="n"/>
    </row>
    <row r="1054">
      <c r="U1054" s="18" t="n">
        <v>1052</v>
      </c>
      <c r="V1054" s="2" t="n"/>
      <c r="W1054" s="2" t="n"/>
    </row>
    <row r="1055">
      <c r="U1055" s="18" t="n">
        <v>1053</v>
      </c>
      <c r="V1055" s="2" t="n"/>
      <c r="W1055" s="2" t="n"/>
    </row>
    <row r="1056">
      <c r="U1056" s="18" t="n">
        <v>1054</v>
      </c>
      <c r="V1056" s="2" t="n"/>
      <c r="W1056" s="2" t="n"/>
    </row>
    <row r="1057">
      <c r="U1057" s="18" t="n">
        <v>1055</v>
      </c>
      <c r="V1057" s="2" t="n"/>
      <c r="W1057" s="2" t="n"/>
    </row>
    <row r="1058">
      <c r="U1058" s="18" t="n">
        <v>1056</v>
      </c>
      <c r="V1058" s="2" t="n"/>
      <c r="W1058" s="2" t="n"/>
    </row>
    <row r="1059">
      <c r="U1059" s="18" t="n">
        <v>1057</v>
      </c>
      <c r="V1059" s="2" t="n"/>
      <c r="W1059" s="2" t="n"/>
    </row>
    <row r="1060">
      <c r="U1060" s="18" t="n">
        <v>1058</v>
      </c>
      <c r="V1060" s="2" t="n"/>
      <c r="W1060" s="2" t="n"/>
    </row>
    <row r="1061">
      <c r="U1061" s="18" t="n">
        <v>1059</v>
      </c>
      <c r="V1061" s="2" t="n"/>
      <c r="W1061" s="2" t="n"/>
    </row>
    <row r="1062">
      <c r="U1062" s="18" t="n">
        <v>1060</v>
      </c>
      <c r="V1062" s="2" t="n"/>
      <c r="W1062" s="2" t="n"/>
    </row>
    <row r="1063">
      <c r="U1063" s="18" t="n">
        <v>1061</v>
      </c>
      <c r="V1063" s="2" t="n"/>
      <c r="W1063" s="2" t="n"/>
    </row>
    <row r="1064">
      <c r="U1064" s="18" t="n">
        <v>1062</v>
      </c>
      <c r="V1064" s="2" t="n"/>
      <c r="W1064" s="2" t="n"/>
    </row>
    <row r="1065">
      <c r="U1065" s="18" t="n">
        <v>1063</v>
      </c>
      <c r="V1065" s="2" t="n"/>
      <c r="W1065" s="2" t="n"/>
    </row>
    <row r="1066">
      <c r="U1066" s="18" t="n">
        <v>1064</v>
      </c>
      <c r="V1066" s="2" t="n"/>
      <c r="W1066" s="2" t="n"/>
    </row>
    <row r="1067">
      <c r="U1067" s="18" t="n">
        <v>1065</v>
      </c>
      <c r="V1067" s="2" t="n"/>
      <c r="W1067" s="2" t="n"/>
    </row>
    <row r="1068">
      <c r="U1068" s="18" t="n">
        <v>1066</v>
      </c>
      <c r="V1068" s="2" t="n"/>
      <c r="W1068" s="2" t="n"/>
    </row>
    <row r="1069">
      <c r="U1069" s="18" t="n">
        <v>1067</v>
      </c>
      <c r="V1069" s="2" t="n"/>
      <c r="W1069" s="2" t="n"/>
    </row>
    <row r="1070">
      <c r="U1070" s="18" t="n">
        <v>1068</v>
      </c>
      <c r="V1070" s="2" t="n"/>
      <c r="W1070" s="2" t="n"/>
    </row>
    <row r="1071">
      <c r="U1071" s="18" t="n">
        <v>1069</v>
      </c>
      <c r="V1071" s="2" t="n"/>
      <c r="W1071" s="2" t="n"/>
    </row>
    <row r="1072">
      <c r="U1072" s="18" t="n">
        <v>1070</v>
      </c>
      <c r="V1072" s="2" t="n"/>
      <c r="W1072" s="2" t="n"/>
    </row>
    <row r="1073">
      <c r="U1073" s="18" t="n">
        <v>1071</v>
      </c>
      <c r="V1073" s="2" t="n"/>
      <c r="W1073" s="2" t="n"/>
    </row>
    <row r="1074">
      <c r="U1074" s="18" t="n">
        <v>1072</v>
      </c>
      <c r="V1074" s="2" t="n"/>
      <c r="W1074" s="2" t="n"/>
    </row>
    <row r="1075">
      <c r="U1075" s="18" t="n">
        <v>1073</v>
      </c>
      <c r="V1075" s="2" t="n"/>
      <c r="W1075" s="2" t="n"/>
    </row>
    <row r="1076">
      <c r="U1076" s="18" t="n">
        <v>1074</v>
      </c>
      <c r="V1076" s="2" t="n"/>
      <c r="W1076" s="2" t="n"/>
    </row>
    <row r="1077">
      <c r="U1077" s="18" t="n">
        <v>1075</v>
      </c>
      <c r="V1077" s="2" t="n"/>
      <c r="W1077" s="2" t="n"/>
    </row>
    <row r="1078">
      <c r="U1078" s="18" t="n">
        <v>1076</v>
      </c>
      <c r="V1078" s="2" t="n"/>
      <c r="W1078" s="2" t="n"/>
    </row>
    <row r="1079">
      <c r="U1079" s="18" t="n">
        <v>1077</v>
      </c>
      <c r="V1079" s="2" t="n"/>
      <c r="W1079" s="2" t="n"/>
    </row>
    <row r="1080">
      <c r="U1080" s="18" t="n">
        <v>1078</v>
      </c>
      <c r="V1080" s="2" t="n"/>
      <c r="W1080" s="2" t="n"/>
    </row>
    <row r="1081">
      <c r="U1081" s="18" t="n">
        <v>1079</v>
      </c>
      <c r="V1081" s="2" t="n"/>
      <c r="W1081" s="2" t="n"/>
    </row>
    <row r="1082">
      <c r="U1082" s="18" t="n">
        <v>1080</v>
      </c>
      <c r="V1082" s="2" t="n"/>
      <c r="W1082" s="2" t="n"/>
    </row>
    <row r="1083">
      <c r="U1083" s="18" t="n">
        <v>1081</v>
      </c>
      <c r="V1083" s="2" t="n"/>
      <c r="W1083" s="2" t="n"/>
    </row>
    <row r="1084">
      <c r="U1084" s="18" t="n">
        <v>1082</v>
      </c>
      <c r="V1084" s="2" t="n"/>
      <c r="W1084" s="2" t="n"/>
    </row>
    <row r="1085">
      <c r="U1085" s="18" t="n">
        <v>1083</v>
      </c>
      <c r="V1085" s="2" t="n"/>
      <c r="W1085" s="2" t="n"/>
    </row>
    <row r="1086">
      <c r="U1086" s="18" t="n">
        <v>1084</v>
      </c>
      <c r="V1086" s="2" t="n"/>
      <c r="W1086" s="2" t="n"/>
    </row>
    <row r="1087">
      <c r="U1087" s="18" t="n">
        <v>1085</v>
      </c>
      <c r="V1087" s="2" t="n"/>
      <c r="W1087" s="2" t="n"/>
    </row>
    <row r="1088">
      <c r="U1088" s="18" t="n">
        <v>1086</v>
      </c>
      <c r="V1088" s="2" t="n"/>
      <c r="W1088" s="2" t="n"/>
    </row>
    <row r="1089">
      <c r="U1089" s="18" t="n">
        <v>1087</v>
      </c>
      <c r="V1089" s="2" t="n"/>
      <c r="W1089" s="2" t="n"/>
    </row>
    <row r="1090">
      <c r="U1090" s="18" t="n">
        <v>1088</v>
      </c>
      <c r="V1090" s="2" t="n"/>
      <c r="W1090" s="2" t="n"/>
    </row>
    <row r="1091">
      <c r="U1091" s="18" t="n">
        <v>1089</v>
      </c>
      <c r="V1091" s="2" t="n"/>
      <c r="W1091" s="2" t="n"/>
    </row>
    <row r="1092">
      <c r="U1092" s="18" t="n">
        <v>1090</v>
      </c>
      <c r="V1092" s="2" t="n"/>
      <c r="W1092" s="2" t="n"/>
    </row>
    <row r="1093">
      <c r="U1093" s="18" t="n">
        <v>1091</v>
      </c>
      <c r="V1093" s="2" t="n"/>
      <c r="W1093" s="2" t="n"/>
    </row>
    <row r="1094">
      <c r="U1094" s="18" t="n">
        <v>1092</v>
      </c>
      <c r="V1094" s="2" t="n"/>
      <c r="W1094" s="2" t="n"/>
    </row>
    <row r="1095">
      <c r="U1095" s="18" t="n">
        <v>1093</v>
      </c>
      <c r="V1095" s="2" t="n"/>
      <c r="W1095" s="2" t="n"/>
    </row>
    <row r="1096">
      <c r="U1096" s="18" t="n">
        <v>1094</v>
      </c>
      <c r="V1096" s="2" t="n"/>
      <c r="W1096" s="2" t="n"/>
    </row>
    <row r="1097">
      <c r="U1097" s="18" t="n">
        <v>1095</v>
      </c>
      <c r="V1097" s="2" t="n"/>
      <c r="W1097" s="2" t="n"/>
    </row>
    <row r="1098">
      <c r="U1098" s="18" t="n">
        <v>1096</v>
      </c>
      <c r="V1098" s="2" t="n"/>
      <c r="W1098" s="2" t="n"/>
    </row>
    <row r="1099">
      <c r="U1099" s="18" t="n">
        <v>1097</v>
      </c>
      <c r="V1099" s="2" t="n"/>
      <c r="W1099" s="2" t="n"/>
    </row>
    <row r="1100">
      <c r="U1100" s="18" t="n">
        <v>1098</v>
      </c>
      <c r="V1100" s="2" t="n"/>
      <c r="W1100" s="2" t="n"/>
    </row>
    <row r="1101">
      <c r="U1101" s="18" t="n">
        <v>1099</v>
      </c>
      <c r="V1101" s="2" t="n"/>
      <c r="W1101" s="2" t="n"/>
    </row>
    <row r="1102">
      <c r="U1102" s="18" t="n">
        <v>1100</v>
      </c>
      <c r="V1102" s="2" t="n"/>
      <c r="W1102" s="2" t="n"/>
    </row>
    <row r="1103">
      <c r="U1103" s="18" t="n">
        <v>1101</v>
      </c>
      <c r="V1103" s="2" t="n"/>
      <c r="W1103" s="2" t="n"/>
    </row>
    <row r="1104">
      <c r="U1104" s="18" t="n">
        <v>1102</v>
      </c>
      <c r="V1104" s="2" t="n"/>
      <c r="W1104" s="2" t="n"/>
    </row>
    <row r="1105">
      <c r="U1105" s="18" t="n">
        <v>1103</v>
      </c>
      <c r="V1105" s="2" t="n"/>
      <c r="W1105" s="2" t="n"/>
    </row>
    <row r="1106">
      <c r="U1106" s="18" t="n">
        <v>1104</v>
      </c>
      <c r="V1106" s="2" t="n"/>
      <c r="W1106" s="2" t="n"/>
    </row>
    <row r="1107">
      <c r="U1107" s="18" t="n">
        <v>1105</v>
      </c>
      <c r="V1107" s="2" t="n"/>
      <c r="W1107" s="2" t="n"/>
    </row>
    <row r="1108">
      <c r="U1108" s="18" t="n">
        <v>1106</v>
      </c>
      <c r="V1108" s="2" t="n"/>
      <c r="W1108" s="2" t="n"/>
    </row>
    <row r="1109">
      <c r="U1109" s="18" t="n">
        <v>1107</v>
      </c>
      <c r="V1109" s="2" t="n"/>
      <c r="W1109" s="2" t="n"/>
    </row>
    <row r="1110">
      <c r="U1110" s="18" t="n">
        <v>1108</v>
      </c>
      <c r="V1110" s="2" t="n"/>
      <c r="W1110" s="2" t="n"/>
    </row>
    <row r="1111">
      <c r="U1111" s="18" t="n">
        <v>1109</v>
      </c>
      <c r="V1111" s="2" t="n"/>
      <c r="W1111" s="2" t="n"/>
    </row>
    <row r="1112">
      <c r="U1112" s="18" t="n">
        <v>1110</v>
      </c>
      <c r="V1112" s="2" t="n"/>
      <c r="W1112" s="2" t="n"/>
    </row>
    <row r="1113">
      <c r="U1113" s="18" t="n">
        <v>1111</v>
      </c>
      <c r="V1113" s="2" t="n"/>
      <c r="W1113" s="2" t="n"/>
    </row>
    <row r="1114">
      <c r="U1114" s="18" t="n">
        <v>1112</v>
      </c>
      <c r="V1114" s="2" t="n"/>
      <c r="W1114" s="2" t="n"/>
    </row>
    <row r="1115">
      <c r="U1115" s="18" t="n">
        <v>1113</v>
      </c>
      <c r="V1115" s="2" t="n"/>
      <c r="W1115" s="2" t="n"/>
    </row>
    <row r="1116">
      <c r="U1116" s="18" t="n">
        <v>1114</v>
      </c>
      <c r="V1116" s="2" t="n"/>
      <c r="W1116" s="2" t="n"/>
    </row>
    <row r="1117">
      <c r="U1117" s="18" t="n">
        <v>1115</v>
      </c>
      <c r="V1117" s="2" t="n"/>
      <c r="W1117" s="2" t="n"/>
    </row>
    <row r="1118">
      <c r="U1118" s="18" t="n">
        <v>1116</v>
      </c>
      <c r="V1118" s="2" t="n"/>
      <c r="W1118" s="2" t="n"/>
    </row>
    <row r="1119">
      <c r="U1119" s="18" t="n">
        <v>1117</v>
      </c>
      <c r="V1119" s="2" t="n"/>
      <c r="W1119" s="2" t="n"/>
    </row>
    <row r="1120">
      <c r="U1120" s="18" t="n">
        <v>1118</v>
      </c>
      <c r="V1120" s="2" t="n"/>
      <c r="W1120" s="2" t="n"/>
    </row>
    <row r="1121">
      <c r="U1121" s="18" t="n">
        <v>1119</v>
      </c>
      <c r="V1121" s="2" t="n"/>
      <c r="W1121" s="2" t="n"/>
    </row>
    <row r="1122">
      <c r="U1122" s="18" t="n">
        <v>1120</v>
      </c>
      <c r="V1122" s="2" t="n"/>
      <c r="W1122" s="2" t="n"/>
    </row>
    <row r="1123">
      <c r="U1123" s="18" t="n">
        <v>1121</v>
      </c>
      <c r="V1123" s="2" t="n"/>
      <c r="W1123" s="2" t="n"/>
    </row>
    <row r="1124">
      <c r="U1124" s="18" t="n">
        <v>1122</v>
      </c>
      <c r="V1124" s="2" t="n"/>
      <c r="W1124" s="2" t="n"/>
    </row>
    <row r="1125">
      <c r="U1125" s="18" t="n">
        <v>1123</v>
      </c>
      <c r="V1125" s="2" t="n"/>
      <c r="W1125" s="2" t="n"/>
    </row>
    <row r="1126">
      <c r="U1126" s="18" t="n">
        <v>1124</v>
      </c>
      <c r="V1126" s="2" t="n"/>
      <c r="W1126" s="2" t="n"/>
    </row>
    <row r="1127">
      <c r="U1127" s="18" t="n">
        <v>1125</v>
      </c>
      <c r="V1127" s="2" t="n"/>
      <c r="W1127" s="2" t="n"/>
    </row>
    <row r="1128">
      <c r="U1128" s="18" t="n">
        <v>1126</v>
      </c>
      <c r="V1128" s="2" t="n"/>
      <c r="W1128" s="2" t="n"/>
    </row>
    <row r="1129">
      <c r="U1129" s="18" t="n">
        <v>1127</v>
      </c>
      <c r="V1129" s="2" t="n"/>
      <c r="W1129" s="2" t="n"/>
    </row>
    <row r="1130">
      <c r="U1130" s="18" t="n">
        <v>1128</v>
      </c>
      <c r="V1130" s="2" t="n"/>
      <c r="W1130" s="2" t="n"/>
    </row>
    <row r="1131">
      <c r="U1131" s="18" t="n">
        <v>1129</v>
      </c>
      <c r="V1131" s="2" t="n"/>
      <c r="W1131" s="2" t="n"/>
    </row>
    <row r="1132">
      <c r="U1132" s="18" t="n">
        <v>1130</v>
      </c>
      <c r="V1132" s="2" t="n"/>
      <c r="W1132" s="2" t="n"/>
    </row>
    <row r="1133">
      <c r="U1133" s="18" t="n">
        <v>1131</v>
      </c>
      <c r="V1133" s="2" t="n"/>
      <c r="W1133" s="2" t="n"/>
    </row>
    <row r="1134">
      <c r="U1134" s="18" t="n">
        <v>1132</v>
      </c>
      <c r="V1134" s="2" t="n"/>
      <c r="W1134" s="2" t="n"/>
    </row>
    <row r="1135">
      <c r="U1135" s="18" t="n">
        <v>1133</v>
      </c>
      <c r="V1135" s="2" t="n"/>
      <c r="W1135" s="2" t="n"/>
    </row>
    <row r="1136">
      <c r="U1136" s="18" t="n">
        <v>1134</v>
      </c>
      <c r="V1136" s="2" t="n"/>
      <c r="W1136" s="2" t="n"/>
    </row>
    <row r="1137">
      <c r="U1137" s="18" t="n">
        <v>1135</v>
      </c>
      <c r="V1137" s="2" t="n"/>
      <c r="W1137" s="2" t="n"/>
    </row>
    <row r="1138">
      <c r="U1138" s="18" t="n">
        <v>1136</v>
      </c>
      <c r="V1138" s="2" t="n"/>
      <c r="W1138" s="2" t="n"/>
    </row>
    <row r="1139">
      <c r="U1139" s="18" t="n">
        <v>1137</v>
      </c>
      <c r="V1139" s="2" t="n"/>
      <c r="W1139" s="2" t="n"/>
    </row>
    <row r="1140">
      <c r="U1140" s="18" t="n">
        <v>1138</v>
      </c>
      <c r="V1140" s="2" t="n"/>
      <c r="W1140" s="2" t="n"/>
    </row>
    <row r="1141">
      <c r="U1141" s="18" t="n">
        <v>1139</v>
      </c>
      <c r="V1141" s="2" t="n"/>
      <c r="W1141" s="2" t="n"/>
    </row>
    <row r="1142">
      <c r="U1142" s="18" t="n">
        <v>1140</v>
      </c>
      <c r="V1142" s="2" t="n"/>
      <c r="W1142" s="2" t="n"/>
    </row>
    <row r="1143">
      <c r="U1143" s="18" t="n">
        <v>1141</v>
      </c>
      <c r="V1143" s="2" t="n"/>
      <c r="W1143" s="2" t="n"/>
    </row>
    <row r="1144">
      <c r="U1144" s="18" t="n">
        <v>1142</v>
      </c>
      <c r="V1144" s="2" t="n"/>
      <c r="W1144" s="2" t="n"/>
    </row>
    <row r="1145">
      <c r="U1145" s="18" t="n">
        <v>1143</v>
      </c>
      <c r="V1145" s="2" t="n"/>
      <c r="W1145" s="2" t="n"/>
    </row>
    <row r="1146">
      <c r="U1146" s="18" t="n">
        <v>1144</v>
      </c>
      <c r="V1146" s="2" t="n"/>
      <c r="W1146" s="2" t="n"/>
    </row>
    <row r="1147">
      <c r="U1147" s="18" t="n">
        <v>1145</v>
      </c>
      <c r="V1147" s="2" t="n"/>
      <c r="W1147" s="2" t="n"/>
    </row>
    <row r="1148">
      <c r="U1148" s="18" t="n">
        <v>1146</v>
      </c>
      <c r="V1148" s="2" t="n"/>
      <c r="W1148" s="2" t="n"/>
    </row>
    <row r="1149">
      <c r="U1149" s="18" t="n">
        <v>1147</v>
      </c>
      <c r="V1149" s="2" t="n"/>
      <c r="W1149" s="2" t="n"/>
    </row>
    <row r="1150">
      <c r="U1150" s="18" t="n">
        <v>1148</v>
      </c>
      <c r="V1150" s="2" t="n"/>
      <c r="W1150" s="2" t="n"/>
    </row>
    <row r="1151">
      <c r="U1151" s="18" t="n">
        <v>1149</v>
      </c>
      <c r="V1151" s="2" t="n"/>
      <c r="W1151" s="2" t="n"/>
    </row>
    <row r="1152">
      <c r="U1152" s="18" t="n">
        <v>1150</v>
      </c>
      <c r="V1152" s="2" t="n"/>
      <c r="W1152" s="2" t="n"/>
    </row>
    <row r="1153">
      <c r="U1153" s="18" t="n">
        <v>1151</v>
      </c>
      <c r="V1153" s="2" t="n"/>
      <c r="W1153" s="2" t="n"/>
    </row>
    <row r="1154">
      <c r="U1154" s="18" t="n">
        <v>1152</v>
      </c>
      <c r="V1154" s="2" t="n"/>
      <c r="W1154" s="2" t="n"/>
    </row>
    <row r="1155">
      <c r="U1155" s="18" t="n">
        <v>1153</v>
      </c>
      <c r="V1155" s="2" t="n"/>
      <c r="W1155" s="2" t="n"/>
    </row>
    <row r="1156">
      <c r="U1156" s="18" t="n">
        <v>1154</v>
      </c>
      <c r="V1156" s="2" t="n"/>
      <c r="W1156" s="2" t="n"/>
    </row>
    <row r="1157">
      <c r="U1157" s="18" t="n">
        <v>1155</v>
      </c>
      <c r="V1157" s="2" t="n"/>
      <c r="W1157" s="2" t="n"/>
    </row>
    <row r="1158">
      <c r="U1158" s="18" t="n">
        <v>1156</v>
      </c>
      <c r="V1158" s="2" t="n"/>
      <c r="W1158" s="2" t="n"/>
    </row>
    <row r="1159">
      <c r="U1159" s="18" t="n">
        <v>1157</v>
      </c>
      <c r="V1159" s="2" t="n"/>
      <c r="W1159" s="2" t="n"/>
    </row>
    <row r="1160">
      <c r="U1160" s="18" t="n">
        <v>1158</v>
      </c>
      <c r="V1160" s="2" t="n"/>
      <c r="W1160" s="2" t="n"/>
    </row>
    <row r="1161">
      <c r="U1161" s="18" t="n">
        <v>1159</v>
      </c>
      <c r="V1161" s="2" t="n"/>
      <c r="W1161" s="2" t="n"/>
    </row>
    <row r="1162">
      <c r="U1162" s="18" t="n">
        <v>1160</v>
      </c>
      <c r="V1162" s="2" t="n"/>
      <c r="W1162" s="2" t="n"/>
    </row>
    <row r="1163">
      <c r="U1163" s="18" t="n">
        <v>1161</v>
      </c>
      <c r="V1163" s="2" t="n"/>
      <c r="W1163" s="2" t="n"/>
    </row>
    <row r="1164">
      <c r="U1164" s="18" t="n">
        <v>1162</v>
      </c>
      <c r="V1164" s="2" t="n"/>
      <c r="W1164" s="2" t="n"/>
    </row>
    <row r="1165">
      <c r="U1165" s="18" t="n">
        <v>1163</v>
      </c>
      <c r="V1165" s="2" t="n"/>
      <c r="W1165" s="2" t="n"/>
    </row>
    <row r="1166">
      <c r="U1166" s="18" t="n">
        <v>1164</v>
      </c>
      <c r="V1166" s="2" t="n"/>
      <c r="W1166" s="2" t="n"/>
    </row>
    <row r="1167">
      <c r="U1167" s="18" t="n">
        <v>1165</v>
      </c>
      <c r="V1167" s="2" t="n"/>
      <c r="W1167" s="2" t="n"/>
    </row>
    <row r="1168">
      <c r="U1168" s="18" t="n">
        <v>1166</v>
      </c>
      <c r="V1168" s="2" t="n"/>
      <c r="W1168" s="2" t="n"/>
    </row>
    <row r="1169">
      <c r="U1169" s="18" t="n">
        <v>1167</v>
      </c>
      <c r="V1169" s="2" t="n"/>
      <c r="W1169" s="2" t="n"/>
    </row>
    <row r="1170">
      <c r="U1170" s="18" t="n">
        <v>1168</v>
      </c>
      <c r="V1170" s="2" t="n"/>
      <c r="W1170" s="2" t="n"/>
    </row>
    <row r="1171">
      <c r="U1171" s="18" t="n">
        <v>1169</v>
      </c>
      <c r="V1171" s="2" t="n"/>
      <c r="W1171" s="2" t="n"/>
    </row>
    <row r="1172">
      <c r="U1172" s="18" t="n">
        <v>1170</v>
      </c>
      <c r="V1172" s="2" t="n"/>
      <c r="W1172" s="2" t="n"/>
    </row>
    <row r="1173">
      <c r="U1173" s="18" t="n">
        <v>1171</v>
      </c>
      <c r="V1173" s="2" t="n"/>
      <c r="W1173" s="2" t="n"/>
    </row>
    <row r="1174">
      <c r="U1174" s="18" t="n">
        <v>1172</v>
      </c>
      <c r="V1174" s="2" t="n"/>
      <c r="W1174" s="2" t="n"/>
    </row>
    <row r="1175">
      <c r="U1175" s="18" t="n">
        <v>1173</v>
      </c>
      <c r="V1175" s="2" t="n"/>
      <c r="W1175" s="2" t="n"/>
    </row>
    <row r="1176">
      <c r="U1176" s="18" t="n">
        <v>1174</v>
      </c>
      <c r="V1176" s="2" t="n"/>
      <c r="W1176" s="2" t="n"/>
    </row>
    <row r="1177">
      <c r="U1177" s="18" t="n">
        <v>1175</v>
      </c>
      <c r="V1177" s="2" t="n"/>
      <c r="W1177" s="2" t="n"/>
    </row>
    <row r="1178">
      <c r="U1178" s="18" t="n">
        <v>1176</v>
      </c>
      <c r="V1178" s="2" t="n"/>
      <c r="W1178" s="2" t="n"/>
    </row>
    <row r="1179">
      <c r="U1179" s="18" t="n">
        <v>1177</v>
      </c>
      <c r="V1179" s="2" t="n"/>
      <c r="W1179" s="2" t="n"/>
    </row>
    <row r="1180">
      <c r="U1180" s="18" t="n">
        <v>1178</v>
      </c>
      <c r="V1180" s="2" t="n"/>
      <c r="W1180" s="2" t="n"/>
    </row>
    <row r="1181">
      <c r="U1181" s="18" t="n">
        <v>1179</v>
      </c>
      <c r="V1181" s="2" t="n"/>
      <c r="W1181" s="2" t="n"/>
    </row>
    <row r="1182">
      <c r="U1182" s="18" t="n">
        <v>1180</v>
      </c>
      <c r="V1182" s="2" t="n"/>
      <c r="W1182" s="2" t="n"/>
    </row>
    <row r="1183">
      <c r="U1183" s="18" t="n">
        <v>1181</v>
      </c>
      <c r="V1183" s="2" t="n"/>
      <c r="W1183" s="2" t="n"/>
    </row>
    <row r="1184">
      <c r="U1184" s="18" t="n">
        <v>1182</v>
      </c>
      <c r="V1184" s="2" t="n"/>
      <c r="W1184" s="2" t="n"/>
    </row>
    <row r="1185">
      <c r="U1185" s="18" t="n">
        <v>1183</v>
      </c>
      <c r="V1185" s="2" t="n"/>
      <c r="W1185" s="2" t="n"/>
    </row>
    <row r="1186">
      <c r="U1186" s="18" t="n">
        <v>1184</v>
      </c>
      <c r="V1186" s="2" t="n"/>
      <c r="W1186" s="2" t="n"/>
    </row>
    <row r="1187">
      <c r="U1187" s="18" t="n">
        <v>1185</v>
      </c>
      <c r="V1187" s="2" t="n"/>
      <c r="W1187" s="2" t="n"/>
    </row>
    <row r="1188">
      <c r="U1188" s="18" t="n">
        <v>1186</v>
      </c>
      <c r="V1188" s="2" t="n"/>
      <c r="W1188" s="2" t="n"/>
    </row>
    <row r="1189">
      <c r="U1189" s="18" t="n">
        <v>1187</v>
      </c>
      <c r="V1189" s="2" t="n"/>
      <c r="W1189" s="2" t="n"/>
    </row>
    <row r="1190">
      <c r="U1190" s="18" t="n">
        <v>1188</v>
      </c>
      <c r="V1190" s="2" t="n"/>
      <c r="W1190" s="2" t="n"/>
    </row>
    <row r="1191">
      <c r="U1191" s="18" t="n">
        <v>1189</v>
      </c>
      <c r="V1191" s="2" t="n"/>
      <c r="W1191" s="2" t="n"/>
    </row>
    <row r="1192">
      <c r="U1192" s="18" t="n">
        <v>1190</v>
      </c>
      <c r="V1192" s="2" t="n"/>
      <c r="W1192" s="2" t="n"/>
    </row>
    <row r="1193">
      <c r="U1193" s="18" t="n">
        <v>1191</v>
      </c>
      <c r="V1193" s="2" t="n"/>
      <c r="W1193" s="2" t="n"/>
    </row>
    <row r="1194">
      <c r="U1194" s="18" t="n">
        <v>1192</v>
      </c>
      <c r="V1194" s="2" t="n"/>
      <c r="W1194" s="2" t="n"/>
    </row>
    <row r="1195">
      <c r="U1195" s="18" t="n">
        <v>1193</v>
      </c>
      <c r="V1195" s="2" t="n"/>
      <c r="W1195" s="2" t="n"/>
    </row>
    <row r="1196">
      <c r="U1196" s="18" t="n">
        <v>1194</v>
      </c>
      <c r="V1196" s="2" t="n"/>
      <c r="W1196" s="2" t="n"/>
    </row>
    <row r="1197">
      <c r="U1197" s="18" t="n">
        <v>1195</v>
      </c>
      <c r="V1197" s="2" t="n"/>
      <c r="W1197" s="2" t="n"/>
    </row>
    <row r="1198">
      <c r="U1198" s="18" t="n">
        <v>1196</v>
      </c>
      <c r="V1198" s="2" t="n"/>
      <c r="W1198" s="2" t="n"/>
    </row>
    <row r="1199">
      <c r="U1199" s="18" t="n">
        <v>1197</v>
      </c>
      <c r="V1199" s="2" t="n"/>
      <c r="W1199" s="2" t="n"/>
    </row>
    <row r="1200">
      <c r="U1200" s="18" t="n">
        <v>1198</v>
      </c>
      <c r="V1200" s="2" t="n"/>
      <c r="W1200" s="2" t="n"/>
    </row>
    <row r="1201">
      <c r="U1201" s="18" t="n">
        <v>1199</v>
      </c>
      <c r="V1201" s="2" t="n"/>
      <c r="W1201" s="2" t="n"/>
    </row>
    <row r="1202">
      <c r="U1202" s="18" t="n">
        <v>1200</v>
      </c>
      <c r="V1202" s="2" t="n"/>
      <c r="W1202" s="2" t="n"/>
    </row>
    <row r="1203">
      <c r="U1203" s="18" t="n">
        <v>1201</v>
      </c>
      <c r="V1203" s="2" t="n"/>
      <c r="W1203" s="2" t="n"/>
    </row>
    <row r="1204">
      <c r="U1204" s="18" t="n">
        <v>1202</v>
      </c>
      <c r="V1204" s="2" t="n"/>
      <c r="W1204" s="2" t="n"/>
    </row>
    <row r="1205">
      <c r="U1205" s="18" t="n">
        <v>1203</v>
      </c>
      <c r="V1205" s="2" t="n"/>
      <c r="W1205" s="2" t="n"/>
    </row>
    <row r="1206">
      <c r="U1206" s="18" t="n">
        <v>1204</v>
      </c>
      <c r="V1206" s="2" t="n"/>
      <c r="W1206" s="2" t="n"/>
    </row>
    <row r="1207">
      <c r="U1207" s="18" t="n">
        <v>1205</v>
      </c>
      <c r="V1207" s="2" t="n"/>
      <c r="W1207" s="2" t="n"/>
    </row>
    <row r="1208">
      <c r="U1208" s="18" t="n">
        <v>1206</v>
      </c>
      <c r="V1208" s="2" t="n"/>
      <c r="W1208" s="2" t="n"/>
    </row>
    <row r="1209">
      <c r="U1209" s="18" t="n">
        <v>1207</v>
      </c>
      <c r="V1209" s="2" t="n"/>
      <c r="W1209" s="2" t="n"/>
    </row>
    <row r="1210">
      <c r="U1210" s="18" t="n">
        <v>1208</v>
      </c>
      <c r="V1210" s="2" t="n"/>
      <c r="W1210" s="2" t="n"/>
    </row>
    <row r="1211">
      <c r="U1211" s="18" t="n">
        <v>1209</v>
      </c>
      <c r="V1211" s="2" t="n"/>
      <c r="W1211" s="2" t="n"/>
    </row>
    <row r="1212">
      <c r="U1212" s="18" t="n">
        <v>1210</v>
      </c>
      <c r="V1212" s="2" t="n"/>
      <c r="W1212" s="2" t="n"/>
    </row>
    <row r="1213">
      <c r="U1213" s="18" t="n">
        <v>1211</v>
      </c>
      <c r="V1213" s="2" t="n"/>
      <c r="W1213" s="2" t="n"/>
    </row>
    <row r="1214">
      <c r="U1214" s="18" t="n">
        <v>1212</v>
      </c>
      <c r="V1214" s="2" t="n"/>
      <c r="W1214" s="2" t="n"/>
    </row>
    <row r="1215">
      <c r="U1215" s="18" t="n">
        <v>1213</v>
      </c>
      <c r="V1215" s="2" t="n"/>
      <c r="W1215" s="2" t="n"/>
    </row>
    <row r="1216">
      <c r="U1216" s="1" t="n"/>
      <c r="V1216" s="2" t="n"/>
      <c r="W1216" s="2" t="n"/>
    </row>
  </sheetData>
  <dataValidations count="1">
    <dataValidation sqref="V3:W523" showDropDown="0" showInputMessage="0" showErrorMessage="0" allowBlank="1" type="custom">
      <formula1>AND(ISNUMBER(V3),(NOT(OR(NOT(ISERROR(DATEVALUE(V3))), AND(ISNUMBER(V3), LEFT(CELL("format", V3))="D")))))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U1:W1216"/>
  <sheetViews>
    <sheetView workbookViewId="0">
      <selection activeCell="A1" sqref="A1"/>
    </sheetView>
  </sheetViews>
  <sheetFormatPr baseColWidth="8" defaultColWidth="12.63" defaultRowHeight="15.75" customHeight="1"/>
  <cols>
    <col width="18.43357168" customWidth="1" style="150" min="22" max="23"/>
  </cols>
  <sheetData>
    <row r="1">
      <c r="U1" s="1" t="n"/>
      <c r="V1" s="1" t="n"/>
      <c r="W1" s="1" t="n"/>
    </row>
    <row r="2" ht="22.5" customHeight="1" s="150">
      <c r="U2" s="3" t="inlineStr">
        <is>
          <t>Level</t>
        </is>
      </c>
      <c r="V2" s="22" t="inlineStr">
        <is>
          <t>AND_Avg Rwr</t>
        </is>
      </c>
      <c r="W2" s="22" t="inlineStr">
        <is>
          <t>IOS_Avg Rwr</t>
        </is>
      </c>
    </row>
    <row r="3" ht="22.5" customHeight="1" s="150">
      <c r="U3" s="5" t="n">
        <v>1</v>
      </c>
      <c r="V3" s="23">
        <f>And!T3</f>
        <v/>
      </c>
      <c r="W3" s="24">
        <f>IOS!T3</f>
        <v/>
      </c>
    </row>
    <row r="4" ht="22.5" customHeight="1" s="150">
      <c r="U4" s="8" t="n">
        <v>2</v>
      </c>
      <c r="V4" s="23">
        <f>And!T4</f>
        <v/>
      </c>
      <c r="W4" s="24">
        <f>IOS!T4</f>
        <v/>
      </c>
    </row>
    <row r="5" ht="22.5" customHeight="1" s="150">
      <c r="U5" s="5" t="n">
        <v>3</v>
      </c>
      <c r="V5" s="23">
        <f>And!T5</f>
        <v/>
      </c>
      <c r="W5" s="24">
        <f>IOS!T5</f>
        <v/>
      </c>
    </row>
    <row r="6" ht="22.5" customHeight="1" s="150">
      <c r="U6" s="8" t="n">
        <v>4</v>
      </c>
      <c r="V6" s="23">
        <f>And!T6</f>
        <v/>
      </c>
      <c r="W6" s="24">
        <f>IOS!T6</f>
        <v/>
      </c>
    </row>
    <row r="7" ht="22.5" customHeight="1" s="150">
      <c r="U7" s="5" t="n">
        <v>5</v>
      </c>
      <c r="V7" s="23">
        <f>And!T7</f>
        <v/>
      </c>
      <c r="W7" s="24">
        <f>IOS!T7</f>
        <v/>
      </c>
    </row>
    <row r="8" ht="22.5" customHeight="1" s="150">
      <c r="U8" s="8" t="n">
        <v>6</v>
      </c>
      <c r="V8" s="23">
        <f>And!T8</f>
        <v/>
      </c>
      <c r="W8" s="24">
        <f>IOS!T8</f>
        <v/>
      </c>
    </row>
    <row r="9" ht="22.5" customHeight="1" s="150">
      <c r="U9" s="5" t="n">
        <v>7</v>
      </c>
      <c r="V9" s="23">
        <f>And!T9</f>
        <v/>
      </c>
      <c r="W9" s="24">
        <f>IOS!T9</f>
        <v/>
      </c>
    </row>
    <row r="10" ht="22.5" customHeight="1" s="150">
      <c r="U10" s="8" t="n">
        <v>8</v>
      </c>
      <c r="V10" s="23">
        <f>And!T10</f>
        <v/>
      </c>
      <c r="W10" s="24">
        <f>IOS!T10</f>
        <v/>
      </c>
    </row>
    <row r="11" ht="22.5" customHeight="1" s="150">
      <c r="U11" s="5" t="n">
        <v>9</v>
      </c>
      <c r="V11" s="23">
        <f>And!T11</f>
        <v/>
      </c>
      <c r="W11" s="24">
        <f>IOS!T11</f>
        <v/>
      </c>
    </row>
    <row r="12" ht="22.5" customHeight="1" s="150">
      <c r="U12" s="8" t="n">
        <v>10</v>
      </c>
      <c r="V12" s="23">
        <f>And!T12</f>
        <v/>
      </c>
      <c r="W12" s="24">
        <f>IOS!T12</f>
        <v/>
      </c>
    </row>
    <row r="13" ht="22.5" customHeight="1" s="150">
      <c r="U13" s="5" t="n">
        <v>11</v>
      </c>
      <c r="V13" s="23">
        <f>And!T13</f>
        <v/>
      </c>
      <c r="W13" s="24">
        <f>IOS!T13</f>
        <v/>
      </c>
    </row>
    <row r="14" ht="22.5" customHeight="1" s="150">
      <c r="U14" s="8" t="n">
        <v>12</v>
      </c>
      <c r="V14" s="23">
        <f>And!T14</f>
        <v/>
      </c>
      <c r="W14" s="24">
        <f>IOS!T14</f>
        <v/>
      </c>
    </row>
    <row r="15" ht="22.5" customHeight="1" s="150">
      <c r="U15" s="5" t="n">
        <v>13</v>
      </c>
      <c r="V15" s="23">
        <f>And!T15</f>
        <v/>
      </c>
      <c r="W15" s="24">
        <f>IOS!T15</f>
        <v/>
      </c>
    </row>
    <row r="16" ht="22.5" customHeight="1" s="150">
      <c r="U16" s="8" t="n">
        <v>14</v>
      </c>
      <c r="V16" s="23">
        <f>And!T16</f>
        <v/>
      </c>
      <c r="W16" s="24">
        <f>IOS!T16</f>
        <v/>
      </c>
    </row>
    <row r="17" ht="22.5" customHeight="1" s="150">
      <c r="U17" s="5" t="n">
        <v>15</v>
      </c>
      <c r="V17" s="23">
        <f>And!T17</f>
        <v/>
      </c>
      <c r="W17" s="24">
        <f>IOS!T17</f>
        <v/>
      </c>
    </row>
    <row r="18" ht="22.5" customHeight="1" s="150">
      <c r="U18" s="8" t="n">
        <v>16</v>
      </c>
      <c r="V18" s="23">
        <f>And!T18</f>
        <v/>
      </c>
      <c r="W18" s="24">
        <f>IOS!T18</f>
        <v/>
      </c>
    </row>
    <row r="19" ht="22.5" customHeight="1" s="150">
      <c r="U19" s="5" t="n">
        <v>17</v>
      </c>
      <c r="V19" s="23">
        <f>And!T19</f>
        <v/>
      </c>
      <c r="W19" s="24">
        <f>IOS!T19</f>
        <v/>
      </c>
    </row>
    <row r="20" ht="22.5" customHeight="1" s="150">
      <c r="U20" s="8" t="n">
        <v>18</v>
      </c>
      <c r="V20" s="23">
        <f>And!T20</f>
        <v/>
      </c>
      <c r="W20" s="24">
        <f>IOS!T20</f>
        <v/>
      </c>
    </row>
    <row r="21" ht="22.5" customHeight="1" s="150">
      <c r="U21" s="5" t="n">
        <v>19</v>
      </c>
      <c r="V21" s="23">
        <f>And!T21</f>
        <v/>
      </c>
      <c r="W21" s="24">
        <f>IOS!T21</f>
        <v/>
      </c>
    </row>
    <row r="22" ht="22.5" customHeight="1" s="150">
      <c r="U22" s="8" t="n">
        <v>20</v>
      </c>
      <c r="V22" s="23">
        <f>And!T22</f>
        <v/>
      </c>
      <c r="W22" s="24">
        <f>IOS!T22</f>
        <v/>
      </c>
    </row>
    <row r="23" ht="22.5" customHeight="1" s="150">
      <c r="U23" s="5" t="n">
        <v>21</v>
      </c>
      <c r="V23" s="23">
        <f>And!T23</f>
        <v/>
      </c>
      <c r="W23" s="24">
        <f>IOS!T23</f>
        <v/>
      </c>
    </row>
    <row r="24" ht="22.5" customHeight="1" s="150">
      <c r="U24" s="8" t="n">
        <v>22</v>
      </c>
      <c r="V24" s="23">
        <f>And!T24</f>
        <v/>
      </c>
      <c r="W24" s="24">
        <f>IOS!T24</f>
        <v/>
      </c>
    </row>
    <row r="25" ht="22.5" customHeight="1" s="150">
      <c r="U25" s="5" t="n">
        <v>23</v>
      </c>
      <c r="V25" s="23">
        <f>And!T25</f>
        <v/>
      </c>
      <c r="W25" s="24">
        <f>IOS!T25</f>
        <v/>
      </c>
    </row>
    <row r="26" ht="22.5" customHeight="1" s="150">
      <c r="U26" s="8" t="n">
        <v>24</v>
      </c>
      <c r="V26" s="23">
        <f>And!T26</f>
        <v/>
      </c>
      <c r="W26" s="24">
        <f>IOS!T26</f>
        <v/>
      </c>
    </row>
    <row r="27" ht="22.5" customHeight="1" s="150">
      <c r="U27" s="5" t="n">
        <v>25</v>
      </c>
      <c r="V27" s="23">
        <f>And!T27</f>
        <v/>
      </c>
      <c r="W27" s="24">
        <f>IOS!T27</f>
        <v/>
      </c>
    </row>
    <row r="28" ht="22.5" customHeight="1" s="150">
      <c r="U28" s="8" t="n">
        <v>26</v>
      </c>
      <c r="V28" s="23">
        <f>And!T28</f>
        <v/>
      </c>
      <c r="W28" s="24">
        <f>IOS!T28</f>
        <v/>
      </c>
    </row>
    <row r="29" ht="22.5" customHeight="1" s="150">
      <c r="U29" s="5" t="n">
        <v>27</v>
      </c>
      <c r="V29" s="23">
        <f>And!T29</f>
        <v/>
      </c>
      <c r="W29" s="24">
        <f>IOS!T29</f>
        <v/>
      </c>
    </row>
    <row r="30" ht="22.5" customHeight="1" s="150">
      <c r="U30" s="8" t="n">
        <v>28</v>
      </c>
      <c r="V30" s="23">
        <f>And!T30</f>
        <v/>
      </c>
      <c r="W30" s="24">
        <f>IOS!T30</f>
        <v/>
      </c>
    </row>
    <row r="31" ht="22.5" customHeight="1" s="150">
      <c r="U31" s="5" t="n">
        <v>29</v>
      </c>
      <c r="V31" s="23">
        <f>And!T31</f>
        <v/>
      </c>
      <c r="W31" s="24">
        <f>IOS!T31</f>
        <v/>
      </c>
    </row>
    <row r="32" ht="22.5" customHeight="1" s="150">
      <c r="U32" s="8" t="n">
        <v>30</v>
      </c>
      <c r="V32" s="23">
        <f>And!T32</f>
        <v/>
      </c>
      <c r="W32" s="24">
        <f>IOS!T32</f>
        <v/>
      </c>
    </row>
    <row r="33" ht="22.5" customHeight="1" s="150">
      <c r="U33" s="5" t="n">
        <v>31</v>
      </c>
      <c r="V33" s="23">
        <f>And!T33</f>
        <v/>
      </c>
      <c r="W33" s="24">
        <f>IOS!T33</f>
        <v/>
      </c>
    </row>
    <row r="34" ht="22.5" customHeight="1" s="150">
      <c r="U34" s="8" t="n">
        <v>32</v>
      </c>
      <c r="V34" s="23">
        <f>And!T34</f>
        <v/>
      </c>
      <c r="W34" s="24">
        <f>IOS!T34</f>
        <v/>
      </c>
    </row>
    <row r="35" ht="22.5" customHeight="1" s="150">
      <c r="U35" s="5" t="n">
        <v>33</v>
      </c>
      <c r="V35" s="23">
        <f>And!T35</f>
        <v/>
      </c>
      <c r="W35" s="24">
        <f>IOS!T35</f>
        <v/>
      </c>
    </row>
    <row r="36" ht="22.5" customHeight="1" s="150">
      <c r="U36" s="8" t="n">
        <v>34</v>
      </c>
      <c r="V36" s="23">
        <f>And!T36</f>
        <v/>
      </c>
      <c r="W36" s="24">
        <f>IOS!T36</f>
        <v/>
      </c>
    </row>
    <row r="37" ht="22.5" customHeight="1" s="150">
      <c r="U37" s="5" t="n">
        <v>35</v>
      </c>
      <c r="V37" s="23">
        <f>And!T37</f>
        <v/>
      </c>
      <c r="W37" s="24">
        <f>IOS!T37</f>
        <v/>
      </c>
    </row>
    <row r="38" ht="22.5" customHeight="1" s="150">
      <c r="U38" s="8" t="n">
        <v>36</v>
      </c>
      <c r="V38" s="23">
        <f>And!T38</f>
        <v/>
      </c>
      <c r="W38" s="24">
        <f>IOS!T38</f>
        <v/>
      </c>
    </row>
    <row r="39" ht="22.5" customHeight="1" s="150">
      <c r="U39" s="5" t="n">
        <v>37</v>
      </c>
      <c r="V39" s="23">
        <f>And!T39</f>
        <v/>
      </c>
      <c r="W39" s="24">
        <f>IOS!T39</f>
        <v/>
      </c>
    </row>
    <row r="40" ht="22.5" customHeight="1" s="150">
      <c r="U40" s="8" t="n">
        <v>38</v>
      </c>
      <c r="V40" s="23">
        <f>And!T40</f>
        <v/>
      </c>
      <c r="W40" s="24">
        <f>IOS!T40</f>
        <v/>
      </c>
    </row>
    <row r="41" ht="22.5" customHeight="1" s="150">
      <c r="U41" s="5" t="n">
        <v>39</v>
      </c>
      <c r="V41" s="23">
        <f>And!T41</f>
        <v/>
      </c>
      <c r="W41" s="24">
        <f>IOS!T41</f>
        <v/>
      </c>
    </row>
    <row r="42" ht="22.5" customHeight="1" s="150">
      <c r="U42" s="8" t="n">
        <v>40</v>
      </c>
      <c r="V42" s="23">
        <f>And!T42</f>
        <v/>
      </c>
      <c r="W42" s="24">
        <f>IOS!T42</f>
        <v/>
      </c>
    </row>
    <row r="43" ht="22.5" customHeight="1" s="150">
      <c r="U43" s="5" t="n">
        <v>41</v>
      </c>
      <c r="V43" s="23">
        <f>And!T43</f>
        <v/>
      </c>
      <c r="W43" s="24">
        <f>IOS!T43</f>
        <v/>
      </c>
    </row>
    <row r="44" ht="22.5" customHeight="1" s="150">
      <c r="U44" s="8" t="n">
        <v>42</v>
      </c>
      <c r="V44" s="23">
        <f>And!T44</f>
        <v/>
      </c>
      <c r="W44" s="24">
        <f>IOS!T44</f>
        <v/>
      </c>
    </row>
    <row r="45" ht="22.5" customHeight="1" s="150">
      <c r="U45" s="5" t="n">
        <v>43</v>
      </c>
      <c r="V45" s="23">
        <f>And!T45</f>
        <v/>
      </c>
      <c r="W45" s="24">
        <f>IOS!T45</f>
        <v/>
      </c>
    </row>
    <row r="46" ht="22.5" customHeight="1" s="150">
      <c r="U46" s="8" t="n">
        <v>44</v>
      </c>
      <c r="V46" s="23">
        <f>And!T46</f>
        <v/>
      </c>
      <c r="W46" s="24">
        <f>IOS!T46</f>
        <v/>
      </c>
    </row>
    <row r="47" ht="22.5" customHeight="1" s="150">
      <c r="U47" s="5" t="n">
        <v>45</v>
      </c>
      <c r="V47" s="23">
        <f>And!T47</f>
        <v/>
      </c>
      <c r="W47" s="24">
        <f>IOS!T47</f>
        <v/>
      </c>
    </row>
    <row r="48" ht="22.5" customHeight="1" s="150">
      <c r="U48" s="8" t="n">
        <v>46</v>
      </c>
      <c r="V48" s="23">
        <f>And!T48</f>
        <v/>
      </c>
      <c r="W48" s="24">
        <f>IOS!T48</f>
        <v/>
      </c>
    </row>
    <row r="49" ht="22.5" customHeight="1" s="150">
      <c r="U49" s="5" t="n">
        <v>47</v>
      </c>
      <c r="V49" s="23">
        <f>And!T49</f>
        <v/>
      </c>
      <c r="W49" s="24">
        <f>IOS!T49</f>
        <v/>
      </c>
    </row>
    <row r="50" ht="22.5" customHeight="1" s="150">
      <c r="U50" s="8" t="n">
        <v>48</v>
      </c>
      <c r="V50" s="23">
        <f>And!T50</f>
        <v/>
      </c>
      <c r="W50" s="24">
        <f>IOS!T50</f>
        <v/>
      </c>
    </row>
    <row r="51" ht="22.5" customHeight="1" s="150">
      <c r="U51" s="5" t="n">
        <v>49</v>
      </c>
      <c r="V51" s="23">
        <f>And!T51</f>
        <v/>
      </c>
      <c r="W51" s="24">
        <f>IOS!T51</f>
        <v/>
      </c>
    </row>
    <row r="52" ht="22.5" customHeight="1" s="150">
      <c r="U52" s="8" t="n">
        <v>50</v>
      </c>
      <c r="V52" s="23">
        <f>And!T52</f>
        <v/>
      </c>
      <c r="W52" s="24">
        <f>IOS!T52</f>
        <v/>
      </c>
    </row>
    <row r="53" ht="22.5" customHeight="1" s="150">
      <c r="U53" s="5" t="n">
        <v>51</v>
      </c>
      <c r="V53" s="23">
        <f>And!T53</f>
        <v/>
      </c>
      <c r="W53" s="24">
        <f>IOS!T53</f>
        <v/>
      </c>
    </row>
    <row r="54" ht="22.5" customHeight="1" s="150">
      <c r="U54" s="8" t="n">
        <v>52</v>
      </c>
      <c r="V54" s="23">
        <f>And!T54</f>
        <v/>
      </c>
      <c r="W54" s="24">
        <f>IOS!T54</f>
        <v/>
      </c>
    </row>
    <row r="55" ht="22.5" customHeight="1" s="150">
      <c r="U55" s="5" t="n">
        <v>53</v>
      </c>
      <c r="V55" s="23">
        <f>And!T55</f>
        <v/>
      </c>
      <c r="W55" s="24">
        <f>IOS!T55</f>
        <v/>
      </c>
    </row>
    <row r="56" ht="22.5" customHeight="1" s="150">
      <c r="U56" s="8" t="n">
        <v>54</v>
      </c>
      <c r="V56" s="23">
        <f>And!T56</f>
        <v/>
      </c>
      <c r="W56" s="24">
        <f>IOS!T56</f>
        <v/>
      </c>
    </row>
    <row r="57" ht="22.5" customHeight="1" s="150">
      <c r="U57" s="5" t="n">
        <v>55</v>
      </c>
      <c r="V57" s="23">
        <f>And!T57</f>
        <v/>
      </c>
      <c r="W57" s="24">
        <f>IOS!T57</f>
        <v/>
      </c>
    </row>
    <row r="58" ht="22.5" customHeight="1" s="150">
      <c r="U58" s="8" t="n">
        <v>56</v>
      </c>
      <c r="V58" s="23">
        <f>And!T58</f>
        <v/>
      </c>
      <c r="W58" s="24">
        <f>IOS!T58</f>
        <v/>
      </c>
    </row>
    <row r="59" ht="22.5" customHeight="1" s="150">
      <c r="U59" s="5" t="n">
        <v>57</v>
      </c>
      <c r="V59" s="23">
        <f>And!T59</f>
        <v/>
      </c>
      <c r="W59" s="24">
        <f>IOS!T59</f>
        <v/>
      </c>
    </row>
    <row r="60" ht="22.5" customHeight="1" s="150">
      <c r="U60" s="8" t="n">
        <v>58</v>
      </c>
      <c r="V60" s="23">
        <f>And!T60</f>
        <v/>
      </c>
      <c r="W60" s="24">
        <f>IOS!T60</f>
        <v/>
      </c>
    </row>
    <row r="61" ht="22.5" customHeight="1" s="150">
      <c r="U61" s="5" t="n">
        <v>59</v>
      </c>
      <c r="V61" s="23">
        <f>And!T61</f>
        <v/>
      </c>
      <c r="W61" s="24">
        <f>IOS!T61</f>
        <v/>
      </c>
    </row>
    <row r="62" ht="22.5" customHeight="1" s="150">
      <c r="U62" s="8" t="n">
        <v>60</v>
      </c>
      <c r="V62" s="23">
        <f>And!T62</f>
        <v/>
      </c>
      <c r="W62" s="24">
        <f>IOS!T62</f>
        <v/>
      </c>
    </row>
    <row r="63" ht="22.5" customHeight="1" s="150">
      <c r="U63" s="5" t="n">
        <v>61</v>
      </c>
      <c r="V63" s="23">
        <f>And!T63</f>
        <v/>
      </c>
      <c r="W63" s="24">
        <f>IOS!T63</f>
        <v/>
      </c>
    </row>
    <row r="64" ht="22.5" customHeight="1" s="150">
      <c r="U64" s="8" t="n">
        <v>62</v>
      </c>
      <c r="V64" s="23">
        <f>And!T64</f>
        <v/>
      </c>
      <c r="W64" s="24">
        <f>IOS!T64</f>
        <v/>
      </c>
    </row>
    <row r="65" ht="22.5" customHeight="1" s="150">
      <c r="U65" s="5" t="n">
        <v>63</v>
      </c>
      <c r="V65" s="23">
        <f>And!T65</f>
        <v/>
      </c>
      <c r="W65" s="24">
        <f>IOS!T65</f>
        <v/>
      </c>
    </row>
    <row r="66" ht="22.5" customHeight="1" s="150">
      <c r="U66" s="8" t="n">
        <v>64</v>
      </c>
      <c r="V66" s="23">
        <f>And!T66</f>
        <v/>
      </c>
      <c r="W66" s="24">
        <f>IOS!T66</f>
        <v/>
      </c>
    </row>
    <row r="67" ht="22.5" customHeight="1" s="150">
      <c r="U67" s="5" t="n">
        <v>65</v>
      </c>
      <c r="V67" s="23">
        <f>And!T67</f>
        <v/>
      </c>
      <c r="W67" s="24">
        <f>IOS!T67</f>
        <v/>
      </c>
    </row>
    <row r="68" ht="22.5" customHeight="1" s="150">
      <c r="U68" s="8" t="n">
        <v>66</v>
      </c>
      <c r="V68" s="23">
        <f>And!T68</f>
        <v/>
      </c>
      <c r="W68" s="24">
        <f>IOS!T68</f>
        <v/>
      </c>
    </row>
    <row r="69" ht="22.5" customHeight="1" s="150">
      <c r="U69" s="5" t="n">
        <v>67</v>
      </c>
      <c r="V69" s="23">
        <f>And!T69</f>
        <v/>
      </c>
      <c r="W69" s="24">
        <f>IOS!T69</f>
        <v/>
      </c>
    </row>
    <row r="70" ht="22.5" customHeight="1" s="150">
      <c r="U70" s="8" t="n">
        <v>68</v>
      </c>
      <c r="V70" s="23">
        <f>And!T70</f>
        <v/>
      </c>
      <c r="W70" s="24">
        <f>IOS!T70</f>
        <v/>
      </c>
    </row>
    <row r="71" ht="22.5" customHeight="1" s="150">
      <c r="U71" s="5" t="n">
        <v>69</v>
      </c>
      <c r="V71" s="23">
        <f>And!T71</f>
        <v/>
      </c>
      <c r="W71" s="24">
        <f>IOS!T71</f>
        <v/>
      </c>
    </row>
    <row r="72" ht="22.5" customHeight="1" s="150">
      <c r="U72" s="8" t="n">
        <v>70</v>
      </c>
      <c r="V72" s="23">
        <f>And!T72</f>
        <v/>
      </c>
      <c r="W72" s="24">
        <f>IOS!T72</f>
        <v/>
      </c>
    </row>
    <row r="73" ht="22.5" customHeight="1" s="150">
      <c r="U73" s="5" t="n">
        <v>71</v>
      </c>
      <c r="V73" s="23">
        <f>And!T73</f>
        <v/>
      </c>
      <c r="W73" s="24">
        <f>IOS!T73</f>
        <v/>
      </c>
    </row>
    <row r="74" ht="22.5" customHeight="1" s="150">
      <c r="U74" s="8" t="n">
        <v>72</v>
      </c>
      <c r="V74" s="23">
        <f>And!T74</f>
        <v/>
      </c>
      <c r="W74" s="24">
        <f>IOS!T74</f>
        <v/>
      </c>
    </row>
    <row r="75" ht="22.5" customHeight="1" s="150">
      <c r="U75" s="5" t="n">
        <v>73</v>
      </c>
      <c r="V75" s="23">
        <f>And!T75</f>
        <v/>
      </c>
      <c r="W75" s="24">
        <f>IOS!T75</f>
        <v/>
      </c>
    </row>
    <row r="76" ht="22.5" customHeight="1" s="150">
      <c r="U76" s="8" t="n">
        <v>74</v>
      </c>
      <c r="V76" s="23">
        <f>And!T76</f>
        <v/>
      </c>
      <c r="W76" s="24">
        <f>IOS!T76</f>
        <v/>
      </c>
    </row>
    <row r="77" ht="22.5" customHeight="1" s="150">
      <c r="U77" s="5" t="n">
        <v>75</v>
      </c>
      <c r="V77" s="23">
        <f>And!T77</f>
        <v/>
      </c>
      <c r="W77" s="24">
        <f>IOS!T77</f>
        <v/>
      </c>
    </row>
    <row r="78" ht="22.5" customHeight="1" s="150">
      <c r="U78" s="8" t="n">
        <v>76</v>
      </c>
      <c r="V78" s="23">
        <f>And!T78</f>
        <v/>
      </c>
      <c r="W78" s="24">
        <f>IOS!T78</f>
        <v/>
      </c>
    </row>
    <row r="79" ht="22.5" customHeight="1" s="150">
      <c r="U79" s="5" t="n">
        <v>77</v>
      </c>
      <c r="V79" s="23">
        <f>And!T79</f>
        <v/>
      </c>
      <c r="W79" s="24">
        <f>IOS!T79</f>
        <v/>
      </c>
    </row>
    <row r="80" ht="22.5" customHeight="1" s="150">
      <c r="U80" s="8" t="n">
        <v>78</v>
      </c>
      <c r="V80" s="23">
        <f>And!T80</f>
        <v/>
      </c>
      <c r="W80" s="24">
        <f>IOS!T80</f>
        <v/>
      </c>
    </row>
    <row r="81" ht="22.5" customHeight="1" s="150">
      <c r="U81" s="5" t="n">
        <v>79</v>
      </c>
      <c r="V81" s="23">
        <f>And!T81</f>
        <v/>
      </c>
      <c r="W81" s="24">
        <f>IOS!T81</f>
        <v/>
      </c>
    </row>
    <row r="82" ht="22.5" customHeight="1" s="150">
      <c r="U82" s="8" t="n">
        <v>80</v>
      </c>
      <c r="V82" s="23">
        <f>And!T82</f>
        <v/>
      </c>
      <c r="W82" s="24">
        <f>IOS!T82</f>
        <v/>
      </c>
    </row>
    <row r="83" ht="22.5" customHeight="1" s="150">
      <c r="U83" s="5" t="n">
        <v>81</v>
      </c>
      <c r="V83" s="23">
        <f>And!T83</f>
        <v/>
      </c>
      <c r="W83" s="24">
        <f>IOS!T83</f>
        <v/>
      </c>
    </row>
    <row r="84" ht="22.5" customHeight="1" s="150">
      <c r="U84" s="8" t="n">
        <v>82</v>
      </c>
      <c r="V84" s="23">
        <f>And!T84</f>
        <v/>
      </c>
      <c r="W84" s="24">
        <f>IOS!T84</f>
        <v/>
      </c>
    </row>
    <row r="85" ht="22.5" customHeight="1" s="150">
      <c r="U85" s="5" t="n">
        <v>83</v>
      </c>
      <c r="V85" s="23">
        <f>And!T85</f>
        <v/>
      </c>
      <c r="W85" s="24">
        <f>IOS!T85</f>
        <v/>
      </c>
    </row>
    <row r="86" ht="22.5" customHeight="1" s="150">
      <c r="U86" s="8" t="n">
        <v>84</v>
      </c>
      <c r="V86" s="23">
        <f>And!T86</f>
        <v/>
      </c>
      <c r="W86" s="24">
        <f>IOS!T86</f>
        <v/>
      </c>
    </row>
    <row r="87" ht="22.5" customHeight="1" s="150">
      <c r="U87" s="5" t="n">
        <v>85</v>
      </c>
      <c r="V87" s="23">
        <f>And!T87</f>
        <v/>
      </c>
      <c r="W87" s="24">
        <f>IOS!T87</f>
        <v/>
      </c>
    </row>
    <row r="88" ht="22.5" customHeight="1" s="150">
      <c r="U88" s="8" t="n">
        <v>86</v>
      </c>
      <c r="V88" s="23">
        <f>And!T88</f>
        <v/>
      </c>
      <c r="W88" s="24">
        <f>IOS!T88</f>
        <v/>
      </c>
    </row>
    <row r="89" ht="22.5" customHeight="1" s="150">
      <c r="U89" s="5" t="n">
        <v>87</v>
      </c>
      <c r="V89" s="23">
        <f>And!T89</f>
        <v/>
      </c>
      <c r="W89" s="24">
        <f>IOS!T89</f>
        <v/>
      </c>
    </row>
    <row r="90" ht="22.5" customHeight="1" s="150">
      <c r="U90" s="8" t="n">
        <v>88</v>
      </c>
      <c r="V90" s="23">
        <f>And!T90</f>
        <v/>
      </c>
      <c r="W90" s="24">
        <f>IOS!T90</f>
        <v/>
      </c>
    </row>
    <row r="91" ht="22.5" customHeight="1" s="150">
      <c r="U91" s="5" t="n">
        <v>89</v>
      </c>
      <c r="V91" s="23">
        <f>And!T91</f>
        <v/>
      </c>
      <c r="W91" s="24">
        <f>IOS!T91</f>
        <v/>
      </c>
    </row>
    <row r="92" ht="22.5" customHeight="1" s="150">
      <c r="U92" s="8" t="n">
        <v>90</v>
      </c>
      <c r="V92" s="23">
        <f>And!T92</f>
        <v/>
      </c>
      <c r="W92" s="24">
        <f>IOS!T92</f>
        <v/>
      </c>
    </row>
    <row r="93" ht="22.5" customHeight="1" s="150">
      <c r="U93" s="5" t="n">
        <v>91</v>
      </c>
      <c r="V93" s="23">
        <f>And!T93</f>
        <v/>
      </c>
      <c r="W93" s="24">
        <f>IOS!T93</f>
        <v/>
      </c>
    </row>
    <row r="94" ht="22.5" customHeight="1" s="150">
      <c r="U94" s="8" t="n">
        <v>92</v>
      </c>
      <c r="V94" s="23">
        <f>And!T94</f>
        <v/>
      </c>
      <c r="W94" s="24">
        <f>IOS!T94</f>
        <v/>
      </c>
    </row>
    <row r="95" ht="22.5" customHeight="1" s="150">
      <c r="U95" s="5" t="n">
        <v>93</v>
      </c>
      <c r="V95" s="23">
        <f>And!T95</f>
        <v/>
      </c>
      <c r="W95" s="24">
        <f>IOS!T95</f>
        <v/>
      </c>
    </row>
    <row r="96" ht="22.5" customHeight="1" s="150">
      <c r="U96" s="8" t="n">
        <v>94</v>
      </c>
      <c r="V96" s="23">
        <f>And!T96</f>
        <v/>
      </c>
      <c r="W96" s="24">
        <f>IOS!T96</f>
        <v/>
      </c>
    </row>
    <row r="97" ht="22.5" customHeight="1" s="150">
      <c r="U97" s="5" t="n">
        <v>95</v>
      </c>
      <c r="V97" s="23">
        <f>And!T97</f>
        <v/>
      </c>
      <c r="W97" s="24">
        <f>IOS!T97</f>
        <v/>
      </c>
    </row>
    <row r="98" ht="22.5" customHeight="1" s="150">
      <c r="U98" s="8" t="n">
        <v>96</v>
      </c>
      <c r="V98" s="23">
        <f>And!T98</f>
        <v/>
      </c>
      <c r="W98" s="24">
        <f>IOS!T98</f>
        <v/>
      </c>
    </row>
    <row r="99" ht="22.5" customHeight="1" s="150">
      <c r="U99" s="5" t="n">
        <v>97</v>
      </c>
      <c r="V99" s="23">
        <f>And!T99</f>
        <v/>
      </c>
      <c r="W99" s="24">
        <f>IOS!T99</f>
        <v/>
      </c>
    </row>
    <row r="100" ht="22.5" customHeight="1" s="150">
      <c r="U100" s="8" t="n">
        <v>98</v>
      </c>
      <c r="V100" s="23">
        <f>And!T100</f>
        <v/>
      </c>
      <c r="W100" s="24">
        <f>IOS!T100</f>
        <v/>
      </c>
    </row>
    <row r="101" ht="22.5" customHeight="1" s="150">
      <c r="U101" s="5" t="n">
        <v>99</v>
      </c>
      <c r="V101" s="23">
        <f>And!T101</f>
        <v/>
      </c>
      <c r="W101" s="24">
        <f>IOS!T101</f>
        <v/>
      </c>
    </row>
    <row r="102" ht="22.5" customHeight="1" s="150">
      <c r="U102" s="8" t="n">
        <v>100</v>
      </c>
      <c r="V102" s="23">
        <f>And!T102</f>
        <v/>
      </c>
      <c r="W102" s="24">
        <f>IOS!T102</f>
        <v/>
      </c>
    </row>
    <row r="103" ht="22.5" customHeight="1" s="150">
      <c r="U103" s="5" t="n">
        <v>101</v>
      </c>
      <c r="V103" s="23">
        <f>And!T103</f>
        <v/>
      </c>
      <c r="W103" s="24">
        <f>IOS!T103</f>
        <v/>
      </c>
    </row>
    <row r="104" ht="22.5" customHeight="1" s="150">
      <c r="U104" s="8" t="n">
        <v>102</v>
      </c>
      <c r="V104" s="23">
        <f>And!T104</f>
        <v/>
      </c>
      <c r="W104" s="24">
        <f>IOS!T104</f>
        <v/>
      </c>
    </row>
    <row r="105" ht="22.5" customHeight="1" s="150">
      <c r="U105" s="5" t="n">
        <v>103</v>
      </c>
      <c r="V105" s="23">
        <f>And!T105</f>
        <v/>
      </c>
      <c r="W105" s="24">
        <f>IOS!T105</f>
        <v/>
      </c>
    </row>
    <row r="106" ht="22.5" customHeight="1" s="150">
      <c r="U106" s="8" t="n">
        <v>104</v>
      </c>
      <c r="V106" s="23">
        <f>And!T106</f>
        <v/>
      </c>
      <c r="W106" s="24">
        <f>IOS!T106</f>
        <v/>
      </c>
    </row>
    <row r="107" ht="22.5" customHeight="1" s="150">
      <c r="U107" s="5" t="n">
        <v>105</v>
      </c>
      <c r="V107" s="23">
        <f>And!T107</f>
        <v/>
      </c>
      <c r="W107" s="24">
        <f>IOS!T107</f>
        <v/>
      </c>
    </row>
    <row r="108" ht="22.5" customHeight="1" s="150">
      <c r="U108" s="8" t="n">
        <v>106</v>
      </c>
      <c r="V108" s="23">
        <f>And!T108</f>
        <v/>
      </c>
      <c r="W108" s="24">
        <f>IOS!T108</f>
        <v/>
      </c>
    </row>
    <row r="109" ht="22.5" customHeight="1" s="150">
      <c r="U109" s="5" t="n">
        <v>107</v>
      </c>
      <c r="V109" s="23">
        <f>And!T109</f>
        <v/>
      </c>
      <c r="W109" s="24">
        <f>IOS!T109</f>
        <v/>
      </c>
    </row>
    <row r="110" ht="22.5" customHeight="1" s="150">
      <c r="U110" s="8" t="n">
        <v>108</v>
      </c>
      <c r="V110" s="23">
        <f>And!T110</f>
        <v/>
      </c>
      <c r="W110" s="24">
        <f>IOS!T110</f>
        <v/>
      </c>
    </row>
    <row r="111" ht="22.5" customHeight="1" s="150">
      <c r="U111" s="5" t="n">
        <v>109</v>
      </c>
      <c r="V111" s="23">
        <f>And!T111</f>
        <v/>
      </c>
      <c r="W111" s="24">
        <f>IOS!T111</f>
        <v/>
      </c>
    </row>
    <row r="112" ht="22.5" customHeight="1" s="150">
      <c r="U112" s="8" t="n">
        <v>110</v>
      </c>
      <c r="V112" s="23">
        <f>And!T112</f>
        <v/>
      </c>
      <c r="W112" s="24">
        <f>IOS!T112</f>
        <v/>
      </c>
    </row>
    <row r="113" ht="22.5" customHeight="1" s="150">
      <c r="U113" s="5" t="n">
        <v>111</v>
      </c>
      <c r="V113" s="23">
        <f>And!T113</f>
        <v/>
      </c>
      <c r="W113" s="24">
        <f>IOS!T113</f>
        <v/>
      </c>
    </row>
    <row r="114" ht="22.5" customHeight="1" s="150">
      <c r="U114" s="8" t="n">
        <v>112</v>
      </c>
      <c r="V114" s="23">
        <f>And!T114</f>
        <v/>
      </c>
      <c r="W114" s="24">
        <f>IOS!T114</f>
        <v/>
      </c>
    </row>
    <row r="115" ht="22.5" customHeight="1" s="150">
      <c r="U115" s="5" t="n">
        <v>113</v>
      </c>
      <c r="V115" s="23">
        <f>And!T115</f>
        <v/>
      </c>
      <c r="W115" s="24">
        <f>IOS!T115</f>
        <v/>
      </c>
    </row>
    <row r="116" ht="22.5" customHeight="1" s="150">
      <c r="U116" s="8" t="n">
        <v>114</v>
      </c>
      <c r="V116" s="23">
        <f>And!T116</f>
        <v/>
      </c>
      <c r="W116" s="24">
        <f>IOS!T116</f>
        <v/>
      </c>
    </row>
    <row r="117" ht="22.5" customHeight="1" s="150">
      <c r="U117" s="5" t="n">
        <v>115</v>
      </c>
      <c r="V117" s="23">
        <f>And!T117</f>
        <v/>
      </c>
      <c r="W117" s="24">
        <f>IOS!T117</f>
        <v/>
      </c>
    </row>
    <row r="118" ht="22.5" customHeight="1" s="150">
      <c r="U118" s="8" t="n">
        <v>116</v>
      </c>
      <c r="V118" s="23">
        <f>And!T118</f>
        <v/>
      </c>
      <c r="W118" s="24">
        <f>IOS!T118</f>
        <v/>
      </c>
    </row>
    <row r="119" ht="22.5" customHeight="1" s="150">
      <c r="U119" s="5" t="n">
        <v>117</v>
      </c>
      <c r="V119" s="23">
        <f>And!T119</f>
        <v/>
      </c>
      <c r="W119" s="24">
        <f>IOS!T119</f>
        <v/>
      </c>
    </row>
    <row r="120" ht="22.5" customHeight="1" s="150">
      <c r="U120" s="8" t="n">
        <v>118</v>
      </c>
      <c r="V120" s="23">
        <f>And!T120</f>
        <v/>
      </c>
      <c r="W120" s="24">
        <f>IOS!T120</f>
        <v/>
      </c>
    </row>
    <row r="121" ht="22.5" customHeight="1" s="150">
      <c r="U121" s="5" t="n">
        <v>119</v>
      </c>
      <c r="V121" s="23">
        <f>And!T121</f>
        <v/>
      </c>
      <c r="W121" s="24">
        <f>IOS!T121</f>
        <v/>
      </c>
    </row>
    <row r="122" ht="22.5" customHeight="1" s="150">
      <c r="U122" s="8" t="n">
        <v>120</v>
      </c>
      <c r="V122" s="23">
        <f>And!T122</f>
        <v/>
      </c>
      <c r="W122" s="24">
        <f>IOS!T122</f>
        <v/>
      </c>
    </row>
    <row r="123" ht="22.5" customHeight="1" s="150">
      <c r="U123" s="5" t="n">
        <v>121</v>
      </c>
      <c r="V123" s="23">
        <f>And!T123</f>
        <v/>
      </c>
      <c r="W123" s="24">
        <f>IOS!T123</f>
        <v/>
      </c>
    </row>
    <row r="124" ht="22.5" customHeight="1" s="150">
      <c r="U124" s="8" t="n">
        <v>122</v>
      </c>
      <c r="V124" s="23">
        <f>And!T124</f>
        <v/>
      </c>
      <c r="W124" s="24">
        <f>IOS!T124</f>
        <v/>
      </c>
    </row>
    <row r="125" ht="22.5" customHeight="1" s="150">
      <c r="U125" s="5" t="n">
        <v>123</v>
      </c>
      <c r="V125" s="23">
        <f>And!T125</f>
        <v/>
      </c>
      <c r="W125" s="24">
        <f>IOS!T125</f>
        <v/>
      </c>
    </row>
    <row r="126" ht="22.5" customHeight="1" s="150">
      <c r="U126" s="8" t="n">
        <v>124</v>
      </c>
      <c r="V126" s="23">
        <f>And!T126</f>
        <v/>
      </c>
      <c r="W126" s="24">
        <f>IOS!T126</f>
        <v/>
      </c>
    </row>
    <row r="127" ht="22.5" customHeight="1" s="150">
      <c r="U127" s="5" t="n">
        <v>125</v>
      </c>
      <c r="V127" s="23">
        <f>And!T127</f>
        <v/>
      </c>
      <c r="W127" s="24">
        <f>IOS!T127</f>
        <v/>
      </c>
    </row>
    <row r="128" ht="22.5" customHeight="1" s="150">
      <c r="U128" s="8" t="n">
        <v>126</v>
      </c>
      <c r="V128" s="23">
        <f>And!T128</f>
        <v/>
      </c>
      <c r="W128" s="24">
        <f>IOS!T128</f>
        <v/>
      </c>
    </row>
    <row r="129" ht="22.5" customHeight="1" s="150">
      <c r="U129" s="5" t="n">
        <v>127</v>
      </c>
      <c r="V129" s="23">
        <f>And!T129</f>
        <v/>
      </c>
      <c r="W129" s="24">
        <f>IOS!T129</f>
        <v/>
      </c>
    </row>
    <row r="130" ht="22.5" customHeight="1" s="150">
      <c r="U130" s="8" t="n">
        <v>128</v>
      </c>
      <c r="V130" s="23">
        <f>And!T130</f>
        <v/>
      </c>
      <c r="W130" s="24">
        <f>IOS!T130</f>
        <v/>
      </c>
    </row>
    <row r="131" ht="22.5" customHeight="1" s="150">
      <c r="U131" s="5" t="n">
        <v>129</v>
      </c>
      <c r="V131" s="23">
        <f>And!T131</f>
        <v/>
      </c>
      <c r="W131" s="24">
        <f>IOS!T131</f>
        <v/>
      </c>
    </row>
    <row r="132" ht="22.5" customHeight="1" s="150">
      <c r="U132" s="8" t="n">
        <v>130</v>
      </c>
      <c r="V132" s="23">
        <f>And!T132</f>
        <v/>
      </c>
      <c r="W132" s="24">
        <f>IOS!T132</f>
        <v/>
      </c>
    </row>
    <row r="133" ht="22.5" customHeight="1" s="150">
      <c r="U133" s="5" t="n">
        <v>131</v>
      </c>
      <c r="V133" s="23">
        <f>And!T133</f>
        <v/>
      </c>
      <c r="W133" s="24">
        <f>IOS!T133</f>
        <v/>
      </c>
    </row>
    <row r="134" ht="22.5" customHeight="1" s="150">
      <c r="U134" s="8" t="n">
        <v>132</v>
      </c>
      <c r="V134" s="23">
        <f>And!T134</f>
        <v/>
      </c>
      <c r="W134" s="24">
        <f>IOS!T134</f>
        <v/>
      </c>
    </row>
    <row r="135" ht="22.5" customHeight="1" s="150">
      <c r="U135" s="5" t="n">
        <v>133</v>
      </c>
      <c r="V135" s="23">
        <f>And!T135</f>
        <v/>
      </c>
      <c r="W135" s="24">
        <f>IOS!T135</f>
        <v/>
      </c>
    </row>
    <row r="136" ht="22.5" customHeight="1" s="150">
      <c r="U136" s="8" t="n">
        <v>134</v>
      </c>
      <c r="V136" s="23">
        <f>And!T136</f>
        <v/>
      </c>
      <c r="W136" s="24">
        <f>IOS!T136</f>
        <v/>
      </c>
    </row>
    <row r="137" ht="22.5" customHeight="1" s="150">
      <c r="U137" s="5" t="n">
        <v>135</v>
      </c>
      <c r="V137" s="23">
        <f>And!T137</f>
        <v/>
      </c>
      <c r="W137" s="24">
        <f>IOS!T137</f>
        <v/>
      </c>
    </row>
    <row r="138" ht="22.5" customHeight="1" s="150">
      <c r="U138" s="8" t="n">
        <v>136</v>
      </c>
      <c r="V138" s="23">
        <f>And!T138</f>
        <v/>
      </c>
      <c r="W138" s="24">
        <f>IOS!T138</f>
        <v/>
      </c>
    </row>
    <row r="139" ht="22.5" customHeight="1" s="150">
      <c r="U139" s="5" t="n">
        <v>137</v>
      </c>
      <c r="V139" s="23">
        <f>And!T139</f>
        <v/>
      </c>
      <c r="W139" s="24">
        <f>IOS!T139</f>
        <v/>
      </c>
    </row>
    <row r="140" ht="22.5" customHeight="1" s="150">
      <c r="U140" s="8" t="n">
        <v>138</v>
      </c>
      <c r="V140" s="23">
        <f>And!T140</f>
        <v/>
      </c>
      <c r="W140" s="24">
        <f>IOS!T140</f>
        <v/>
      </c>
    </row>
    <row r="141" ht="22.5" customHeight="1" s="150">
      <c r="U141" s="5" t="n">
        <v>139</v>
      </c>
      <c r="V141" s="23">
        <f>And!T141</f>
        <v/>
      </c>
      <c r="W141" s="24">
        <f>IOS!T141</f>
        <v/>
      </c>
    </row>
    <row r="142" ht="22.5" customHeight="1" s="150">
      <c r="U142" s="8" t="n">
        <v>140</v>
      </c>
      <c r="V142" s="23">
        <f>And!T142</f>
        <v/>
      </c>
      <c r="W142" s="24">
        <f>IOS!T142</f>
        <v/>
      </c>
    </row>
    <row r="143" ht="22.5" customHeight="1" s="150">
      <c r="U143" s="5" t="n">
        <v>141</v>
      </c>
      <c r="V143" s="23">
        <f>And!T143</f>
        <v/>
      </c>
      <c r="W143" s="24">
        <f>IOS!T143</f>
        <v/>
      </c>
    </row>
    <row r="144" ht="22.5" customHeight="1" s="150">
      <c r="U144" s="8" t="n">
        <v>142</v>
      </c>
      <c r="V144" s="23">
        <f>And!T144</f>
        <v/>
      </c>
      <c r="W144" s="24">
        <f>IOS!T144</f>
        <v/>
      </c>
    </row>
    <row r="145" ht="22.5" customHeight="1" s="150">
      <c r="U145" s="5" t="n">
        <v>143</v>
      </c>
      <c r="V145" s="23">
        <f>And!T145</f>
        <v/>
      </c>
      <c r="W145" s="24">
        <f>IOS!T145</f>
        <v/>
      </c>
    </row>
    <row r="146" ht="22.5" customHeight="1" s="150">
      <c r="U146" s="8" t="n">
        <v>144</v>
      </c>
      <c r="V146" s="23">
        <f>And!T146</f>
        <v/>
      </c>
      <c r="W146" s="24">
        <f>IOS!T146</f>
        <v/>
      </c>
    </row>
    <row r="147" ht="22.5" customHeight="1" s="150">
      <c r="U147" s="5" t="n">
        <v>145</v>
      </c>
      <c r="V147" s="23">
        <f>And!T147</f>
        <v/>
      </c>
      <c r="W147" s="24">
        <f>IOS!T147</f>
        <v/>
      </c>
    </row>
    <row r="148" ht="22.5" customHeight="1" s="150">
      <c r="U148" s="8" t="n">
        <v>146</v>
      </c>
      <c r="V148" s="23">
        <f>And!T148</f>
        <v/>
      </c>
      <c r="W148" s="24">
        <f>IOS!T148</f>
        <v/>
      </c>
    </row>
    <row r="149" ht="22.5" customHeight="1" s="150">
      <c r="U149" s="5" t="n">
        <v>147</v>
      </c>
      <c r="V149" s="23">
        <f>And!T149</f>
        <v/>
      </c>
      <c r="W149" s="24">
        <f>IOS!T149</f>
        <v/>
      </c>
    </row>
    <row r="150" ht="22.5" customHeight="1" s="150">
      <c r="U150" s="8" t="n">
        <v>148</v>
      </c>
      <c r="V150" s="23">
        <f>And!T150</f>
        <v/>
      </c>
      <c r="W150" s="24">
        <f>IOS!T150</f>
        <v/>
      </c>
    </row>
    <row r="151" ht="22.5" customHeight="1" s="150">
      <c r="U151" s="5" t="n">
        <v>149</v>
      </c>
      <c r="V151" s="23">
        <f>And!T151</f>
        <v/>
      </c>
      <c r="W151" s="24">
        <f>IOS!T151</f>
        <v/>
      </c>
    </row>
    <row r="152" ht="22.5" customHeight="1" s="150">
      <c r="U152" s="8" t="n">
        <v>150</v>
      </c>
      <c r="V152" s="23">
        <f>And!T152</f>
        <v/>
      </c>
      <c r="W152" s="24">
        <f>IOS!T152</f>
        <v/>
      </c>
    </row>
    <row r="153" ht="22.5" customHeight="1" s="150">
      <c r="U153" s="5" t="n">
        <v>151</v>
      </c>
      <c r="V153" s="23">
        <f>And!T153</f>
        <v/>
      </c>
      <c r="W153" s="24">
        <f>IOS!T153</f>
        <v/>
      </c>
    </row>
    <row r="154" ht="22.5" customHeight="1" s="150">
      <c r="U154" s="8" t="n">
        <v>152</v>
      </c>
      <c r="V154" s="23">
        <f>And!T154</f>
        <v/>
      </c>
      <c r="W154" s="24">
        <f>IOS!T154</f>
        <v/>
      </c>
    </row>
    <row r="155" ht="22.5" customHeight="1" s="150">
      <c r="U155" s="5" t="n">
        <v>153</v>
      </c>
      <c r="V155" s="23">
        <f>And!T155</f>
        <v/>
      </c>
      <c r="W155" s="24">
        <f>IOS!T155</f>
        <v/>
      </c>
    </row>
    <row r="156" ht="22.5" customHeight="1" s="150">
      <c r="U156" s="8" t="n">
        <v>154</v>
      </c>
      <c r="V156" s="23">
        <f>And!T156</f>
        <v/>
      </c>
      <c r="W156" s="24">
        <f>IOS!T156</f>
        <v/>
      </c>
    </row>
    <row r="157" ht="22.5" customHeight="1" s="150">
      <c r="U157" s="5" t="n">
        <v>155</v>
      </c>
      <c r="V157" s="23">
        <f>And!T157</f>
        <v/>
      </c>
      <c r="W157" s="24">
        <f>IOS!T157</f>
        <v/>
      </c>
    </row>
    <row r="158" ht="22.5" customHeight="1" s="150">
      <c r="U158" s="8" t="n">
        <v>156</v>
      </c>
      <c r="V158" s="23">
        <f>And!T158</f>
        <v/>
      </c>
      <c r="W158" s="24">
        <f>IOS!T158</f>
        <v/>
      </c>
    </row>
    <row r="159" ht="22.5" customHeight="1" s="150">
      <c r="U159" s="5" t="n">
        <v>157</v>
      </c>
      <c r="V159" s="23">
        <f>And!T159</f>
        <v/>
      </c>
      <c r="W159" s="24">
        <f>IOS!T159</f>
        <v/>
      </c>
    </row>
    <row r="160" ht="22.5" customHeight="1" s="150">
      <c r="U160" s="8" t="n">
        <v>158</v>
      </c>
      <c r="V160" s="23">
        <f>And!T160</f>
        <v/>
      </c>
      <c r="W160" s="24">
        <f>IOS!T160</f>
        <v/>
      </c>
    </row>
    <row r="161" ht="22.5" customHeight="1" s="150">
      <c r="U161" s="5" t="n">
        <v>159</v>
      </c>
      <c r="V161" s="23">
        <f>And!T161</f>
        <v/>
      </c>
      <c r="W161" s="24">
        <f>IOS!T161</f>
        <v/>
      </c>
    </row>
    <row r="162" ht="22.5" customHeight="1" s="150">
      <c r="U162" s="8" t="n">
        <v>160</v>
      </c>
      <c r="V162" s="23">
        <f>And!T162</f>
        <v/>
      </c>
      <c r="W162" s="24">
        <f>IOS!T162</f>
        <v/>
      </c>
    </row>
    <row r="163" ht="22.5" customHeight="1" s="150">
      <c r="U163" s="5" t="n">
        <v>161</v>
      </c>
      <c r="V163" s="23">
        <f>And!T163</f>
        <v/>
      </c>
      <c r="W163" s="24">
        <f>IOS!T163</f>
        <v/>
      </c>
    </row>
    <row r="164" ht="22.5" customHeight="1" s="150">
      <c r="U164" s="8" t="n">
        <v>162</v>
      </c>
      <c r="V164" s="23">
        <f>And!T164</f>
        <v/>
      </c>
      <c r="W164" s="24">
        <f>IOS!T164</f>
        <v/>
      </c>
    </row>
    <row r="165" ht="22.5" customHeight="1" s="150">
      <c r="U165" s="5" t="n">
        <v>163</v>
      </c>
      <c r="V165" s="23">
        <f>And!T165</f>
        <v/>
      </c>
      <c r="W165" s="24">
        <f>IOS!T165</f>
        <v/>
      </c>
    </row>
    <row r="166" ht="22.5" customHeight="1" s="150">
      <c r="U166" s="8" t="n">
        <v>164</v>
      </c>
      <c r="V166" s="23">
        <f>And!T166</f>
        <v/>
      </c>
      <c r="W166" s="24">
        <f>IOS!T166</f>
        <v/>
      </c>
    </row>
    <row r="167" ht="22.5" customHeight="1" s="150">
      <c r="U167" s="5" t="n">
        <v>165</v>
      </c>
      <c r="V167" s="23">
        <f>And!T167</f>
        <v/>
      </c>
      <c r="W167" s="24">
        <f>IOS!T167</f>
        <v/>
      </c>
    </row>
    <row r="168" ht="22.5" customHeight="1" s="150">
      <c r="U168" s="8" t="n">
        <v>166</v>
      </c>
      <c r="V168" s="23">
        <f>And!T168</f>
        <v/>
      </c>
      <c r="W168" s="24">
        <f>IOS!T168</f>
        <v/>
      </c>
    </row>
    <row r="169" ht="22.5" customHeight="1" s="150">
      <c r="U169" s="5" t="n">
        <v>167</v>
      </c>
      <c r="V169" s="23">
        <f>And!T169</f>
        <v/>
      </c>
      <c r="W169" s="24">
        <f>IOS!T169</f>
        <v/>
      </c>
    </row>
    <row r="170" ht="22.5" customHeight="1" s="150">
      <c r="U170" s="8" t="n">
        <v>168</v>
      </c>
      <c r="V170" s="23">
        <f>And!T170</f>
        <v/>
      </c>
      <c r="W170" s="24">
        <f>IOS!T170</f>
        <v/>
      </c>
    </row>
    <row r="171" ht="22.5" customHeight="1" s="150">
      <c r="U171" s="5" t="n">
        <v>169</v>
      </c>
      <c r="V171" s="23">
        <f>And!T171</f>
        <v/>
      </c>
      <c r="W171" s="24">
        <f>IOS!T171</f>
        <v/>
      </c>
    </row>
    <row r="172" ht="22.5" customHeight="1" s="150">
      <c r="U172" s="8" t="n">
        <v>170</v>
      </c>
      <c r="V172" s="23">
        <f>And!T172</f>
        <v/>
      </c>
      <c r="W172" s="24">
        <f>IOS!T172</f>
        <v/>
      </c>
    </row>
    <row r="173" ht="22.5" customHeight="1" s="150">
      <c r="U173" s="5" t="n">
        <v>171</v>
      </c>
      <c r="V173" s="23">
        <f>And!T173</f>
        <v/>
      </c>
      <c r="W173" s="24">
        <f>IOS!T173</f>
        <v/>
      </c>
    </row>
    <row r="174" ht="22.5" customHeight="1" s="150">
      <c r="U174" s="8" t="n">
        <v>172</v>
      </c>
      <c r="V174" s="23">
        <f>And!T174</f>
        <v/>
      </c>
      <c r="W174" s="24">
        <f>IOS!T174</f>
        <v/>
      </c>
    </row>
    <row r="175" ht="22.5" customHeight="1" s="150">
      <c r="U175" s="5" t="n">
        <v>173</v>
      </c>
      <c r="V175" s="23">
        <f>And!T175</f>
        <v/>
      </c>
      <c r="W175" s="24">
        <f>IOS!T175</f>
        <v/>
      </c>
    </row>
    <row r="176" ht="22.5" customHeight="1" s="150">
      <c r="U176" s="8" t="n">
        <v>174</v>
      </c>
      <c r="V176" s="23">
        <f>And!T176</f>
        <v/>
      </c>
      <c r="W176" s="24">
        <f>IOS!T176</f>
        <v/>
      </c>
    </row>
    <row r="177" ht="22.5" customHeight="1" s="150">
      <c r="U177" s="5" t="n">
        <v>175</v>
      </c>
      <c r="V177" s="23">
        <f>And!T177</f>
        <v/>
      </c>
      <c r="W177" s="24">
        <f>IOS!T177</f>
        <v/>
      </c>
    </row>
    <row r="178" ht="22.5" customHeight="1" s="150">
      <c r="U178" s="8" t="n">
        <v>176</v>
      </c>
      <c r="V178" s="23">
        <f>And!T178</f>
        <v/>
      </c>
      <c r="W178" s="24">
        <f>IOS!T178</f>
        <v/>
      </c>
    </row>
    <row r="179" ht="22.5" customHeight="1" s="150">
      <c r="U179" s="5" t="n">
        <v>177</v>
      </c>
      <c r="V179" s="23">
        <f>And!T179</f>
        <v/>
      </c>
      <c r="W179" s="24">
        <f>IOS!T179</f>
        <v/>
      </c>
    </row>
    <row r="180" ht="22.5" customHeight="1" s="150">
      <c r="U180" s="8" t="n">
        <v>178</v>
      </c>
      <c r="V180" s="23">
        <f>And!T180</f>
        <v/>
      </c>
      <c r="W180" s="24">
        <f>IOS!T180</f>
        <v/>
      </c>
    </row>
    <row r="181" ht="22.5" customHeight="1" s="150">
      <c r="U181" s="5" t="n">
        <v>179</v>
      </c>
      <c r="V181" s="23">
        <f>And!T181</f>
        <v/>
      </c>
      <c r="W181" s="24">
        <f>IOS!T181</f>
        <v/>
      </c>
    </row>
    <row r="182" ht="22.5" customHeight="1" s="150">
      <c r="U182" s="8" t="n">
        <v>180</v>
      </c>
      <c r="V182" s="23">
        <f>And!T182</f>
        <v/>
      </c>
      <c r="W182" s="24">
        <f>IOS!T182</f>
        <v/>
      </c>
    </row>
    <row r="183" ht="22.5" customHeight="1" s="150">
      <c r="U183" s="5" t="n">
        <v>181</v>
      </c>
      <c r="V183" s="23">
        <f>And!T183</f>
        <v/>
      </c>
      <c r="W183" s="24">
        <f>IOS!T183</f>
        <v/>
      </c>
    </row>
    <row r="184" ht="22.5" customHeight="1" s="150">
      <c r="U184" s="8" t="n">
        <v>182</v>
      </c>
      <c r="V184" s="23">
        <f>And!T184</f>
        <v/>
      </c>
      <c r="W184" s="24">
        <f>IOS!T184</f>
        <v/>
      </c>
    </row>
    <row r="185" ht="22.5" customHeight="1" s="150">
      <c r="U185" s="5" t="n">
        <v>183</v>
      </c>
      <c r="V185" s="23">
        <f>And!T185</f>
        <v/>
      </c>
      <c r="W185" s="24">
        <f>IOS!T185</f>
        <v/>
      </c>
    </row>
    <row r="186" ht="22.5" customHeight="1" s="150">
      <c r="U186" s="8" t="n">
        <v>184</v>
      </c>
      <c r="V186" s="23">
        <f>And!T186</f>
        <v/>
      </c>
      <c r="W186" s="24">
        <f>IOS!T186</f>
        <v/>
      </c>
    </row>
    <row r="187" ht="22.5" customHeight="1" s="150">
      <c r="U187" s="5" t="n">
        <v>185</v>
      </c>
      <c r="V187" s="23">
        <f>And!T187</f>
        <v/>
      </c>
      <c r="W187" s="24">
        <f>IOS!T187</f>
        <v/>
      </c>
    </row>
    <row r="188" ht="22.5" customHeight="1" s="150">
      <c r="U188" s="8" t="n">
        <v>186</v>
      </c>
      <c r="V188" s="23">
        <f>And!T188</f>
        <v/>
      </c>
      <c r="W188" s="24">
        <f>IOS!T188</f>
        <v/>
      </c>
    </row>
    <row r="189" ht="22.5" customHeight="1" s="150">
      <c r="U189" s="5" t="n">
        <v>187</v>
      </c>
      <c r="V189" s="23">
        <f>And!T189</f>
        <v/>
      </c>
      <c r="W189" s="24">
        <f>IOS!T189</f>
        <v/>
      </c>
    </row>
    <row r="190" ht="22.5" customHeight="1" s="150">
      <c r="U190" s="8" t="n">
        <v>188</v>
      </c>
      <c r="V190" s="23">
        <f>And!T190</f>
        <v/>
      </c>
      <c r="W190" s="24">
        <f>IOS!T190</f>
        <v/>
      </c>
    </row>
    <row r="191" ht="22.5" customHeight="1" s="150">
      <c r="U191" s="5" t="n">
        <v>189</v>
      </c>
      <c r="V191" s="23">
        <f>And!T191</f>
        <v/>
      </c>
      <c r="W191" s="24">
        <f>IOS!T191</f>
        <v/>
      </c>
    </row>
    <row r="192" ht="22.5" customHeight="1" s="150">
      <c r="U192" s="8" t="n">
        <v>190</v>
      </c>
      <c r="V192" s="23">
        <f>And!T192</f>
        <v/>
      </c>
      <c r="W192" s="24">
        <f>IOS!T192</f>
        <v/>
      </c>
    </row>
    <row r="193" ht="22.5" customHeight="1" s="150">
      <c r="U193" s="5" t="n">
        <v>191</v>
      </c>
      <c r="V193" s="23">
        <f>And!T193</f>
        <v/>
      </c>
      <c r="W193" s="24">
        <f>IOS!T193</f>
        <v/>
      </c>
    </row>
    <row r="194" ht="22.5" customHeight="1" s="150">
      <c r="U194" s="8" t="n">
        <v>192</v>
      </c>
      <c r="V194" s="23">
        <f>And!T194</f>
        <v/>
      </c>
      <c r="W194" s="24">
        <f>IOS!T194</f>
        <v/>
      </c>
    </row>
    <row r="195" ht="22.5" customHeight="1" s="150">
      <c r="U195" s="5" t="n">
        <v>193</v>
      </c>
      <c r="V195" s="23">
        <f>And!T195</f>
        <v/>
      </c>
      <c r="W195" s="24">
        <f>IOS!T195</f>
        <v/>
      </c>
    </row>
    <row r="196" ht="22.5" customHeight="1" s="150">
      <c r="U196" s="8" t="n">
        <v>194</v>
      </c>
      <c r="V196" s="23">
        <f>And!T196</f>
        <v/>
      </c>
      <c r="W196" s="24">
        <f>IOS!T196</f>
        <v/>
      </c>
    </row>
    <row r="197" ht="22.5" customHeight="1" s="150">
      <c r="U197" s="5" t="n">
        <v>195</v>
      </c>
      <c r="V197" s="23">
        <f>And!T197</f>
        <v/>
      </c>
      <c r="W197" s="24">
        <f>IOS!T197</f>
        <v/>
      </c>
    </row>
    <row r="198" ht="22.5" customHeight="1" s="150">
      <c r="U198" s="8" t="n">
        <v>196</v>
      </c>
      <c r="V198" s="23">
        <f>And!T198</f>
        <v/>
      </c>
      <c r="W198" s="24">
        <f>IOS!T198</f>
        <v/>
      </c>
    </row>
    <row r="199" ht="22.5" customHeight="1" s="150">
      <c r="U199" s="5" t="n">
        <v>197</v>
      </c>
      <c r="V199" s="23">
        <f>And!T199</f>
        <v/>
      </c>
      <c r="W199" s="24">
        <f>IOS!T199</f>
        <v/>
      </c>
    </row>
    <row r="200" ht="22.5" customHeight="1" s="150">
      <c r="U200" s="8" t="n">
        <v>198</v>
      </c>
      <c r="V200" s="23">
        <f>And!T200</f>
        <v/>
      </c>
      <c r="W200" s="24">
        <f>IOS!T200</f>
        <v/>
      </c>
    </row>
    <row r="201" ht="22.5" customHeight="1" s="150">
      <c r="U201" s="5" t="n">
        <v>199</v>
      </c>
      <c r="V201" s="23">
        <f>And!T201</f>
        <v/>
      </c>
      <c r="W201" s="24">
        <f>IOS!T201</f>
        <v/>
      </c>
    </row>
    <row r="202" ht="22.5" customHeight="1" s="150">
      <c r="U202" s="8" t="n">
        <v>200</v>
      </c>
      <c r="V202" s="23">
        <f>And!T202</f>
        <v/>
      </c>
      <c r="W202" s="24">
        <f>IOS!T202</f>
        <v/>
      </c>
    </row>
    <row r="203" ht="22.5" customHeight="1" s="150">
      <c r="U203" s="5" t="n">
        <v>201</v>
      </c>
      <c r="V203" s="23">
        <f>And!T203</f>
        <v/>
      </c>
      <c r="W203" s="24">
        <f>IOS!T203</f>
        <v/>
      </c>
    </row>
    <row r="204" ht="22.5" customHeight="1" s="150">
      <c r="U204" s="8" t="n">
        <v>202</v>
      </c>
      <c r="V204" s="23">
        <f>And!T204</f>
        <v/>
      </c>
      <c r="W204" s="24">
        <f>IOS!T204</f>
        <v/>
      </c>
    </row>
    <row r="205" ht="22.5" customHeight="1" s="150">
      <c r="U205" s="5" t="n">
        <v>203</v>
      </c>
      <c r="V205" s="23">
        <f>And!T205</f>
        <v/>
      </c>
      <c r="W205" s="24">
        <f>IOS!T205</f>
        <v/>
      </c>
    </row>
    <row r="206" ht="22.5" customHeight="1" s="150">
      <c r="U206" s="8" t="n">
        <v>204</v>
      </c>
      <c r="V206" s="23">
        <f>And!T206</f>
        <v/>
      </c>
      <c r="W206" s="24">
        <f>IOS!T206</f>
        <v/>
      </c>
    </row>
    <row r="207" ht="22.5" customHeight="1" s="150">
      <c r="U207" s="5" t="n">
        <v>205</v>
      </c>
      <c r="V207" s="23">
        <f>And!T207</f>
        <v/>
      </c>
      <c r="W207" s="24">
        <f>IOS!T207</f>
        <v/>
      </c>
    </row>
    <row r="208" ht="22.5" customHeight="1" s="150">
      <c r="U208" s="8" t="n">
        <v>206</v>
      </c>
      <c r="V208" s="23">
        <f>And!T208</f>
        <v/>
      </c>
      <c r="W208" s="24">
        <f>IOS!T208</f>
        <v/>
      </c>
    </row>
    <row r="209" ht="22.5" customHeight="1" s="150">
      <c r="U209" s="5" t="n">
        <v>207</v>
      </c>
      <c r="V209" s="23">
        <f>And!T209</f>
        <v/>
      </c>
      <c r="W209" s="24">
        <f>IOS!T209</f>
        <v/>
      </c>
    </row>
    <row r="210" ht="22.5" customHeight="1" s="150">
      <c r="U210" s="8" t="n">
        <v>208</v>
      </c>
      <c r="V210" s="23">
        <f>And!T210</f>
        <v/>
      </c>
      <c r="W210" s="24">
        <f>IOS!T210</f>
        <v/>
      </c>
    </row>
    <row r="211" ht="22.5" customHeight="1" s="150">
      <c r="U211" s="5" t="n">
        <v>209</v>
      </c>
      <c r="V211" s="23">
        <f>And!T211</f>
        <v/>
      </c>
      <c r="W211" s="24">
        <f>IOS!T211</f>
        <v/>
      </c>
    </row>
    <row r="212" ht="22.5" customHeight="1" s="150">
      <c r="U212" s="8" t="n">
        <v>210</v>
      </c>
      <c r="V212" s="23">
        <f>And!T212</f>
        <v/>
      </c>
      <c r="W212" s="24">
        <f>IOS!T212</f>
        <v/>
      </c>
    </row>
    <row r="213" ht="22.5" customHeight="1" s="150">
      <c r="U213" s="5" t="n">
        <v>211</v>
      </c>
      <c r="V213" s="23">
        <f>And!T213</f>
        <v/>
      </c>
      <c r="W213" s="24">
        <f>IOS!T213</f>
        <v/>
      </c>
    </row>
    <row r="214" ht="22.5" customHeight="1" s="150">
      <c r="U214" s="8" t="n">
        <v>212</v>
      </c>
      <c r="V214" s="23">
        <f>And!T214</f>
        <v/>
      </c>
      <c r="W214" s="24">
        <f>IOS!T214</f>
        <v/>
      </c>
    </row>
    <row r="215" ht="22.5" customHeight="1" s="150">
      <c r="U215" s="5" t="n">
        <v>213</v>
      </c>
      <c r="V215" s="23">
        <f>And!T215</f>
        <v/>
      </c>
      <c r="W215" s="24">
        <f>IOS!T215</f>
        <v/>
      </c>
    </row>
    <row r="216" ht="22.5" customHeight="1" s="150">
      <c r="U216" s="8" t="n">
        <v>214</v>
      </c>
      <c r="V216" s="23">
        <f>And!T216</f>
        <v/>
      </c>
      <c r="W216" s="24">
        <f>IOS!T216</f>
        <v/>
      </c>
    </row>
    <row r="217" ht="22.5" customHeight="1" s="150">
      <c r="U217" s="5" t="n">
        <v>215</v>
      </c>
      <c r="V217" s="23">
        <f>And!T217</f>
        <v/>
      </c>
      <c r="W217" s="24">
        <f>IOS!T217</f>
        <v/>
      </c>
    </row>
    <row r="218" ht="22.5" customHeight="1" s="150">
      <c r="U218" s="8" t="n">
        <v>216</v>
      </c>
      <c r="V218" s="23">
        <f>And!T218</f>
        <v/>
      </c>
      <c r="W218" s="24">
        <f>IOS!T218</f>
        <v/>
      </c>
    </row>
    <row r="219" ht="22.5" customHeight="1" s="150">
      <c r="U219" s="5" t="n">
        <v>217</v>
      </c>
      <c r="V219" s="23">
        <f>And!T219</f>
        <v/>
      </c>
      <c r="W219" s="24">
        <f>IOS!T219</f>
        <v/>
      </c>
    </row>
    <row r="220" ht="22.5" customHeight="1" s="150">
      <c r="U220" s="8" t="n">
        <v>218</v>
      </c>
      <c r="V220" s="23">
        <f>And!T220</f>
        <v/>
      </c>
      <c r="W220" s="24">
        <f>IOS!T220</f>
        <v/>
      </c>
    </row>
    <row r="221" ht="22.5" customHeight="1" s="150">
      <c r="U221" s="5" t="n">
        <v>219</v>
      </c>
      <c r="V221" s="23">
        <f>And!T221</f>
        <v/>
      </c>
      <c r="W221" s="24">
        <f>IOS!T221</f>
        <v/>
      </c>
    </row>
    <row r="222" ht="22.5" customHeight="1" s="150">
      <c r="U222" s="8" t="n">
        <v>220</v>
      </c>
      <c r="V222" s="23">
        <f>And!T222</f>
        <v/>
      </c>
      <c r="W222" s="24">
        <f>IOS!T222</f>
        <v/>
      </c>
    </row>
    <row r="223" ht="22.5" customHeight="1" s="150">
      <c r="U223" s="5" t="n">
        <v>221</v>
      </c>
      <c r="V223" s="23">
        <f>And!T223</f>
        <v/>
      </c>
      <c r="W223" s="24">
        <f>IOS!T223</f>
        <v/>
      </c>
    </row>
    <row r="224" ht="22.5" customHeight="1" s="150">
      <c r="U224" s="8" t="n">
        <v>222</v>
      </c>
      <c r="V224" s="23">
        <f>And!T224</f>
        <v/>
      </c>
      <c r="W224" s="24">
        <f>IOS!T224</f>
        <v/>
      </c>
    </row>
    <row r="225" ht="22.5" customHeight="1" s="150">
      <c r="U225" s="5" t="n">
        <v>223</v>
      </c>
      <c r="V225" s="23">
        <f>And!T225</f>
        <v/>
      </c>
      <c r="W225" s="24">
        <f>IOS!T225</f>
        <v/>
      </c>
    </row>
    <row r="226" ht="22.5" customHeight="1" s="150">
      <c r="U226" s="8" t="n">
        <v>224</v>
      </c>
      <c r="V226" s="23">
        <f>And!T226</f>
        <v/>
      </c>
      <c r="W226" s="24">
        <f>IOS!T226</f>
        <v/>
      </c>
    </row>
    <row r="227" ht="22.5" customHeight="1" s="150">
      <c r="U227" s="5" t="n">
        <v>225</v>
      </c>
      <c r="V227" s="23">
        <f>And!T227</f>
        <v/>
      </c>
      <c r="W227" s="24">
        <f>IOS!T227</f>
        <v/>
      </c>
    </row>
    <row r="228" ht="22.5" customHeight="1" s="150">
      <c r="U228" s="8" t="n">
        <v>226</v>
      </c>
      <c r="V228" s="23">
        <f>And!T228</f>
        <v/>
      </c>
      <c r="W228" s="24">
        <f>IOS!T228</f>
        <v/>
      </c>
    </row>
    <row r="229" ht="22.5" customHeight="1" s="150">
      <c r="U229" s="5" t="n">
        <v>227</v>
      </c>
      <c r="V229" s="23">
        <f>And!T229</f>
        <v/>
      </c>
      <c r="W229" s="24">
        <f>IOS!T229</f>
        <v/>
      </c>
    </row>
    <row r="230" ht="22.5" customHeight="1" s="150">
      <c r="U230" s="8" t="n">
        <v>228</v>
      </c>
      <c r="V230" s="23">
        <f>And!T230</f>
        <v/>
      </c>
      <c r="W230" s="24">
        <f>IOS!T230</f>
        <v/>
      </c>
    </row>
    <row r="231" ht="22.5" customHeight="1" s="150">
      <c r="U231" s="5" t="n">
        <v>229</v>
      </c>
      <c r="V231" s="23">
        <f>And!T231</f>
        <v/>
      </c>
      <c r="W231" s="24">
        <f>IOS!T231</f>
        <v/>
      </c>
    </row>
    <row r="232" ht="22.5" customHeight="1" s="150">
      <c r="U232" s="8" t="n">
        <v>230</v>
      </c>
      <c r="V232" s="23">
        <f>And!T232</f>
        <v/>
      </c>
      <c r="W232" s="24">
        <f>IOS!T232</f>
        <v/>
      </c>
    </row>
    <row r="233" ht="22.5" customHeight="1" s="150">
      <c r="U233" s="5" t="n">
        <v>231</v>
      </c>
      <c r="V233" s="23">
        <f>And!T233</f>
        <v/>
      </c>
      <c r="W233" s="24">
        <f>IOS!T233</f>
        <v/>
      </c>
    </row>
    <row r="234" ht="22.5" customHeight="1" s="150">
      <c r="U234" s="8" t="n">
        <v>232</v>
      </c>
      <c r="V234" s="23">
        <f>And!T234</f>
        <v/>
      </c>
      <c r="W234" s="24">
        <f>IOS!T234</f>
        <v/>
      </c>
    </row>
    <row r="235" ht="22.5" customHeight="1" s="150">
      <c r="U235" s="5" t="n">
        <v>233</v>
      </c>
      <c r="V235" s="23">
        <f>And!T235</f>
        <v/>
      </c>
      <c r="W235" s="24">
        <f>IOS!T235</f>
        <v/>
      </c>
    </row>
    <row r="236" ht="22.5" customHeight="1" s="150">
      <c r="U236" s="8" t="n">
        <v>234</v>
      </c>
      <c r="V236" s="23">
        <f>And!T236</f>
        <v/>
      </c>
      <c r="W236" s="24">
        <f>IOS!T236</f>
        <v/>
      </c>
    </row>
    <row r="237" ht="22.5" customHeight="1" s="150">
      <c r="U237" s="5" t="n">
        <v>235</v>
      </c>
      <c r="V237" s="23">
        <f>And!T237</f>
        <v/>
      </c>
      <c r="W237" s="24">
        <f>IOS!T237</f>
        <v/>
      </c>
    </row>
    <row r="238" ht="22.5" customHeight="1" s="150">
      <c r="U238" s="8" t="n">
        <v>236</v>
      </c>
      <c r="V238" s="23">
        <f>And!T238</f>
        <v/>
      </c>
      <c r="W238" s="24">
        <f>IOS!T238</f>
        <v/>
      </c>
    </row>
    <row r="239" ht="22.5" customHeight="1" s="150">
      <c r="U239" s="5" t="n">
        <v>237</v>
      </c>
      <c r="V239" s="23">
        <f>And!T239</f>
        <v/>
      </c>
      <c r="W239" s="24">
        <f>IOS!T239</f>
        <v/>
      </c>
    </row>
    <row r="240" ht="22.5" customHeight="1" s="150">
      <c r="U240" s="8" t="n">
        <v>238</v>
      </c>
      <c r="V240" s="23">
        <f>And!T240</f>
        <v/>
      </c>
      <c r="W240" s="24">
        <f>IOS!T240</f>
        <v/>
      </c>
    </row>
    <row r="241" ht="22.5" customHeight="1" s="150">
      <c r="U241" s="5" t="n">
        <v>239</v>
      </c>
      <c r="V241" s="23">
        <f>And!T241</f>
        <v/>
      </c>
      <c r="W241" s="24">
        <f>IOS!T241</f>
        <v/>
      </c>
    </row>
    <row r="242" ht="22.5" customHeight="1" s="150">
      <c r="U242" s="8" t="n">
        <v>240</v>
      </c>
      <c r="V242" s="23">
        <f>And!T242</f>
        <v/>
      </c>
      <c r="W242" s="24">
        <f>IOS!T242</f>
        <v/>
      </c>
    </row>
    <row r="243" ht="22.5" customHeight="1" s="150">
      <c r="U243" s="5" t="n">
        <v>241</v>
      </c>
      <c r="V243" s="23">
        <f>And!T243</f>
        <v/>
      </c>
      <c r="W243" s="24">
        <f>IOS!T243</f>
        <v/>
      </c>
    </row>
    <row r="244" ht="22.5" customHeight="1" s="150">
      <c r="U244" s="8" t="n">
        <v>242</v>
      </c>
      <c r="V244" s="23">
        <f>And!T244</f>
        <v/>
      </c>
      <c r="W244" s="24">
        <f>IOS!T244</f>
        <v/>
      </c>
    </row>
    <row r="245" ht="22.5" customHeight="1" s="150">
      <c r="U245" s="5" t="n">
        <v>243</v>
      </c>
      <c r="V245" s="23">
        <f>And!T245</f>
        <v/>
      </c>
      <c r="W245" s="24">
        <f>IOS!T245</f>
        <v/>
      </c>
    </row>
    <row r="246" ht="22.5" customHeight="1" s="150">
      <c r="U246" s="8" t="n">
        <v>244</v>
      </c>
      <c r="V246" s="23">
        <f>And!T246</f>
        <v/>
      </c>
      <c r="W246" s="24">
        <f>IOS!T246</f>
        <v/>
      </c>
    </row>
    <row r="247" ht="22.5" customHeight="1" s="150">
      <c r="U247" s="5" t="n">
        <v>245</v>
      </c>
      <c r="V247" s="23">
        <f>And!T247</f>
        <v/>
      </c>
      <c r="W247" s="24">
        <f>IOS!T247</f>
        <v/>
      </c>
    </row>
    <row r="248" ht="22.5" customHeight="1" s="150">
      <c r="U248" s="8" t="n">
        <v>246</v>
      </c>
      <c r="V248" s="23">
        <f>And!T248</f>
        <v/>
      </c>
      <c r="W248" s="24">
        <f>IOS!T248</f>
        <v/>
      </c>
    </row>
    <row r="249" ht="22.5" customHeight="1" s="150">
      <c r="U249" s="5" t="n">
        <v>247</v>
      </c>
      <c r="V249" s="23">
        <f>And!T249</f>
        <v/>
      </c>
      <c r="W249" s="24">
        <f>IOS!T249</f>
        <v/>
      </c>
    </row>
    <row r="250" ht="22.5" customHeight="1" s="150">
      <c r="U250" s="8" t="n">
        <v>248</v>
      </c>
      <c r="V250" s="23">
        <f>And!T250</f>
        <v/>
      </c>
      <c r="W250" s="24">
        <f>IOS!T250</f>
        <v/>
      </c>
    </row>
    <row r="251" ht="22.5" customHeight="1" s="150">
      <c r="U251" s="5" t="n">
        <v>249</v>
      </c>
      <c r="V251" s="23">
        <f>And!T251</f>
        <v/>
      </c>
      <c r="W251" s="24">
        <f>IOS!T251</f>
        <v/>
      </c>
    </row>
    <row r="252" ht="22.5" customHeight="1" s="150">
      <c r="U252" s="8" t="n">
        <v>250</v>
      </c>
      <c r="V252" s="23">
        <f>And!T252</f>
        <v/>
      </c>
      <c r="W252" s="24">
        <f>IOS!T252</f>
        <v/>
      </c>
    </row>
    <row r="253" ht="22.5" customHeight="1" s="150">
      <c r="U253" s="5" t="n">
        <v>251</v>
      </c>
      <c r="V253" s="23">
        <f>And!T253</f>
        <v/>
      </c>
      <c r="W253" s="24">
        <f>IOS!T253</f>
        <v/>
      </c>
    </row>
    <row r="254" ht="22.5" customHeight="1" s="150">
      <c r="U254" s="8" t="n">
        <v>252</v>
      </c>
      <c r="V254" s="23">
        <f>And!T254</f>
        <v/>
      </c>
      <c r="W254" s="24">
        <f>IOS!T254</f>
        <v/>
      </c>
    </row>
    <row r="255" ht="22.5" customHeight="1" s="150">
      <c r="U255" s="5" t="n">
        <v>253</v>
      </c>
      <c r="V255" s="23">
        <f>And!T255</f>
        <v/>
      </c>
      <c r="W255" s="24">
        <f>IOS!T255</f>
        <v/>
      </c>
    </row>
    <row r="256" ht="22.5" customHeight="1" s="150">
      <c r="U256" s="8" t="n">
        <v>254</v>
      </c>
      <c r="V256" s="23">
        <f>And!T256</f>
        <v/>
      </c>
      <c r="W256" s="24">
        <f>IOS!T256</f>
        <v/>
      </c>
    </row>
    <row r="257" ht="22.5" customHeight="1" s="150">
      <c r="U257" s="5" t="n">
        <v>255</v>
      </c>
      <c r="V257" s="23">
        <f>And!T257</f>
        <v/>
      </c>
      <c r="W257" s="24">
        <f>IOS!T257</f>
        <v/>
      </c>
    </row>
    <row r="258" ht="22.5" customHeight="1" s="150">
      <c r="U258" s="8" t="n">
        <v>256</v>
      </c>
      <c r="V258" s="23">
        <f>And!T258</f>
        <v/>
      </c>
      <c r="W258" s="24">
        <f>IOS!T258</f>
        <v/>
      </c>
    </row>
    <row r="259" ht="22.5" customHeight="1" s="150">
      <c r="U259" s="5" t="n">
        <v>257</v>
      </c>
      <c r="V259" s="23">
        <f>And!T259</f>
        <v/>
      </c>
      <c r="W259" s="24">
        <f>IOS!T259</f>
        <v/>
      </c>
    </row>
    <row r="260" ht="22.5" customHeight="1" s="150">
      <c r="U260" s="8" t="n">
        <v>258</v>
      </c>
      <c r="V260" s="23">
        <f>And!T260</f>
        <v/>
      </c>
      <c r="W260" s="24">
        <f>IOS!T260</f>
        <v/>
      </c>
    </row>
    <row r="261" ht="22.5" customHeight="1" s="150">
      <c r="U261" s="5" t="n">
        <v>259</v>
      </c>
      <c r="V261" s="23">
        <f>And!T261</f>
        <v/>
      </c>
      <c r="W261" s="24">
        <f>IOS!T261</f>
        <v/>
      </c>
    </row>
    <row r="262" ht="22.5" customHeight="1" s="150">
      <c r="U262" s="8" t="n">
        <v>260</v>
      </c>
      <c r="V262" s="23">
        <f>And!T262</f>
        <v/>
      </c>
      <c r="W262" s="24">
        <f>IOS!T262</f>
        <v/>
      </c>
    </row>
    <row r="263" ht="22.5" customHeight="1" s="150">
      <c r="U263" s="5" t="n">
        <v>261</v>
      </c>
      <c r="V263" s="23">
        <f>And!T263</f>
        <v/>
      </c>
      <c r="W263" s="24">
        <f>IOS!T263</f>
        <v/>
      </c>
    </row>
    <row r="264" ht="22.5" customHeight="1" s="150">
      <c r="U264" s="8" t="n">
        <v>262</v>
      </c>
      <c r="V264" s="23">
        <f>And!T264</f>
        <v/>
      </c>
      <c r="W264" s="24">
        <f>IOS!T264</f>
        <v/>
      </c>
    </row>
    <row r="265" ht="22.5" customHeight="1" s="150">
      <c r="U265" s="5" t="n">
        <v>263</v>
      </c>
      <c r="V265" s="23">
        <f>And!T265</f>
        <v/>
      </c>
      <c r="W265" s="24">
        <f>IOS!T265</f>
        <v/>
      </c>
    </row>
    <row r="266" ht="22.5" customHeight="1" s="150">
      <c r="U266" s="8" t="n">
        <v>264</v>
      </c>
      <c r="V266" s="23">
        <f>And!T266</f>
        <v/>
      </c>
      <c r="W266" s="24">
        <f>IOS!T266</f>
        <v/>
      </c>
    </row>
    <row r="267" ht="22.5" customHeight="1" s="150">
      <c r="U267" s="5" t="n">
        <v>265</v>
      </c>
      <c r="V267" s="23">
        <f>And!T267</f>
        <v/>
      </c>
      <c r="W267" s="24">
        <f>IOS!T267</f>
        <v/>
      </c>
    </row>
    <row r="268" ht="22.5" customHeight="1" s="150">
      <c r="U268" s="8" t="n">
        <v>266</v>
      </c>
      <c r="V268" s="23">
        <f>And!T268</f>
        <v/>
      </c>
      <c r="W268" s="24">
        <f>IOS!T268</f>
        <v/>
      </c>
    </row>
    <row r="269" ht="22.5" customHeight="1" s="150">
      <c r="U269" s="5" t="n">
        <v>267</v>
      </c>
      <c r="V269" s="23">
        <f>And!T269</f>
        <v/>
      </c>
      <c r="W269" s="24">
        <f>IOS!T269</f>
        <v/>
      </c>
    </row>
    <row r="270" ht="22.5" customHeight="1" s="150">
      <c r="U270" s="8" t="n">
        <v>268</v>
      </c>
      <c r="V270" s="23">
        <f>And!T270</f>
        <v/>
      </c>
      <c r="W270" s="24">
        <f>IOS!T270</f>
        <v/>
      </c>
    </row>
    <row r="271" ht="22.5" customHeight="1" s="150">
      <c r="U271" s="5" t="n">
        <v>269</v>
      </c>
      <c r="V271" s="23">
        <f>And!T271</f>
        <v/>
      </c>
      <c r="W271" s="24">
        <f>IOS!T271</f>
        <v/>
      </c>
    </row>
    <row r="272" ht="22.5" customHeight="1" s="150">
      <c r="U272" s="8" t="n">
        <v>270</v>
      </c>
      <c r="V272" s="23">
        <f>And!T272</f>
        <v/>
      </c>
      <c r="W272" s="24">
        <f>IOS!T272</f>
        <v/>
      </c>
    </row>
    <row r="273" ht="22.5" customHeight="1" s="150">
      <c r="U273" s="5" t="n">
        <v>271</v>
      </c>
      <c r="V273" s="23">
        <f>And!T273</f>
        <v/>
      </c>
      <c r="W273" s="24">
        <f>IOS!T273</f>
        <v/>
      </c>
    </row>
    <row r="274" ht="22.5" customHeight="1" s="150">
      <c r="U274" s="8" t="n">
        <v>272</v>
      </c>
      <c r="V274" s="23">
        <f>And!T274</f>
        <v/>
      </c>
      <c r="W274" s="24">
        <f>IOS!T274</f>
        <v/>
      </c>
    </row>
    <row r="275" ht="22.5" customHeight="1" s="150">
      <c r="U275" s="5" t="n">
        <v>273</v>
      </c>
      <c r="V275" s="23">
        <f>And!T275</f>
        <v/>
      </c>
      <c r="W275" s="24">
        <f>IOS!T275</f>
        <v/>
      </c>
    </row>
    <row r="276" ht="22.5" customHeight="1" s="150">
      <c r="U276" s="8" t="n">
        <v>274</v>
      </c>
      <c r="V276" s="23">
        <f>And!T276</f>
        <v/>
      </c>
      <c r="W276" s="24">
        <f>IOS!T276</f>
        <v/>
      </c>
    </row>
    <row r="277" ht="22.5" customHeight="1" s="150">
      <c r="U277" s="5" t="n">
        <v>275</v>
      </c>
      <c r="V277" s="23">
        <f>And!T277</f>
        <v/>
      </c>
      <c r="W277" s="24">
        <f>IOS!T277</f>
        <v/>
      </c>
    </row>
    <row r="278" ht="22.5" customHeight="1" s="150">
      <c r="U278" s="8" t="n">
        <v>276</v>
      </c>
      <c r="V278" s="23">
        <f>And!T278</f>
        <v/>
      </c>
      <c r="W278" s="24">
        <f>IOS!T278</f>
        <v/>
      </c>
    </row>
    <row r="279" ht="22.5" customHeight="1" s="150">
      <c r="U279" s="5" t="n">
        <v>277</v>
      </c>
      <c r="V279" s="23">
        <f>And!T279</f>
        <v/>
      </c>
      <c r="W279" s="24">
        <f>IOS!T279</f>
        <v/>
      </c>
    </row>
    <row r="280" ht="22.5" customHeight="1" s="150">
      <c r="U280" s="8" t="n">
        <v>278</v>
      </c>
      <c r="V280" s="23">
        <f>And!T280</f>
        <v/>
      </c>
      <c r="W280" s="24">
        <f>IOS!T280</f>
        <v/>
      </c>
    </row>
    <row r="281" ht="22.5" customHeight="1" s="150">
      <c r="U281" s="5" t="n">
        <v>279</v>
      </c>
      <c r="V281" s="23">
        <f>And!T281</f>
        <v/>
      </c>
      <c r="W281" s="24">
        <f>IOS!T281</f>
        <v/>
      </c>
    </row>
    <row r="282" ht="22.5" customHeight="1" s="150">
      <c r="U282" s="8" t="n">
        <v>280</v>
      </c>
      <c r="V282" s="23">
        <f>And!T282</f>
        <v/>
      </c>
      <c r="W282" s="24">
        <f>IOS!T282</f>
        <v/>
      </c>
    </row>
    <row r="283" ht="22.5" customHeight="1" s="150">
      <c r="U283" s="5" t="n">
        <v>281</v>
      </c>
      <c r="V283" s="23">
        <f>And!T283</f>
        <v/>
      </c>
      <c r="W283" s="24">
        <f>IOS!T283</f>
        <v/>
      </c>
    </row>
    <row r="284" ht="22.5" customHeight="1" s="150">
      <c r="U284" s="8" t="n">
        <v>282</v>
      </c>
      <c r="V284" s="23">
        <f>And!T284</f>
        <v/>
      </c>
      <c r="W284" s="24">
        <f>IOS!T284</f>
        <v/>
      </c>
    </row>
    <row r="285" ht="22.5" customHeight="1" s="150">
      <c r="U285" s="5" t="n">
        <v>283</v>
      </c>
      <c r="V285" s="23">
        <f>And!T285</f>
        <v/>
      </c>
      <c r="W285" s="24">
        <f>IOS!T285</f>
        <v/>
      </c>
    </row>
    <row r="286" ht="22.5" customHeight="1" s="150">
      <c r="U286" s="8" t="n">
        <v>284</v>
      </c>
      <c r="V286" s="23">
        <f>And!T286</f>
        <v/>
      </c>
      <c r="W286" s="24">
        <f>IOS!T286</f>
        <v/>
      </c>
    </row>
    <row r="287" ht="22.5" customHeight="1" s="150">
      <c r="U287" s="5" t="n">
        <v>285</v>
      </c>
      <c r="V287" s="23">
        <f>And!T287</f>
        <v/>
      </c>
      <c r="W287" s="24">
        <f>IOS!T287</f>
        <v/>
      </c>
    </row>
    <row r="288" ht="22.5" customHeight="1" s="150">
      <c r="U288" s="8" t="n">
        <v>286</v>
      </c>
      <c r="V288" s="23">
        <f>And!T288</f>
        <v/>
      </c>
      <c r="W288" s="24">
        <f>IOS!T288</f>
        <v/>
      </c>
    </row>
    <row r="289" ht="22.5" customHeight="1" s="150">
      <c r="U289" s="5" t="n">
        <v>287</v>
      </c>
      <c r="V289" s="23">
        <f>And!T289</f>
        <v/>
      </c>
      <c r="W289" s="24">
        <f>IOS!T289</f>
        <v/>
      </c>
    </row>
    <row r="290" ht="22.5" customHeight="1" s="150">
      <c r="U290" s="8" t="n">
        <v>288</v>
      </c>
      <c r="V290" s="23">
        <f>And!T290</f>
        <v/>
      </c>
      <c r="W290" s="24">
        <f>IOS!T290</f>
        <v/>
      </c>
    </row>
    <row r="291" ht="22.5" customHeight="1" s="150">
      <c r="U291" s="5" t="n">
        <v>289</v>
      </c>
      <c r="V291" s="23">
        <f>And!T291</f>
        <v/>
      </c>
      <c r="W291" s="24">
        <f>IOS!T291</f>
        <v/>
      </c>
    </row>
    <row r="292" ht="22.5" customHeight="1" s="150">
      <c r="U292" s="8" t="n">
        <v>290</v>
      </c>
      <c r="V292" s="23">
        <f>And!T292</f>
        <v/>
      </c>
      <c r="W292" s="24">
        <f>IOS!T292</f>
        <v/>
      </c>
    </row>
    <row r="293" ht="22.5" customHeight="1" s="150">
      <c r="U293" s="5" t="n">
        <v>291</v>
      </c>
      <c r="V293" s="23">
        <f>And!T293</f>
        <v/>
      </c>
      <c r="W293" s="24">
        <f>IOS!T293</f>
        <v/>
      </c>
    </row>
    <row r="294" ht="22.5" customHeight="1" s="150">
      <c r="U294" s="8" t="n">
        <v>292</v>
      </c>
      <c r="V294" s="23">
        <f>And!T294</f>
        <v/>
      </c>
      <c r="W294" s="24">
        <f>IOS!T294</f>
        <v/>
      </c>
    </row>
    <row r="295" ht="22.5" customHeight="1" s="150">
      <c r="U295" s="5" t="n">
        <v>293</v>
      </c>
      <c r="V295" s="23">
        <f>And!T295</f>
        <v/>
      </c>
      <c r="W295" s="24">
        <f>IOS!T295</f>
        <v/>
      </c>
    </row>
    <row r="296" ht="22.5" customHeight="1" s="150">
      <c r="U296" s="8" t="n">
        <v>294</v>
      </c>
      <c r="V296" s="23">
        <f>And!T296</f>
        <v/>
      </c>
      <c r="W296" s="24">
        <f>IOS!T296</f>
        <v/>
      </c>
    </row>
    <row r="297" ht="22.5" customHeight="1" s="150">
      <c r="U297" s="5" t="n">
        <v>295</v>
      </c>
      <c r="V297" s="23">
        <f>And!T297</f>
        <v/>
      </c>
      <c r="W297" s="24">
        <f>IOS!T297</f>
        <v/>
      </c>
    </row>
    <row r="298" ht="22.5" customHeight="1" s="150">
      <c r="U298" s="8" t="n">
        <v>296</v>
      </c>
      <c r="V298" s="23">
        <f>And!T298</f>
        <v/>
      </c>
      <c r="W298" s="24">
        <f>IOS!T298</f>
        <v/>
      </c>
    </row>
    <row r="299" ht="22.5" customHeight="1" s="150">
      <c r="U299" s="5" t="n">
        <v>297</v>
      </c>
      <c r="V299" s="23">
        <f>And!T299</f>
        <v/>
      </c>
      <c r="W299" s="24">
        <f>IOS!T299</f>
        <v/>
      </c>
    </row>
    <row r="300" ht="22.5" customHeight="1" s="150">
      <c r="U300" s="8" t="n">
        <v>298</v>
      </c>
      <c r="V300" s="23">
        <f>And!T300</f>
        <v/>
      </c>
      <c r="W300" s="24">
        <f>IOS!T300</f>
        <v/>
      </c>
    </row>
    <row r="301" ht="22.5" customHeight="1" s="150">
      <c r="U301" s="5" t="n">
        <v>299</v>
      </c>
      <c r="V301" s="23">
        <f>And!T301</f>
        <v/>
      </c>
      <c r="W301" s="24">
        <f>IOS!T301</f>
        <v/>
      </c>
    </row>
    <row r="302" ht="22.5" customHeight="1" s="150">
      <c r="U302" s="8" t="n">
        <v>300</v>
      </c>
      <c r="V302" s="23">
        <f>And!T302</f>
        <v/>
      </c>
      <c r="W302" s="24">
        <f>IOS!T302</f>
        <v/>
      </c>
    </row>
    <row r="303" ht="22.5" customHeight="1" s="150">
      <c r="U303" s="5" t="n">
        <v>301</v>
      </c>
      <c r="V303" s="23">
        <f>And!T303</f>
        <v/>
      </c>
      <c r="W303" s="24">
        <f>IOS!T303</f>
        <v/>
      </c>
    </row>
    <row r="304" ht="22.5" customHeight="1" s="150">
      <c r="U304" s="8" t="n">
        <v>302</v>
      </c>
      <c r="V304" s="23">
        <f>And!T304</f>
        <v/>
      </c>
      <c r="W304" s="24">
        <f>IOS!T304</f>
        <v/>
      </c>
    </row>
    <row r="305" ht="22.5" customHeight="1" s="150">
      <c r="U305" s="5" t="n">
        <v>303</v>
      </c>
      <c r="V305" s="23">
        <f>And!T305</f>
        <v/>
      </c>
      <c r="W305" s="24">
        <f>IOS!T305</f>
        <v/>
      </c>
    </row>
    <row r="306" ht="22.5" customHeight="1" s="150">
      <c r="U306" s="8" t="n">
        <v>304</v>
      </c>
      <c r="V306" s="23">
        <f>And!T306</f>
        <v/>
      </c>
      <c r="W306" s="24">
        <f>IOS!T306</f>
        <v/>
      </c>
    </row>
    <row r="307" ht="22.5" customHeight="1" s="150">
      <c r="U307" s="5" t="n">
        <v>305</v>
      </c>
      <c r="V307" s="23">
        <f>And!T307</f>
        <v/>
      </c>
      <c r="W307" s="24">
        <f>IOS!T307</f>
        <v/>
      </c>
    </row>
    <row r="308" ht="22.5" customHeight="1" s="150">
      <c r="U308" s="8" t="n">
        <v>306</v>
      </c>
      <c r="V308" s="23">
        <f>And!T308</f>
        <v/>
      </c>
      <c r="W308" s="24">
        <f>IOS!T308</f>
        <v/>
      </c>
    </row>
    <row r="309" ht="22.5" customHeight="1" s="150">
      <c r="U309" s="5" t="n">
        <v>307</v>
      </c>
      <c r="V309" s="23">
        <f>And!T309</f>
        <v/>
      </c>
      <c r="W309" s="24">
        <f>IOS!T309</f>
        <v/>
      </c>
    </row>
    <row r="310" ht="22.5" customHeight="1" s="150">
      <c r="U310" s="8" t="n">
        <v>308</v>
      </c>
      <c r="V310" s="23">
        <f>And!T310</f>
        <v/>
      </c>
      <c r="W310" s="24">
        <f>IOS!T310</f>
        <v/>
      </c>
    </row>
    <row r="311" ht="22.5" customHeight="1" s="150">
      <c r="U311" s="5" t="n">
        <v>309</v>
      </c>
      <c r="V311" s="23">
        <f>And!T311</f>
        <v/>
      </c>
      <c r="W311" s="24">
        <f>IOS!T311</f>
        <v/>
      </c>
    </row>
    <row r="312" ht="22.5" customHeight="1" s="150">
      <c r="U312" s="8" t="n">
        <v>310</v>
      </c>
      <c r="V312" s="23">
        <f>And!T312</f>
        <v/>
      </c>
      <c r="W312" s="24">
        <f>IOS!T312</f>
        <v/>
      </c>
    </row>
    <row r="313" ht="22.5" customHeight="1" s="150">
      <c r="U313" s="5" t="n">
        <v>311</v>
      </c>
      <c r="V313" s="23">
        <f>And!T313</f>
        <v/>
      </c>
      <c r="W313" s="24">
        <f>IOS!T313</f>
        <v/>
      </c>
    </row>
    <row r="314" ht="22.5" customHeight="1" s="150">
      <c r="U314" s="8" t="n">
        <v>312</v>
      </c>
      <c r="V314" s="23">
        <f>And!T314</f>
        <v/>
      </c>
      <c r="W314" s="24">
        <f>IOS!T314</f>
        <v/>
      </c>
    </row>
    <row r="315" ht="22.5" customHeight="1" s="150">
      <c r="U315" s="5" t="n">
        <v>313</v>
      </c>
      <c r="V315" s="23">
        <f>And!T315</f>
        <v/>
      </c>
      <c r="W315" s="24">
        <f>IOS!T315</f>
        <v/>
      </c>
    </row>
    <row r="316" ht="22.5" customHeight="1" s="150">
      <c r="U316" s="8" t="n">
        <v>314</v>
      </c>
      <c r="V316" s="23">
        <f>And!T316</f>
        <v/>
      </c>
      <c r="W316" s="24">
        <f>IOS!T316</f>
        <v/>
      </c>
    </row>
    <row r="317" ht="22.5" customHeight="1" s="150">
      <c r="U317" s="5" t="n">
        <v>315</v>
      </c>
      <c r="V317" s="23">
        <f>And!T317</f>
        <v/>
      </c>
      <c r="W317" s="24">
        <f>IOS!T317</f>
        <v/>
      </c>
    </row>
    <row r="318" ht="22.5" customHeight="1" s="150">
      <c r="U318" s="8" t="n">
        <v>316</v>
      </c>
      <c r="V318" s="23">
        <f>And!T318</f>
        <v/>
      </c>
      <c r="W318" s="24">
        <f>IOS!T318</f>
        <v/>
      </c>
    </row>
    <row r="319" ht="22.5" customHeight="1" s="150">
      <c r="U319" s="5" t="n">
        <v>317</v>
      </c>
      <c r="V319" s="23">
        <f>And!T319</f>
        <v/>
      </c>
      <c r="W319" s="24">
        <f>IOS!T319</f>
        <v/>
      </c>
    </row>
    <row r="320" ht="22.5" customHeight="1" s="150">
      <c r="U320" s="8" t="n">
        <v>318</v>
      </c>
      <c r="V320" s="23">
        <f>And!T320</f>
        <v/>
      </c>
      <c r="W320" s="24">
        <f>IOS!T320</f>
        <v/>
      </c>
    </row>
    <row r="321" ht="22.5" customHeight="1" s="150">
      <c r="U321" s="5" t="n">
        <v>319</v>
      </c>
      <c r="V321" s="23">
        <f>And!T321</f>
        <v/>
      </c>
      <c r="W321" s="24">
        <f>IOS!T321</f>
        <v/>
      </c>
    </row>
    <row r="322" ht="22.5" customHeight="1" s="150">
      <c r="U322" s="8" t="n">
        <v>320</v>
      </c>
      <c r="V322" s="23">
        <f>And!T322</f>
        <v/>
      </c>
      <c r="W322" s="24">
        <f>IOS!T322</f>
        <v/>
      </c>
    </row>
    <row r="323" ht="22.5" customHeight="1" s="150">
      <c r="U323" s="5" t="n">
        <v>321</v>
      </c>
      <c r="V323" s="23">
        <f>And!T323</f>
        <v/>
      </c>
      <c r="W323" s="24">
        <f>IOS!T323</f>
        <v/>
      </c>
    </row>
    <row r="324" ht="22.5" customHeight="1" s="150">
      <c r="U324" s="8" t="n">
        <v>322</v>
      </c>
      <c r="V324" s="23">
        <f>And!T324</f>
        <v/>
      </c>
      <c r="W324" s="24">
        <f>IOS!T324</f>
        <v/>
      </c>
    </row>
    <row r="325" ht="22.5" customHeight="1" s="150">
      <c r="U325" s="5" t="n">
        <v>323</v>
      </c>
      <c r="V325" s="23">
        <f>And!T325</f>
        <v/>
      </c>
      <c r="W325" s="24">
        <f>IOS!T325</f>
        <v/>
      </c>
    </row>
    <row r="326" ht="22.5" customHeight="1" s="150">
      <c r="U326" s="8" t="n">
        <v>324</v>
      </c>
      <c r="V326" s="23">
        <f>And!T326</f>
        <v/>
      </c>
      <c r="W326" s="24">
        <f>IOS!T326</f>
        <v/>
      </c>
    </row>
    <row r="327" ht="22.5" customHeight="1" s="150">
      <c r="U327" s="5" t="n">
        <v>325</v>
      </c>
      <c r="V327" s="23">
        <f>And!T327</f>
        <v/>
      </c>
      <c r="W327" s="24">
        <f>IOS!T327</f>
        <v/>
      </c>
    </row>
    <row r="328" ht="22.5" customHeight="1" s="150">
      <c r="U328" s="8" t="n">
        <v>326</v>
      </c>
      <c r="V328" s="23">
        <f>And!T328</f>
        <v/>
      </c>
      <c r="W328" s="24">
        <f>IOS!T328</f>
        <v/>
      </c>
    </row>
    <row r="329" ht="22.5" customHeight="1" s="150">
      <c r="U329" s="5" t="n">
        <v>327</v>
      </c>
      <c r="V329" s="23">
        <f>And!T329</f>
        <v/>
      </c>
      <c r="W329" s="24">
        <f>IOS!T329</f>
        <v/>
      </c>
    </row>
    <row r="330" ht="22.5" customHeight="1" s="150">
      <c r="U330" s="8" t="n">
        <v>328</v>
      </c>
      <c r="V330" s="23">
        <f>And!T330</f>
        <v/>
      </c>
      <c r="W330" s="24">
        <f>IOS!T330</f>
        <v/>
      </c>
    </row>
    <row r="331" ht="22.5" customHeight="1" s="150">
      <c r="U331" s="5" t="n">
        <v>329</v>
      </c>
      <c r="V331" s="23">
        <f>And!T331</f>
        <v/>
      </c>
      <c r="W331" s="24">
        <f>IOS!T331</f>
        <v/>
      </c>
    </row>
    <row r="332" ht="22.5" customHeight="1" s="150">
      <c r="U332" s="8" t="n">
        <v>330</v>
      </c>
      <c r="V332" s="23">
        <f>And!T332</f>
        <v/>
      </c>
      <c r="W332" s="24">
        <f>IOS!T332</f>
        <v/>
      </c>
    </row>
    <row r="333" ht="22.5" customHeight="1" s="150">
      <c r="U333" s="5" t="n">
        <v>331</v>
      </c>
      <c r="V333" s="23">
        <f>And!T333</f>
        <v/>
      </c>
      <c r="W333" s="24">
        <f>IOS!T333</f>
        <v/>
      </c>
    </row>
    <row r="334" ht="22.5" customHeight="1" s="150">
      <c r="U334" s="8" t="n">
        <v>332</v>
      </c>
      <c r="V334" s="23">
        <f>And!T334</f>
        <v/>
      </c>
      <c r="W334" s="24">
        <f>IOS!T334</f>
        <v/>
      </c>
    </row>
    <row r="335" ht="22.5" customHeight="1" s="150">
      <c r="U335" s="5" t="n">
        <v>333</v>
      </c>
      <c r="V335" s="23">
        <f>And!T335</f>
        <v/>
      </c>
      <c r="W335" s="24">
        <f>IOS!T335</f>
        <v/>
      </c>
    </row>
    <row r="336" ht="22.5" customHeight="1" s="150">
      <c r="U336" s="8" t="n">
        <v>334</v>
      </c>
      <c r="V336" s="23">
        <f>And!T336</f>
        <v/>
      </c>
      <c r="W336" s="24">
        <f>IOS!T336</f>
        <v/>
      </c>
    </row>
    <row r="337" ht="22.5" customHeight="1" s="150">
      <c r="U337" s="5" t="n">
        <v>335</v>
      </c>
      <c r="V337" s="23">
        <f>And!T337</f>
        <v/>
      </c>
      <c r="W337" s="24">
        <f>IOS!T337</f>
        <v/>
      </c>
    </row>
    <row r="338" ht="22.5" customHeight="1" s="150">
      <c r="U338" s="8" t="n">
        <v>336</v>
      </c>
      <c r="V338" s="23">
        <f>And!T338</f>
        <v/>
      </c>
      <c r="W338" s="24">
        <f>IOS!T338</f>
        <v/>
      </c>
    </row>
    <row r="339" ht="22.5" customHeight="1" s="150">
      <c r="U339" s="5" t="n">
        <v>337</v>
      </c>
      <c r="V339" s="23">
        <f>And!T339</f>
        <v/>
      </c>
      <c r="W339" s="24">
        <f>IOS!T339</f>
        <v/>
      </c>
    </row>
    <row r="340" ht="22.5" customHeight="1" s="150">
      <c r="U340" s="8" t="n">
        <v>338</v>
      </c>
      <c r="V340" s="23">
        <f>And!T340</f>
        <v/>
      </c>
      <c r="W340" s="24">
        <f>IOS!T340</f>
        <v/>
      </c>
    </row>
    <row r="341" ht="22.5" customHeight="1" s="150">
      <c r="U341" s="5" t="n">
        <v>339</v>
      </c>
      <c r="V341" s="23">
        <f>And!T341</f>
        <v/>
      </c>
      <c r="W341" s="24">
        <f>IOS!T341</f>
        <v/>
      </c>
    </row>
    <row r="342" ht="22.5" customHeight="1" s="150">
      <c r="U342" s="8" t="n">
        <v>340</v>
      </c>
      <c r="V342" s="23">
        <f>And!T342</f>
        <v/>
      </c>
      <c r="W342" s="24">
        <f>IOS!T342</f>
        <v/>
      </c>
    </row>
    <row r="343" ht="22.5" customHeight="1" s="150">
      <c r="U343" s="5" t="n">
        <v>341</v>
      </c>
      <c r="V343" s="23">
        <f>And!T343</f>
        <v/>
      </c>
      <c r="W343" s="24">
        <f>IOS!T343</f>
        <v/>
      </c>
    </row>
    <row r="344" ht="22.5" customHeight="1" s="150">
      <c r="U344" s="8" t="n">
        <v>342</v>
      </c>
      <c r="V344" s="23">
        <f>And!T344</f>
        <v/>
      </c>
      <c r="W344" s="24">
        <f>IOS!T344</f>
        <v/>
      </c>
    </row>
    <row r="345" ht="22.5" customHeight="1" s="150">
      <c r="U345" s="5" t="n">
        <v>343</v>
      </c>
      <c r="V345" s="23">
        <f>And!T345</f>
        <v/>
      </c>
      <c r="W345" s="24">
        <f>IOS!T345</f>
        <v/>
      </c>
    </row>
    <row r="346" ht="22.5" customHeight="1" s="150">
      <c r="U346" s="8" t="n">
        <v>344</v>
      </c>
      <c r="V346" s="23">
        <f>And!T346</f>
        <v/>
      </c>
      <c r="W346" s="24">
        <f>IOS!T346</f>
        <v/>
      </c>
    </row>
    <row r="347" ht="22.5" customHeight="1" s="150">
      <c r="U347" s="5" t="n">
        <v>345</v>
      </c>
      <c r="V347" s="23">
        <f>And!T347</f>
        <v/>
      </c>
      <c r="W347" s="24">
        <f>IOS!T347</f>
        <v/>
      </c>
    </row>
    <row r="348" ht="22.5" customHeight="1" s="150">
      <c r="U348" s="8" t="n">
        <v>346</v>
      </c>
      <c r="V348" s="23">
        <f>And!T348</f>
        <v/>
      </c>
      <c r="W348" s="24">
        <f>IOS!T348</f>
        <v/>
      </c>
    </row>
    <row r="349" ht="22.5" customHeight="1" s="150">
      <c r="U349" s="5" t="n">
        <v>347</v>
      </c>
      <c r="V349" s="23">
        <f>And!T349</f>
        <v/>
      </c>
      <c r="W349" s="24">
        <f>IOS!T349</f>
        <v/>
      </c>
    </row>
    <row r="350" ht="22.5" customHeight="1" s="150">
      <c r="U350" s="8" t="n">
        <v>348</v>
      </c>
      <c r="V350" s="23">
        <f>And!T350</f>
        <v/>
      </c>
      <c r="W350" s="24">
        <f>IOS!T350</f>
        <v/>
      </c>
    </row>
    <row r="351" ht="22.5" customHeight="1" s="150">
      <c r="U351" s="5" t="n">
        <v>349</v>
      </c>
      <c r="V351" s="23">
        <f>And!T351</f>
        <v/>
      </c>
      <c r="W351" s="24">
        <f>IOS!T351</f>
        <v/>
      </c>
    </row>
    <row r="352" ht="22.5" customHeight="1" s="150">
      <c r="U352" s="8" t="n">
        <v>350</v>
      </c>
      <c r="V352" s="23">
        <f>And!T352</f>
        <v/>
      </c>
      <c r="W352" s="24">
        <f>IOS!T352</f>
        <v/>
      </c>
    </row>
    <row r="353" ht="22.5" customHeight="1" s="150">
      <c r="U353" s="5" t="n">
        <v>351</v>
      </c>
      <c r="V353" s="23">
        <f>And!T353</f>
        <v/>
      </c>
      <c r="W353" s="24">
        <f>IOS!T353</f>
        <v/>
      </c>
    </row>
    <row r="354" ht="22.5" customHeight="1" s="150">
      <c r="U354" s="8" t="n">
        <v>352</v>
      </c>
      <c r="V354" s="23">
        <f>And!T354</f>
        <v/>
      </c>
      <c r="W354" s="24">
        <f>IOS!T354</f>
        <v/>
      </c>
    </row>
    <row r="355" ht="22.5" customHeight="1" s="150">
      <c r="U355" s="5" t="n">
        <v>353</v>
      </c>
      <c r="V355" s="23">
        <f>And!T355</f>
        <v/>
      </c>
      <c r="W355" s="24">
        <f>IOS!T355</f>
        <v/>
      </c>
    </row>
    <row r="356" ht="22.5" customHeight="1" s="150">
      <c r="U356" s="8" t="n">
        <v>354</v>
      </c>
      <c r="V356" s="23">
        <f>And!T356</f>
        <v/>
      </c>
      <c r="W356" s="24">
        <f>IOS!T356</f>
        <v/>
      </c>
    </row>
    <row r="357" ht="22.5" customHeight="1" s="150">
      <c r="U357" s="5" t="n">
        <v>355</v>
      </c>
      <c r="V357" s="23">
        <f>And!T357</f>
        <v/>
      </c>
      <c r="W357" s="24">
        <f>IOS!T357</f>
        <v/>
      </c>
    </row>
    <row r="358" ht="22.5" customHeight="1" s="150">
      <c r="U358" s="8" t="n">
        <v>356</v>
      </c>
      <c r="V358" s="23">
        <f>And!T358</f>
        <v/>
      </c>
      <c r="W358" s="24">
        <f>IOS!T358</f>
        <v/>
      </c>
    </row>
    <row r="359" ht="22.5" customHeight="1" s="150">
      <c r="U359" s="5" t="n">
        <v>357</v>
      </c>
      <c r="V359" s="23">
        <f>And!T359</f>
        <v/>
      </c>
      <c r="W359" s="24">
        <f>IOS!T359</f>
        <v/>
      </c>
    </row>
    <row r="360" ht="22.5" customHeight="1" s="150">
      <c r="U360" s="8" t="n">
        <v>358</v>
      </c>
      <c r="V360" s="23">
        <f>And!T360</f>
        <v/>
      </c>
      <c r="W360" s="24">
        <f>IOS!T360</f>
        <v/>
      </c>
    </row>
    <row r="361" ht="22.5" customHeight="1" s="150">
      <c r="U361" s="5" t="n">
        <v>359</v>
      </c>
      <c r="V361" s="23">
        <f>And!T361</f>
        <v/>
      </c>
      <c r="W361" s="24">
        <f>IOS!T361</f>
        <v/>
      </c>
    </row>
    <row r="362" ht="22.5" customHeight="1" s="150">
      <c r="U362" s="8" t="n">
        <v>360</v>
      </c>
      <c r="V362" s="23">
        <f>And!T362</f>
        <v/>
      </c>
      <c r="W362" s="24">
        <f>IOS!T362</f>
        <v/>
      </c>
    </row>
    <row r="363" ht="22.5" customHeight="1" s="150">
      <c r="U363" s="5" t="n">
        <v>361</v>
      </c>
      <c r="V363" s="23">
        <f>And!T363</f>
        <v/>
      </c>
      <c r="W363" s="24">
        <f>IOS!T363</f>
        <v/>
      </c>
    </row>
    <row r="364" ht="22.5" customHeight="1" s="150">
      <c r="U364" s="8" t="n">
        <v>362</v>
      </c>
      <c r="V364" s="23">
        <f>And!T364</f>
        <v/>
      </c>
      <c r="W364" s="24">
        <f>IOS!T364</f>
        <v/>
      </c>
    </row>
    <row r="365" ht="22.5" customHeight="1" s="150">
      <c r="U365" s="5" t="n">
        <v>363</v>
      </c>
      <c r="V365" s="23">
        <f>And!T365</f>
        <v/>
      </c>
      <c r="W365" s="24">
        <f>IOS!T365</f>
        <v/>
      </c>
    </row>
    <row r="366" ht="22.5" customHeight="1" s="150">
      <c r="U366" s="8" t="n">
        <v>364</v>
      </c>
      <c r="V366" s="23">
        <f>And!T366</f>
        <v/>
      </c>
      <c r="W366" s="24">
        <f>IOS!T366</f>
        <v/>
      </c>
    </row>
    <row r="367" ht="22.5" customHeight="1" s="150">
      <c r="U367" s="5" t="n">
        <v>365</v>
      </c>
      <c r="V367" s="23">
        <f>And!T367</f>
        <v/>
      </c>
      <c r="W367" s="24">
        <f>IOS!T367</f>
        <v/>
      </c>
    </row>
    <row r="368" ht="22.5" customHeight="1" s="150">
      <c r="U368" s="8" t="n">
        <v>366</v>
      </c>
      <c r="V368" s="23">
        <f>And!T368</f>
        <v/>
      </c>
      <c r="W368" s="24">
        <f>IOS!T368</f>
        <v/>
      </c>
    </row>
    <row r="369" ht="22.5" customHeight="1" s="150">
      <c r="U369" s="5" t="n">
        <v>367</v>
      </c>
      <c r="V369" s="23">
        <f>And!T369</f>
        <v/>
      </c>
      <c r="W369" s="24">
        <f>IOS!T369</f>
        <v/>
      </c>
    </row>
    <row r="370" ht="22.5" customHeight="1" s="150">
      <c r="U370" s="8" t="n">
        <v>368</v>
      </c>
      <c r="V370" s="23">
        <f>And!T370</f>
        <v/>
      </c>
      <c r="W370" s="24">
        <f>IOS!T370</f>
        <v/>
      </c>
    </row>
    <row r="371" ht="22.5" customHeight="1" s="150">
      <c r="U371" s="5" t="n">
        <v>369</v>
      </c>
      <c r="V371" s="23">
        <f>And!T371</f>
        <v/>
      </c>
      <c r="W371" s="24">
        <f>IOS!T371</f>
        <v/>
      </c>
    </row>
    <row r="372" ht="22.5" customHeight="1" s="150">
      <c r="U372" s="8" t="n">
        <v>370</v>
      </c>
      <c r="V372" s="23">
        <f>And!T372</f>
        <v/>
      </c>
      <c r="W372" s="24">
        <f>IOS!T372</f>
        <v/>
      </c>
    </row>
    <row r="373" ht="22.5" customHeight="1" s="150">
      <c r="U373" s="5" t="n">
        <v>371</v>
      </c>
      <c r="V373" s="23">
        <f>And!T373</f>
        <v/>
      </c>
      <c r="W373" s="24">
        <f>IOS!T373</f>
        <v/>
      </c>
    </row>
    <row r="374" ht="22.5" customHeight="1" s="150">
      <c r="U374" s="8" t="n">
        <v>372</v>
      </c>
      <c r="V374" s="23">
        <f>And!T374</f>
        <v/>
      </c>
      <c r="W374" s="24">
        <f>IOS!T374</f>
        <v/>
      </c>
    </row>
    <row r="375" ht="22.5" customHeight="1" s="150">
      <c r="U375" s="5" t="n">
        <v>373</v>
      </c>
      <c r="V375" s="23">
        <f>And!T375</f>
        <v/>
      </c>
      <c r="W375" s="24">
        <f>IOS!T375</f>
        <v/>
      </c>
    </row>
    <row r="376" ht="22.5" customHeight="1" s="150">
      <c r="U376" s="8" t="n">
        <v>374</v>
      </c>
      <c r="V376" s="23">
        <f>And!T376</f>
        <v/>
      </c>
      <c r="W376" s="24">
        <f>IOS!T376</f>
        <v/>
      </c>
    </row>
    <row r="377" ht="22.5" customHeight="1" s="150">
      <c r="U377" s="5" t="n">
        <v>375</v>
      </c>
      <c r="V377" s="23">
        <f>And!T377</f>
        <v/>
      </c>
      <c r="W377" s="24">
        <f>IOS!T377</f>
        <v/>
      </c>
    </row>
    <row r="378" ht="22.5" customHeight="1" s="150">
      <c r="U378" s="8" t="n">
        <v>376</v>
      </c>
      <c r="V378" s="23">
        <f>And!T378</f>
        <v/>
      </c>
      <c r="W378" s="24">
        <f>IOS!T378</f>
        <v/>
      </c>
    </row>
    <row r="379" ht="22.5" customHeight="1" s="150">
      <c r="U379" s="5" t="n">
        <v>377</v>
      </c>
      <c r="V379" s="23">
        <f>And!T379</f>
        <v/>
      </c>
      <c r="W379" s="24">
        <f>IOS!T379</f>
        <v/>
      </c>
    </row>
    <row r="380" ht="22.5" customHeight="1" s="150">
      <c r="U380" s="8" t="n">
        <v>378</v>
      </c>
      <c r="V380" s="23">
        <f>And!T380</f>
        <v/>
      </c>
      <c r="W380" s="24">
        <f>IOS!T380</f>
        <v/>
      </c>
    </row>
    <row r="381" ht="22.5" customHeight="1" s="150">
      <c r="U381" s="5" t="n">
        <v>379</v>
      </c>
      <c r="V381" s="23">
        <f>And!T381</f>
        <v/>
      </c>
      <c r="W381" s="24">
        <f>IOS!T381</f>
        <v/>
      </c>
    </row>
    <row r="382" ht="22.5" customHeight="1" s="150">
      <c r="U382" s="8" t="n">
        <v>380</v>
      </c>
      <c r="V382" s="23">
        <f>And!T382</f>
        <v/>
      </c>
      <c r="W382" s="24">
        <f>IOS!T382</f>
        <v/>
      </c>
    </row>
    <row r="383" ht="22.5" customHeight="1" s="150">
      <c r="U383" s="5" t="n">
        <v>381</v>
      </c>
      <c r="V383" s="23">
        <f>And!T383</f>
        <v/>
      </c>
      <c r="W383" s="24">
        <f>IOS!T383</f>
        <v/>
      </c>
    </row>
    <row r="384" ht="22.5" customHeight="1" s="150">
      <c r="U384" s="8" t="n">
        <v>382</v>
      </c>
      <c r="V384" s="23">
        <f>And!T384</f>
        <v/>
      </c>
      <c r="W384" s="24">
        <f>IOS!T384</f>
        <v/>
      </c>
    </row>
    <row r="385" ht="22.5" customHeight="1" s="150">
      <c r="U385" s="5" t="n">
        <v>383</v>
      </c>
      <c r="V385" s="23">
        <f>And!T385</f>
        <v/>
      </c>
      <c r="W385" s="24">
        <f>IOS!T385</f>
        <v/>
      </c>
    </row>
    <row r="386" ht="22.5" customHeight="1" s="150">
      <c r="U386" s="8" t="n">
        <v>384</v>
      </c>
      <c r="V386" s="23">
        <f>And!T386</f>
        <v/>
      </c>
      <c r="W386" s="24">
        <f>IOS!T386</f>
        <v/>
      </c>
    </row>
    <row r="387" ht="22.5" customHeight="1" s="150">
      <c r="U387" s="5" t="n">
        <v>385</v>
      </c>
      <c r="V387" s="23">
        <f>And!T387</f>
        <v/>
      </c>
      <c r="W387" s="24">
        <f>IOS!T387</f>
        <v/>
      </c>
    </row>
    <row r="388" ht="22.5" customHeight="1" s="150">
      <c r="U388" s="8" t="n">
        <v>386</v>
      </c>
      <c r="V388" s="23">
        <f>And!T388</f>
        <v/>
      </c>
      <c r="W388" s="24">
        <f>IOS!T388</f>
        <v/>
      </c>
    </row>
    <row r="389" ht="22.5" customHeight="1" s="150">
      <c r="U389" s="5" t="n">
        <v>387</v>
      </c>
      <c r="V389" s="23">
        <f>And!T389</f>
        <v/>
      </c>
      <c r="W389" s="24">
        <f>IOS!T389</f>
        <v/>
      </c>
    </row>
    <row r="390" ht="22.5" customHeight="1" s="150">
      <c r="U390" s="8" t="n">
        <v>388</v>
      </c>
      <c r="V390" s="23">
        <f>And!T390</f>
        <v/>
      </c>
      <c r="W390" s="24">
        <f>IOS!T390</f>
        <v/>
      </c>
    </row>
    <row r="391" ht="22.5" customHeight="1" s="150">
      <c r="U391" s="5" t="n">
        <v>389</v>
      </c>
      <c r="V391" s="23">
        <f>And!T391</f>
        <v/>
      </c>
      <c r="W391" s="24">
        <f>IOS!T391</f>
        <v/>
      </c>
    </row>
    <row r="392" ht="22.5" customHeight="1" s="150">
      <c r="U392" s="8" t="n">
        <v>390</v>
      </c>
      <c r="V392" s="23">
        <f>And!T392</f>
        <v/>
      </c>
      <c r="W392" s="24">
        <f>IOS!T392</f>
        <v/>
      </c>
    </row>
    <row r="393" ht="22.5" customHeight="1" s="150">
      <c r="U393" s="5" t="n">
        <v>391</v>
      </c>
      <c r="V393" s="23">
        <f>And!T393</f>
        <v/>
      </c>
      <c r="W393" s="24">
        <f>IOS!T393</f>
        <v/>
      </c>
    </row>
    <row r="394" ht="22.5" customHeight="1" s="150">
      <c r="U394" s="8" t="n">
        <v>392</v>
      </c>
      <c r="V394" s="23">
        <f>And!T394</f>
        <v/>
      </c>
      <c r="W394" s="24">
        <f>IOS!T394</f>
        <v/>
      </c>
    </row>
    <row r="395" ht="22.5" customHeight="1" s="150">
      <c r="U395" s="5" t="n">
        <v>393</v>
      </c>
      <c r="V395" s="23">
        <f>And!T395</f>
        <v/>
      </c>
      <c r="W395" s="24">
        <f>IOS!T395</f>
        <v/>
      </c>
    </row>
    <row r="396" ht="22.5" customHeight="1" s="150">
      <c r="U396" s="8" t="n">
        <v>394</v>
      </c>
      <c r="V396" s="23">
        <f>And!T396</f>
        <v/>
      </c>
      <c r="W396" s="24">
        <f>IOS!T396</f>
        <v/>
      </c>
    </row>
    <row r="397" ht="22.5" customHeight="1" s="150">
      <c r="U397" s="5" t="n">
        <v>395</v>
      </c>
      <c r="V397" s="23">
        <f>And!T397</f>
        <v/>
      </c>
      <c r="W397" s="24">
        <f>IOS!T397</f>
        <v/>
      </c>
    </row>
    <row r="398" ht="22.5" customHeight="1" s="150">
      <c r="U398" s="8" t="n">
        <v>396</v>
      </c>
      <c r="V398" s="23">
        <f>And!T398</f>
        <v/>
      </c>
      <c r="W398" s="24">
        <f>IOS!T398</f>
        <v/>
      </c>
    </row>
    <row r="399" ht="22.5" customHeight="1" s="150">
      <c r="U399" s="5" t="n">
        <v>397</v>
      </c>
      <c r="V399" s="23">
        <f>And!T399</f>
        <v/>
      </c>
      <c r="W399" s="24">
        <f>IOS!T399</f>
        <v/>
      </c>
    </row>
    <row r="400" ht="22.5" customHeight="1" s="150">
      <c r="U400" s="8" t="n">
        <v>398</v>
      </c>
      <c r="V400" s="23">
        <f>And!T400</f>
        <v/>
      </c>
      <c r="W400" s="24">
        <f>IOS!T400</f>
        <v/>
      </c>
    </row>
    <row r="401" ht="22.5" customHeight="1" s="150">
      <c r="U401" s="5" t="n">
        <v>399</v>
      </c>
      <c r="V401" s="23">
        <f>And!T401</f>
        <v/>
      </c>
      <c r="W401" s="24">
        <f>IOS!T401</f>
        <v/>
      </c>
    </row>
    <row r="402" ht="22.5" customHeight="1" s="150">
      <c r="U402" s="8" t="n">
        <v>400</v>
      </c>
      <c r="V402" s="23">
        <f>And!T402</f>
        <v/>
      </c>
      <c r="W402" s="24">
        <f>IOS!T402</f>
        <v/>
      </c>
    </row>
    <row r="403" ht="22.5" customHeight="1" s="150">
      <c r="U403" s="5" t="n">
        <v>401</v>
      </c>
      <c r="V403" s="25" t="inlineStr">
        <is>
          <t>#REF!</t>
        </is>
      </c>
      <c r="W403" s="24" t="inlineStr">
        <is>
          <t>#REF!</t>
        </is>
      </c>
    </row>
    <row r="404" ht="22.5" customHeight="1" s="150">
      <c r="U404" s="8" t="n">
        <v>402</v>
      </c>
      <c r="V404" s="25" t="inlineStr">
        <is>
          <t>#REF!</t>
        </is>
      </c>
      <c r="W404" s="24" t="inlineStr">
        <is>
          <t>#REF!</t>
        </is>
      </c>
    </row>
    <row r="405" ht="22.5" customHeight="1" s="150">
      <c r="U405" s="5" t="n">
        <v>403</v>
      </c>
      <c r="V405" s="25" t="inlineStr">
        <is>
          <t>#REF!</t>
        </is>
      </c>
      <c r="W405" s="24" t="inlineStr">
        <is>
          <t>#REF!</t>
        </is>
      </c>
    </row>
    <row r="406" ht="22.5" customHeight="1" s="150">
      <c r="U406" s="8" t="n">
        <v>404</v>
      </c>
      <c r="V406" s="25" t="inlineStr">
        <is>
          <t>#REF!</t>
        </is>
      </c>
      <c r="W406" s="24" t="inlineStr">
        <is>
          <t>#REF!</t>
        </is>
      </c>
    </row>
    <row r="407" ht="22.5" customHeight="1" s="150">
      <c r="U407" s="5" t="n">
        <v>405</v>
      </c>
      <c r="V407" s="25" t="inlineStr">
        <is>
          <t>#REF!</t>
        </is>
      </c>
      <c r="W407" s="24" t="inlineStr">
        <is>
          <t>#REF!</t>
        </is>
      </c>
    </row>
    <row r="408" ht="22.5" customHeight="1" s="150">
      <c r="U408" s="8" t="n">
        <v>406</v>
      </c>
      <c r="V408" s="25" t="inlineStr">
        <is>
          <t>#REF!</t>
        </is>
      </c>
      <c r="W408" s="24" t="inlineStr">
        <is>
          <t>#REF!</t>
        </is>
      </c>
    </row>
    <row r="409" ht="22.5" customHeight="1" s="150">
      <c r="U409" s="5" t="n">
        <v>407</v>
      </c>
      <c r="V409" s="25" t="inlineStr">
        <is>
          <t>#REF!</t>
        </is>
      </c>
      <c r="W409" s="24" t="inlineStr">
        <is>
          <t>#REF!</t>
        </is>
      </c>
    </row>
    <row r="410" ht="22.5" customHeight="1" s="150">
      <c r="U410" s="8" t="n">
        <v>408</v>
      </c>
      <c r="V410" s="25" t="inlineStr">
        <is>
          <t>#REF!</t>
        </is>
      </c>
      <c r="W410" s="24" t="inlineStr">
        <is>
          <t>#REF!</t>
        </is>
      </c>
    </row>
    <row r="411" ht="22.5" customHeight="1" s="150">
      <c r="U411" s="5" t="n">
        <v>409</v>
      </c>
      <c r="V411" s="25" t="inlineStr">
        <is>
          <t>#REF!</t>
        </is>
      </c>
      <c r="W411" s="24" t="inlineStr">
        <is>
          <t>#REF!</t>
        </is>
      </c>
    </row>
    <row r="412" ht="22.5" customHeight="1" s="150">
      <c r="U412" s="8" t="n">
        <v>410</v>
      </c>
      <c r="V412" s="25" t="inlineStr">
        <is>
          <t>#REF!</t>
        </is>
      </c>
      <c r="W412" s="24" t="inlineStr">
        <is>
          <t>#REF!</t>
        </is>
      </c>
    </row>
    <row r="413" ht="22.5" customHeight="1" s="150">
      <c r="U413" s="5" t="n">
        <v>411</v>
      </c>
      <c r="V413" s="25" t="inlineStr">
        <is>
          <t>#REF!</t>
        </is>
      </c>
      <c r="W413" s="24" t="inlineStr">
        <is>
          <t>#REF!</t>
        </is>
      </c>
    </row>
    <row r="414" ht="22.5" customHeight="1" s="150">
      <c r="U414" s="8" t="n">
        <v>412</v>
      </c>
      <c r="V414" s="25" t="inlineStr">
        <is>
          <t>#REF!</t>
        </is>
      </c>
      <c r="W414" s="24" t="inlineStr">
        <is>
          <t>#REF!</t>
        </is>
      </c>
    </row>
    <row r="415" ht="22.5" customHeight="1" s="150">
      <c r="U415" s="5" t="n">
        <v>413</v>
      </c>
      <c r="V415" s="25" t="inlineStr">
        <is>
          <t>#REF!</t>
        </is>
      </c>
      <c r="W415" s="24" t="inlineStr">
        <is>
          <t>#REF!</t>
        </is>
      </c>
    </row>
    <row r="416" ht="22.5" customHeight="1" s="150">
      <c r="U416" s="8" t="n">
        <v>414</v>
      </c>
      <c r="V416" s="25" t="inlineStr">
        <is>
          <t>#REF!</t>
        </is>
      </c>
      <c r="W416" s="24" t="inlineStr">
        <is>
          <t>#REF!</t>
        </is>
      </c>
    </row>
    <row r="417" ht="22.5" customHeight="1" s="150">
      <c r="U417" s="5" t="n">
        <v>415</v>
      </c>
      <c r="V417" s="25" t="inlineStr">
        <is>
          <t>#REF!</t>
        </is>
      </c>
      <c r="W417" s="24" t="inlineStr">
        <is>
          <t>#REF!</t>
        </is>
      </c>
    </row>
    <row r="418" ht="22.5" customHeight="1" s="150">
      <c r="U418" s="8" t="n">
        <v>416</v>
      </c>
      <c r="V418" s="25" t="inlineStr">
        <is>
          <t>#REF!</t>
        </is>
      </c>
      <c r="W418" s="24" t="inlineStr">
        <is>
          <t>#REF!</t>
        </is>
      </c>
    </row>
    <row r="419" ht="22.5" customHeight="1" s="150">
      <c r="U419" s="5" t="n">
        <v>417</v>
      </c>
      <c r="V419" s="25" t="inlineStr">
        <is>
          <t>#REF!</t>
        </is>
      </c>
      <c r="W419" s="24" t="inlineStr">
        <is>
          <t>#REF!</t>
        </is>
      </c>
    </row>
    <row r="420" ht="22.5" customHeight="1" s="150">
      <c r="U420" s="8" t="n">
        <v>418</v>
      </c>
      <c r="V420" s="25" t="inlineStr">
        <is>
          <t>#REF!</t>
        </is>
      </c>
      <c r="W420" s="24" t="inlineStr">
        <is>
          <t>#REF!</t>
        </is>
      </c>
    </row>
    <row r="421" ht="22.5" customHeight="1" s="150">
      <c r="U421" s="5" t="n">
        <v>419</v>
      </c>
      <c r="V421" s="25" t="inlineStr">
        <is>
          <t>#REF!</t>
        </is>
      </c>
      <c r="W421" s="24" t="inlineStr">
        <is>
          <t>#REF!</t>
        </is>
      </c>
    </row>
    <row r="422" ht="22.5" customHeight="1" s="150">
      <c r="U422" s="8" t="n">
        <v>420</v>
      </c>
      <c r="V422" s="25" t="inlineStr">
        <is>
          <t>#REF!</t>
        </is>
      </c>
      <c r="W422" s="24" t="inlineStr">
        <is>
          <t>#REF!</t>
        </is>
      </c>
    </row>
    <row r="423" ht="22.5" customHeight="1" s="150">
      <c r="U423" s="5" t="n">
        <v>421</v>
      </c>
      <c r="V423" s="25" t="inlineStr">
        <is>
          <t>#REF!</t>
        </is>
      </c>
      <c r="W423" s="24" t="inlineStr">
        <is>
          <t>#REF!</t>
        </is>
      </c>
    </row>
    <row r="424" ht="22.5" customHeight="1" s="150">
      <c r="U424" s="8" t="n">
        <v>422</v>
      </c>
      <c r="V424" s="25" t="inlineStr">
        <is>
          <t>#REF!</t>
        </is>
      </c>
      <c r="W424" s="24" t="inlineStr">
        <is>
          <t>#REF!</t>
        </is>
      </c>
    </row>
    <row r="425" ht="22.5" customHeight="1" s="150">
      <c r="U425" s="5" t="n">
        <v>423</v>
      </c>
      <c r="V425" s="25" t="inlineStr">
        <is>
          <t>#REF!</t>
        </is>
      </c>
      <c r="W425" s="24" t="inlineStr">
        <is>
          <t>#REF!</t>
        </is>
      </c>
    </row>
    <row r="426" ht="22.5" customHeight="1" s="150">
      <c r="U426" s="8" t="n">
        <v>424</v>
      </c>
      <c r="V426" s="25" t="inlineStr">
        <is>
          <t>#REF!</t>
        </is>
      </c>
      <c r="W426" s="24" t="inlineStr">
        <is>
          <t>#REF!</t>
        </is>
      </c>
    </row>
    <row r="427" ht="22.5" customHeight="1" s="150">
      <c r="U427" s="5" t="n">
        <v>425</v>
      </c>
      <c r="V427" s="25" t="inlineStr">
        <is>
          <t>#REF!</t>
        </is>
      </c>
      <c r="W427" s="24" t="inlineStr">
        <is>
          <t>#REF!</t>
        </is>
      </c>
    </row>
    <row r="428" ht="22.5" customHeight="1" s="150">
      <c r="U428" s="8" t="n">
        <v>426</v>
      </c>
      <c r="V428" s="25" t="inlineStr">
        <is>
          <t>#REF!</t>
        </is>
      </c>
      <c r="W428" s="24" t="inlineStr">
        <is>
          <t>#REF!</t>
        </is>
      </c>
    </row>
    <row r="429" ht="22.5" customHeight="1" s="150">
      <c r="U429" s="5" t="n">
        <v>427</v>
      </c>
      <c r="V429" s="25" t="inlineStr">
        <is>
          <t>#REF!</t>
        </is>
      </c>
      <c r="W429" s="24" t="inlineStr">
        <is>
          <t>#REF!</t>
        </is>
      </c>
    </row>
    <row r="430" ht="22.5" customHeight="1" s="150">
      <c r="U430" s="8" t="n">
        <v>428</v>
      </c>
      <c r="V430" s="25" t="inlineStr">
        <is>
          <t>#REF!</t>
        </is>
      </c>
      <c r="W430" s="24" t="inlineStr">
        <is>
          <t>#REF!</t>
        </is>
      </c>
    </row>
    <row r="431" ht="22.5" customHeight="1" s="150">
      <c r="U431" s="5" t="n">
        <v>429</v>
      </c>
      <c r="V431" s="25" t="inlineStr">
        <is>
          <t>#REF!</t>
        </is>
      </c>
      <c r="W431" s="24" t="inlineStr">
        <is>
          <t>#REF!</t>
        </is>
      </c>
    </row>
    <row r="432" ht="22.5" customHeight="1" s="150">
      <c r="U432" s="8" t="n">
        <v>430</v>
      </c>
      <c r="V432" s="25" t="inlineStr">
        <is>
          <t>#REF!</t>
        </is>
      </c>
      <c r="W432" s="24" t="inlineStr">
        <is>
          <t>#REF!</t>
        </is>
      </c>
    </row>
    <row r="433" ht="22.5" customHeight="1" s="150">
      <c r="U433" s="5" t="n">
        <v>431</v>
      </c>
      <c r="V433" s="25" t="inlineStr">
        <is>
          <t>#REF!</t>
        </is>
      </c>
      <c r="W433" s="24" t="inlineStr">
        <is>
          <t>#REF!</t>
        </is>
      </c>
    </row>
    <row r="434" ht="22.5" customHeight="1" s="150">
      <c r="U434" s="8" t="n">
        <v>432</v>
      </c>
      <c r="V434" s="25" t="inlineStr">
        <is>
          <t>#REF!</t>
        </is>
      </c>
      <c r="W434" s="24" t="inlineStr">
        <is>
          <t>#REF!</t>
        </is>
      </c>
    </row>
    <row r="435" ht="22.5" customHeight="1" s="150">
      <c r="U435" s="5" t="n">
        <v>433</v>
      </c>
      <c r="V435" s="25" t="inlineStr">
        <is>
          <t>#REF!</t>
        </is>
      </c>
      <c r="W435" s="24" t="inlineStr">
        <is>
          <t>#REF!</t>
        </is>
      </c>
    </row>
    <row r="436" ht="22.5" customHeight="1" s="150">
      <c r="U436" s="8" t="n">
        <v>434</v>
      </c>
      <c r="V436" s="25" t="inlineStr">
        <is>
          <t>#REF!</t>
        </is>
      </c>
      <c r="W436" s="24" t="inlineStr">
        <is>
          <t>#REF!</t>
        </is>
      </c>
    </row>
    <row r="437" ht="22.5" customHeight="1" s="150">
      <c r="U437" s="5" t="n">
        <v>435</v>
      </c>
      <c r="V437" s="25" t="inlineStr">
        <is>
          <t>#REF!</t>
        </is>
      </c>
      <c r="W437" s="24" t="inlineStr">
        <is>
          <t>#REF!</t>
        </is>
      </c>
    </row>
    <row r="438" ht="22.5" customHeight="1" s="150">
      <c r="U438" s="8" t="n">
        <v>436</v>
      </c>
      <c r="V438" s="25" t="inlineStr">
        <is>
          <t>#REF!</t>
        </is>
      </c>
      <c r="W438" s="24" t="inlineStr">
        <is>
          <t>#REF!</t>
        </is>
      </c>
    </row>
    <row r="439" ht="22.5" customHeight="1" s="150">
      <c r="U439" s="5" t="n">
        <v>437</v>
      </c>
      <c r="V439" s="25" t="inlineStr">
        <is>
          <t>#REF!</t>
        </is>
      </c>
      <c r="W439" s="24" t="inlineStr">
        <is>
          <t>#REF!</t>
        </is>
      </c>
    </row>
    <row r="440" ht="22.5" customHeight="1" s="150">
      <c r="U440" s="8" t="n">
        <v>438</v>
      </c>
      <c r="V440" s="25" t="inlineStr">
        <is>
          <t>#REF!</t>
        </is>
      </c>
      <c r="W440" s="24" t="inlineStr">
        <is>
          <t>#REF!</t>
        </is>
      </c>
    </row>
    <row r="441" ht="22.5" customHeight="1" s="150">
      <c r="U441" s="5" t="n">
        <v>439</v>
      </c>
      <c r="V441" s="25" t="inlineStr">
        <is>
          <t>#REF!</t>
        </is>
      </c>
      <c r="W441" s="24" t="inlineStr">
        <is>
          <t>#REF!</t>
        </is>
      </c>
    </row>
    <row r="442" ht="22.5" customHeight="1" s="150">
      <c r="U442" s="8" t="n">
        <v>440</v>
      </c>
      <c r="V442" s="25" t="inlineStr">
        <is>
          <t>#REF!</t>
        </is>
      </c>
      <c r="W442" s="24" t="inlineStr">
        <is>
          <t>#REF!</t>
        </is>
      </c>
    </row>
    <row r="443" ht="22.5" customHeight="1" s="150">
      <c r="U443" s="5" t="n">
        <v>441</v>
      </c>
      <c r="V443" s="25" t="inlineStr">
        <is>
          <t>#REF!</t>
        </is>
      </c>
      <c r="W443" s="24" t="inlineStr">
        <is>
          <t>#REF!</t>
        </is>
      </c>
    </row>
    <row r="444" ht="22.5" customHeight="1" s="150">
      <c r="U444" s="8" t="n">
        <v>442</v>
      </c>
      <c r="V444" s="25" t="inlineStr">
        <is>
          <t>#REF!</t>
        </is>
      </c>
      <c r="W444" s="24" t="inlineStr">
        <is>
          <t>#REF!</t>
        </is>
      </c>
    </row>
    <row r="445" ht="22.5" customHeight="1" s="150">
      <c r="U445" s="5" t="n">
        <v>443</v>
      </c>
      <c r="V445" s="25" t="inlineStr">
        <is>
          <t>#REF!</t>
        </is>
      </c>
      <c r="W445" s="24" t="inlineStr">
        <is>
          <t>#REF!</t>
        </is>
      </c>
    </row>
    <row r="446" ht="22.5" customHeight="1" s="150">
      <c r="U446" s="8" t="n">
        <v>444</v>
      </c>
      <c r="V446" s="25" t="inlineStr">
        <is>
          <t>#REF!</t>
        </is>
      </c>
      <c r="W446" s="24" t="inlineStr">
        <is>
          <t>#REF!</t>
        </is>
      </c>
    </row>
    <row r="447" ht="22.5" customHeight="1" s="150">
      <c r="U447" s="5" t="n">
        <v>445</v>
      </c>
      <c r="V447" s="25" t="inlineStr">
        <is>
          <t>#REF!</t>
        </is>
      </c>
      <c r="W447" s="24" t="inlineStr">
        <is>
          <t>#REF!</t>
        </is>
      </c>
    </row>
    <row r="448" ht="22.5" customHeight="1" s="150">
      <c r="U448" s="8" t="n">
        <v>446</v>
      </c>
      <c r="V448" s="25" t="inlineStr">
        <is>
          <t>#REF!</t>
        </is>
      </c>
      <c r="W448" s="24" t="inlineStr">
        <is>
          <t>#REF!</t>
        </is>
      </c>
    </row>
    <row r="449" ht="22.5" customHeight="1" s="150">
      <c r="U449" s="5" t="n">
        <v>447</v>
      </c>
      <c r="V449" s="25" t="inlineStr">
        <is>
          <t>#REF!</t>
        </is>
      </c>
      <c r="W449" s="24" t="inlineStr">
        <is>
          <t>#REF!</t>
        </is>
      </c>
    </row>
    <row r="450" ht="22.5" customHeight="1" s="150">
      <c r="U450" s="8" t="n">
        <v>448</v>
      </c>
      <c r="V450" s="25" t="inlineStr">
        <is>
          <t>#REF!</t>
        </is>
      </c>
      <c r="W450" s="24" t="inlineStr">
        <is>
          <t>#REF!</t>
        </is>
      </c>
    </row>
    <row r="451" ht="22.5" customHeight="1" s="150">
      <c r="U451" s="5" t="n">
        <v>449</v>
      </c>
      <c r="V451" s="25" t="inlineStr">
        <is>
          <t>#REF!</t>
        </is>
      </c>
      <c r="W451" s="24" t="inlineStr">
        <is>
          <t>#REF!</t>
        </is>
      </c>
    </row>
    <row r="452" ht="22.5" customHeight="1" s="150">
      <c r="U452" s="8" t="n">
        <v>450</v>
      </c>
      <c r="V452" s="25" t="inlineStr">
        <is>
          <t>#REF!</t>
        </is>
      </c>
      <c r="W452" s="24" t="inlineStr">
        <is>
          <t>#REF!</t>
        </is>
      </c>
    </row>
    <row r="453" ht="22.5" customHeight="1" s="150">
      <c r="U453" s="5" t="n">
        <v>451</v>
      </c>
      <c r="V453" s="25" t="inlineStr">
        <is>
          <t>#REF!</t>
        </is>
      </c>
      <c r="W453" s="24" t="inlineStr">
        <is>
          <t>#REF!</t>
        </is>
      </c>
    </row>
    <row r="454" ht="22.5" customHeight="1" s="150">
      <c r="U454" s="8" t="n">
        <v>452</v>
      </c>
      <c r="V454" s="25" t="inlineStr">
        <is>
          <t>#REF!</t>
        </is>
      </c>
      <c r="W454" s="24" t="inlineStr">
        <is>
          <t>#REF!</t>
        </is>
      </c>
    </row>
    <row r="455" ht="22.5" customHeight="1" s="150">
      <c r="U455" s="5" t="n">
        <v>453</v>
      </c>
      <c r="V455" s="25" t="inlineStr">
        <is>
          <t>#REF!</t>
        </is>
      </c>
      <c r="W455" s="24" t="inlineStr">
        <is>
          <t>#REF!</t>
        </is>
      </c>
    </row>
    <row r="456" ht="22.5" customHeight="1" s="150">
      <c r="U456" s="8" t="n">
        <v>454</v>
      </c>
      <c r="V456" s="25" t="inlineStr">
        <is>
          <t>#REF!</t>
        </is>
      </c>
      <c r="W456" s="24" t="inlineStr">
        <is>
          <t>#REF!</t>
        </is>
      </c>
    </row>
    <row r="457" ht="22.5" customHeight="1" s="150">
      <c r="U457" s="5" t="n">
        <v>455</v>
      </c>
      <c r="V457" s="25" t="inlineStr">
        <is>
          <t>#REF!</t>
        </is>
      </c>
      <c r="W457" s="24" t="inlineStr">
        <is>
          <t>#REF!</t>
        </is>
      </c>
    </row>
    <row r="458" ht="22.5" customHeight="1" s="150">
      <c r="U458" s="8" t="n">
        <v>456</v>
      </c>
      <c r="V458" s="25" t="inlineStr">
        <is>
          <t>#REF!</t>
        </is>
      </c>
      <c r="W458" s="24" t="inlineStr">
        <is>
          <t>#REF!</t>
        </is>
      </c>
    </row>
    <row r="459" ht="22.5" customHeight="1" s="150">
      <c r="U459" s="5" t="n">
        <v>457</v>
      </c>
      <c r="V459" s="25" t="inlineStr">
        <is>
          <t>#REF!</t>
        </is>
      </c>
      <c r="W459" s="24" t="inlineStr">
        <is>
          <t>#REF!</t>
        </is>
      </c>
    </row>
    <row r="460" ht="22.5" customHeight="1" s="150">
      <c r="U460" s="8" t="n">
        <v>458</v>
      </c>
      <c r="V460" s="25" t="inlineStr">
        <is>
          <t>#REF!</t>
        </is>
      </c>
      <c r="W460" s="24" t="inlineStr">
        <is>
          <t>#REF!</t>
        </is>
      </c>
    </row>
    <row r="461" ht="22.5" customHeight="1" s="150">
      <c r="U461" s="5" t="n">
        <v>459</v>
      </c>
      <c r="V461" s="25" t="inlineStr">
        <is>
          <t>#REF!</t>
        </is>
      </c>
      <c r="W461" s="24" t="inlineStr">
        <is>
          <t>#REF!</t>
        </is>
      </c>
    </row>
    <row r="462" ht="22.5" customHeight="1" s="150">
      <c r="U462" s="8" t="n">
        <v>460</v>
      </c>
      <c r="V462" s="25" t="inlineStr">
        <is>
          <t>#REF!</t>
        </is>
      </c>
      <c r="W462" s="24" t="inlineStr">
        <is>
          <t>#REF!</t>
        </is>
      </c>
    </row>
    <row r="463" ht="22.5" customHeight="1" s="150">
      <c r="U463" s="5" t="n">
        <v>461</v>
      </c>
      <c r="V463" s="25" t="inlineStr">
        <is>
          <t>#REF!</t>
        </is>
      </c>
      <c r="W463" s="24" t="inlineStr">
        <is>
          <t>#REF!</t>
        </is>
      </c>
    </row>
    <row r="464" ht="22.5" customHeight="1" s="150">
      <c r="U464" s="8" t="n">
        <v>462</v>
      </c>
      <c r="V464" s="25" t="inlineStr">
        <is>
          <t>#REF!</t>
        </is>
      </c>
      <c r="W464" s="24" t="inlineStr">
        <is>
          <t>#REF!</t>
        </is>
      </c>
    </row>
    <row r="465" ht="22.5" customHeight="1" s="150">
      <c r="U465" s="5" t="n">
        <v>463</v>
      </c>
      <c r="V465" s="25" t="inlineStr">
        <is>
          <t>#REF!</t>
        </is>
      </c>
      <c r="W465" s="24" t="inlineStr">
        <is>
          <t>#REF!</t>
        </is>
      </c>
    </row>
    <row r="466" ht="22.5" customHeight="1" s="150">
      <c r="U466" s="8" t="n">
        <v>464</v>
      </c>
      <c r="V466" s="25" t="inlineStr">
        <is>
          <t>#REF!</t>
        </is>
      </c>
      <c r="W466" s="24" t="inlineStr">
        <is>
          <t>#REF!</t>
        </is>
      </c>
    </row>
    <row r="467" ht="22.5" customHeight="1" s="150">
      <c r="U467" s="5" t="n">
        <v>465</v>
      </c>
      <c r="V467" s="25" t="inlineStr">
        <is>
          <t>#REF!</t>
        </is>
      </c>
      <c r="W467" s="24" t="inlineStr">
        <is>
          <t>#REF!</t>
        </is>
      </c>
    </row>
    <row r="468" ht="22.5" customHeight="1" s="150">
      <c r="U468" s="8" t="n">
        <v>466</v>
      </c>
      <c r="V468" s="25" t="inlineStr">
        <is>
          <t>#REF!</t>
        </is>
      </c>
      <c r="W468" s="24" t="inlineStr">
        <is>
          <t>#REF!</t>
        </is>
      </c>
    </row>
    <row r="469" ht="22.5" customHeight="1" s="150">
      <c r="U469" s="5" t="n">
        <v>467</v>
      </c>
      <c r="V469" s="25" t="inlineStr">
        <is>
          <t>#REF!</t>
        </is>
      </c>
      <c r="W469" s="24" t="inlineStr">
        <is>
          <t>#REF!</t>
        </is>
      </c>
    </row>
    <row r="470" ht="22.5" customHeight="1" s="150">
      <c r="U470" s="8" t="n">
        <v>468</v>
      </c>
      <c r="V470" s="25" t="inlineStr">
        <is>
          <t>#REF!</t>
        </is>
      </c>
      <c r="W470" s="24" t="inlineStr">
        <is>
          <t>#REF!</t>
        </is>
      </c>
    </row>
    <row r="471" ht="22.5" customHeight="1" s="150">
      <c r="U471" s="5" t="n">
        <v>469</v>
      </c>
      <c r="V471" s="25" t="inlineStr">
        <is>
          <t>#REF!</t>
        </is>
      </c>
      <c r="W471" s="24" t="inlineStr">
        <is>
          <t>#REF!</t>
        </is>
      </c>
    </row>
    <row r="472" ht="22.5" customHeight="1" s="150">
      <c r="U472" s="8" t="n">
        <v>470</v>
      </c>
      <c r="V472" s="25" t="inlineStr">
        <is>
          <t>#REF!</t>
        </is>
      </c>
      <c r="W472" s="24" t="inlineStr">
        <is>
          <t>#REF!</t>
        </is>
      </c>
    </row>
    <row r="473" ht="22.5" customHeight="1" s="150">
      <c r="U473" s="5" t="n">
        <v>471</v>
      </c>
      <c r="V473" s="25" t="inlineStr">
        <is>
          <t>#REF!</t>
        </is>
      </c>
      <c r="W473" s="24" t="inlineStr">
        <is>
          <t>#REF!</t>
        </is>
      </c>
    </row>
    <row r="474" ht="22.5" customHeight="1" s="150">
      <c r="U474" s="8" t="n">
        <v>472</v>
      </c>
      <c r="V474" s="25" t="inlineStr">
        <is>
          <t>#REF!</t>
        </is>
      </c>
      <c r="W474" s="24" t="inlineStr">
        <is>
          <t>#REF!</t>
        </is>
      </c>
    </row>
    <row r="475" ht="22.5" customHeight="1" s="150">
      <c r="U475" s="5" t="n">
        <v>473</v>
      </c>
      <c r="V475" s="25" t="inlineStr">
        <is>
          <t>#REF!</t>
        </is>
      </c>
      <c r="W475" s="24" t="inlineStr">
        <is>
          <t>#REF!</t>
        </is>
      </c>
    </row>
    <row r="476" ht="22.5" customHeight="1" s="150">
      <c r="U476" s="8" t="n">
        <v>474</v>
      </c>
      <c r="V476" s="25" t="inlineStr">
        <is>
          <t>#REF!</t>
        </is>
      </c>
      <c r="W476" s="24" t="inlineStr">
        <is>
          <t>#REF!</t>
        </is>
      </c>
    </row>
    <row r="477" ht="22.5" customHeight="1" s="150">
      <c r="U477" s="5" t="n">
        <v>475</v>
      </c>
      <c r="V477" s="25" t="inlineStr">
        <is>
          <t>#REF!</t>
        </is>
      </c>
      <c r="W477" s="24" t="inlineStr">
        <is>
          <t>#REF!</t>
        </is>
      </c>
    </row>
    <row r="478" ht="22.5" customHeight="1" s="150">
      <c r="U478" s="8" t="n">
        <v>476</v>
      </c>
      <c r="V478" s="25" t="inlineStr">
        <is>
          <t>#REF!</t>
        </is>
      </c>
      <c r="W478" s="24" t="inlineStr">
        <is>
          <t>#REF!</t>
        </is>
      </c>
    </row>
    <row r="479" ht="22.5" customHeight="1" s="150">
      <c r="U479" s="5" t="n">
        <v>477</v>
      </c>
      <c r="V479" s="25" t="inlineStr">
        <is>
          <t>#REF!</t>
        </is>
      </c>
      <c r="W479" s="24" t="inlineStr">
        <is>
          <t>#REF!</t>
        </is>
      </c>
    </row>
    <row r="480" ht="22.5" customHeight="1" s="150">
      <c r="U480" s="8" t="n">
        <v>478</v>
      </c>
      <c r="V480" s="25" t="inlineStr">
        <is>
          <t>#REF!</t>
        </is>
      </c>
      <c r="W480" s="24" t="inlineStr">
        <is>
          <t>#REF!</t>
        </is>
      </c>
    </row>
    <row r="481" ht="22.5" customHeight="1" s="150">
      <c r="U481" s="5" t="n">
        <v>479</v>
      </c>
      <c r="V481" s="25" t="inlineStr">
        <is>
          <t>#REF!</t>
        </is>
      </c>
      <c r="W481" s="24" t="inlineStr">
        <is>
          <t>#REF!</t>
        </is>
      </c>
    </row>
    <row r="482" ht="22.5" customHeight="1" s="150">
      <c r="U482" s="8" t="n">
        <v>480</v>
      </c>
      <c r="V482" s="25" t="inlineStr">
        <is>
          <t>#REF!</t>
        </is>
      </c>
      <c r="W482" s="24" t="inlineStr">
        <is>
          <t>#REF!</t>
        </is>
      </c>
    </row>
    <row r="483" ht="22.5" customHeight="1" s="150">
      <c r="U483" s="5" t="n">
        <v>481</v>
      </c>
      <c r="V483" s="25" t="inlineStr">
        <is>
          <t>#REF!</t>
        </is>
      </c>
      <c r="W483" s="24" t="inlineStr">
        <is>
          <t>#REF!</t>
        </is>
      </c>
    </row>
    <row r="484" ht="22.5" customHeight="1" s="150">
      <c r="U484" s="8" t="n">
        <v>482</v>
      </c>
      <c r="V484" s="25" t="inlineStr">
        <is>
          <t>#REF!</t>
        </is>
      </c>
      <c r="W484" s="24" t="inlineStr">
        <is>
          <t>#REF!</t>
        </is>
      </c>
    </row>
    <row r="485" ht="22.5" customHeight="1" s="150">
      <c r="U485" s="5" t="n">
        <v>483</v>
      </c>
      <c r="V485" s="25" t="inlineStr">
        <is>
          <t>#REF!</t>
        </is>
      </c>
      <c r="W485" s="24" t="inlineStr">
        <is>
          <t>#REF!</t>
        </is>
      </c>
    </row>
    <row r="486" ht="22.5" customHeight="1" s="150">
      <c r="U486" s="8" t="n">
        <v>484</v>
      </c>
      <c r="V486" s="25" t="inlineStr">
        <is>
          <t>#REF!</t>
        </is>
      </c>
      <c r="W486" s="24" t="inlineStr">
        <is>
          <t>#REF!</t>
        </is>
      </c>
    </row>
    <row r="487" ht="22.5" customHeight="1" s="150">
      <c r="U487" s="5" t="n">
        <v>485</v>
      </c>
      <c r="V487" s="25" t="inlineStr">
        <is>
          <t>#REF!</t>
        </is>
      </c>
      <c r="W487" s="24" t="inlineStr">
        <is>
          <t>#REF!</t>
        </is>
      </c>
    </row>
    <row r="488" ht="22.5" customHeight="1" s="150">
      <c r="U488" s="8" t="n">
        <v>486</v>
      </c>
      <c r="V488" s="25" t="inlineStr">
        <is>
          <t>#REF!</t>
        </is>
      </c>
      <c r="W488" s="24" t="inlineStr">
        <is>
          <t>#REF!</t>
        </is>
      </c>
    </row>
    <row r="489" ht="22.5" customHeight="1" s="150">
      <c r="U489" s="5" t="n">
        <v>487</v>
      </c>
      <c r="V489" s="25" t="inlineStr">
        <is>
          <t>#REF!</t>
        </is>
      </c>
      <c r="W489" s="24" t="inlineStr">
        <is>
          <t>#REF!</t>
        </is>
      </c>
    </row>
    <row r="490" ht="22.5" customHeight="1" s="150">
      <c r="U490" s="8" t="n">
        <v>488</v>
      </c>
      <c r="V490" s="25" t="inlineStr">
        <is>
          <t>#REF!</t>
        </is>
      </c>
      <c r="W490" s="24" t="inlineStr">
        <is>
          <t>#REF!</t>
        </is>
      </c>
    </row>
    <row r="491" ht="22.5" customHeight="1" s="150">
      <c r="U491" s="5" t="n">
        <v>489</v>
      </c>
      <c r="V491" s="25" t="inlineStr">
        <is>
          <t>#REF!</t>
        </is>
      </c>
      <c r="W491" s="24" t="inlineStr">
        <is>
          <t>#REF!</t>
        </is>
      </c>
    </row>
    <row r="492" ht="22.5" customHeight="1" s="150">
      <c r="U492" s="8" t="n">
        <v>490</v>
      </c>
      <c r="V492" s="25" t="inlineStr">
        <is>
          <t>#REF!</t>
        </is>
      </c>
      <c r="W492" s="24" t="inlineStr">
        <is>
          <t>#REF!</t>
        </is>
      </c>
    </row>
    <row r="493" ht="22.5" customHeight="1" s="150">
      <c r="U493" s="5" t="n">
        <v>491</v>
      </c>
      <c r="V493" s="25" t="inlineStr">
        <is>
          <t>#REF!</t>
        </is>
      </c>
      <c r="W493" s="24" t="inlineStr">
        <is>
          <t>#REF!</t>
        </is>
      </c>
    </row>
    <row r="494" ht="22.5" customHeight="1" s="150">
      <c r="U494" s="8" t="n">
        <v>492</v>
      </c>
      <c r="V494" s="25" t="inlineStr">
        <is>
          <t>#REF!</t>
        </is>
      </c>
      <c r="W494" s="24" t="inlineStr">
        <is>
          <t>#REF!</t>
        </is>
      </c>
    </row>
    <row r="495" ht="22.5" customHeight="1" s="150">
      <c r="U495" s="5" t="n">
        <v>493</v>
      </c>
      <c r="V495" s="25" t="inlineStr">
        <is>
          <t>#REF!</t>
        </is>
      </c>
      <c r="W495" s="24" t="inlineStr">
        <is>
          <t>#REF!</t>
        </is>
      </c>
    </row>
    <row r="496" ht="22.5" customHeight="1" s="150">
      <c r="U496" s="8" t="n">
        <v>494</v>
      </c>
      <c r="V496" s="25" t="inlineStr">
        <is>
          <t>#REF!</t>
        </is>
      </c>
      <c r="W496" s="24" t="inlineStr">
        <is>
          <t>#REF!</t>
        </is>
      </c>
    </row>
    <row r="497" ht="22.5" customHeight="1" s="150">
      <c r="U497" s="5" t="n">
        <v>495</v>
      </c>
      <c r="V497" s="25" t="inlineStr">
        <is>
          <t>#REF!</t>
        </is>
      </c>
      <c r="W497" s="24" t="inlineStr">
        <is>
          <t>#REF!</t>
        </is>
      </c>
    </row>
    <row r="498" ht="22.5" customHeight="1" s="150">
      <c r="U498" s="8" t="n">
        <v>496</v>
      </c>
      <c r="V498" s="25" t="inlineStr">
        <is>
          <t>#REF!</t>
        </is>
      </c>
      <c r="W498" s="24" t="inlineStr">
        <is>
          <t>#REF!</t>
        </is>
      </c>
    </row>
    <row r="499" ht="22.5" customHeight="1" s="150">
      <c r="U499" s="5" t="n">
        <v>497</v>
      </c>
      <c r="V499" s="25" t="inlineStr">
        <is>
          <t>#REF!</t>
        </is>
      </c>
      <c r="W499" s="24" t="inlineStr">
        <is>
          <t>#REF!</t>
        </is>
      </c>
    </row>
    <row r="500" ht="22.5" customHeight="1" s="150">
      <c r="U500" s="8" t="n">
        <v>498</v>
      </c>
      <c r="V500" s="25" t="inlineStr">
        <is>
          <t>#REF!</t>
        </is>
      </c>
      <c r="W500" s="24" t="inlineStr">
        <is>
          <t>#REF!</t>
        </is>
      </c>
    </row>
    <row r="501" ht="22.5" customHeight="1" s="150">
      <c r="U501" s="5" t="n">
        <v>499</v>
      </c>
      <c r="V501" s="25" t="inlineStr">
        <is>
          <t>#REF!</t>
        </is>
      </c>
      <c r="W501" s="24" t="inlineStr">
        <is>
          <t>#REF!</t>
        </is>
      </c>
    </row>
    <row r="502" ht="22.5" customHeight="1" s="150">
      <c r="U502" s="8" t="n">
        <v>500</v>
      </c>
      <c r="V502" s="25" t="inlineStr">
        <is>
          <t>#REF!</t>
        </is>
      </c>
      <c r="W502" s="24" t="inlineStr">
        <is>
          <t>#REF!</t>
        </is>
      </c>
    </row>
    <row r="503" ht="22.5" customHeight="1" s="150">
      <c r="U503" s="5" t="n">
        <v>501</v>
      </c>
      <c r="V503" s="23" t="n"/>
      <c r="W503" s="27" t="n"/>
    </row>
    <row r="504" ht="22.5" customHeight="1" s="150">
      <c r="U504" s="8" t="n">
        <v>502</v>
      </c>
      <c r="V504" s="23" t="n"/>
      <c r="W504" s="27" t="n"/>
    </row>
    <row r="505" ht="22.5" customHeight="1" s="150">
      <c r="U505" s="5" t="n">
        <v>503</v>
      </c>
      <c r="V505" s="23" t="n"/>
      <c r="W505" s="27" t="n"/>
    </row>
    <row r="506" ht="22.5" customHeight="1" s="150">
      <c r="U506" s="8" t="n">
        <v>504</v>
      </c>
      <c r="V506" s="23" t="n"/>
      <c r="W506" s="27" t="n"/>
    </row>
    <row r="507" ht="22.5" customHeight="1" s="150">
      <c r="U507" s="5" t="n">
        <v>505</v>
      </c>
      <c r="V507" s="23" t="n"/>
      <c r="W507" s="27" t="n"/>
    </row>
    <row r="508" ht="22.5" customHeight="1" s="150">
      <c r="U508" s="8" t="n">
        <v>506</v>
      </c>
      <c r="V508" s="23" t="n"/>
      <c r="W508" s="27" t="n"/>
    </row>
    <row r="509" ht="22.5" customHeight="1" s="150">
      <c r="U509" s="5" t="n">
        <v>507</v>
      </c>
      <c r="V509" s="23" t="n"/>
      <c r="W509" s="27" t="n"/>
    </row>
    <row r="510" ht="22.5" customHeight="1" s="150">
      <c r="U510" s="8" t="n">
        <v>508</v>
      </c>
      <c r="V510" s="23" t="n"/>
      <c r="W510" s="27" t="n"/>
    </row>
    <row r="511" ht="22.5" customHeight="1" s="150">
      <c r="U511" s="5" t="n">
        <v>509</v>
      </c>
      <c r="V511" s="23" t="n"/>
      <c r="W511" s="27" t="n"/>
    </row>
    <row r="512" ht="22.5" customHeight="1" s="150">
      <c r="U512" s="8" t="n">
        <v>510</v>
      </c>
      <c r="V512" s="23" t="n"/>
      <c r="W512" s="27" t="n"/>
    </row>
    <row r="513" ht="22.5" customHeight="1" s="150">
      <c r="U513" s="5" t="n">
        <v>511</v>
      </c>
      <c r="V513" s="23" t="n"/>
      <c r="W513" s="27" t="n"/>
    </row>
    <row r="514" ht="22.5" customHeight="1" s="150">
      <c r="U514" s="8" t="n">
        <v>512</v>
      </c>
      <c r="V514" s="23" t="n"/>
      <c r="W514" s="27" t="n"/>
    </row>
    <row r="515" ht="22.5" customHeight="1" s="150">
      <c r="U515" s="5" t="n">
        <v>513</v>
      </c>
      <c r="V515" s="23" t="n"/>
      <c r="W515" s="27" t="n"/>
    </row>
    <row r="516" ht="22.5" customHeight="1" s="150">
      <c r="U516" s="8" t="n">
        <v>514</v>
      </c>
      <c r="V516" s="23" t="n"/>
      <c r="W516" s="27" t="n"/>
    </row>
    <row r="517" ht="22.5" customHeight="1" s="150">
      <c r="U517" s="5" t="n">
        <v>515</v>
      </c>
      <c r="V517" s="23" t="n"/>
      <c r="W517" s="27" t="n"/>
    </row>
    <row r="518" ht="22.5" customHeight="1" s="150">
      <c r="U518" s="8" t="n">
        <v>516</v>
      </c>
      <c r="V518" s="23" t="n"/>
      <c r="W518" s="27" t="n"/>
    </row>
    <row r="519" ht="22.5" customHeight="1" s="150">
      <c r="U519" s="5" t="n">
        <v>517</v>
      </c>
      <c r="V519" s="23" t="n"/>
      <c r="W519" s="27" t="n"/>
    </row>
    <row r="520" ht="22.5" customHeight="1" s="150">
      <c r="U520" s="8" t="n">
        <v>518</v>
      </c>
      <c r="V520" s="23" t="n"/>
      <c r="W520" s="27" t="n"/>
    </row>
    <row r="521" ht="22.5" customHeight="1" s="150">
      <c r="U521" s="5" t="n">
        <v>519</v>
      </c>
      <c r="V521" s="23" t="n"/>
      <c r="W521" s="27" t="n"/>
    </row>
    <row r="522" ht="22.5" customHeight="1" s="150">
      <c r="U522" s="8" t="n">
        <v>520</v>
      </c>
      <c r="V522" s="23" t="n"/>
      <c r="W522" s="27" t="n"/>
    </row>
    <row r="523" ht="22.5" customHeight="1" s="150">
      <c r="U523" s="15" t="n">
        <v>521</v>
      </c>
      <c r="V523" s="28" t="n"/>
      <c r="W523" s="29" t="n"/>
    </row>
    <row r="524">
      <c r="U524" s="18" t="n">
        <v>522</v>
      </c>
      <c r="V524" s="30" t="n"/>
      <c r="W524" s="30" t="n"/>
    </row>
    <row r="525">
      <c r="U525" s="18" t="n">
        <v>523</v>
      </c>
      <c r="V525" s="30" t="n"/>
      <c r="W525" s="30" t="n"/>
    </row>
    <row r="526">
      <c r="U526" s="18" t="n">
        <v>524</v>
      </c>
      <c r="V526" s="30" t="n"/>
      <c r="W526" s="30" t="n"/>
    </row>
    <row r="527">
      <c r="U527" s="18" t="n">
        <v>525</v>
      </c>
      <c r="V527" s="30" t="n"/>
      <c r="W527" s="30" t="n"/>
    </row>
    <row r="528">
      <c r="U528" s="18" t="n">
        <v>526</v>
      </c>
      <c r="V528" s="30" t="n"/>
      <c r="W528" s="30" t="n"/>
    </row>
    <row r="529">
      <c r="U529" s="18" t="n">
        <v>527</v>
      </c>
      <c r="V529" s="30" t="n"/>
      <c r="W529" s="30" t="n"/>
    </row>
    <row r="530">
      <c r="U530" s="18" t="n">
        <v>528</v>
      </c>
      <c r="V530" s="30" t="n"/>
      <c r="W530" s="30" t="n"/>
    </row>
    <row r="531">
      <c r="U531" s="18" t="n">
        <v>529</v>
      </c>
      <c r="V531" s="30" t="n"/>
      <c r="W531" s="30" t="n"/>
    </row>
    <row r="532">
      <c r="U532" s="18" t="n">
        <v>530</v>
      </c>
      <c r="V532" s="30" t="n"/>
      <c r="W532" s="30" t="n"/>
    </row>
    <row r="533">
      <c r="U533" s="18" t="n">
        <v>531</v>
      </c>
      <c r="V533" s="30" t="n"/>
      <c r="W533" s="30" t="n"/>
    </row>
    <row r="534">
      <c r="U534" s="18" t="n">
        <v>532</v>
      </c>
      <c r="V534" s="30" t="n"/>
      <c r="W534" s="30" t="n"/>
    </row>
    <row r="535">
      <c r="U535" s="18" t="n">
        <v>533</v>
      </c>
      <c r="V535" s="30" t="n"/>
      <c r="W535" s="30" t="n"/>
    </row>
    <row r="536">
      <c r="U536" s="18" t="n">
        <v>534</v>
      </c>
      <c r="V536" s="30" t="n"/>
      <c r="W536" s="30" t="n"/>
    </row>
    <row r="537">
      <c r="U537" s="18" t="n">
        <v>535</v>
      </c>
      <c r="V537" s="30" t="n"/>
      <c r="W537" s="30" t="n"/>
    </row>
    <row r="538">
      <c r="U538" s="18" t="n">
        <v>536</v>
      </c>
      <c r="V538" s="30" t="n"/>
      <c r="W538" s="30" t="n"/>
    </row>
    <row r="539">
      <c r="U539" s="18" t="n">
        <v>537</v>
      </c>
      <c r="V539" s="30" t="n"/>
      <c r="W539" s="30" t="n"/>
    </row>
    <row r="540">
      <c r="U540" s="18" t="n">
        <v>538</v>
      </c>
      <c r="V540" s="30" t="n"/>
      <c r="W540" s="30" t="n"/>
    </row>
    <row r="541">
      <c r="U541" s="18" t="n">
        <v>539</v>
      </c>
      <c r="V541" s="30" t="n"/>
      <c r="W541" s="30" t="n"/>
    </row>
    <row r="542">
      <c r="U542" s="18" t="n">
        <v>540</v>
      </c>
      <c r="V542" s="30" t="n"/>
      <c r="W542" s="30" t="n"/>
    </row>
    <row r="543">
      <c r="U543" s="18" t="n">
        <v>541</v>
      </c>
      <c r="V543" s="30" t="n"/>
      <c r="W543" s="30" t="n"/>
    </row>
    <row r="544">
      <c r="U544" s="18" t="n">
        <v>542</v>
      </c>
      <c r="V544" s="30" t="n"/>
      <c r="W544" s="30" t="n"/>
    </row>
    <row r="545">
      <c r="U545" s="18" t="n">
        <v>543</v>
      </c>
      <c r="V545" s="30" t="n"/>
      <c r="W545" s="30" t="n"/>
    </row>
    <row r="546">
      <c r="U546" s="18" t="n">
        <v>544</v>
      </c>
      <c r="V546" s="30" t="n"/>
      <c r="W546" s="30" t="n"/>
    </row>
    <row r="547">
      <c r="U547" s="18" t="n">
        <v>545</v>
      </c>
      <c r="V547" s="30" t="n"/>
      <c r="W547" s="30" t="n"/>
    </row>
    <row r="548">
      <c r="U548" s="18" t="n">
        <v>546</v>
      </c>
      <c r="V548" s="30" t="n"/>
      <c r="W548" s="30" t="n"/>
    </row>
    <row r="549">
      <c r="U549" s="18" t="n">
        <v>547</v>
      </c>
      <c r="V549" s="30" t="n"/>
      <c r="W549" s="30" t="n"/>
    </row>
    <row r="550">
      <c r="U550" s="18" t="n">
        <v>548</v>
      </c>
      <c r="V550" s="30" t="n"/>
      <c r="W550" s="30" t="n"/>
    </row>
    <row r="551">
      <c r="U551" s="18" t="n">
        <v>549</v>
      </c>
      <c r="V551" s="30" t="n"/>
      <c r="W551" s="30" t="n"/>
    </row>
    <row r="552">
      <c r="U552" s="18" t="n">
        <v>550</v>
      </c>
      <c r="V552" s="30" t="n"/>
      <c r="W552" s="30" t="n"/>
    </row>
    <row r="553">
      <c r="U553" s="18" t="n">
        <v>551</v>
      </c>
      <c r="V553" s="30" t="n"/>
      <c r="W553" s="30" t="n"/>
    </row>
    <row r="554">
      <c r="U554" s="18" t="n">
        <v>552</v>
      </c>
      <c r="V554" s="30" t="n"/>
      <c r="W554" s="30" t="n"/>
    </row>
    <row r="555">
      <c r="U555" s="18" t="n">
        <v>553</v>
      </c>
      <c r="V555" s="30" t="n"/>
      <c r="W555" s="30" t="n"/>
    </row>
    <row r="556">
      <c r="U556" s="18" t="n">
        <v>554</v>
      </c>
      <c r="V556" s="30" t="n"/>
      <c r="W556" s="30" t="n"/>
    </row>
    <row r="557">
      <c r="U557" s="18" t="n">
        <v>555</v>
      </c>
      <c r="V557" s="30" t="n"/>
      <c r="W557" s="30" t="n"/>
    </row>
    <row r="558">
      <c r="U558" s="18" t="n">
        <v>556</v>
      </c>
      <c r="V558" s="30" t="n"/>
      <c r="W558" s="30" t="n"/>
    </row>
    <row r="559">
      <c r="U559" s="18" t="n">
        <v>557</v>
      </c>
      <c r="V559" s="30" t="n"/>
      <c r="W559" s="30" t="n"/>
    </row>
    <row r="560">
      <c r="U560" s="18" t="n">
        <v>558</v>
      </c>
      <c r="V560" s="30" t="n"/>
      <c r="W560" s="30" t="n"/>
    </row>
    <row r="561">
      <c r="U561" s="18" t="n">
        <v>559</v>
      </c>
      <c r="V561" s="30" t="n"/>
      <c r="W561" s="30" t="n"/>
    </row>
    <row r="562">
      <c r="U562" s="18" t="n">
        <v>560</v>
      </c>
      <c r="V562" s="30" t="n"/>
      <c r="W562" s="30" t="n"/>
    </row>
    <row r="563">
      <c r="U563" s="18" t="n">
        <v>561</v>
      </c>
      <c r="V563" s="30" t="n"/>
      <c r="W563" s="30" t="n"/>
    </row>
    <row r="564">
      <c r="U564" s="18" t="n">
        <v>562</v>
      </c>
      <c r="V564" s="30" t="n"/>
      <c r="W564" s="30" t="n"/>
    </row>
    <row r="565">
      <c r="U565" s="18" t="n">
        <v>563</v>
      </c>
      <c r="V565" s="30" t="n"/>
      <c r="W565" s="30" t="n"/>
    </row>
    <row r="566">
      <c r="U566" s="18" t="n">
        <v>564</v>
      </c>
      <c r="V566" s="30" t="n"/>
      <c r="W566" s="30" t="n"/>
    </row>
    <row r="567">
      <c r="U567" s="18" t="n">
        <v>565</v>
      </c>
      <c r="V567" s="30" t="n"/>
      <c r="W567" s="30" t="n"/>
    </row>
    <row r="568">
      <c r="U568" s="18" t="n">
        <v>566</v>
      </c>
      <c r="V568" s="30" t="n"/>
      <c r="W568" s="30" t="n"/>
    </row>
    <row r="569">
      <c r="U569" s="18" t="n">
        <v>567</v>
      </c>
      <c r="V569" s="30" t="n"/>
      <c r="W569" s="30" t="n"/>
    </row>
    <row r="570">
      <c r="U570" s="18" t="n">
        <v>568</v>
      </c>
      <c r="V570" s="30" t="n"/>
      <c r="W570" s="30" t="n"/>
    </row>
    <row r="571">
      <c r="U571" s="18" t="n">
        <v>569</v>
      </c>
      <c r="V571" s="30" t="n"/>
      <c r="W571" s="30" t="n"/>
    </row>
    <row r="572">
      <c r="U572" s="18" t="n">
        <v>570</v>
      </c>
      <c r="V572" s="30" t="n"/>
      <c r="W572" s="30" t="n"/>
    </row>
    <row r="573">
      <c r="U573" s="18" t="n">
        <v>571</v>
      </c>
      <c r="V573" s="30" t="n"/>
      <c r="W573" s="30" t="n"/>
    </row>
    <row r="574">
      <c r="U574" s="18" t="n">
        <v>572</v>
      </c>
      <c r="V574" s="30" t="n"/>
      <c r="W574" s="30" t="n"/>
    </row>
    <row r="575">
      <c r="U575" s="18" t="n">
        <v>573</v>
      </c>
      <c r="V575" s="30" t="n"/>
      <c r="W575" s="30" t="n"/>
    </row>
    <row r="576">
      <c r="U576" s="18" t="n">
        <v>574</v>
      </c>
      <c r="V576" s="30" t="n"/>
      <c r="W576" s="30" t="n"/>
    </row>
    <row r="577">
      <c r="U577" s="18" t="n">
        <v>575</v>
      </c>
      <c r="V577" s="30" t="n"/>
      <c r="W577" s="30" t="n"/>
    </row>
    <row r="578">
      <c r="U578" s="18" t="n">
        <v>576</v>
      </c>
      <c r="V578" s="30" t="n"/>
      <c r="W578" s="30" t="n"/>
    </row>
    <row r="579">
      <c r="U579" s="18" t="n">
        <v>577</v>
      </c>
      <c r="V579" s="30" t="n"/>
      <c r="W579" s="30" t="n"/>
    </row>
    <row r="580">
      <c r="U580" s="18" t="n">
        <v>578</v>
      </c>
      <c r="V580" s="30" t="n"/>
      <c r="W580" s="30" t="n"/>
    </row>
    <row r="581">
      <c r="U581" s="18" t="n">
        <v>579</v>
      </c>
      <c r="V581" s="30" t="n"/>
      <c r="W581" s="30" t="n"/>
    </row>
    <row r="582">
      <c r="U582" s="18" t="n">
        <v>580</v>
      </c>
      <c r="V582" s="30" t="n"/>
      <c r="W582" s="30" t="n"/>
    </row>
    <row r="583">
      <c r="U583" s="18" t="n">
        <v>581</v>
      </c>
      <c r="V583" s="30" t="n"/>
      <c r="W583" s="30" t="n"/>
    </row>
    <row r="584">
      <c r="U584" s="18" t="n">
        <v>582</v>
      </c>
      <c r="V584" s="30" t="n"/>
      <c r="W584" s="30" t="n"/>
    </row>
    <row r="585">
      <c r="U585" s="18" t="n">
        <v>583</v>
      </c>
      <c r="V585" s="30" t="n"/>
      <c r="W585" s="30" t="n"/>
    </row>
    <row r="586">
      <c r="U586" s="18" t="n">
        <v>584</v>
      </c>
      <c r="V586" s="30" t="n"/>
      <c r="W586" s="30" t="n"/>
    </row>
    <row r="587">
      <c r="U587" s="18" t="n">
        <v>585</v>
      </c>
      <c r="V587" s="30" t="n"/>
      <c r="W587" s="30" t="n"/>
    </row>
    <row r="588">
      <c r="U588" s="18" t="n">
        <v>586</v>
      </c>
      <c r="V588" s="30" t="n"/>
      <c r="W588" s="30" t="n"/>
    </row>
    <row r="589">
      <c r="U589" s="18" t="n">
        <v>587</v>
      </c>
      <c r="V589" s="30" t="n"/>
      <c r="W589" s="30" t="n"/>
    </row>
    <row r="590">
      <c r="U590" s="18" t="n">
        <v>588</v>
      </c>
      <c r="V590" s="30" t="n"/>
      <c r="W590" s="30" t="n"/>
    </row>
    <row r="591">
      <c r="U591" s="18" t="n">
        <v>589</v>
      </c>
      <c r="V591" s="30" t="n"/>
      <c r="W591" s="30" t="n"/>
    </row>
    <row r="592">
      <c r="U592" s="18" t="n">
        <v>590</v>
      </c>
      <c r="V592" s="30" t="n"/>
      <c r="W592" s="30" t="n"/>
    </row>
    <row r="593">
      <c r="U593" s="18" t="n">
        <v>591</v>
      </c>
      <c r="V593" s="30" t="n"/>
      <c r="W593" s="30" t="n"/>
    </row>
    <row r="594">
      <c r="U594" s="18" t="n">
        <v>592</v>
      </c>
      <c r="V594" s="30" t="n"/>
      <c r="W594" s="30" t="n"/>
    </row>
    <row r="595">
      <c r="U595" s="18" t="n">
        <v>593</v>
      </c>
      <c r="V595" s="30" t="n"/>
      <c r="W595" s="30" t="n"/>
    </row>
    <row r="596">
      <c r="U596" s="18" t="n">
        <v>594</v>
      </c>
      <c r="V596" s="30" t="n"/>
      <c r="W596" s="30" t="n"/>
    </row>
    <row r="597">
      <c r="U597" s="18" t="n">
        <v>595</v>
      </c>
      <c r="V597" s="30" t="n"/>
      <c r="W597" s="30" t="n"/>
    </row>
    <row r="598">
      <c r="U598" s="18" t="n">
        <v>596</v>
      </c>
      <c r="V598" s="30" t="n"/>
      <c r="W598" s="30" t="n"/>
    </row>
    <row r="599">
      <c r="U599" s="18" t="n">
        <v>597</v>
      </c>
      <c r="V599" s="30" t="n"/>
      <c r="W599" s="30" t="n"/>
    </row>
    <row r="600">
      <c r="U600" s="18" t="n">
        <v>598</v>
      </c>
      <c r="V600" s="30" t="n"/>
      <c r="W600" s="30" t="n"/>
    </row>
    <row r="601">
      <c r="U601" s="18" t="n">
        <v>599</v>
      </c>
      <c r="V601" s="30" t="n"/>
      <c r="W601" s="30" t="n"/>
    </row>
    <row r="602">
      <c r="U602" s="18" t="n">
        <v>600</v>
      </c>
      <c r="V602" s="30" t="n"/>
      <c r="W602" s="30" t="n"/>
    </row>
    <row r="603">
      <c r="U603" s="18" t="n">
        <v>601</v>
      </c>
      <c r="V603" s="30" t="n"/>
      <c r="W603" s="30" t="n"/>
    </row>
    <row r="604">
      <c r="U604" s="18" t="n">
        <v>602</v>
      </c>
      <c r="V604" s="30" t="n"/>
      <c r="W604" s="30" t="n"/>
    </row>
    <row r="605">
      <c r="U605" s="18" t="n">
        <v>603</v>
      </c>
      <c r="V605" s="30" t="n"/>
      <c r="W605" s="30" t="n"/>
    </row>
    <row r="606">
      <c r="U606" s="18" t="n">
        <v>604</v>
      </c>
      <c r="V606" s="30" t="n"/>
      <c r="W606" s="30" t="n"/>
    </row>
    <row r="607">
      <c r="U607" s="18" t="n">
        <v>605</v>
      </c>
      <c r="V607" s="30" t="n"/>
      <c r="W607" s="30" t="n"/>
    </row>
    <row r="608">
      <c r="U608" s="18" t="n">
        <v>606</v>
      </c>
      <c r="V608" s="30" t="n"/>
      <c r="W608" s="30" t="n"/>
    </row>
    <row r="609">
      <c r="U609" s="18" t="n">
        <v>607</v>
      </c>
      <c r="V609" s="30" t="n"/>
      <c r="W609" s="30" t="n"/>
    </row>
    <row r="610">
      <c r="U610" s="18" t="n">
        <v>608</v>
      </c>
      <c r="V610" s="30" t="n"/>
      <c r="W610" s="30" t="n"/>
    </row>
    <row r="611">
      <c r="U611" s="18" t="n">
        <v>609</v>
      </c>
      <c r="V611" s="30" t="n"/>
      <c r="W611" s="30" t="n"/>
    </row>
    <row r="612">
      <c r="U612" s="18" t="n">
        <v>610</v>
      </c>
      <c r="V612" s="30" t="n"/>
      <c r="W612" s="30" t="n"/>
    </row>
    <row r="613">
      <c r="U613" s="18" t="n">
        <v>611</v>
      </c>
      <c r="V613" s="30" t="n"/>
      <c r="W613" s="30" t="n"/>
    </row>
    <row r="614">
      <c r="U614" s="18" t="n">
        <v>612</v>
      </c>
      <c r="V614" s="30" t="n"/>
      <c r="W614" s="30" t="n"/>
    </row>
    <row r="615">
      <c r="U615" s="18" t="n">
        <v>613</v>
      </c>
      <c r="V615" s="30" t="n"/>
      <c r="W615" s="30" t="n"/>
    </row>
    <row r="616">
      <c r="U616" s="18" t="n">
        <v>614</v>
      </c>
      <c r="V616" s="30" t="n"/>
      <c r="W616" s="30" t="n"/>
    </row>
    <row r="617">
      <c r="U617" s="18" t="n">
        <v>615</v>
      </c>
      <c r="V617" s="30" t="n"/>
      <c r="W617" s="30" t="n"/>
    </row>
    <row r="618">
      <c r="U618" s="18" t="n">
        <v>616</v>
      </c>
      <c r="V618" s="30" t="n"/>
      <c r="W618" s="30" t="n"/>
    </row>
    <row r="619">
      <c r="U619" s="18" t="n">
        <v>617</v>
      </c>
      <c r="V619" s="30" t="n"/>
      <c r="W619" s="30" t="n"/>
    </row>
    <row r="620">
      <c r="U620" s="18" t="n">
        <v>618</v>
      </c>
      <c r="V620" s="30" t="n"/>
      <c r="W620" s="30" t="n"/>
    </row>
    <row r="621">
      <c r="U621" s="18" t="n">
        <v>619</v>
      </c>
      <c r="V621" s="30" t="n"/>
      <c r="W621" s="30" t="n"/>
    </row>
    <row r="622">
      <c r="U622" s="18" t="n">
        <v>620</v>
      </c>
      <c r="V622" s="30" t="n"/>
      <c r="W622" s="30" t="n"/>
    </row>
    <row r="623">
      <c r="U623" s="18" t="n">
        <v>621</v>
      </c>
      <c r="V623" s="30" t="n"/>
      <c r="W623" s="30" t="n"/>
    </row>
    <row r="624">
      <c r="U624" s="18" t="n">
        <v>622</v>
      </c>
      <c r="V624" s="30" t="n"/>
      <c r="W624" s="30" t="n"/>
    </row>
    <row r="625">
      <c r="U625" s="18" t="n">
        <v>623</v>
      </c>
      <c r="V625" s="30" t="n"/>
      <c r="W625" s="30" t="n"/>
    </row>
    <row r="626">
      <c r="U626" s="18" t="n">
        <v>624</v>
      </c>
      <c r="V626" s="30" t="n"/>
      <c r="W626" s="30" t="n"/>
    </row>
    <row r="627">
      <c r="U627" s="18" t="n">
        <v>625</v>
      </c>
      <c r="V627" s="30" t="n"/>
      <c r="W627" s="30" t="n"/>
    </row>
    <row r="628">
      <c r="U628" s="18" t="n">
        <v>626</v>
      </c>
      <c r="V628" s="30" t="n"/>
      <c r="W628" s="30" t="n"/>
    </row>
    <row r="629">
      <c r="U629" s="18" t="n">
        <v>627</v>
      </c>
      <c r="V629" s="30" t="n"/>
      <c r="W629" s="30" t="n"/>
    </row>
    <row r="630">
      <c r="U630" s="18" t="n">
        <v>628</v>
      </c>
      <c r="V630" s="30" t="n"/>
      <c r="W630" s="30" t="n"/>
    </row>
    <row r="631">
      <c r="U631" s="18" t="n">
        <v>629</v>
      </c>
      <c r="V631" s="30" t="n"/>
      <c r="W631" s="30" t="n"/>
    </row>
    <row r="632">
      <c r="U632" s="18" t="n">
        <v>630</v>
      </c>
      <c r="V632" s="30" t="n"/>
      <c r="W632" s="30" t="n"/>
    </row>
    <row r="633">
      <c r="U633" s="18" t="n">
        <v>631</v>
      </c>
      <c r="V633" s="30" t="n"/>
      <c r="W633" s="30" t="n"/>
    </row>
    <row r="634">
      <c r="U634" s="18" t="n">
        <v>632</v>
      </c>
      <c r="V634" s="30" t="n"/>
      <c r="W634" s="30" t="n"/>
    </row>
    <row r="635">
      <c r="U635" s="18" t="n">
        <v>633</v>
      </c>
      <c r="V635" s="30" t="n"/>
      <c r="W635" s="30" t="n"/>
    </row>
    <row r="636">
      <c r="U636" s="18" t="n">
        <v>634</v>
      </c>
      <c r="V636" s="30" t="n"/>
      <c r="W636" s="30" t="n"/>
    </row>
    <row r="637">
      <c r="U637" s="18" t="n">
        <v>635</v>
      </c>
      <c r="V637" s="30" t="n"/>
      <c r="W637" s="30" t="n"/>
    </row>
    <row r="638">
      <c r="U638" s="18" t="n">
        <v>636</v>
      </c>
      <c r="V638" s="30" t="n"/>
      <c r="W638" s="30" t="n"/>
    </row>
    <row r="639">
      <c r="U639" s="18" t="n">
        <v>637</v>
      </c>
      <c r="V639" s="30" t="n"/>
      <c r="W639" s="30" t="n"/>
    </row>
    <row r="640">
      <c r="U640" s="18" t="n">
        <v>638</v>
      </c>
      <c r="V640" s="30" t="n"/>
      <c r="W640" s="30" t="n"/>
    </row>
    <row r="641">
      <c r="U641" s="18" t="n">
        <v>639</v>
      </c>
      <c r="V641" s="30" t="n"/>
      <c r="W641" s="30" t="n"/>
    </row>
    <row r="642">
      <c r="U642" s="18" t="n">
        <v>640</v>
      </c>
      <c r="V642" s="30" t="n"/>
      <c r="W642" s="30" t="n"/>
    </row>
    <row r="643">
      <c r="U643" s="18" t="n">
        <v>641</v>
      </c>
      <c r="V643" s="30" t="n"/>
      <c r="W643" s="30" t="n"/>
    </row>
    <row r="644">
      <c r="U644" s="18" t="n">
        <v>642</v>
      </c>
      <c r="V644" s="30" t="n"/>
      <c r="W644" s="30" t="n"/>
    </row>
    <row r="645">
      <c r="U645" s="18" t="n">
        <v>643</v>
      </c>
      <c r="V645" s="30" t="n"/>
      <c r="W645" s="30" t="n"/>
    </row>
    <row r="646">
      <c r="U646" s="18" t="n">
        <v>644</v>
      </c>
      <c r="V646" s="30" t="n"/>
      <c r="W646" s="30" t="n"/>
    </row>
    <row r="647">
      <c r="U647" s="18" t="n">
        <v>645</v>
      </c>
      <c r="V647" s="30" t="n"/>
      <c r="W647" s="30" t="n"/>
    </row>
    <row r="648">
      <c r="U648" s="18" t="n">
        <v>646</v>
      </c>
      <c r="V648" s="30" t="n"/>
      <c r="W648" s="30" t="n"/>
    </row>
    <row r="649">
      <c r="U649" s="18" t="n">
        <v>647</v>
      </c>
      <c r="V649" s="30" t="n"/>
      <c r="W649" s="30" t="n"/>
    </row>
    <row r="650">
      <c r="U650" s="18" t="n">
        <v>648</v>
      </c>
      <c r="V650" s="30" t="n"/>
      <c r="W650" s="30" t="n"/>
    </row>
    <row r="651">
      <c r="U651" s="18" t="n">
        <v>649</v>
      </c>
      <c r="V651" s="30" t="n"/>
      <c r="W651" s="30" t="n"/>
    </row>
    <row r="652">
      <c r="U652" s="18" t="n">
        <v>650</v>
      </c>
      <c r="V652" s="30" t="n"/>
      <c r="W652" s="30" t="n"/>
    </row>
    <row r="653">
      <c r="U653" s="18" t="n">
        <v>651</v>
      </c>
      <c r="V653" s="30" t="n"/>
      <c r="W653" s="30" t="n"/>
    </row>
    <row r="654">
      <c r="U654" s="18" t="n">
        <v>652</v>
      </c>
      <c r="V654" s="30" t="n"/>
      <c r="W654" s="30" t="n"/>
    </row>
    <row r="655">
      <c r="U655" s="18" t="n">
        <v>653</v>
      </c>
      <c r="V655" s="30" t="n"/>
      <c r="W655" s="30" t="n"/>
    </row>
    <row r="656">
      <c r="U656" s="18" t="n">
        <v>654</v>
      </c>
      <c r="V656" s="30" t="n"/>
      <c r="W656" s="30" t="n"/>
    </row>
    <row r="657">
      <c r="U657" s="18" t="n">
        <v>655</v>
      </c>
      <c r="V657" s="30" t="n"/>
      <c r="W657" s="30" t="n"/>
    </row>
    <row r="658">
      <c r="U658" s="18" t="n">
        <v>656</v>
      </c>
      <c r="V658" s="30" t="n"/>
      <c r="W658" s="30" t="n"/>
    </row>
    <row r="659">
      <c r="U659" s="18" t="n">
        <v>657</v>
      </c>
      <c r="V659" s="30" t="n"/>
      <c r="W659" s="30" t="n"/>
    </row>
    <row r="660">
      <c r="U660" s="18" t="n">
        <v>658</v>
      </c>
      <c r="V660" s="30" t="n"/>
      <c r="W660" s="30" t="n"/>
    </row>
    <row r="661">
      <c r="U661" s="18" t="n">
        <v>659</v>
      </c>
      <c r="V661" s="30" t="n"/>
      <c r="W661" s="30" t="n"/>
    </row>
    <row r="662">
      <c r="U662" s="18" t="n">
        <v>660</v>
      </c>
      <c r="V662" s="30" t="n"/>
      <c r="W662" s="30" t="n"/>
    </row>
    <row r="663">
      <c r="U663" s="18" t="n">
        <v>661</v>
      </c>
      <c r="V663" s="30" t="n"/>
      <c r="W663" s="30" t="n"/>
    </row>
    <row r="664">
      <c r="U664" s="18" t="n">
        <v>662</v>
      </c>
      <c r="V664" s="30" t="n"/>
      <c r="W664" s="30" t="n"/>
    </row>
    <row r="665">
      <c r="U665" s="18" t="n">
        <v>663</v>
      </c>
      <c r="V665" s="30" t="n"/>
      <c r="W665" s="30" t="n"/>
    </row>
    <row r="666">
      <c r="U666" s="18" t="n">
        <v>664</v>
      </c>
      <c r="V666" s="30" t="n"/>
      <c r="W666" s="30" t="n"/>
    </row>
    <row r="667">
      <c r="U667" s="18" t="n">
        <v>665</v>
      </c>
      <c r="V667" s="30" t="n"/>
      <c r="W667" s="30" t="n"/>
    </row>
    <row r="668">
      <c r="U668" s="18" t="n">
        <v>666</v>
      </c>
      <c r="V668" s="30" t="n"/>
      <c r="W668" s="30" t="n"/>
    </row>
    <row r="669">
      <c r="U669" s="18" t="n">
        <v>667</v>
      </c>
      <c r="V669" s="30" t="n"/>
      <c r="W669" s="30" t="n"/>
    </row>
    <row r="670">
      <c r="U670" s="18" t="n">
        <v>668</v>
      </c>
      <c r="V670" s="30" t="n"/>
      <c r="W670" s="30" t="n"/>
    </row>
    <row r="671">
      <c r="U671" s="18" t="n">
        <v>669</v>
      </c>
      <c r="V671" s="30" t="n"/>
      <c r="W671" s="30" t="n"/>
    </row>
    <row r="672">
      <c r="U672" s="18" t="n">
        <v>670</v>
      </c>
      <c r="V672" s="30" t="n"/>
      <c r="W672" s="30" t="n"/>
    </row>
    <row r="673">
      <c r="U673" s="18" t="n">
        <v>671</v>
      </c>
      <c r="V673" s="30" t="n"/>
      <c r="W673" s="30" t="n"/>
    </row>
    <row r="674">
      <c r="U674" s="18" t="n">
        <v>672</v>
      </c>
      <c r="V674" s="30" t="n"/>
      <c r="W674" s="30" t="n"/>
    </row>
    <row r="675">
      <c r="U675" s="18" t="n">
        <v>673</v>
      </c>
      <c r="V675" s="30" t="n"/>
      <c r="W675" s="30" t="n"/>
    </row>
    <row r="676">
      <c r="U676" s="18" t="n">
        <v>674</v>
      </c>
      <c r="V676" s="30" t="n"/>
      <c r="W676" s="30" t="n"/>
    </row>
    <row r="677">
      <c r="U677" s="18" t="n">
        <v>675</v>
      </c>
      <c r="V677" s="30" t="n"/>
      <c r="W677" s="30" t="n"/>
    </row>
    <row r="678">
      <c r="U678" s="18" t="n">
        <v>676</v>
      </c>
      <c r="V678" s="30" t="n"/>
      <c r="W678" s="30" t="n"/>
    </row>
    <row r="679">
      <c r="U679" s="18" t="n">
        <v>677</v>
      </c>
      <c r="V679" s="30" t="n"/>
      <c r="W679" s="30" t="n"/>
    </row>
    <row r="680">
      <c r="U680" s="18" t="n">
        <v>678</v>
      </c>
      <c r="V680" s="30" t="n"/>
      <c r="W680" s="30" t="n"/>
    </row>
    <row r="681">
      <c r="U681" s="18" t="n">
        <v>679</v>
      </c>
      <c r="V681" s="30" t="n"/>
      <c r="W681" s="30" t="n"/>
    </row>
    <row r="682">
      <c r="U682" s="18" t="n">
        <v>680</v>
      </c>
      <c r="V682" s="30" t="n"/>
      <c r="W682" s="30" t="n"/>
    </row>
    <row r="683">
      <c r="U683" s="18" t="n">
        <v>681</v>
      </c>
      <c r="V683" s="30" t="n"/>
      <c r="W683" s="30" t="n"/>
    </row>
    <row r="684">
      <c r="U684" s="18" t="n">
        <v>682</v>
      </c>
      <c r="V684" s="30" t="n"/>
      <c r="W684" s="30" t="n"/>
    </row>
    <row r="685">
      <c r="U685" s="18" t="n">
        <v>683</v>
      </c>
      <c r="V685" s="30" t="n"/>
      <c r="W685" s="30" t="n"/>
    </row>
    <row r="686">
      <c r="U686" s="18" t="n">
        <v>684</v>
      </c>
      <c r="V686" s="30" t="n"/>
      <c r="W686" s="30" t="n"/>
    </row>
    <row r="687">
      <c r="U687" s="18" t="n">
        <v>685</v>
      </c>
      <c r="V687" s="30" t="n"/>
      <c r="W687" s="30" t="n"/>
    </row>
    <row r="688">
      <c r="U688" s="18" t="n">
        <v>686</v>
      </c>
      <c r="V688" s="30" t="n"/>
      <c r="W688" s="30" t="n"/>
    </row>
    <row r="689">
      <c r="U689" s="18" t="n">
        <v>687</v>
      </c>
      <c r="V689" s="30" t="n"/>
      <c r="W689" s="30" t="n"/>
    </row>
    <row r="690">
      <c r="U690" s="18" t="n">
        <v>688</v>
      </c>
      <c r="V690" s="30" t="n"/>
      <c r="W690" s="30" t="n"/>
    </row>
    <row r="691">
      <c r="U691" s="18" t="n">
        <v>689</v>
      </c>
      <c r="V691" s="30" t="n"/>
      <c r="W691" s="30" t="n"/>
    </row>
    <row r="692">
      <c r="U692" s="18" t="n">
        <v>690</v>
      </c>
      <c r="V692" s="30" t="n"/>
      <c r="W692" s="30" t="n"/>
    </row>
    <row r="693">
      <c r="U693" s="18" t="n">
        <v>691</v>
      </c>
      <c r="V693" s="30" t="n"/>
      <c r="W693" s="30" t="n"/>
    </row>
    <row r="694">
      <c r="U694" s="18" t="n">
        <v>692</v>
      </c>
      <c r="V694" s="30" t="n"/>
      <c r="W694" s="30" t="n"/>
    </row>
    <row r="695">
      <c r="U695" s="18" t="n">
        <v>693</v>
      </c>
      <c r="V695" s="30" t="n"/>
      <c r="W695" s="30" t="n"/>
    </row>
    <row r="696">
      <c r="U696" s="18" t="n">
        <v>694</v>
      </c>
      <c r="V696" s="30" t="n"/>
      <c r="W696" s="30" t="n"/>
    </row>
    <row r="697">
      <c r="U697" s="18" t="n">
        <v>695</v>
      </c>
      <c r="V697" s="30" t="n"/>
      <c r="W697" s="30" t="n"/>
    </row>
    <row r="698">
      <c r="U698" s="18" t="n">
        <v>696</v>
      </c>
      <c r="V698" s="30" t="n"/>
      <c r="W698" s="30" t="n"/>
    </row>
    <row r="699">
      <c r="U699" s="18" t="n">
        <v>697</v>
      </c>
      <c r="V699" s="30" t="n"/>
      <c r="W699" s="30" t="n"/>
    </row>
    <row r="700">
      <c r="U700" s="18" t="n">
        <v>698</v>
      </c>
      <c r="V700" s="30" t="n"/>
      <c r="W700" s="30" t="n"/>
    </row>
    <row r="701">
      <c r="U701" s="18" t="n">
        <v>699</v>
      </c>
      <c r="V701" s="30" t="n"/>
      <c r="W701" s="30" t="n"/>
    </row>
    <row r="702">
      <c r="U702" s="18" t="n">
        <v>700</v>
      </c>
      <c r="V702" s="30" t="n"/>
      <c r="W702" s="30" t="n"/>
    </row>
    <row r="703">
      <c r="U703" s="18" t="n">
        <v>701</v>
      </c>
      <c r="V703" s="30" t="n"/>
      <c r="W703" s="30" t="n"/>
    </row>
    <row r="704">
      <c r="U704" s="18" t="n">
        <v>702</v>
      </c>
      <c r="V704" s="30" t="n"/>
      <c r="W704" s="30" t="n"/>
    </row>
    <row r="705">
      <c r="U705" s="18" t="n">
        <v>703</v>
      </c>
      <c r="V705" s="30" t="n"/>
      <c r="W705" s="30" t="n"/>
    </row>
    <row r="706">
      <c r="U706" s="18" t="n">
        <v>704</v>
      </c>
      <c r="V706" s="30" t="n"/>
      <c r="W706" s="30" t="n"/>
    </row>
    <row r="707">
      <c r="U707" s="18" t="n">
        <v>705</v>
      </c>
      <c r="V707" s="30" t="n"/>
      <c r="W707" s="30" t="n"/>
    </row>
    <row r="708">
      <c r="U708" s="18" t="n">
        <v>706</v>
      </c>
      <c r="V708" s="30" t="n"/>
      <c r="W708" s="30" t="n"/>
    </row>
    <row r="709">
      <c r="U709" s="18" t="n">
        <v>707</v>
      </c>
      <c r="V709" s="30" t="n"/>
      <c r="W709" s="30" t="n"/>
    </row>
    <row r="710">
      <c r="U710" s="18" t="n">
        <v>708</v>
      </c>
      <c r="V710" s="30" t="n"/>
      <c r="W710" s="30" t="n"/>
    </row>
    <row r="711">
      <c r="U711" s="18" t="n">
        <v>709</v>
      </c>
      <c r="V711" s="30" t="n"/>
      <c r="W711" s="30" t="n"/>
    </row>
    <row r="712">
      <c r="U712" s="18" t="n">
        <v>710</v>
      </c>
      <c r="V712" s="30" t="n"/>
      <c r="W712" s="30" t="n"/>
    </row>
    <row r="713">
      <c r="U713" s="18" t="n">
        <v>711</v>
      </c>
      <c r="V713" s="30" t="n"/>
      <c r="W713" s="30" t="n"/>
    </row>
    <row r="714">
      <c r="U714" s="18" t="n">
        <v>712</v>
      </c>
      <c r="V714" s="30" t="n"/>
      <c r="W714" s="30" t="n"/>
    </row>
    <row r="715">
      <c r="U715" s="18" t="n">
        <v>713</v>
      </c>
      <c r="V715" s="30" t="n"/>
      <c r="W715" s="30" t="n"/>
    </row>
    <row r="716">
      <c r="U716" s="18" t="n">
        <v>714</v>
      </c>
      <c r="V716" s="30" t="n"/>
      <c r="W716" s="30" t="n"/>
    </row>
    <row r="717">
      <c r="U717" s="18" t="n">
        <v>715</v>
      </c>
      <c r="V717" s="30" t="n"/>
      <c r="W717" s="30" t="n"/>
    </row>
    <row r="718">
      <c r="U718" s="18" t="n">
        <v>716</v>
      </c>
      <c r="V718" s="30" t="n"/>
      <c r="W718" s="30" t="n"/>
    </row>
    <row r="719">
      <c r="U719" s="18" t="n">
        <v>717</v>
      </c>
      <c r="V719" s="30" t="n"/>
      <c r="W719" s="30" t="n"/>
    </row>
    <row r="720">
      <c r="U720" s="18" t="n">
        <v>718</v>
      </c>
      <c r="V720" s="30" t="n"/>
      <c r="W720" s="30" t="n"/>
    </row>
    <row r="721">
      <c r="U721" s="18" t="n">
        <v>719</v>
      </c>
      <c r="V721" s="30" t="n"/>
      <c r="W721" s="30" t="n"/>
    </row>
    <row r="722">
      <c r="U722" s="18" t="n">
        <v>720</v>
      </c>
      <c r="V722" s="30" t="n"/>
      <c r="W722" s="30" t="n"/>
    </row>
    <row r="723">
      <c r="U723" s="18" t="n">
        <v>721</v>
      </c>
      <c r="V723" s="30" t="n"/>
      <c r="W723" s="30" t="n"/>
    </row>
    <row r="724">
      <c r="U724" s="18" t="n">
        <v>722</v>
      </c>
      <c r="V724" s="30" t="n"/>
      <c r="W724" s="30" t="n"/>
    </row>
    <row r="725">
      <c r="U725" s="18" t="n">
        <v>723</v>
      </c>
      <c r="V725" s="30" t="n"/>
      <c r="W725" s="30" t="n"/>
    </row>
    <row r="726">
      <c r="U726" s="18" t="n">
        <v>724</v>
      </c>
      <c r="V726" s="30" t="n"/>
      <c r="W726" s="30" t="n"/>
    </row>
    <row r="727">
      <c r="U727" s="18" t="n">
        <v>725</v>
      </c>
      <c r="V727" s="30" t="n"/>
      <c r="W727" s="30" t="n"/>
    </row>
    <row r="728">
      <c r="U728" s="18" t="n">
        <v>726</v>
      </c>
      <c r="V728" s="30" t="n"/>
      <c r="W728" s="30" t="n"/>
    </row>
    <row r="729">
      <c r="U729" s="18" t="n">
        <v>727</v>
      </c>
      <c r="V729" s="30" t="n"/>
      <c r="W729" s="30" t="n"/>
    </row>
    <row r="730">
      <c r="U730" s="18" t="n">
        <v>728</v>
      </c>
      <c r="V730" s="30" t="n"/>
      <c r="W730" s="30" t="n"/>
    </row>
    <row r="731">
      <c r="U731" s="18" t="n">
        <v>729</v>
      </c>
      <c r="V731" s="30" t="n"/>
      <c r="W731" s="30" t="n"/>
    </row>
    <row r="732">
      <c r="U732" s="18" t="n">
        <v>730</v>
      </c>
      <c r="V732" s="30" t="n"/>
      <c r="W732" s="30" t="n"/>
    </row>
    <row r="733">
      <c r="U733" s="18" t="n">
        <v>731</v>
      </c>
      <c r="V733" s="30" t="n"/>
      <c r="W733" s="30" t="n"/>
    </row>
    <row r="734">
      <c r="U734" s="18" t="n">
        <v>732</v>
      </c>
      <c r="V734" s="30" t="n"/>
      <c r="W734" s="30" t="n"/>
    </row>
    <row r="735">
      <c r="U735" s="18" t="n">
        <v>733</v>
      </c>
      <c r="V735" s="30" t="n"/>
      <c r="W735" s="30" t="n"/>
    </row>
    <row r="736">
      <c r="U736" s="18" t="n">
        <v>734</v>
      </c>
      <c r="V736" s="30" t="n"/>
      <c r="W736" s="30" t="n"/>
    </row>
    <row r="737">
      <c r="U737" s="18" t="n">
        <v>735</v>
      </c>
      <c r="V737" s="30" t="n"/>
      <c r="W737" s="30" t="n"/>
    </row>
    <row r="738">
      <c r="U738" s="18" t="n">
        <v>736</v>
      </c>
      <c r="V738" s="30" t="n"/>
      <c r="W738" s="30" t="n"/>
    </row>
    <row r="739">
      <c r="U739" s="18" t="n">
        <v>737</v>
      </c>
      <c r="V739" s="30" t="n"/>
      <c r="W739" s="30" t="n"/>
    </row>
    <row r="740">
      <c r="U740" s="18" t="n">
        <v>738</v>
      </c>
      <c r="V740" s="30" t="n"/>
      <c r="W740" s="30" t="n"/>
    </row>
    <row r="741">
      <c r="U741" s="18" t="n">
        <v>739</v>
      </c>
      <c r="V741" s="30" t="n"/>
      <c r="W741" s="30" t="n"/>
    </row>
    <row r="742">
      <c r="U742" s="18" t="n">
        <v>740</v>
      </c>
      <c r="V742" s="30" t="n"/>
      <c r="W742" s="30" t="n"/>
    </row>
    <row r="743">
      <c r="U743" s="18" t="n">
        <v>741</v>
      </c>
      <c r="V743" s="30" t="n"/>
      <c r="W743" s="30" t="n"/>
    </row>
    <row r="744">
      <c r="U744" s="18" t="n">
        <v>742</v>
      </c>
      <c r="V744" s="30" t="n"/>
      <c r="W744" s="30" t="n"/>
    </row>
    <row r="745">
      <c r="U745" s="18" t="n">
        <v>743</v>
      </c>
      <c r="V745" s="30" t="n"/>
      <c r="W745" s="30" t="n"/>
    </row>
    <row r="746">
      <c r="U746" s="18" t="n">
        <v>744</v>
      </c>
      <c r="V746" s="30" t="n"/>
      <c r="W746" s="30" t="n"/>
    </row>
    <row r="747">
      <c r="U747" s="18" t="n">
        <v>745</v>
      </c>
      <c r="V747" s="30" t="n"/>
      <c r="W747" s="30" t="n"/>
    </row>
    <row r="748">
      <c r="U748" s="18" t="n">
        <v>746</v>
      </c>
      <c r="V748" s="30" t="n"/>
      <c r="W748" s="30" t="n"/>
    </row>
    <row r="749">
      <c r="U749" s="18" t="n">
        <v>747</v>
      </c>
      <c r="V749" s="30" t="n"/>
      <c r="W749" s="30" t="n"/>
    </row>
    <row r="750">
      <c r="U750" s="18" t="n">
        <v>748</v>
      </c>
      <c r="V750" s="30" t="n"/>
      <c r="W750" s="30" t="n"/>
    </row>
    <row r="751">
      <c r="U751" s="18" t="n">
        <v>749</v>
      </c>
      <c r="V751" s="30" t="n"/>
      <c r="W751" s="30" t="n"/>
    </row>
    <row r="752">
      <c r="U752" s="18" t="n">
        <v>750</v>
      </c>
      <c r="V752" s="30" t="n"/>
      <c r="W752" s="30" t="n"/>
    </row>
    <row r="753">
      <c r="U753" s="18" t="n">
        <v>751</v>
      </c>
      <c r="V753" s="30" t="n"/>
      <c r="W753" s="30" t="n"/>
    </row>
    <row r="754">
      <c r="U754" s="18" t="n">
        <v>752</v>
      </c>
      <c r="V754" s="30" t="n"/>
      <c r="W754" s="30" t="n"/>
    </row>
    <row r="755">
      <c r="U755" s="18" t="n">
        <v>753</v>
      </c>
      <c r="V755" s="30" t="n"/>
      <c r="W755" s="30" t="n"/>
    </row>
    <row r="756">
      <c r="U756" s="18" t="n">
        <v>754</v>
      </c>
      <c r="V756" s="30" t="n"/>
      <c r="W756" s="30" t="n"/>
    </row>
    <row r="757">
      <c r="U757" s="18" t="n">
        <v>755</v>
      </c>
      <c r="V757" s="30" t="n"/>
      <c r="W757" s="30" t="n"/>
    </row>
    <row r="758">
      <c r="U758" s="18" t="n">
        <v>756</v>
      </c>
      <c r="V758" s="30" t="n"/>
      <c r="W758" s="30" t="n"/>
    </row>
    <row r="759">
      <c r="U759" s="18" t="n">
        <v>757</v>
      </c>
      <c r="V759" s="30" t="n"/>
      <c r="W759" s="30" t="n"/>
    </row>
    <row r="760">
      <c r="U760" s="18" t="n">
        <v>758</v>
      </c>
      <c r="V760" s="30" t="n"/>
      <c r="W760" s="30" t="n"/>
    </row>
    <row r="761">
      <c r="U761" s="18" t="n">
        <v>759</v>
      </c>
      <c r="V761" s="30" t="n"/>
      <c r="W761" s="30" t="n"/>
    </row>
    <row r="762">
      <c r="U762" s="18" t="n">
        <v>760</v>
      </c>
      <c r="V762" s="30" t="n"/>
      <c r="W762" s="30" t="n"/>
    </row>
    <row r="763">
      <c r="U763" s="18" t="n">
        <v>761</v>
      </c>
      <c r="V763" s="30" t="n"/>
      <c r="W763" s="30" t="n"/>
    </row>
    <row r="764">
      <c r="U764" s="18" t="n">
        <v>762</v>
      </c>
      <c r="V764" s="30" t="n"/>
      <c r="W764" s="30" t="n"/>
    </row>
    <row r="765">
      <c r="U765" s="18" t="n">
        <v>763</v>
      </c>
      <c r="V765" s="30" t="n"/>
      <c r="W765" s="30" t="n"/>
    </row>
    <row r="766">
      <c r="U766" s="18" t="n">
        <v>764</v>
      </c>
      <c r="V766" s="30" t="n"/>
      <c r="W766" s="30" t="n"/>
    </row>
    <row r="767">
      <c r="U767" s="18" t="n">
        <v>765</v>
      </c>
      <c r="V767" s="30" t="n"/>
      <c r="W767" s="30" t="n"/>
    </row>
    <row r="768">
      <c r="U768" s="18" t="n">
        <v>766</v>
      </c>
      <c r="V768" s="30" t="n"/>
      <c r="W768" s="30" t="n"/>
    </row>
    <row r="769">
      <c r="U769" s="18" t="n">
        <v>767</v>
      </c>
      <c r="V769" s="30" t="n"/>
      <c r="W769" s="30" t="n"/>
    </row>
    <row r="770">
      <c r="U770" s="18" t="n">
        <v>768</v>
      </c>
      <c r="V770" s="30" t="n"/>
      <c r="W770" s="30" t="n"/>
    </row>
    <row r="771">
      <c r="U771" s="18" t="n">
        <v>769</v>
      </c>
      <c r="V771" s="30" t="n"/>
      <c r="W771" s="30" t="n"/>
    </row>
    <row r="772">
      <c r="U772" s="18" t="n">
        <v>770</v>
      </c>
      <c r="V772" s="30" t="n"/>
      <c r="W772" s="30" t="n"/>
    </row>
    <row r="773">
      <c r="U773" s="18" t="n">
        <v>771</v>
      </c>
      <c r="V773" s="30" t="n"/>
      <c r="W773" s="30" t="n"/>
    </row>
    <row r="774">
      <c r="U774" s="18" t="n">
        <v>772</v>
      </c>
      <c r="V774" s="30" t="n"/>
      <c r="W774" s="30" t="n"/>
    </row>
    <row r="775">
      <c r="U775" s="18" t="n">
        <v>773</v>
      </c>
      <c r="V775" s="30" t="n"/>
      <c r="W775" s="30" t="n"/>
    </row>
    <row r="776">
      <c r="U776" s="18" t="n">
        <v>774</v>
      </c>
      <c r="V776" s="30" t="n"/>
      <c r="W776" s="30" t="n"/>
    </row>
    <row r="777">
      <c r="U777" s="18" t="n">
        <v>775</v>
      </c>
      <c r="V777" s="30" t="n"/>
      <c r="W777" s="30" t="n"/>
    </row>
    <row r="778">
      <c r="U778" s="18" t="n">
        <v>776</v>
      </c>
      <c r="V778" s="30" t="n"/>
      <c r="W778" s="30" t="n"/>
    </row>
    <row r="779">
      <c r="U779" s="18" t="n">
        <v>777</v>
      </c>
      <c r="V779" s="30" t="n"/>
      <c r="W779" s="30" t="n"/>
    </row>
    <row r="780">
      <c r="U780" s="18" t="n">
        <v>778</v>
      </c>
      <c r="V780" s="30" t="n"/>
      <c r="W780" s="30" t="n"/>
    </row>
    <row r="781">
      <c r="U781" s="18" t="n">
        <v>779</v>
      </c>
      <c r="V781" s="30" t="n"/>
      <c r="W781" s="30" t="n"/>
    </row>
    <row r="782">
      <c r="U782" s="18" t="n">
        <v>780</v>
      </c>
      <c r="V782" s="30" t="n"/>
      <c r="W782" s="30" t="n"/>
    </row>
    <row r="783">
      <c r="U783" s="18" t="n">
        <v>781</v>
      </c>
      <c r="V783" s="30" t="n"/>
      <c r="W783" s="30" t="n"/>
    </row>
    <row r="784">
      <c r="U784" s="18" t="n">
        <v>782</v>
      </c>
      <c r="V784" s="30" t="n"/>
      <c r="W784" s="30" t="n"/>
    </row>
    <row r="785">
      <c r="U785" s="18" t="n">
        <v>783</v>
      </c>
      <c r="V785" s="30" t="n"/>
      <c r="W785" s="30" t="n"/>
    </row>
    <row r="786">
      <c r="U786" s="18" t="n">
        <v>784</v>
      </c>
      <c r="V786" s="30" t="n"/>
      <c r="W786" s="30" t="n"/>
    </row>
    <row r="787">
      <c r="U787" s="18" t="n">
        <v>785</v>
      </c>
      <c r="V787" s="30" t="n"/>
      <c r="W787" s="30" t="n"/>
    </row>
    <row r="788">
      <c r="U788" s="18" t="n">
        <v>786</v>
      </c>
      <c r="V788" s="30" t="n"/>
      <c r="W788" s="30" t="n"/>
    </row>
    <row r="789">
      <c r="U789" s="18" t="n">
        <v>787</v>
      </c>
      <c r="V789" s="30" t="n"/>
      <c r="W789" s="30" t="n"/>
    </row>
    <row r="790">
      <c r="U790" s="18" t="n">
        <v>788</v>
      </c>
      <c r="V790" s="30" t="n"/>
      <c r="W790" s="30" t="n"/>
    </row>
    <row r="791">
      <c r="U791" s="18" t="n">
        <v>789</v>
      </c>
      <c r="V791" s="30" t="n"/>
      <c r="W791" s="30" t="n"/>
    </row>
    <row r="792">
      <c r="U792" s="18" t="n">
        <v>790</v>
      </c>
      <c r="V792" s="30" t="n"/>
      <c r="W792" s="30" t="n"/>
    </row>
    <row r="793">
      <c r="U793" s="18" t="n">
        <v>791</v>
      </c>
      <c r="V793" s="30" t="n"/>
      <c r="W793" s="30" t="n"/>
    </row>
    <row r="794">
      <c r="U794" s="18" t="n">
        <v>792</v>
      </c>
      <c r="V794" s="30" t="n"/>
      <c r="W794" s="30" t="n"/>
    </row>
    <row r="795">
      <c r="U795" s="18" t="n">
        <v>793</v>
      </c>
      <c r="V795" s="30" t="n"/>
      <c r="W795" s="30" t="n"/>
    </row>
    <row r="796">
      <c r="U796" s="18" t="n">
        <v>794</v>
      </c>
      <c r="V796" s="30" t="n"/>
      <c r="W796" s="30" t="n"/>
    </row>
    <row r="797">
      <c r="U797" s="18" t="n">
        <v>795</v>
      </c>
      <c r="V797" s="30" t="n"/>
      <c r="W797" s="30" t="n"/>
    </row>
    <row r="798">
      <c r="U798" s="18" t="n">
        <v>796</v>
      </c>
      <c r="V798" s="30" t="n"/>
      <c r="W798" s="30" t="n"/>
    </row>
    <row r="799">
      <c r="U799" s="18" t="n">
        <v>797</v>
      </c>
      <c r="V799" s="30" t="n"/>
      <c r="W799" s="30" t="n"/>
    </row>
    <row r="800">
      <c r="U800" s="18" t="n">
        <v>798</v>
      </c>
      <c r="V800" s="30" t="n"/>
      <c r="W800" s="30" t="n"/>
    </row>
    <row r="801">
      <c r="U801" s="18" t="n">
        <v>799</v>
      </c>
      <c r="V801" s="30" t="n"/>
      <c r="W801" s="30" t="n"/>
    </row>
    <row r="802">
      <c r="U802" s="18" t="n">
        <v>800</v>
      </c>
      <c r="V802" s="30" t="n"/>
      <c r="W802" s="30" t="n"/>
    </row>
    <row r="803">
      <c r="U803" s="18" t="n">
        <v>801</v>
      </c>
      <c r="V803" s="30" t="n"/>
      <c r="W803" s="30" t="n"/>
    </row>
    <row r="804">
      <c r="U804" s="18" t="n">
        <v>802</v>
      </c>
      <c r="V804" s="30" t="n"/>
      <c r="W804" s="30" t="n"/>
    </row>
    <row r="805">
      <c r="U805" s="18" t="n">
        <v>803</v>
      </c>
      <c r="V805" s="30" t="n"/>
      <c r="W805" s="30" t="n"/>
    </row>
    <row r="806">
      <c r="U806" s="18" t="n">
        <v>804</v>
      </c>
      <c r="V806" s="30" t="n"/>
      <c r="W806" s="30" t="n"/>
    </row>
    <row r="807">
      <c r="U807" s="18" t="n">
        <v>805</v>
      </c>
      <c r="V807" s="30" t="n"/>
      <c r="W807" s="30" t="n"/>
    </row>
    <row r="808">
      <c r="U808" s="18" t="n">
        <v>806</v>
      </c>
      <c r="V808" s="30" t="n"/>
      <c r="W808" s="30" t="n"/>
    </row>
    <row r="809">
      <c r="U809" s="18" t="n">
        <v>807</v>
      </c>
      <c r="V809" s="30" t="n"/>
      <c r="W809" s="30" t="n"/>
    </row>
    <row r="810">
      <c r="U810" s="18" t="n">
        <v>808</v>
      </c>
      <c r="V810" s="30" t="n"/>
      <c r="W810" s="30" t="n"/>
    </row>
    <row r="811">
      <c r="U811" s="18" t="n">
        <v>809</v>
      </c>
      <c r="V811" s="30" t="n"/>
      <c r="W811" s="30" t="n"/>
    </row>
    <row r="812">
      <c r="U812" s="18" t="n">
        <v>810</v>
      </c>
      <c r="V812" s="30" t="n"/>
      <c r="W812" s="30" t="n"/>
    </row>
    <row r="813">
      <c r="U813" s="18" t="n">
        <v>811</v>
      </c>
      <c r="V813" s="30" t="n"/>
      <c r="W813" s="30" t="n"/>
    </row>
    <row r="814">
      <c r="U814" s="18" t="n">
        <v>812</v>
      </c>
      <c r="V814" s="30" t="n"/>
      <c r="W814" s="30" t="n"/>
    </row>
    <row r="815">
      <c r="U815" s="18" t="n">
        <v>813</v>
      </c>
      <c r="V815" s="30" t="n"/>
      <c r="W815" s="30" t="n"/>
    </row>
    <row r="816">
      <c r="U816" s="18" t="n">
        <v>814</v>
      </c>
      <c r="V816" s="30" t="n"/>
      <c r="W816" s="30" t="n"/>
    </row>
    <row r="817">
      <c r="U817" s="18" t="n">
        <v>815</v>
      </c>
      <c r="V817" s="30" t="n"/>
      <c r="W817" s="30" t="n"/>
    </row>
    <row r="818">
      <c r="U818" s="18" t="n">
        <v>816</v>
      </c>
      <c r="V818" s="30" t="n"/>
      <c r="W818" s="30" t="n"/>
    </row>
    <row r="819">
      <c r="U819" s="18" t="n">
        <v>817</v>
      </c>
      <c r="V819" s="30" t="n"/>
      <c r="W819" s="30" t="n"/>
    </row>
    <row r="820">
      <c r="U820" s="18" t="n">
        <v>818</v>
      </c>
      <c r="V820" s="30" t="n"/>
      <c r="W820" s="30" t="n"/>
    </row>
    <row r="821">
      <c r="U821" s="18" t="n">
        <v>819</v>
      </c>
      <c r="V821" s="30" t="n"/>
      <c r="W821" s="30" t="n"/>
    </row>
    <row r="822">
      <c r="U822" s="18" t="n">
        <v>820</v>
      </c>
      <c r="V822" s="30" t="n"/>
      <c r="W822" s="30" t="n"/>
    </row>
    <row r="823">
      <c r="U823" s="18" t="n">
        <v>821</v>
      </c>
      <c r="V823" s="30" t="n"/>
      <c r="W823" s="30" t="n"/>
    </row>
    <row r="824">
      <c r="U824" s="18" t="n">
        <v>822</v>
      </c>
      <c r="V824" s="30" t="n"/>
      <c r="W824" s="30" t="n"/>
    </row>
    <row r="825">
      <c r="U825" s="18" t="n">
        <v>823</v>
      </c>
      <c r="V825" s="30" t="n"/>
      <c r="W825" s="30" t="n"/>
    </row>
    <row r="826">
      <c r="U826" s="18" t="n">
        <v>824</v>
      </c>
      <c r="V826" s="30" t="n"/>
      <c r="W826" s="30" t="n"/>
    </row>
    <row r="827">
      <c r="U827" s="18" t="n">
        <v>825</v>
      </c>
      <c r="V827" s="30" t="n"/>
      <c r="W827" s="30" t="n"/>
    </row>
    <row r="828">
      <c r="U828" s="18" t="n">
        <v>826</v>
      </c>
      <c r="V828" s="30" t="n"/>
      <c r="W828" s="30" t="n"/>
    </row>
    <row r="829">
      <c r="U829" s="18" t="n">
        <v>827</v>
      </c>
      <c r="V829" s="30" t="n"/>
      <c r="W829" s="30" t="n"/>
    </row>
    <row r="830">
      <c r="U830" s="18" t="n">
        <v>828</v>
      </c>
      <c r="V830" s="30" t="n"/>
      <c r="W830" s="30" t="n"/>
    </row>
    <row r="831">
      <c r="U831" s="18" t="n">
        <v>829</v>
      </c>
      <c r="V831" s="30" t="n"/>
      <c r="W831" s="30" t="n"/>
    </row>
    <row r="832">
      <c r="U832" s="18" t="n">
        <v>830</v>
      </c>
      <c r="V832" s="30" t="n"/>
      <c r="W832" s="30" t="n"/>
    </row>
    <row r="833">
      <c r="U833" s="18" t="n">
        <v>831</v>
      </c>
      <c r="V833" s="30" t="n"/>
      <c r="W833" s="30" t="n"/>
    </row>
    <row r="834">
      <c r="U834" s="18" t="n">
        <v>832</v>
      </c>
      <c r="V834" s="30" t="n"/>
      <c r="W834" s="30" t="n"/>
    </row>
    <row r="835">
      <c r="U835" s="18" t="n">
        <v>833</v>
      </c>
      <c r="V835" s="30" t="n"/>
      <c r="W835" s="30" t="n"/>
    </row>
    <row r="836">
      <c r="U836" s="18" t="n">
        <v>834</v>
      </c>
      <c r="V836" s="30" t="n"/>
      <c r="W836" s="30" t="n"/>
    </row>
    <row r="837">
      <c r="U837" s="18" t="n">
        <v>835</v>
      </c>
      <c r="V837" s="30" t="n"/>
      <c r="W837" s="30" t="n"/>
    </row>
    <row r="838">
      <c r="U838" s="18" t="n">
        <v>836</v>
      </c>
      <c r="V838" s="30" t="n"/>
      <c r="W838" s="30" t="n"/>
    </row>
    <row r="839">
      <c r="U839" s="18" t="n">
        <v>837</v>
      </c>
      <c r="V839" s="30" t="n"/>
      <c r="W839" s="30" t="n"/>
    </row>
    <row r="840">
      <c r="U840" s="18" t="n">
        <v>838</v>
      </c>
      <c r="V840" s="30" t="n"/>
      <c r="W840" s="30" t="n"/>
    </row>
    <row r="841">
      <c r="U841" s="18" t="n">
        <v>839</v>
      </c>
      <c r="V841" s="30" t="n"/>
      <c r="W841" s="30" t="n"/>
    </row>
    <row r="842">
      <c r="U842" s="18" t="n">
        <v>840</v>
      </c>
      <c r="V842" s="30" t="n"/>
      <c r="W842" s="30" t="n"/>
    </row>
    <row r="843">
      <c r="U843" s="18" t="n">
        <v>841</v>
      </c>
      <c r="V843" s="30" t="n"/>
      <c r="W843" s="30" t="n"/>
    </row>
    <row r="844">
      <c r="U844" s="18" t="n">
        <v>842</v>
      </c>
      <c r="V844" s="30" t="n"/>
      <c r="W844" s="30" t="n"/>
    </row>
    <row r="845">
      <c r="U845" s="18" t="n">
        <v>843</v>
      </c>
      <c r="V845" s="30" t="n"/>
      <c r="W845" s="30" t="n"/>
    </row>
    <row r="846">
      <c r="U846" s="18" t="n">
        <v>844</v>
      </c>
      <c r="V846" s="30" t="n"/>
      <c r="W846" s="30" t="n"/>
    </row>
    <row r="847">
      <c r="U847" s="18" t="n">
        <v>845</v>
      </c>
      <c r="V847" s="30" t="n"/>
      <c r="W847" s="30" t="n"/>
    </row>
    <row r="848">
      <c r="U848" s="18" t="n">
        <v>846</v>
      </c>
      <c r="V848" s="30" t="n"/>
      <c r="W848" s="30" t="n"/>
    </row>
    <row r="849">
      <c r="U849" s="18" t="n">
        <v>847</v>
      </c>
      <c r="V849" s="30" t="n"/>
      <c r="W849" s="30" t="n"/>
    </row>
    <row r="850">
      <c r="U850" s="18" t="n">
        <v>848</v>
      </c>
      <c r="V850" s="30" t="n"/>
      <c r="W850" s="30" t="n"/>
    </row>
    <row r="851">
      <c r="U851" s="18" t="n">
        <v>849</v>
      </c>
      <c r="V851" s="30" t="n"/>
      <c r="W851" s="30" t="n"/>
    </row>
    <row r="852">
      <c r="U852" s="18" t="n">
        <v>850</v>
      </c>
      <c r="V852" s="30" t="n"/>
      <c r="W852" s="30" t="n"/>
    </row>
    <row r="853">
      <c r="U853" s="18" t="n">
        <v>851</v>
      </c>
      <c r="V853" s="30" t="n"/>
      <c r="W853" s="30" t="n"/>
    </row>
    <row r="854">
      <c r="U854" s="18" t="n">
        <v>852</v>
      </c>
      <c r="V854" s="30" t="n"/>
      <c r="W854" s="30" t="n"/>
    </row>
    <row r="855">
      <c r="U855" s="18" t="n">
        <v>853</v>
      </c>
      <c r="V855" s="30" t="n"/>
      <c r="W855" s="30" t="n"/>
    </row>
    <row r="856">
      <c r="U856" s="18" t="n">
        <v>854</v>
      </c>
      <c r="V856" s="30" t="n"/>
      <c r="W856" s="30" t="n"/>
    </row>
    <row r="857">
      <c r="U857" s="18" t="n">
        <v>855</v>
      </c>
      <c r="V857" s="30" t="n"/>
      <c r="W857" s="30" t="n"/>
    </row>
    <row r="858">
      <c r="U858" s="18" t="n">
        <v>856</v>
      </c>
      <c r="V858" s="30" t="n"/>
      <c r="W858" s="30" t="n"/>
    </row>
    <row r="859">
      <c r="U859" s="18" t="n">
        <v>857</v>
      </c>
      <c r="V859" s="30" t="n"/>
      <c r="W859" s="30" t="n"/>
    </row>
    <row r="860">
      <c r="U860" s="18" t="n">
        <v>858</v>
      </c>
      <c r="V860" s="30" t="n"/>
      <c r="W860" s="30" t="n"/>
    </row>
    <row r="861">
      <c r="U861" s="18" t="n">
        <v>859</v>
      </c>
      <c r="V861" s="30" t="n"/>
      <c r="W861" s="30" t="n"/>
    </row>
    <row r="862">
      <c r="U862" s="18" t="n">
        <v>860</v>
      </c>
      <c r="V862" s="30" t="n"/>
      <c r="W862" s="30" t="n"/>
    </row>
    <row r="863">
      <c r="U863" s="18" t="n">
        <v>861</v>
      </c>
      <c r="V863" s="30" t="n"/>
      <c r="W863" s="30" t="n"/>
    </row>
    <row r="864">
      <c r="U864" s="18" t="n">
        <v>862</v>
      </c>
      <c r="V864" s="30" t="n"/>
      <c r="W864" s="30" t="n"/>
    </row>
    <row r="865">
      <c r="U865" s="18" t="n">
        <v>863</v>
      </c>
      <c r="V865" s="30" t="n"/>
      <c r="W865" s="30" t="n"/>
    </row>
    <row r="866">
      <c r="U866" s="18" t="n">
        <v>864</v>
      </c>
      <c r="V866" s="30" t="n"/>
      <c r="W866" s="30" t="n"/>
    </row>
    <row r="867">
      <c r="U867" s="18" t="n">
        <v>865</v>
      </c>
      <c r="V867" s="30" t="n"/>
      <c r="W867" s="30" t="n"/>
    </row>
    <row r="868">
      <c r="U868" s="18" t="n">
        <v>866</v>
      </c>
      <c r="V868" s="30" t="n"/>
      <c r="W868" s="30" t="n"/>
    </row>
    <row r="869">
      <c r="U869" s="18" t="n">
        <v>867</v>
      </c>
      <c r="V869" s="30" t="n"/>
      <c r="W869" s="30" t="n"/>
    </row>
    <row r="870">
      <c r="U870" s="18" t="n">
        <v>868</v>
      </c>
      <c r="V870" s="30" t="n"/>
      <c r="W870" s="30" t="n"/>
    </row>
    <row r="871">
      <c r="U871" s="18" t="n">
        <v>869</v>
      </c>
      <c r="V871" s="30" t="n"/>
      <c r="W871" s="30" t="n"/>
    </row>
    <row r="872">
      <c r="U872" s="18" t="n">
        <v>870</v>
      </c>
      <c r="V872" s="30" t="n"/>
      <c r="W872" s="30" t="n"/>
    </row>
    <row r="873">
      <c r="U873" s="18" t="n">
        <v>871</v>
      </c>
      <c r="V873" s="30" t="n"/>
      <c r="W873" s="30" t="n"/>
    </row>
    <row r="874">
      <c r="U874" s="18" t="n">
        <v>872</v>
      </c>
      <c r="V874" s="30" t="n"/>
      <c r="W874" s="30" t="n"/>
    </row>
    <row r="875">
      <c r="U875" s="18" t="n">
        <v>873</v>
      </c>
      <c r="V875" s="30" t="n"/>
      <c r="W875" s="30" t="n"/>
    </row>
    <row r="876">
      <c r="U876" s="18" t="n">
        <v>874</v>
      </c>
      <c r="V876" s="30" t="n"/>
      <c r="W876" s="30" t="n"/>
    </row>
    <row r="877">
      <c r="U877" s="18" t="n">
        <v>875</v>
      </c>
      <c r="V877" s="30" t="n"/>
      <c r="W877" s="30" t="n"/>
    </row>
    <row r="878">
      <c r="U878" s="18" t="n">
        <v>876</v>
      </c>
      <c r="V878" s="30" t="n"/>
      <c r="W878" s="30" t="n"/>
    </row>
    <row r="879">
      <c r="U879" s="18" t="n">
        <v>877</v>
      </c>
      <c r="V879" s="30" t="n"/>
      <c r="W879" s="30" t="n"/>
    </row>
    <row r="880">
      <c r="U880" s="18" t="n">
        <v>878</v>
      </c>
      <c r="V880" s="30" t="n"/>
      <c r="W880" s="30" t="n"/>
    </row>
    <row r="881">
      <c r="U881" s="18" t="n">
        <v>879</v>
      </c>
      <c r="V881" s="30" t="n"/>
      <c r="W881" s="30" t="n"/>
    </row>
    <row r="882">
      <c r="U882" s="18" t="n">
        <v>880</v>
      </c>
      <c r="V882" s="30" t="n"/>
      <c r="W882" s="30" t="n"/>
    </row>
    <row r="883">
      <c r="U883" s="18" t="n">
        <v>881</v>
      </c>
      <c r="V883" s="30" t="n"/>
      <c r="W883" s="30" t="n"/>
    </row>
    <row r="884">
      <c r="U884" s="18" t="n">
        <v>882</v>
      </c>
      <c r="V884" s="30" t="n"/>
      <c r="W884" s="30" t="n"/>
    </row>
    <row r="885">
      <c r="U885" s="18" t="n">
        <v>883</v>
      </c>
      <c r="V885" s="30" t="n"/>
      <c r="W885" s="30" t="n"/>
    </row>
    <row r="886">
      <c r="U886" s="18" t="n">
        <v>884</v>
      </c>
      <c r="V886" s="30" t="n"/>
      <c r="W886" s="30" t="n"/>
    </row>
    <row r="887">
      <c r="U887" s="18" t="n">
        <v>885</v>
      </c>
      <c r="V887" s="30" t="n"/>
      <c r="W887" s="30" t="n"/>
    </row>
    <row r="888">
      <c r="U888" s="18" t="n">
        <v>886</v>
      </c>
      <c r="V888" s="30" t="n"/>
      <c r="W888" s="30" t="n"/>
    </row>
    <row r="889">
      <c r="U889" s="18" t="n">
        <v>887</v>
      </c>
      <c r="V889" s="30" t="n"/>
      <c r="W889" s="30" t="n"/>
    </row>
    <row r="890">
      <c r="U890" s="18" t="n">
        <v>888</v>
      </c>
      <c r="V890" s="30" t="n"/>
      <c r="W890" s="30" t="n"/>
    </row>
    <row r="891">
      <c r="U891" s="18" t="n">
        <v>889</v>
      </c>
      <c r="V891" s="30" t="n"/>
      <c r="W891" s="30" t="n"/>
    </row>
    <row r="892">
      <c r="U892" s="18" t="n">
        <v>890</v>
      </c>
      <c r="V892" s="30" t="n"/>
      <c r="W892" s="30" t="n"/>
    </row>
    <row r="893">
      <c r="U893" s="18" t="n">
        <v>891</v>
      </c>
      <c r="V893" s="30" t="n"/>
      <c r="W893" s="30" t="n"/>
    </row>
    <row r="894">
      <c r="U894" s="18" t="n">
        <v>892</v>
      </c>
      <c r="V894" s="30" t="n"/>
      <c r="W894" s="30" t="n"/>
    </row>
    <row r="895">
      <c r="U895" s="18" t="n">
        <v>893</v>
      </c>
      <c r="V895" s="30" t="n"/>
      <c r="W895" s="30" t="n"/>
    </row>
    <row r="896">
      <c r="U896" s="18" t="n">
        <v>894</v>
      </c>
      <c r="V896" s="30" t="n"/>
      <c r="W896" s="30" t="n"/>
    </row>
    <row r="897">
      <c r="U897" s="18" t="n">
        <v>895</v>
      </c>
      <c r="V897" s="30" t="n"/>
      <c r="W897" s="30" t="n"/>
    </row>
    <row r="898">
      <c r="U898" s="18" t="n">
        <v>896</v>
      </c>
      <c r="V898" s="30" t="n"/>
      <c r="W898" s="30" t="n"/>
    </row>
    <row r="899">
      <c r="U899" s="18" t="n">
        <v>897</v>
      </c>
      <c r="V899" s="30" t="n"/>
      <c r="W899" s="30" t="n"/>
    </row>
    <row r="900">
      <c r="U900" s="18" t="n">
        <v>898</v>
      </c>
      <c r="V900" s="30" t="n"/>
      <c r="W900" s="30" t="n"/>
    </row>
    <row r="901">
      <c r="U901" s="18" t="n">
        <v>899</v>
      </c>
      <c r="V901" s="30" t="n"/>
      <c r="W901" s="30" t="n"/>
    </row>
    <row r="902">
      <c r="U902" s="18" t="n">
        <v>900</v>
      </c>
      <c r="V902" s="30" t="n"/>
      <c r="W902" s="30" t="n"/>
    </row>
    <row r="903">
      <c r="U903" s="18" t="n">
        <v>901</v>
      </c>
      <c r="V903" s="30" t="n"/>
      <c r="W903" s="30" t="n"/>
    </row>
    <row r="904">
      <c r="U904" s="18" t="n">
        <v>902</v>
      </c>
      <c r="V904" s="30" t="n"/>
      <c r="W904" s="30" t="n"/>
    </row>
    <row r="905">
      <c r="U905" s="18" t="n">
        <v>903</v>
      </c>
      <c r="V905" s="30" t="n"/>
      <c r="W905" s="30" t="n"/>
    </row>
    <row r="906">
      <c r="U906" s="18" t="n">
        <v>904</v>
      </c>
      <c r="V906" s="30" t="n"/>
      <c r="W906" s="30" t="n"/>
    </row>
    <row r="907">
      <c r="U907" s="18" t="n">
        <v>905</v>
      </c>
      <c r="V907" s="30" t="n"/>
      <c r="W907" s="30" t="n"/>
    </row>
    <row r="908">
      <c r="U908" s="18" t="n">
        <v>906</v>
      </c>
      <c r="V908" s="30" t="n"/>
      <c r="W908" s="30" t="n"/>
    </row>
    <row r="909">
      <c r="U909" s="18" t="n">
        <v>907</v>
      </c>
      <c r="V909" s="30" t="n"/>
      <c r="W909" s="30" t="n"/>
    </row>
    <row r="910">
      <c r="U910" s="18" t="n">
        <v>908</v>
      </c>
      <c r="V910" s="30" t="n"/>
      <c r="W910" s="30" t="n"/>
    </row>
    <row r="911">
      <c r="U911" s="18" t="n">
        <v>909</v>
      </c>
      <c r="V911" s="30" t="n"/>
      <c r="W911" s="30" t="n"/>
    </row>
    <row r="912">
      <c r="U912" s="18" t="n">
        <v>910</v>
      </c>
      <c r="V912" s="30" t="n"/>
      <c r="W912" s="30" t="n"/>
    </row>
    <row r="913">
      <c r="U913" s="18" t="n">
        <v>911</v>
      </c>
      <c r="V913" s="30" t="n"/>
      <c r="W913" s="30" t="n"/>
    </row>
    <row r="914">
      <c r="U914" s="18" t="n">
        <v>912</v>
      </c>
      <c r="V914" s="30" t="n"/>
      <c r="W914" s="30" t="n"/>
    </row>
    <row r="915">
      <c r="U915" s="18" t="n">
        <v>913</v>
      </c>
      <c r="V915" s="30" t="n"/>
      <c r="W915" s="30" t="n"/>
    </row>
    <row r="916">
      <c r="U916" s="18" t="n">
        <v>914</v>
      </c>
      <c r="V916" s="30" t="n"/>
      <c r="W916" s="30" t="n"/>
    </row>
    <row r="917">
      <c r="U917" s="18" t="n">
        <v>915</v>
      </c>
      <c r="V917" s="30" t="n"/>
      <c r="W917" s="30" t="n"/>
    </row>
    <row r="918">
      <c r="U918" s="18" t="n">
        <v>916</v>
      </c>
      <c r="V918" s="30" t="n"/>
      <c r="W918" s="30" t="n"/>
    </row>
    <row r="919">
      <c r="U919" s="18" t="n">
        <v>917</v>
      </c>
      <c r="V919" s="30" t="n"/>
      <c r="W919" s="30" t="n"/>
    </row>
    <row r="920">
      <c r="U920" s="18" t="n">
        <v>918</v>
      </c>
      <c r="V920" s="30" t="n"/>
      <c r="W920" s="30" t="n"/>
    </row>
    <row r="921">
      <c r="U921" s="18" t="n">
        <v>919</v>
      </c>
      <c r="V921" s="30" t="n"/>
      <c r="W921" s="30" t="n"/>
    </row>
    <row r="922">
      <c r="U922" s="18" t="n">
        <v>920</v>
      </c>
      <c r="V922" s="30" t="n"/>
      <c r="W922" s="30" t="n"/>
    </row>
    <row r="923">
      <c r="U923" s="18" t="n">
        <v>921</v>
      </c>
      <c r="V923" s="30" t="n"/>
      <c r="W923" s="30" t="n"/>
    </row>
    <row r="924">
      <c r="U924" s="18" t="n">
        <v>922</v>
      </c>
      <c r="V924" s="30" t="n"/>
      <c r="W924" s="30" t="n"/>
    </row>
    <row r="925">
      <c r="U925" s="18" t="n">
        <v>923</v>
      </c>
      <c r="V925" s="30" t="n"/>
      <c r="W925" s="30" t="n"/>
    </row>
    <row r="926">
      <c r="U926" s="18" t="n">
        <v>924</v>
      </c>
      <c r="V926" s="30" t="n"/>
      <c r="W926" s="30" t="n"/>
    </row>
    <row r="927">
      <c r="U927" s="18" t="n">
        <v>925</v>
      </c>
      <c r="V927" s="30" t="n"/>
      <c r="W927" s="30" t="n"/>
    </row>
    <row r="928">
      <c r="U928" s="18" t="n">
        <v>926</v>
      </c>
      <c r="V928" s="30" t="n"/>
      <c r="W928" s="30" t="n"/>
    </row>
    <row r="929">
      <c r="U929" s="18" t="n">
        <v>927</v>
      </c>
      <c r="V929" s="30" t="n"/>
      <c r="W929" s="30" t="n"/>
    </row>
    <row r="930">
      <c r="U930" s="18" t="n">
        <v>928</v>
      </c>
      <c r="V930" s="30" t="n"/>
      <c r="W930" s="30" t="n"/>
    </row>
    <row r="931">
      <c r="U931" s="18" t="n">
        <v>929</v>
      </c>
      <c r="V931" s="30" t="n"/>
      <c r="W931" s="30" t="n"/>
    </row>
    <row r="932">
      <c r="U932" s="18" t="n">
        <v>930</v>
      </c>
      <c r="V932" s="30" t="n"/>
      <c r="W932" s="30" t="n"/>
    </row>
    <row r="933">
      <c r="U933" s="18" t="n">
        <v>931</v>
      </c>
      <c r="V933" s="30" t="n"/>
      <c r="W933" s="30" t="n"/>
    </row>
    <row r="934">
      <c r="U934" s="18" t="n">
        <v>932</v>
      </c>
      <c r="V934" s="30" t="n"/>
      <c r="W934" s="30" t="n"/>
    </row>
    <row r="935">
      <c r="U935" s="18" t="n">
        <v>933</v>
      </c>
      <c r="V935" s="30" t="n"/>
      <c r="W935" s="30" t="n"/>
    </row>
    <row r="936">
      <c r="U936" s="18" t="n">
        <v>934</v>
      </c>
      <c r="V936" s="30" t="n"/>
      <c r="W936" s="30" t="n"/>
    </row>
    <row r="937">
      <c r="U937" s="18" t="n">
        <v>935</v>
      </c>
      <c r="V937" s="30" t="n"/>
      <c r="W937" s="30" t="n"/>
    </row>
    <row r="938">
      <c r="U938" s="18" t="n">
        <v>936</v>
      </c>
      <c r="V938" s="30" t="n"/>
      <c r="W938" s="30" t="n"/>
    </row>
    <row r="939">
      <c r="U939" s="18" t="n">
        <v>937</v>
      </c>
      <c r="V939" s="30" t="n"/>
      <c r="W939" s="30" t="n"/>
    </row>
    <row r="940">
      <c r="U940" s="18" t="n">
        <v>938</v>
      </c>
      <c r="V940" s="30" t="n"/>
      <c r="W940" s="30" t="n"/>
    </row>
    <row r="941">
      <c r="U941" s="18" t="n">
        <v>939</v>
      </c>
      <c r="V941" s="30" t="n"/>
      <c r="W941" s="30" t="n"/>
    </row>
    <row r="942">
      <c r="U942" s="18" t="n">
        <v>940</v>
      </c>
      <c r="V942" s="30" t="n"/>
      <c r="W942" s="30" t="n"/>
    </row>
    <row r="943">
      <c r="U943" s="18" t="n">
        <v>941</v>
      </c>
      <c r="V943" s="30" t="n"/>
      <c r="W943" s="30" t="n"/>
    </row>
    <row r="944">
      <c r="U944" s="18" t="n">
        <v>942</v>
      </c>
      <c r="V944" s="30" t="n"/>
      <c r="W944" s="30" t="n"/>
    </row>
    <row r="945">
      <c r="U945" s="18" t="n">
        <v>943</v>
      </c>
      <c r="V945" s="30" t="n"/>
      <c r="W945" s="30" t="n"/>
    </row>
    <row r="946">
      <c r="U946" s="18" t="n">
        <v>944</v>
      </c>
      <c r="V946" s="30" t="n"/>
      <c r="W946" s="30" t="n"/>
    </row>
    <row r="947">
      <c r="U947" s="18" t="n">
        <v>945</v>
      </c>
      <c r="V947" s="30" t="n"/>
      <c r="W947" s="30" t="n"/>
    </row>
    <row r="948">
      <c r="U948" s="18" t="n">
        <v>946</v>
      </c>
      <c r="V948" s="30" t="n"/>
      <c r="W948" s="30" t="n"/>
    </row>
    <row r="949">
      <c r="U949" s="18" t="n">
        <v>947</v>
      </c>
      <c r="V949" s="30" t="n"/>
      <c r="W949" s="30" t="n"/>
    </row>
    <row r="950">
      <c r="U950" s="18" t="n">
        <v>948</v>
      </c>
      <c r="V950" s="30" t="n"/>
      <c r="W950" s="30" t="n"/>
    </row>
    <row r="951">
      <c r="U951" s="18" t="n">
        <v>949</v>
      </c>
      <c r="V951" s="30" t="n"/>
      <c r="W951" s="30" t="n"/>
    </row>
    <row r="952">
      <c r="U952" s="18" t="n">
        <v>950</v>
      </c>
      <c r="V952" s="30" t="n"/>
      <c r="W952" s="30" t="n"/>
    </row>
    <row r="953">
      <c r="U953" s="18" t="n">
        <v>951</v>
      </c>
      <c r="V953" s="30" t="n"/>
      <c r="W953" s="30" t="n"/>
    </row>
    <row r="954">
      <c r="U954" s="18" t="n">
        <v>952</v>
      </c>
      <c r="V954" s="30" t="n"/>
      <c r="W954" s="30" t="n"/>
    </row>
    <row r="955">
      <c r="U955" s="18" t="n">
        <v>953</v>
      </c>
      <c r="V955" s="30" t="n"/>
      <c r="W955" s="30" t="n"/>
    </row>
    <row r="956">
      <c r="U956" s="18" t="n">
        <v>954</v>
      </c>
      <c r="V956" s="30" t="n"/>
      <c r="W956" s="30" t="n"/>
    </row>
    <row r="957">
      <c r="U957" s="18" t="n">
        <v>955</v>
      </c>
      <c r="V957" s="30" t="n"/>
      <c r="W957" s="30" t="n"/>
    </row>
    <row r="958">
      <c r="U958" s="18" t="n">
        <v>956</v>
      </c>
      <c r="V958" s="30" t="n"/>
      <c r="W958" s="30" t="n"/>
    </row>
    <row r="959">
      <c r="U959" s="18" t="n">
        <v>957</v>
      </c>
      <c r="V959" s="30" t="n"/>
      <c r="W959" s="30" t="n"/>
    </row>
    <row r="960">
      <c r="U960" s="18" t="n">
        <v>958</v>
      </c>
      <c r="V960" s="30" t="n"/>
      <c r="W960" s="30" t="n"/>
    </row>
    <row r="961">
      <c r="U961" s="18" t="n">
        <v>959</v>
      </c>
      <c r="V961" s="30" t="n"/>
      <c r="W961" s="30" t="n"/>
    </row>
    <row r="962">
      <c r="U962" s="18" t="n">
        <v>960</v>
      </c>
      <c r="V962" s="30" t="n"/>
      <c r="W962" s="30" t="n"/>
    </row>
    <row r="963">
      <c r="U963" s="18" t="n">
        <v>961</v>
      </c>
      <c r="V963" s="30" t="n"/>
      <c r="W963" s="30" t="n"/>
    </row>
    <row r="964">
      <c r="U964" s="18" t="n">
        <v>962</v>
      </c>
      <c r="V964" s="30" t="n"/>
      <c r="W964" s="30" t="n"/>
    </row>
    <row r="965">
      <c r="U965" s="18" t="n">
        <v>963</v>
      </c>
      <c r="V965" s="30" t="n"/>
      <c r="W965" s="30" t="n"/>
    </row>
    <row r="966">
      <c r="U966" s="18" t="n">
        <v>964</v>
      </c>
      <c r="V966" s="30" t="n"/>
      <c r="W966" s="30" t="n"/>
    </row>
    <row r="967">
      <c r="U967" s="18" t="n">
        <v>965</v>
      </c>
      <c r="V967" s="30" t="n"/>
      <c r="W967" s="30" t="n"/>
    </row>
    <row r="968">
      <c r="U968" s="18" t="n">
        <v>966</v>
      </c>
      <c r="V968" s="30" t="n"/>
      <c r="W968" s="30" t="n"/>
    </row>
    <row r="969">
      <c r="U969" s="18" t="n">
        <v>967</v>
      </c>
      <c r="V969" s="30" t="n"/>
      <c r="W969" s="30" t="n"/>
    </row>
    <row r="970">
      <c r="U970" s="18" t="n">
        <v>968</v>
      </c>
      <c r="V970" s="30" t="n"/>
      <c r="W970" s="30" t="n"/>
    </row>
    <row r="971">
      <c r="U971" s="18" t="n">
        <v>969</v>
      </c>
      <c r="V971" s="30" t="n"/>
      <c r="W971" s="30" t="n"/>
    </row>
    <row r="972">
      <c r="U972" s="18" t="n">
        <v>970</v>
      </c>
      <c r="V972" s="30" t="n"/>
      <c r="W972" s="30" t="n"/>
    </row>
    <row r="973">
      <c r="U973" s="18" t="n">
        <v>971</v>
      </c>
      <c r="V973" s="30" t="n"/>
      <c r="W973" s="30" t="n"/>
    </row>
    <row r="974">
      <c r="U974" s="18" t="n">
        <v>972</v>
      </c>
      <c r="V974" s="30" t="n"/>
      <c r="W974" s="30" t="n"/>
    </row>
    <row r="975">
      <c r="U975" s="18" t="n">
        <v>973</v>
      </c>
      <c r="V975" s="30" t="n"/>
      <c r="W975" s="30" t="n"/>
    </row>
    <row r="976">
      <c r="U976" s="18" t="n">
        <v>974</v>
      </c>
      <c r="V976" s="30" t="n"/>
      <c r="W976" s="30" t="n"/>
    </row>
    <row r="977">
      <c r="U977" s="18" t="n">
        <v>975</v>
      </c>
      <c r="V977" s="30" t="n"/>
      <c r="W977" s="30" t="n"/>
    </row>
    <row r="978">
      <c r="U978" s="18" t="n">
        <v>976</v>
      </c>
      <c r="V978" s="30" t="n"/>
      <c r="W978" s="30" t="n"/>
    </row>
    <row r="979">
      <c r="U979" s="18" t="n">
        <v>977</v>
      </c>
      <c r="V979" s="30" t="n"/>
      <c r="W979" s="30" t="n"/>
    </row>
    <row r="980">
      <c r="U980" s="18" t="n">
        <v>978</v>
      </c>
      <c r="V980" s="30" t="n"/>
      <c r="W980" s="30" t="n"/>
    </row>
    <row r="981">
      <c r="U981" s="18" t="n">
        <v>979</v>
      </c>
      <c r="V981" s="30" t="n"/>
      <c r="W981" s="30" t="n"/>
    </row>
    <row r="982">
      <c r="U982" s="18" t="n">
        <v>980</v>
      </c>
      <c r="V982" s="30" t="n"/>
      <c r="W982" s="30" t="n"/>
    </row>
    <row r="983">
      <c r="U983" s="18" t="n">
        <v>981</v>
      </c>
      <c r="V983" s="30" t="n"/>
      <c r="W983" s="30" t="n"/>
    </row>
    <row r="984">
      <c r="U984" s="18" t="n">
        <v>982</v>
      </c>
      <c r="V984" s="30" t="n"/>
      <c r="W984" s="30" t="n"/>
    </row>
    <row r="985">
      <c r="U985" s="18" t="n">
        <v>983</v>
      </c>
      <c r="V985" s="30" t="n"/>
      <c r="W985" s="30" t="n"/>
    </row>
    <row r="986">
      <c r="U986" s="18" t="n">
        <v>984</v>
      </c>
      <c r="V986" s="30" t="n"/>
      <c r="W986" s="30" t="n"/>
    </row>
    <row r="987">
      <c r="U987" s="18" t="n">
        <v>985</v>
      </c>
      <c r="V987" s="30" t="n"/>
      <c r="W987" s="30" t="n"/>
    </row>
    <row r="988">
      <c r="U988" s="18" t="n">
        <v>986</v>
      </c>
      <c r="V988" s="30" t="n"/>
      <c r="W988" s="30" t="n"/>
    </row>
    <row r="989">
      <c r="U989" s="18" t="n">
        <v>987</v>
      </c>
      <c r="V989" s="30" t="n"/>
      <c r="W989" s="30" t="n"/>
    </row>
    <row r="990">
      <c r="U990" s="18" t="n">
        <v>988</v>
      </c>
      <c r="V990" s="30" t="n"/>
      <c r="W990" s="30" t="n"/>
    </row>
    <row r="991">
      <c r="U991" s="18" t="n">
        <v>989</v>
      </c>
      <c r="V991" s="30" t="n"/>
      <c r="W991" s="30" t="n"/>
    </row>
    <row r="992">
      <c r="U992" s="18" t="n">
        <v>990</v>
      </c>
      <c r="V992" s="30" t="n"/>
      <c r="W992" s="30" t="n"/>
    </row>
    <row r="993">
      <c r="U993" s="18" t="n">
        <v>991</v>
      </c>
      <c r="V993" s="30" t="n"/>
      <c r="W993" s="30" t="n"/>
    </row>
    <row r="994">
      <c r="U994" s="18" t="n">
        <v>992</v>
      </c>
      <c r="V994" s="30" t="n"/>
      <c r="W994" s="30" t="n"/>
    </row>
    <row r="995">
      <c r="U995" s="18" t="n">
        <v>993</v>
      </c>
      <c r="V995" s="30" t="n"/>
      <c r="W995" s="30" t="n"/>
    </row>
    <row r="996">
      <c r="U996" s="18" t="n">
        <v>994</v>
      </c>
      <c r="V996" s="30" t="n"/>
      <c r="W996" s="30" t="n"/>
    </row>
    <row r="997">
      <c r="U997" s="18" t="n">
        <v>995</v>
      </c>
      <c r="V997" s="30" t="n"/>
      <c r="W997" s="30" t="n"/>
    </row>
    <row r="998">
      <c r="U998" s="18" t="n">
        <v>996</v>
      </c>
      <c r="V998" s="30" t="n"/>
      <c r="W998" s="30" t="n"/>
    </row>
    <row r="999">
      <c r="U999" s="18" t="n">
        <v>997</v>
      </c>
      <c r="V999" s="30" t="n"/>
      <c r="W999" s="30" t="n"/>
    </row>
    <row r="1000">
      <c r="U1000" s="18" t="n">
        <v>998</v>
      </c>
      <c r="V1000" s="30" t="n"/>
      <c r="W1000" s="30" t="n"/>
    </row>
    <row r="1001">
      <c r="U1001" s="18" t="n">
        <v>999</v>
      </c>
      <c r="V1001" s="30" t="n"/>
      <c r="W1001" s="30" t="n"/>
    </row>
    <row r="1002">
      <c r="U1002" s="18" t="n">
        <v>1000</v>
      </c>
      <c r="V1002" s="30" t="n"/>
      <c r="W1002" s="30" t="n"/>
    </row>
    <row r="1003">
      <c r="U1003" s="18" t="n">
        <v>1001</v>
      </c>
      <c r="V1003" s="30" t="n"/>
      <c r="W1003" s="30" t="n"/>
    </row>
    <row r="1004">
      <c r="U1004" s="18" t="n">
        <v>1002</v>
      </c>
      <c r="V1004" s="30" t="n"/>
      <c r="W1004" s="30" t="n"/>
    </row>
    <row r="1005">
      <c r="U1005" s="18" t="n">
        <v>1003</v>
      </c>
      <c r="V1005" s="30" t="n"/>
      <c r="W1005" s="30" t="n"/>
    </row>
    <row r="1006">
      <c r="U1006" s="18" t="n">
        <v>1004</v>
      </c>
      <c r="V1006" s="30" t="n"/>
      <c r="W1006" s="30" t="n"/>
    </row>
    <row r="1007">
      <c r="U1007" s="18" t="n">
        <v>1005</v>
      </c>
      <c r="V1007" s="30" t="n"/>
      <c r="W1007" s="30" t="n"/>
    </row>
    <row r="1008">
      <c r="U1008" s="18" t="n">
        <v>1006</v>
      </c>
      <c r="V1008" s="30" t="n"/>
      <c r="W1008" s="30" t="n"/>
    </row>
    <row r="1009">
      <c r="U1009" s="18" t="n">
        <v>1007</v>
      </c>
      <c r="V1009" s="30" t="n"/>
      <c r="W1009" s="30" t="n"/>
    </row>
    <row r="1010">
      <c r="U1010" s="18" t="n">
        <v>1008</v>
      </c>
      <c r="V1010" s="30" t="n"/>
      <c r="W1010" s="30" t="n"/>
    </row>
    <row r="1011">
      <c r="U1011" s="18" t="n">
        <v>1009</v>
      </c>
      <c r="V1011" s="30" t="n"/>
      <c r="W1011" s="30" t="n"/>
    </row>
    <row r="1012">
      <c r="U1012" s="18" t="n">
        <v>1010</v>
      </c>
      <c r="V1012" s="30" t="n"/>
      <c r="W1012" s="30" t="n"/>
    </row>
    <row r="1013">
      <c r="U1013" s="18" t="n">
        <v>1011</v>
      </c>
      <c r="V1013" s="30" t="n"/>
      <c r="W1013" s="30" t="n"/>
    </row>
    <row r="1014">
      <c r="U1014" s="18" t="n">
        <v>1012</v>
      </c>
      <c r="V1014" s="30" t="n"/>
      <c r="W1014" s="30" t="n"/>
    </row>
    <row r="1015">
      <c r="U1015" s="18" t="n">
        <v>1013</v>
      </c>
      <c r="V1015" s="30" t="n"/>
      <c r="W1015" s="30" t="n"/>
    </row>
    <row r="1016">
      <c r="U1016" s="18" t="n">
        <v>1014</v>
      </c>
      <c r="V1016" s="30" t="n"/>
      <c r="W1016" s="30" t="n"/>
    </row>
    <row r="1017">
      <c r="U1017" s="18" t="n">
        <v>1015</v>
      </c>
      <c r="V1017" s="30" t="n"/>
      <c r="W1017" s="30" t="n"/>
    </row>
    <row r="1018">
      <c r="U1018" s="18" t="n">
        <v>1016</v>
      </c>
      <c r="V1018" s="30" t="n"/>
      <c r="W1018" s="30" t="n"/>
    </row>
    <row r="1019">
      <c r="U1019" s="18" t="n">
        <v>1017</v>
      </c>
      <c r="V1019" s="30" t="n"/>
      <c r="W1019" s="30" t="n"/>
    </row>
    <row r="1020">
      <c r="U1020" s="18" t="n">
        <v>1018</v>
      </c>
      <c r="V1020" s="30" t="n"/>
      <c r="W1020" s="30" t="n"/>
    </row>
    <row r="1021">
      <c r="U1021" s="18" t="n">
        <v>1019</v>
      </c>
      <c r="V1021" s="30" t="n"/>
      <c r="W1021" s="30" t="n"/>
    </row>
    <row r="1022">
      <c r="U1022" s="18" t="n">
        <v>1020</v>
      </c>
      <c r="V1022" s="30" t="n"/>
      <c r="W1022" s="30" t="n"/>
    </row>
    <row r="1023">
      <c r="U1023" s="18" t="n">
        <v>1021</v>
      </c>
      <c r="V1023" s="30" t="n"/>
      <c r="W1023" s="30" t="n"/>
    </row>
    <row r="1024">
      <c r="U1024" s="18" t="n">
        <v>1022</v>
      </c>
      <c r="V1024" s="30" t="n"/>
      <c r="W1024" s="30" t="n"/>
    </row>
    <row r="1025">
      <c r="U1025" s="18" t="n">
        <v>1023</v>
      </c>
      <c r="V1025" s="30" t="n"/>
      <c r="W1025" s="30" t="n"/>
    </row>
    <row r="1026">
      <c r="U1026" s="18" t="n">
        <v>1024</v>
      </c>
      <c r="V1026" s="30" t="n"/>
      <c r="W1026" s="30" t="n"/>
    </row>
    <row r="1027">
      <c r="U1027" s="18" t="n">
        <v>1025</v>
      </c>
      <c r="V1027" s="30" t="n"/>
      <c r="W1027" s="30" t="n"/>
    </row>
    <row r="1028">
      <c r="U1028" s="18" t="n">
        <v>1026</v>
      </c>
      <c r="V1028" s="30" t="n"/>
      <c r="W1028" s="30" t="n"/>
    </row>
    <row r="1029">
      <c r="U1029" s="18" t="n">
        <v>1027</v>
      </c>
      <c r="V1029" s="30" t="n"/>
      <c r="W1029" s="30" t="n"/>
    </row>
    <row r="1030">
      <c r="U1030" s="18" t="n">
        <v>1028</v>
      </c>
      <c r="V1030" s="30" t="n"/>
      <c r="W1030" s="30" t="n"/>
    </row>
    <row r="1031">
      <c r="U1031" s="18" t="n">
        <v>1029</v>
      </c>
      <c r="V1031" s="30" t="n"/>
      <c r="W1031" s="30" t="n"/>
    </row>
    <row r="1032">
      <c r="U1032" s="18" t="n">
        <v>1030</v>
      </c>
      <c r="V1032" s="30" t="n"/>
      <c r="W1032" s="30" t="n"/>
    </row>
    <row r="1033">
      <c r="U1033" s="18" t="n">
        <v>1031</v>
      </c>
      <c r="V1033" s="30" t="n"/>
      <c r="W1033" s="30" t="n"/>
    </row>
    <row r="1034">
      <c r="U1034" s="18" t="n">
        <v>1032</v>
      </c>
      <c r="V1034" s="30" t="n"/>
      <c r="W1034" s="30" t="n"/>
    </row>
    <row r="1035">
      <c r="U1035" s="18" t="n">
        <v>1033</v>
      </c>
      <c r="V1035" s="30" t="n"/>
      <c r="W1035" s="30" t="n"/>
    </row>
    <row r="1036">
      <c r="U1036" s="18" t="n">
        <v>1034</v>
      </c>
      <c r="V1036" s="30" t="n"/>
      <c r="W1036" s="30" t="n"/>
    </row>
    <row r="1037">
      <c r="U1037" s="18" t="n">
        <v>1035</v>
      </c>
      <c r="V1037" s="30" t="n"/>
      <c r="W1037" s="30" t="n"/>
    </row>
    <row r="1038">
      <c r="U1038" s="18" t="n">
        <v>1036</v>
      </c>
      <c r="V1038" s="30" t="n"/>
      <c r="W1038" s="30" t="n"/>
    </row>
    <row r="1039">
      <c r="U1039" s="18" t="n">
        <v>1037</v>
      </c>
      <c r="V1039" s="30" t="n"/>
      <c r="W1039" s="30" t="n"/>
    </row>
    <row r="1040">
      <c r="U1040" s="18" t="n">
        <v>1038</v>
      </c>
      <c r="V1040" s="30" t="n"/>
      <c r="W1040" s="30" t="n"/>
    </row>
    <row r="1041">
      <c r="U1041" s="18" t="n">
        <v>1039</v>
      </c>
      <c r="V1041" s="30" t="n"/>
      <c r="W1041" s="30" t="n"/>
    </row>
    <row r="1042">
      <c r="U1042" s="18" t="n">
        <v>1040</v>
      </c>
      <c r="V1042" s="30" t="n"/>
      <c r="W1042" s="30" t="n"/>
    </row>
    <row r="1043">
      <c r="U1043" s="18" t="n">
        <v>1041</v>
      </c>
      <c r="V1043" s="30" t="n"/>
      <c r="W1043" s="30" t="n"/>
    </row>
    <row r="1044">
      <c r="U1044" s="18" t="n">
        <v>1042</v>
      </c>
      <c r="V1044" s="30" t="n"/>
      <c r="W1044" s="30" t="n"/>
    </row>
    <row r="1045">
      <c r="U1045" s="18" t="n">
        <v>1043</v>
      </c>
      <c r="V1045" s="30" t="n"/>
      <c r="W1045" s="30" t="n"/>
    </row>
    <row r="1046">
      <c r="U1046" s="18" t="n">
        <v>1044</v>
      </c>
      <c r="V1046" s="30" t="n"/>
      <c r="W1046" s="30" t="n"/>
    </row>
    <row r="1047">
      <c r="U1047" s="18" t="n">
        <v>1045</v>
      </c>
      <c r="V1047" s="30" t="n"/>
      <c r="W1047" s="30" t="n"/>
    </row>
    <row r="1048">
      <c r="U1048" s="18" t="n">
        <v>1046</v>
      </c>
      <c r="V1048" s="30" t="n"/>
      <c r="W1048" s="30" t="n"/>
    </row>
    <row r="1049">
      <c r="U1049" s="18" t="n">
        <v>1047</v>
      </c>
      <c r="V1049" s="30" t="n"/>
      <c r="W1049" s="30" t="n"/>
    </row>
    <row r="1050">
      <c r="U1050" s="18" t="n">
        <v>1048</v>
      </c>
      <c r="V1050" s="30" t="n"/>
      <c r="W1050" s="30" t="n"/>
    </row>
    <row r="1051">
      <c r="U1051" s="18" t="n">
        <v>1049</v>
      </c>
      <c r="V1051" s="30" t="n"/>
      <c r="W1051" s="30" t="n"/>
    </row>
    <row r="1052">
      <c r="U1052" s="18" t="n">
        <v>1050</v>
      </c>
      <c r="V1052" s="30" t="n"/>
      <c r="W1052" s="30" t="n"/>
    </row>
    <row r="1053">
      <c r="U1053" s="18" t="n">
        <v>1051</v>
      </c>
      <c r="V1053" s="30" t="n"/>
      <c r="W1053" s="30" t="n"/>
    </row>
    <row r="1054">
      <c r="U1054" s="18" t="n">
        <v>1052</v>
      </c>
      <c r="V1054" s="30" t="n"/>
      <c r="W1054" s="30" t="n"/>
    </row>
    <row r="1055">
      <c r="U1055" s="18" t="n">
        <v>1053</v>
      </c>
      <c r="V1055" s="30" t="n"/>
      <c r="W1055" s="30" t="n"/>
    </row>
    <row r="1056">
      <c r="U1056" s="18" t="n">
        <v>1054</v>
      </c>
      <c r="V1056" s="30" t="n"/>
      <c r="W1056" s="30" t="n"/>
    </row>
    <row r="1057">
      <c r="U1057" s="18" t="n">
        <v>1055</v>
      </c>
      <c r="V1057" s="30" t="n"/>
      <c r="W1057" s="30" t="n"/>
    </row>
    <row r="1058">
      <c r="U1058" s="18" t="n">
        <v>1056</v>
      </c>
      <c r="V1058" s="30" t="n"/>
      <c r="W1058" s="30" t="n"/>
    </row>
    <row r="1059">
      <c r="U1059" s="18" t="n">
        <v>1057</v>
      </c>
      <c r="V1059" s="30" t="n"/>
      <c r="W1059" s="30" t="n"/>
    </row>
    <row r="1060">
      <c r="U1060" s="18" t="n">
        <v>1058</v>
      </c>
      <c r="V1060" s="30" t="n"/>
      <c r="W1060" s="30" t="n"/>
    </row>
    <row r="1061">
      <c r="U1061" s="18" t="n">
        <v>1059</v>
      </c>
      <c r="V1061" s="30" t="n"/>
      <c r="W1061" s="30" t="n"/>
    </row>
    <row r="1062">
      <c r="U1062" s="18" t="n">
        <v>1060</v>
      </c>
      <c r="V1062" s="30" t="n"/>
      <c r="W1062" s="30" t="n"/>
    </row>
    <row r="1063">
      <c r="U1063" s="18" t="n">
        <v>1061</v>
      </c>
      <c r="V1063" s="30" t="n"/>
      <c r="W1063" s="30" t="n"/>
    </row>
    <row r="1064">
      <c r="U1064" s="18" t="n">
        <v>1062</v>
      </c>
      <c r="V1064" s="30" t="n"/>
      <c r="W1064" s="30" t="n"/>
    </row>
    <row r="1065">
      <c r="U1065" s="18" t="n">
        <v>1063</v>
      </c>
      <c r="V1065" s="30" t="n"/>
      <c r="W1065" s="30" t="n"/>
    </row>
    <row r="1066">
      <c r="U1066" s="18" t="n">
        <v>1064</v>
      </c>
      <c r="V1066" s="30" t="n"/>
      <c r="W1066" s="30" t="n"/>
    </row>
    <row r="1067">
      <c r="U1067" s="18" t="n">
        <v>1065</v>
      </c>
      <c r="V1067" s="30" t="n"/>
      <c r="W1067" s="30" t="n"/>
    </row>
    <row r="1068">
      <c r="U1068" s="18" t="n">
        <v>1066</v>
      </c>
      <c r="V1068" s="30" t="n"/>
      <c r="W1068" s="30" t="n"/>
    </row>
    <row r="1069">
      <c r="U1069" s="18" t="n">
        <v>1067</v>
      </c>
      <c r="V1069" s="30" t="n"/>
      <c r="W1069" s="30" t="n"/>
    </row>
    <row r="1070">
      <c r="U1070" s="18" t="n">
        <v>1068</v>
      </c>
      <c r="V1070" s="30" t="n"/>
      <c r="W1070" s="30" t="n"/>
    </row>
    <row r="1071">
      <c r="U1071" s="18" t="n">
        <v>1069</v>
      </c>
      <c r="V1071" s="30" t="n"/>
      <c r="W1071" s="30" t="n"/>
    </row>
    <row r="1072">
      <c r="U1072" s="18" t="n">
        <v>1070</v>
      </c>
      <c r="V1072" s="30" t="n"/>
      <c r="W1072" s="30" t="n"/>
    </row>
    <row r="1073">
      <c r="U1073" s="18" t="n">
        <v>1071</v>
      </c>
      <c r="V1073" s="30" t="n"/>
      <c r="W1073" s="30" t="n"/>
    </row>
    <row r="1074">
      <c r="U1074" s="18" t="n">
        <v>1072</v>
      </c>
      <c r="V1074" s="30" t="n"/>
      <c r="W1074" s="30" t="n"/>
    </row>
    <row r="1075">
      <c r="U1075" s="18" t="n">
        <v>1073</v>
      </c>
      <c r="V1075" s="30" t="n"/>
      <c r="W1075" s="30" t="n"/>
    </row>
    <row r="1076">
      <c r="U1076" s="18" t="n">
        <v>1074</v>
      </c>
      <c r="V1076" s="30" t="n"/>
      <c r="W1076" s="30" t="n"/>
    </row>
    <row r="1077">
      <c r="U1077" s="18" t="n">
        <v>1075</v>
      </c>
      <c r="V1077" s="30" t="n"/>
      <c r="W1077" s="30" t="n"/>
    </row>
    <row r="1078">
      <c r="U1078" s="18" t="n">
        <v>1076</v>
      </c>
      <c r="V1078" s="30" t="n"/>
      <c r="W1078" s="30" t="n"/>
    </row>
    <row r="1079">
      <c r="U1079" s="18" t="n">
        <v>1077</v>
      </c>
      <c r="V1079" s="30" t="n"/>
      <c r="W1079" s="30" t="n"/>
    </row>
    <row r="1080">
      <c r="U1080" s="18" t="n">
        <v>1078</v>
      </c>
      <c r="V1080" s="30" t="n"/>
      <c r="W1080" s="30" t="n"/>
    </row>
    <row r="1081">
      <c r="U1081" s="18" t="n">
        <v>1079</v>
      </c>
      <c r="V1081" s="30" t="n"/>
      <c r="W1081" s="30" t="n"/>
    </row>
    <row r="1082">
      <c r="U1082" s="18" t="n">
        <v>1080</v>
      </c>
      <c r="V1082" s="30" t="n"/>
      <c r="W1082" s="30" t="n"/>
    </row>
    <row r="1083">
      <c r="U1083" s="18" t="n">
        <v>1081</v>
      </c>
      <c r="V1083" s="30" t="n"/>
      <c r="W1083" s="30" t="n"/>
    </row>
    <row r="1084">
      <c r="U1084" s="18" t="n">
        <v>1082</v>
      </c>
      <c r="V1084" s="30" t="n"/>
      <c r="W1084" s="30" t="n"/>
    </row>
    <row r="1085">
      <c r="U1085" s="18" t="n">
        <v>1083</v>
      </c>
      <c r="V1085" s="30" t="n"/>
      <c r="W1085" s="30" t="n"/>
    </row>
    <row r="1086">
      <c r="U1086" s="18" t="n">
        <v>1084</v>
      </c>
      <c r="V1086" s="30" t="n"/>
      <c r="W1086" s="30" t="n"/>
    </row>
    <row r="1087">
      <c r="U1087" s="18" t="n">
        <v>1085</v>
      </c>
      <c r="V1087" s="30" t="n"/>
      <c r="W1087" s="30" t="n"/>
    </row>
    <row r="1088">
      <c r="U1088" s="18" t="n">
        <v>1086</v>
      </c>
      <c r="V1088" s="30" t="n"/>
      <c r="W1088" s="30" t="n"/>
    </row>
    <row r="1089">
      <c r="U1089" s="18" t="n">
        <v>1087</v>
      </c>
      <c r="V1089" s="30" t="n"/>
      <c r="W1089" s="30" t="n"/>
    </row>
    <row r="1090">
      <c r="U1090" s="18" t="n">
        <v>1088</v>
      </c>
      <c r="V1090" s="30" t="n"/>
      <c r="W1090" s="30" t="n"/>
    </row>
    <row r="1091">
      <c r="U1091" s="18" t="n">
        <v>1089</v>
      </c>
      <c r="V1091" s="30" t="n"/>
      <c r="W1091" s="30" t="n"/>
    </row>
    <row r="1092">
      <c r="U1092" s="18" t="n">
        <v>1090</v>
      </c>
      <c r="V1092" s="30" t="n"/>
      <c r="W1092" s="30" t="n"/>
    </row>
    <row r="1093">
      <c r="U1093" s="18" t="n">
        <v>1091</v>
      </c>
      <c r="V1093" s="30" t="n"/>
      <c r="W1093" s="30" t="n"/>
    </row>
    <row r="1094">
      <c r="U1094" s="18" t="n">
        <v>1092</v>
      </c>
      <c r="V1094" s="30" t="n"/>
      <c r="W1094" s="30" t="n"/>
    </row>
    <row r="1095">
      <c r="U1095" s="18" t="n">
        <v>1093</v>
      </c>
      <c r="V1095" s="30" t="n"/>
      <c r="W1095" s="30" t="n"/>
    </row>
    <row r="1096">
      <c r="U1096" s="18" t="n">
        <v>1094</v>
      </c>
      <c r="V1096" s="30" t="n"/>
      <c r="W1096" s="30" t="n"/>
    </row>
    <row r="1097">
      <c r="U1097" s="18" t="n">
        <v>1095</v>
      </c>
      <c r="V1097" s="30" t="n"/>
      <c r="W1097" s="30" t="n"/>
    </row>
    <row r="1098">
      <c r="U1098" s="18" t="n">
        <v>1096</v>
      </c>
      <c r="V1098" s="30" t="n"/>
      <c r="W1098" s="30" t="n"/>
    </row>
    <row r="1099">
      <c r="U1099" s="18" t="n">
        <v>1097</v>
      </c>
      <c r="V1099" s="30" t="n"/>
      <c r="W1099" s="30" t="n"/>
    </row>
    <row r="1100">
      <c r="U1100" s="18" t="n">
        <v>1098</v>
      </c>
      <c r="V1100" s="30" t="n"/>
      <c r="W1100" s="30" t="n"/>
    </row>
    <row r="1101">
      <c r="U1101" s="18" t="n">
        <v>1099</v>
      </c>
      <c r="V1101" s="30" t="n"/>
      <c r="W1101" s="30" t="n"/>
    </row>
    <row r="1102">
      <c r="U1102" s="18" t="n">
        <v>1100</v>
      </c>
      <c r="V1102" s="30" t="n"/>
      <c r="W1102" s="30" t="n"/>
    </row>
    <row r="1103">
      <c r="U1103" s="18" t="n">
        <v>1101</v>
      </c>
      <c r="V1103" s="30" t="n"/>
      <c r="W1103" s="30" t="n"/>
    </row>
    <row r="1104">
      <c r="U1104" s="18" t="n">
        <v>1102</v>
      </c>
      <c r="V1104" s="30" t="n"/>
      <c r="W1104" s="30" t="n"/>
    </row>
    <row r="1105">
      <c r="U1105" s="18" t="n">
        <v>1103</v>
      </c>
      <c r="V1105" s="30" t="n"/>
      <c r="W1105" s="30" t="n"/>
    </row>
    <row r="1106">
      <c r="U1106" s="18" t="n">
        <v>1104</v>
      </c>
      <c r="V1106" s="30" t="n"/>
      <c r="W1106" s="30" t="n"/>
    </row>
    <row r="1107">
      <c r="U1107" s="18" t="n">
        <v>1105</v>
      </c>
      <c r="V1107" s="30" t="n"/>
      <c r="W1107" s="30" t="n"/>
    </row>
    <row r="1108">
      <c r="U1108" s="18" t="n">
        <v>1106</v>
      </c>
      <c r="V1108" s="30" t="n"/>
      <c r="W1108" s="30" t="n"/>
    </row>
    <row r="1109">
      <c r="U1109" s="18" t="n">
        <v>1107</v>
      </c>
      <c r="V1109" s="30" t="n"/>
      <c r="W1109" s="30" t="n"/>
    </row>
    <row r="1110">
      <c r="U1110" s="18" t="n">
        <v>1108</v>
      </c>
      <c r="V1110" s="30" t="n"/>
      <c r="W1110" s="30" t="n"/>
    </row>
    <row r="1111">
      <c r="U1111" s="18" t="n">
        <v>1109</v>
      </c>
      <c r="V1111" s="30" t="n"/>
      <c r="W1111" s="30" t="n"/>
    </row>
    <row r="1112">
      <c r="U1112" s="18" t="n">
        <v>1110</v>
      </c>
      <c r="V1112" s="30" t="n"/>
      <c r="W1112" s="30" t="n"/>
    </row>
    <row r="1113">
      <c r="U1113" s="18" t="n">
        <v>1111</v>
      </c>
      <c r="V1113" s="30" t="n"/>
      <c r="W1113" s="30" t="n"/>
    </row>
    <row r="1114">
      <c r="U1114" s="18" t="n">
        <v>1112</v>
      </c>
      <c r="V1114" s="30" t="n"/>
      <c r="W1114" s="30" t="n"/>
    </row>
    <row r="1115">
      <c r="U1115" s="18" t="n">
        <v>1113</v>
      </c>
      <c r="V1115" s="30" t="n"/>
      <c r="W1115" s="30" t="n"/>
    </row>
    <row r="1116">
      <c r="U1116" s="18" t="n">
        <v>1114</v>
      </c>
      <c r="V1116" s="30" t="n"/>
      <c r="W1116" s="30" t="n"/>
    </row>
    <row r="1117">
      <c r="U1117" s="18" t="n">
        <v>1115</v>
      </c>
      <c r="V1117" s="30" t="n"/>
      <c r="W1117" s="30" t="n"/>
    </row>
    <row r="1118">
      <c r="U1118" s="18" t="n">
        <v>1116</v>
      </c>
      <c r="V1118" s="30" t="n"/>
      <c r="W1118" s="30" t="n"/>
    </row>
    <row r="1119">
      <c r="U1119" s="18" t="n">
        <v>1117</v>
      </c>
      <c r="V1119" s="30" t="n"/>
      <c r="W1119" s="30" t="n"/>
    </row>
    <row r="1120">
      <c r="U1120" s="18" t="n">
        <v>1118</v>
      </c>
      <c r="V1120" s="30" t="n"/>
      <c r="W1120" s="30" t="n"/>
    </row>
    <row r="1121">
      <c r="U1121" s="18" t="n">
        <v>1119</v>
      </c>
      <c r="V1121" s="30" t="n"/>
      <c r="W1121" s="30" t="n"/>
    </row>
    <row r="1122">
      <c r="U1122" s="18" t="n">
        <v>1120</v>
      </c>
      <c r="V1122" s="30" t="n"/>
      <c r="W1122" s="30" t="n"/>
    </row>
    <row r="1123">
      <c r="U1123" s="18" t="n">
        <v>1121</v>
      </c>
      <c r="V1123" s="30" t="n"/>
      <c r="W1123" s="30" t="n"/>
    </row>
    <row r="1124">
      <c r="U1124" s="18" t="n">
        <v>1122</v>
      </c>
      <c r="V1124" s="30" t="n"/>
      <c r="W1124" s="30" t="n"/>
    </row>
    <row r="1125">
      <c r="U1125" s="18" t="n">
        <v>1123</v>
      </c>
      <c r="V1125" s="30" t="n"/>
      <c r="W1125" s="30" t="n"/>
    </row>
    <row r="1126">
      <c r="U1126" s="18" t="n">
        <v>1124</v>
      </c>
      <c r="V1126" s="30" t="n"/>
      <c r="W1126" s="30" t="n"/>
    </row>
    <row r="1127">
      <c r="U1127" s="18" t="n">
        <v>1125</v>
      </c>
      <c r="V1127" s="30" t="n"/>
      <c r="W1127" s="30" t="n"/>
    </row>
    <row r="1128">
      <c r="U1128" s="18" t="n">
        <v>1126</v>
      </c>
      <c r="V1128" s="30" t="n"/>
      <c r="W1128" s="30" t="n"/>
    </row>
    <row r="1129">
      <c r="U1129" s="18" t="n">
        <v>1127</v>
      </c>
      <c r="V1129" s="30" t="n"/>
      <c r="W1129" s="30" t="n"/>
    </row>
    <row r="1130">
      <c r="U1130" s="18" t="n">
        <v>1128</v>
      </c>
      <c r="V1130" s="30" t="n"/>
      <c r="W1130" s="30" t="n"/>
    </row>
    <row r="1131">
      <c r="U1131" s="18" t="n">
        <v>1129</v>
      </c>
      <c r="V1131" s="30" t="n"/>
      <c r="W1131" s="30" t="n"/>
    </row>
    <row r="1132">
      <c r="U1132" s="18" t="n">
        <v>1130</v>
      </c>
      <c r="V1132" s="30" t="n"/>
      <c r="W1132" s="30" t="n"/>
    </row>
    <row r="1133">
      <c r="U1133" s="18" t="n">
        <v>1131</v>
      </c>
      <c r="V1133" s="30" t="n"/>
      <c r="W1133" s="30" t="n"/>
    </row>
    <row r="1134">
      <c r="U1134" s="18" t="n">
        <v>1132</v>
      </c>
      <c r="V1134" s="30" t="n"/>
      <c r="W1134" s="30" t="n"/>
    </row>
    <row r="1135">
      <c r="U1135" s="18" t="n">
        <v>1133</v>
      </c>
      <c r="V1135" s="30" t="n"/>
      <c r="W1135" s="30" t="n"/>
    </row>
    <row r="1136">
      <c r="U1136" s="18" t="n">
        <v>1134</v>
      </c>
      <c r="V1136" s="30" t="n"/>
      <c r="W1136" s="30" t="n"/>
    </row>
    <row r="1137">
      <c r="U1137" s="18" t="n">
        <v>1135</v>
      </c>
      <c r="V1137" s="30" t="n"/>
      <c r="W1137" s="30" t="n"/>
    </row>
    <row r="1138">
      <c r="U1138" s="18" t="n">
        <v>1136</v>
      </c>
      <c r="V1138" s="30" t="n"/>
      <c r="W1138" s="30" t="n"/>
    </row>
    <row r="1139">
      <c r="U1139" s="18" t="n">
        <v>1137</v>
      </c>
      <c r="V1139" s="30" t="n"/>
      <c r="W1139" s="30" t="n"/>
    </row>
    <row r="1140">
      <c r="U1140" s="18" t="n">
        <v>1138</v>
      </c>
      <c r="V1140" s="30" t="n"/>
      <c r="W1140" s="30" t="n"/>
    </row>
    <row r="1141">
      <c r="U1141" s="18" t="n">
        <v>1139</v>
      </c>
      <c r="V1141" s="30" t="n"/>
      <c r="W1141" s="30" t="n"/>
    </row>
    <row r="1142">
      <c r="U1142" s="18" t="n">
        <v>1140</v>
      </c>
      <c r="V1142" s="30" t="n"/>
      <c r="W1142" s="30" t="n"/>
    </row>
    <row r="1143">
      <c r="U1143" s="18" t="n">
        <v>1141</v>
      </c>
      <c r="V1143" s="30" t="n"/>
      <c r="W1143" s="30" t="n"/>
    </row>
    <row r="1144">
      <c r="U1144" s="18" t="n">
        <v>1142</v>
      </c>
      <c r="V1144" s="30" t="n"/>
      <c r="W1144" s="30" t="n"/>
    </row>
    <row r="1145">
      <c r="U1145" s="18" t="n">
        <v>1143</v>
      </c>
      <c r="V1145" s="30" t="n"/>
      <c r="W1145" s="30" t="n"/>
    </row>
    <row r="1146">
      <c r="U1146" s="18" t="n">
        <v>1144</v>
      </c>
      <c r="V1146" s="30" t="n"/>
      <c r="W1146" s="30" t="n"/>
    </row>
    <row r="1147">
      <c r="U1147" s="18" t="n">
        <v>1145</v>
      </c>
      <c r="V1147" s="30" t="n"/>
      <c r="W1147" s="30" t="n"/>
    </row>
    <row r="1148">
      <c r="U1148" s="18" t="n">
        <v>1146</v>
      </c>
      <c r="V1148" s="30" t="n"/>
      <c r="W1148" s="30" t="n"/>
    </row>
    <row r="1149">
      <c r="U1149" s="18" t="n">
        <v>1147</v>
      </c>
      <c r="V1149" s="30" t="n"/>
      <c r="W1149" s="30" t="n"/>
    </row>
    <row r="1150">
      <c r="U1150" s="18" t="n">
        <v>1148</v>
      </c>
      <c r="V1150" s="30" t="n"/>
      <c r="W1150" s="30" t="n"/>
    </row>
    <row r="1151">
      <c r="U1151" s="18" t="n">
        <v>1149</v>
      </c>
      <c r="V1151" s="30" t="n"/>
      <c r="W1151" s="30" t="n"/>
    </row>
    <row r="1152">
      <c r="U1152" s="18" t="n">
        <v>1150</v>
      </c>
      <c r="V1152" s="30" t="n"/>
      <c r="W1152" s="30" t="n"/>
    </row>
    <row r="1153">
      <c r="U1153" s="18" t="n">
        <v>1151</v>
      </c>
      <c r="V1153" s="30" t="n"/>
      <c r="W1153" s="30" t="n"/>
    </row>
    <row r="1154">
      <c r="U1154" s="18" t="n">
        <v>1152</v>
      </c>
      <c r="V1154" s="30" t="n"/>
      <c r="W1154" s="30" t="n"/>
    </row>
    <row r="1155">
      <c r="U1155" s="18" t="n">
        <v>1153</v>
      </c>
      <c r="V1155" s="30" t="n"/>
      <c r="W1155" s="30" t="n"/>
    </row>
    <row r="1156">
      <c r="U1156" s="18" t="n">
        <v>1154</v>
      </c>
      <c r="V1156" s="30" t="n"/>
      <c r="W1156" s="30" t="n"/>
    </row>
    <row r="1157">
      <c r="U1157" s="18" t="n">
        <v>1155</v>
      </c>
      <c r="V1157" s="30" t="n"/>
      <c r="W1157" s="30" t="n"/>
    </row>
    <row r="1158">
      <c r="U1158" s="18" t="n">
        <v>1156</v>
      </c>
      <c r="V1158" s="30" t="n"/>
      <c r="W1158" s="30" t="n"/>
    </row>
    <row r="1159">
      <c r="U1159" s="18" t="n">
        <v>1157</v>
      </c>
      <c r="V1159" s="30" t="n"/>
      <c r="W1159" s="30" t="n"/>
    </row>
    <row r="1160">
      <c r="U1160" s="18" t="n">
        <v>1158</v>
      </c>
      <c r="V1160" s="30" t="n"/>
      <c r="W1160" s="30" t="n"/>
    </row>
    <row r="1161">
      <c r="U1161" s="18" t="n">
        <v>1159</v>
      </c>
      <c r="V1161" s="30" t="n"/>
      <c r="W1161" s="30" t="n"/>
    </row>
    <row r="1162">
      <c r="U1162" s="18" t="n">
        <v>1160</v>
      </c>
      <c r="V1162" s="30" t="n"/>
      <c r="W1162" s="30" t="n"/>
    </row>
    <row r="1163">
      <c r="U1163" s="18" t="n">
        <v>1161</v>
      </c>
      <c r="V1163" s="30" t="n"/>
      <c r="W1163" s="30" t="n"/>
    </row>
    <row r="1164">
      <c r="U1164" s="18" t="n">
        <v>1162</v>
      </c>
      <c r="V1164" s="30" t="n"/>
      <c r="W1164" s="30" t="n"/>
    </row>
    <row r="1165">
      <c r="U1165" s="18" t="n">
        <v>1163</v>
      </c>
      <c r="V1165" s="30" t="n"/>
      <c r="W1165" s="30" t="n"/>
    </row>
    <row r="1166">
      <c r="U1166" s="18" t="n">
        <v>1164</v>
      </c>
      <c r="V1166" s="30" t="n"/>
      <c r="W1166" s="30" t="n"/>
    </row>
    <row r="1167">
      <c r="U1167" s="18" t="n">
        <v>1165</v>
      </c>
      <c r="V1167" s="30" t="n"/>
      <c r="W1167" s="30" t="n"/>
    </row>
    <row r="1168">
      <c r="U1168" s="18" t="n">
        <v>1166</v>
      </c>
      <c r="V1168" s="30" t="n"/>
      <c r="W1168" s="30" t="n"/>
    </row>
    <row r="1169">
      <c r="U1169" s="18" t="n">
        <v>1167</v>
      </c>
      <c r="V1169" s="30" t="n"/>
      <c r="W1169" s="30" t="n"/>
    </row>
    <row r="1170">
      <c r="U1170" s="18" t="n">
        <v>1168</v>
      </c>
      <c r="V1170" s="30" t="n"/>
      <c r="W1170" s="30" t="n"/>
    </row>
    <row r="1171">
      <c r="U1171" s="18" t="n">
        <v>1169</v>
      </c>
      <c r="V1171" s="30" t="n"/>
      <c r="W1171" s="30" t="n"/>
    </row>
    <row r="1172">
      <c r="U1172" s="18" t="n">
        <v>1170</v>
      </c>
      <c r="V1172" s="30" t="n"/>
      <c r="W1172" s="30" t="n"/>
    </row>
    <row r="1173">
      <c r="U1173" s="18" t="n">
        <v>1171</v>
      </c>
      <c r="V1173" s="30" t="n"/>
      <c r="W1173" s="30" t="n"/>
    </row>
    <row r="1174">
      <c r="U1174" s="18" t="n">
        <v>1172</v>
      </c>
      <c r="V1174" s="30" t="n"/>
      <c r="W1174" s="30" t="n"/>
    </row>
    <row r="1175">
      <c r="U1175" s="18" t="n">
        <v>1173</v>
      </c>
      <c r="V1175" s="30" t="n"/>
      <c r="W1175" s="30" t="n"/>
    </row>
    <row r="1176">
      <c r="U1176" s="18" t="n">
        <v>1174</v>
      </c>
      <c r="V1176" s="30" t="n"/>
      <c r="W1176" s="30" t="n"/>
    </row>
    <row r="1177">
      <c r="U1177" s="18" t="n">
        <v>1175</v>
      </c>
      <c r="V1177" s="30" t="n"/>
      <c r="W1177" s="30" t="n"/>
    </row>
    <row r="1178">
      <c r="U1178" s="18" t="n">
        <v>1176</v>
      </c>
      <c r="V1178" s="30" t="n"/>
      <c r="W1178" s="30" t="n"/>
    </row>
    <row r="1179">
      <c r="U1179" s="18" t="n">
        <v>1177</v>
      </c>
      <c r="V1179" s="30" t="n"/>
      <c r="W1179" s="30" t="n"/>
    </row>
    <row r="1180">
      <c r="U1180" s="18" t="n">
        <v>1178</v>
      </c>
      <c r="V1180" s="30" t="n"/>
      <c r="W1180" s="30" t="n"/>
    </row>
    <row r="1181">
      <c r="U1181" s="18" t="n">
        <v>1179</v>
      </c>
      <c r="V1181" s="30" t="n"/>
      <c r="W1181" s="30" t="n"/>
    </row>
    <row r="1182">
      <c r="U1182" s="18" t="n">
        <v>1180</v>
      </c>
      <c r="V1182" s="30" t="n"/>
      <c r="W1182" s="30" t="n"/>
    </row>
    <row r="1183">
      <c r="U1183" s="18" t="n">
        <v>1181</v>
      </c>
      <c r="V1183" s="30" t="n"/>
      <c r="W1183" s="30" t="n"/>
    </row>
    <row r="1184">
      <c r="U1184" s="18" t="n">
        <v>1182</v>
      </c>
      <c r="V1184" s="30" t="n"/>
      <c r="W1184" s="30" t="n"/>
    </row>
    <row r="1185">
      <c r="U1185" s="18" t="n">
        <v>1183</v>
      </c>
      <c r="V1185" s="30" t="n"/>
      <c r="W1185" s="30" t="n"/>
    </row>
    <row r="1186">
      <c r="U1186" s="18" t="n">
        <v>1184</v>
      </c>
      <c r="V1186" s="30" t="n"/>
      <c r="W1186" s="30" t="n"/>
    </row>
    <row r="1187">
      <c r="U1187" s="18" t="n">
        <v>1185</v>
      </c>
      <c r="V1187" s="30" t="n"/>
      <c r="W1187" s="30" t="n"/>
    </row>
    <row r="1188">
      <c r="U1188" s="18" t="n">
        <v>1186</v>
      </c>
      <c r="V1188" s="30" t="n"/>
      <c r="W1188" s="30" t="n"/>
    </row>
    <row r="1189">
      <c r="U1189" s="18" t="n">
        <v>1187</v>
      </c>
      <c r="V1189" s="30" t="n"/>
      <c r="W1189" s="30" t="n"/>
    </row>
    <row r="1190">
      <c r="U1190" s="18" t="n">
        <v>1188</v>
      </c>
      <c r="V1190" s="30" t="n"/>
      <c r="W1190" s="30" t="n"/>
    </row>
    <row r="1191">
      <c r="U1191" s="18" t="n">
        <v>1189</v>
      </c>
      <c r="V1191" s="30" t="n"/>
      <c r="W1191" s="30" t="n"/>
    </row>
    <row r="1192">
      <c r="U1192" s="18" t="n">
        <v>1190</v>
      </c>
      <c r="V1192" s="30" t="n"/>
      <c r="W1192" s="30" t="n"/>
    </row>
    <row r="1193">
      <c r="U1193" s="18" t="n">
        <v>1191</v>
      </c>
      <c r="V1193" s="30" t="n"/>
      <c r="W1193" s="30" t="n"/>
    </row>
    <row r="1194">
      <c r="U1194" s="18" t="n">
        <v>1192</v>
      </c>
      <c r="V1194" s="30" t="n"/>
      <c r="W1194" s="30" t="n"/>
    </row>
    <row r="1195">
      <c r="U1195" s="18" t="n">
        <v>1193</v>
      </c>
      <c r="V1195" s="30" t="n"/>
      <c r="W1195" s="30" t="n"/>
    </row>
    <row r="1196">
      <c r="U1196" s="18" t="n">
        <v>1194</v>
      </c>
      <c r="V1196" s="30" t="n"/>
      <c r="W1196" s="30" t="n"/>
    </row>
    <row r="1197">
      <c r="U1197" s="18" t="n">
        <v>1195</v>
      </c>
      <c r="V1197" s="30" t="n"/>
      <c r="W1197" s="30" t="n"/>
    </row>
    <row r="1198">
      <c r="U1198" s="18" t="n">
        <v>1196</v>
      </c>
      <c r="V1198" s="30" t="n"/>
      <c r="W1198" s="30" t="n"/>
    </row>
    <row r="1199">
      <c r="U1199" s="18" t="n">
        <v>1197</v>
      </c>
      <c r="V1199" s="30" t="n"/>
      <c r="W1199" s="30" t="n"/>
    </row>
    <row r="1200">
      <c r="U1200" s="18" t="n">
        <v>1198</v>
      </c>
      <c r="V1200" s="30" t="n"/>
      <c r="W1200" s="30" t="n"/>
    </row>
    <row r="1201">
      <c r="U1201" s="18" t="n">
        <v>1199</v>
      </c>
      <c r="V1201" s="30" t="n"/>
      <c r="W1201" s="30" t="n"/>
    </row>
    <row r="1202">
      <c r="U1202" s="18" t="n">
        <v>1200</v>
      </c>
      <c r="V1202" s="30" t="n"/>
      <c r="W1202" s="30" t="n"/>
    </row>
    <row r="1203">
      <c r="U1203" s="18" t="n">
        <v>1201</v>
      </c>
      <c r="V1203" s="30" t="n"/>
      <c r="W1203" s="30" t="n"/>
    </row>
    <row r="1204">
      <c r="U1204" s="18" t="n">
        <v>1202</v>
      </c>
      <c r="V1204" s="30" t="n"/>
      <c r="W1204" s="30" t="n"/>
    </row>
    <row r="1205">
      <c r="U1205" s="18" t="n">
        <v>1203</v>
      </c>
      <c r="V1205" s="30" t="n"/>
      <c r="W1205" s="30" t="n"/>
    </row>
    <row r="1206">
      <c r="U1206" s="18" t="n">
        <v>1204</v>
      </c>
      <c r="V1206" s="30" t="n"/>
      <c r="W1206" s="30" t="n"/>
    </row>
    <row r="1207">
      <c r="U1207" s="18" t="n">
        <v>1205</v>
      </c>
      <c r="V1207" s="30" t="n"/>
      <c r="W1207" s="30" t="n"/>
    </row>
    <row r="1208">
      <c r="U1208" s="18" t="n">
        <v>1206</v>
      </c>
      <c r="V1208" s="30" t="n"/>
      <c r="W1208" s="30" t="n"/>
    </row>
    <row r="1209">
      <c r="U1209" s="18" t="n">
        <v>1207</v>
      </c>
      <c r="V1209" s="30" t="n"/>
      <c r="W1209" s="30" t="n"/>
    </row>
    <row r="1210">
      <c r="U1210" s="18" t="n">
        <v>1208</v>
      </c>
      <c r="V1210" s="30" t="n"/>
      <c r="W1210" s="30" t="n"/>
    </row>
    <row r="1211">
      <c r="U1211" s="18" t="n">
        <v>1209</v>
      </c>
      <c r="V1211" s="30" t="n"/>
      <c r="W1211" s="30" t="n"/>
    </row>
    <row r="1212">
      <c r="U1212" s="18" t="n">
        <v>1210</v>
      </c>
      <c r="V1212" s="30" t="n"/>
      <c r="W1212" s="30" t="n"/>
    </row>
    <row r="1213">
      <c r="U1213" s="18" t="n">
        <v>1211</v>
      </c>
      <c r="V1213" s="30" t="n"/>
      <c r="W1213" s="30" t="n"/>
    </row>
    <row r="1214">
      <c r="U1214" s="18" t="n">
        <v>1212</v>
      </c>
      <c r="V1214" s="30" t="n"/>
      <c r="W1214" s="30" t="n"/>
    </row>
    <row r="1215">
      <c r="U1215" s="18" t="n">
        <v>1213</v>
      </c>
      <c r="V1215" s="30" t="n"/>
      <c r="W1215" s="30" t="n"/>
    </row>
    <row r="1216">
      <c r="U1216" s="1" t="n"/>
      <c r="V1216" s="31" t="n"/>
      <c r="W1216" s="31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" sqref="F2"/>
    </sheetView>
  </sheetViews>
  <sheetFormatPr baseColWidth="8" defaultColWidth="12.63" defaultRowHeight="15.75" customHeight="1"/>
  <cols>
    <col width="8.433571199999999" customWidth="1" style="150" min="1" max="1"/>
    <col width="16.00499998" customWidth="1" style="150" min="12" max="12"/>
    <col width="17.43357168" customWidth="1" style="150" min="13" max="13"/>
    <col width="17.14785658" customWidth="1" style="150" min="14" max="15"/>
    <col width="15.57642828" customWidth="1" style="150" min="16" max="17"/>
    <col width="17.14785658" customWidth="1" style="150" min="18" max="22"/>
  </cols>
  <sheetData>
    <row r="1" ht="26.4" customHeight="1" s="150">
      <c r="A1" s="32" t="inlineStr">
        <is>
          <t>Segment</t>
        </is>
      </c>
      <c r="B1" s="32" t="inlineStr">
        <is>
          <t>Start</t>
        </is>
      </c>
      <c r="C1" s="32" t="inlineStr">
        <is>
          <t>Complete</t>
        </is>
      </c>
      <c r="D1" s="33" t="inlineStr">
        <is>
          <t>Fail</t>
        </is>
      </c>
      <c r="E1" s="33" t="inlineStr">
        <is>
          <t>Try again</t>
        </is>
      </c>
      <c r="F1" s="33" t="n"/>
      <c r="G1" s="33" t="n"/>
      <c r="H1" s="33" t="n"/>
      <c r="I1" s="33" t="n"/>
      <c r="J1" s="33" t="n"/>
      <c r="K1" s="33" t="n"/>
      <c r="L1" s="34" t="inlineStr">
        <is>
          <t>Complete</t>
        </is>
      </c>
      <c r="M1" s="43" t="inlineStr">
        <is>
          <t>LevelType</t>
        </is>
      </c>
      <c r="N1" s="36">
        <f>SUM(N3:N302)</f>
        <v/>
      </c>
      <c r="O1" s="37">
        <f>(N1/C3)/300</f>
        <v/>
      </c>
      <c r="P1" s="34" t="n"/>
      <c r="Q1" s="149">
        <f>AVERAGE(Q3:Q202)</f>
        <v/>
      </c>
      <c r="R1" s="149">
        <f>AVERAGE(R3:R202)</f>
        <v/>
      </c>
      <c r="S1" s="38">
        <f>AVERAGE(S3:S402)</f>
        <v/>
      </c>
      <c r="T1" s="149">
        <f>AVERAGE(T13:T202)</f>
        <v/>
      </c>
      <c r="U1" s="1" t="n"/>
      <c r="V1" s="39">
        <f>AVERAGE(V3:V402)</f>
        <v/>
      </c>
    </row>
    <row r="2" ht="22.5" customHeight="1" s="150">
      <c r="A2" s="40" t="inlineStr">
        <is>
          <t>Level</t>
        </is>
      </c>
      <c r="B2" s="40" t="inlineStr">
        <is>
          <t>Active users</t>
        </is>
      </c>
      <c r="C2" s="40" t="inlineStr">
        <is>
          <t>Active users</t>
        </is>
      </c>
      <c r="D2" s="40" t="inlineStr">
        <is>
          <t>Active users</t>
        </is>
      </c>
      <c r="E2" s="40" t="inlineStr">
        <is>
          <t>Active users</t>
        </is>
      </c>
      <c r="F2" s="41" t="inlineStr">
        <is>
          <t>Complete rate</t>
        </is>
      </c>
      <c r="G2" s="41" t="inlineStr">
        <is>
          <t>Fail Rate</t>
        </is>
      </c>
      <c r="H2" s="41" t="inlineStr">
        <is>
          <t>Drop 1</t>
        </is>
      </c>
      <c r="I2" s="41" t="inlineStr">
        <is>
          <t>Uncomplete</t>
        </is>
      </c>
      <c r="J2" s="41" t="inlineStr">
        <is>
          <t>Drop 2</t>
        </is>
      </c>
      <c r="K2" s="42" t="inlineStr">
        <is>
          <t>%</t>
        </is>
      </c>
      <c r="L2" s="40" t="inlineStr">
        <is>
          <t>avarage_attempt</t>
        </is>
      </c>
      <c r="M2" s="43" t="inlineStr">
        <is>
          <t>LevelType</t>
        </is>
      </c>
      <c r="N2" s="44" t="inlineStr">
        <is>
          <t>Total $</t>
        </is>
      </c>
      <c r="O2" s="45" t="inlineStr">
        <is>
          <t>ARPU</t>
        </is>
      </c>
      <c r="P2" s="46" t="inlineStr">
        <is>
          <t>%_used_booster</t>
        </is>
      </c>
      <c r="Q2" s="46" t="inlineStr">
        <is>
          <t>avg_used_booster</t>
        </is>
      </c>
      <c r="R2" s="46" t="inlineStr">
        <is>
          <t>avg_owned_booster</t>
        </is>
      </c>
      <c r="S2" s="46" t="inlineStr">
        <is>
          <t>Avg. Thinking Time</t>
        </is>
      </c>
      <c r="T2" s="46" t="inlineStr">
        <is>
          <t>Avg.Rewarded</t>
        </is>
      </c>
      <c r="U2" s="47" t="inlineStr">
        <is>
          <t>Owned Coin</t>
        </is>
      </c>
      <c r="V2" s="48" t="inlineStr">
        <is>
          <t>Avg. Coin</t>
        </is>
      </c>
    </row>
    <row r="3" ht="22.5" customHeight="1" s="150">
      <c r="A3" s="49" t="n">
        <v>1</v>
      </c>
      <c r="B3" s="50" t="n">
        <v>9456</v>
      </c>
      <c r="C3" s="50" t="n">
        <v>9167</v>
      </c>
      <c r="D3" s="50" t="n">
        <v>240</v>
      </c>
      <c r="E3" s="50" t="n">
        <v>317</v>
      </c>
      <c r="F3" s="51">
        <f>(C3*100)/B3</f>
        <v/>
      </c>
      <c r="G3" s="51">
        <f>(D3*100)/B3</f>
        <v/>
      </c>
      <c r="H3" s="52">
        <f>((B3-B4)/B3)*100</f>
        <v/>
      </c>
      <c r="I3" s="53">
        <f>((B3-C3)/B3)*100</f>
        <v/>
      </c>
      <c r="J3" s="53">
        <f>((C3-B4)/C3)*100</f>
        <v/>
      </c>
      <c r="K3" s="54">
        <f>100-(((C3-C4)/C3)*100)</f>
        <v/>
      </c>
      <c r="L3" s="55" t="n">
        <v>1.0078607523863</v>
      </c>
      <c r="M3" s="56" t="inlineStr">
        <is>
          <t>Normal</t>
        </is>
      </c>
      <c r="N3" s="55" t="n">
        <v>32.05</v>
      </c>
      <c r="O3" s="57">
        <f>N3/C3</f>
        <v/>
      </c>
      <c r="P3" s="58">
        <f>(Boosters_And!B3*100)/Boosters_And!N3</f>
        <v/>
      </c>
      <c r="Q3" s="58">
        <f>Boosters_And!B3/(C3+D3)</f>
        <v/>
      </c>
      <c r="R3" s="58">
        <f>Boosters_And!N3/B3</f>
        <v/>
      </c>
      <c r="S3" s="55" t="n">
        <v>0.10555867490174</v>
      </c>
      <c r="T3" s="59" t="n">
        <v>13</v>
      </c>
      <c r="U3" s="60" t="n">
        <v>2167426.94850897</v>
      </c>
      <c r="V3" s="61">
        <f>U3/B3</f>
        <v/>
      </c>
    </row>
    <row r="4" ht="22.5" customHeight="1" s="150">
      <c r="A4" s="34" t="n">
        <v>2</v>
      </c>
      <c r="B4" s="50" t="n">
        <v>9172</v>
      </c>
      <c r="C4" s="50" t="n">
        <v>9092</v>
      </c>
      <c r="D4" s="50" t="n">
        <v>108</v>
      </c>
      <c r="E4" s="50" t="n">
        <v>137</v>
      </c>
      <c r="F4" s="51">
        <f>(C4*100)/B4</f>
        <v/>
      </c>
      <c r="G4" s="51">
        <f>(D4*100)/B4</f>
        <v/>
      </c>
      <c r="H4" s="53">
        <f>((B4-B5)/B4)*100</f>
        <v/>
      </c>
      <c r="I4" s="53">
        <f>((B4-C4)/B4)*100</f>
        <v/>
      </c>
      <c r="J4" s="53">
        <f>((C4-B5)/C4)*100</f>
        <v/>
      </c>
      <c r="K4" s="54">
        <f>100-(((C3-C5)/C3)*100)</f>
        <v/>
      </c>
      <c r="L4" s="55" t="n">
        <v>1.00283205890682</v>
      </c>
      <c r="M4" s="62" t="inlineStr">
        <is>
          <t>Normal</t>
        </is>
      </c>
      <c r="N4" s="55" t="n">
        <v>8.370000000000001</v>
      </c>
      <c r="O4" s="57">
        <f>N4/C4</f>
        <v/>
      </c>
      <c r="P4" s="58">
        <f>(Boosters_And!B4*100)/Boosters_And!N4</f>
        <v/>
      </c>
      <c r="Q4" s="58">
        <f>Boosters_And!B4/(C4+D4)</f>
        <v/>
      </c>
      <c r="R4" s="58">
        <f>Boosters_And!N4/B4</f>
        <v/>
      </c>
      <c r="S4" s="55" t="n">
        <v>0.0212404418011894</v>
      </c>
      <c r="T4" s="59" t="n">
        <v>5</v>
      </c>
      <c r="U4" s="60" t="n">
        <v>2344808.7779139</v>
      </c>
      <c r="V4" s="61">
        <f>U4/B4</f>
        <v/>
      </c>
    </row>
    <row r="5" ht="22.5" customHeight="1" s="150">
      <c r="A5" s="34" t="n">
        <v>3</v>
      </c>
      <c r="B5" s="50" t="n">
        <v>9077</v>
      </c>
      <c r="C5" s="50" t="n">
        <v>8986</v>
      </c>
      <c r="D5" s="50" t="n">
        <v>113</v>
      </c>
      <c r="E5" s="50" t="n">
        <v>162</v>
      </c>
      <c r="F5" s="51">
        <f>(C5*100)/B5</f>
        <v/>
      </c>
      <c r="G5" s="51">
        <f>(D5*100)/B5</f>
        <v/>
      </c>
      <c r="H5" s="53">
        <f>((B5-B6)/B5)*100</f>
        <v/>
      </c>
      <c r="I5" s="53">
        <f>((B5-C5)/B5)*100</f>
        <v/>
      </c>
      <c r="J5" s="53">
        <f>((C5-B6)/C5)*100</f>
        <v/>
      </c>
      <c r="K5" s="54">
        <f>100-(((C3-C6)/C3)*100)</f>
        <v/>
      </c>
      <c r="L5" s="55" t="n">
        <v>1.00229226361031</v>
      </c>
      <c r="M5" s="63" t="inlineStr">
        <is>
          <t>Normal</t>
        </is>
      </c>
      <c r="N5" s="55" t="n">
        <v>21.9</v>
      </c>
      <c r="O5" s="57">
        <f>N5/C5</f>
        <v/>
      </c>
      <c r="P5" s="58">
        <f>(Boosters_And!B5*100)/Boosters_And!N5</f>
        <v/>
      </c>
      <c r="Q5" s="58">
        <f>Boosters_And!B5/(C5+D5)</f>
        <v/>
      </c>
      <c r="R5" s="58">
        <f>Boosters_And!N5/B5</f>
        <v/>
      </c>
      <c r="S5" s="55" t="n">
        <v>5.91833810888252</v>
      </c>
      <c r="T5" s="59" t="n">
        <v>10</v>
      </c>
      <c r="U5" s="60" t="n">
        <v>3345596.18243786</v>
      </c>
      <c r="V5" s="61">
        <f>U5/B5</f>
        <v/>
      </c>
    </row>
    <row r="6" ht="22.5" customHeight="1" s="150">
      <c r="A6" s="34" t="n">
        <v>4</v>
      </c>
      <c r="B6" s="50" t="n">
        <v>8994</v>
      </c>
      <c r="C6" s="50" t="n">
        <v>8912</v>
      </c>
      <c r="D6" s="50" t="n">
        <v>126</v>
      </c>
      <c r="E6" s="50" t="n">
        <v>188</v>
      </c>
      <c r="F6" s="51">
        <f>(C6*100)/B6</f>
        <v/>
      </c>
      <c r="G6" s="51">
        <f>(D6*100)/B6</f>
        <v/>
      </c>
      <c r="H6" s="53">
        <f>((B6-B7)/B6)*100</f>
        <v/>
      </c>
      <c r="I6" s="53">
        <f>((B6-C6)/B6)*100</f>
        <v/>
      </c>
      <c r="J6" s="53">
        <f>((C6-B7)/C6)*100</f>
        <v/>
      </c>
      <c r="K6" s="54">
        <f>100-(((C3-C7)/C3)*100)</f>
        <v/>
      </c>
      <c r="L6" s="55" t="n">
        <v>1.0028901734104</v>
      </c>
      <c r="M6" s="62" t="inlineStr">
        <is>
          <t>Normal</t>
        </is>
      </c>
      <c r="N6" s="55" t="n">
        <v>5.97</v>
      </c>
      <c r="O6" s="57">
        <f>N6/C6</f>
        <v/>
      </c>
      <c r="P6" s="58">
        <f>(Boosters_And!B6*100)/Boosters_And!N6</f>
        <v/>
      </c>
      <c r="Q6" s="58">
        <f>Boosters_And!B6/(C6+D6)</f>
        <v/>
      </c>
      <c r="R6" s="58">
        <f>Boosters_And!N6/B6</f>
        <v/>
      </c>
      <c r="S6" s="55" t="n">
        <v>5.58670520231213</v>
      </c>
      <c r="T6" s="59" t="n">
        <v>0</v>
      </c>
      <c r="U6" s="60" t="n">
        <v>6622659.06245767</v>
      </c>
      <c r="V6" s="61">
        <f>U6/B6</f>
        <v/>
      </c>
    </row>
    <row r="7" ht="22.5" customHeight="1" s="150">
      <c r="A7" s="34" t="n">
        <v>5</v>
      </c>
      <c r="B7" s="50" t="n">
        <v>8919</v>
      </c>
      <c r="C7" s="50" t="n">
        <v>8801</v>
      </c>
      <c r="D7" s="50" t="n">
        <v>165</v>
      </c>
      <c r="E7" s="50" t="n">
        <v>250</v>
      </c>
      <c r="F7" s="51">
        <f>(C7*100)/B7</f>
        <v/>
      </c>
      <c r="G7" s="51">
        <f>(D7*100)/B7</f>
        <v/>
      </c>
      <c r="H7" s="53">
        <f>((B7-B8)/B7)*100</f>
        <v/>
      </c>
      <c r="I7" s="53">
        <f>((B7-C7)/B7)*100</f>
        <v/>
      </c>
      <c r="J7" s="53">
        <f>((C7-B8)/C7)*100</f>
        <v/>
      </c>
      <c r="K7" s="54">
        <f>100-(((C3-C8)/C3)*100)</f>
        <v/>
      </c>
      <c r="L7" s="55" t="n">
        <v>1.00380339379754</v>
      </c>
      <c r="M7" s="63" t="inlineStr">
        <is>
          <t>Normal</t>
        </is>
      </c>
      <c r="N7" s="55" t="n">
        <v>5.92</v>
      </c>
      <c r="O7" s="57">
        <f>N7/C7</f>
        <v/>
      </c>
      <c r="P7" s="58">
        <f>(Boosters_And!B7*100)/Boosters_And!N7</f>
        <v/>
      </c>
      <c r="Q7" s="58">
        <f>Boosters_And!B7/(C7+D7)</f>
        <v/>
      </c>
      <c r="R7" s="58">
        <f>Boosters_And!N7/B7</f>
        <v/>
      </c>
      <c r="S7" s="55" t="n">
        <v>6.61000585137507</v>
      </c>
      <c r="T7" s="59" t="n">
        <v>3</v>
      </c>
      <c r="U7" s="60" t="n">
        <v>6786009.23340742</v>
      </c>
      <c r="V7" s="61">
        <f>U7/B7</f>
        <v/>
      </c>
    </row>
    <row r="8" ht="22.5" customHeight="1" s="150">
      <c r="A8" s="34" t="n">
        <v>6</v>
      </c>
      <c r="B8" s="50" t="n">
        <v>8801</v>
      </c>
      <c r="C8" s="50" t="n">
        <v>8631</v>
      </c>
      <c r="D8" s="50" t="n">
        <v>263</v>
      </c>
      <c r="E8" s="50" t="n">
        <v>371</v>
      </c>
      <c r="F8" s="51">
        <f>(C8*100)/B8</f>
        <v/>
      </c>
      <c r="G8" s="64">
        <f>(D8*100)/B8</f>
        <v/>
      </c>
      <c r="H8" s="53">
        <f>((B8-B9)/B8)*100</f>
        <v/>
      </c>
      <c r="I8" s="53">
        <f>((B8-C8)/B8)*100</f>
        <v/>
      </c>
      <c r="J8" s="53">
        <f>((C8-B9)/C8)*100</f>
        <v/>
      </c>
      <c r="K8" s="54">
        <f>100-(((C3-C9)/C3)*100)</f>
        <v/>
      </c>
      <c r="L8" s="55" t="n">
        <v>1.00536672629695</v>
      </c>
      <c r="M8" s="62" t="inlineStr">
        <is>
          <t>Normal</t>
        </is>
      </c>
      <c r="N8" s="55" t="n">
        <v>12.26</v>
      </c>
      <c r="O8" s="57">
        <f>N8/C8</f>
        <v/>
      </c>
      <c r="P8" s="58">
        <f>(Boosters_And!B8*100)/Boosters_And!N8</f>
        <v/>
      </c>
      <c r="Q8" s="58">
        <f>Boosters_And!B8/(C8+D8)</f>
        <v/>
      </c>
      <c r="R8" s="58">
        <f>Boosters_And!N8/B8</f>
        <v/>
      </c>
      <c r="S8" s="55" t="n">
        <v>5.71824686940965</v>
      </c>
      <c r="T8" s="59" t="n">
        <v>13</v>
      </c>
      <c r="U8" s="60" t="n">
        <v>6929575.79767495</v>
      </c>
      <c r="V8" s="61">
        <f>U8/B8</f>
        <v/>
      </c>
    </row>
    <row r="9" ht="22.5" customHeight="1" s="150">
      <c r="A9" s="34" t="n">
        <v>7</v>
      </c>
      <c r="B9" s="50" t="n">
        <v>8643</v>
      </c>
      <c r="C9" s="50" t="n">
        <v>8499</v>
      </c>
      <c r="D9" s="50" t="n">
        <v>199</v>
      </c>
      <c r="E9" s="50" t="n">
        <v>322</v>
      </c>
      <c r="F9" s="51">
        <f>(C9*100)/B9</f>
        <v/>
      </c>
      <c r="G9" s="51">
        <f>(D9*100)/B9</f>
        <v/>
      </c>
      <c r="H9" s="53">
        <f>((B9-B10)/B9)*100</f>
        <v/>
      </c>
      <c r="I9" s="53">
        <f>((B9-C9)/B9)*100</f>
        <v/>
      </c>
      <c r="J9" s="53">
        <f>((C9-B10)/C9)*100</f>
        <v/>
      </c>
      <c r="K9" s="54">
        <f>100-(((C3-C10)/C3)*100)</f>
        <v/>
      </c>
      <c r="L9" s="55" t="n">
        <v>1.00151423379769</v>
      </c>
      <c r="M9" s="63" t="inlineStr">
        <is>
          <t>Normal</t>
        </is>
      </c>
      <c r="N9" s="55" t="n">
        <v>5.97</v>
      </c>
      <c r="O9" s="57">
        <f>N9/C9</f>
        <v/>
      </c>
      <c r="P9" s="58">
        <f>(Boosters_And!B9*100)/Boosters_And!N9</f>
        <v/>
      </c>
      <c r="Q9" s="58">
        <f>Boosters_And!B9/(C9+D9)</f>
        <v/>
      </c>
      <c r="R9" s="58">
        <f>Boosters_And!N9/B9</f>
        <v/>
      </c>
      <c r="S9" s="55" t="n">
        <v>6.23500908540278</v>
      </c>
      <c r="T9" s="59" t="n">
        <v>0</v>
      </c>
      <c r="U9" s="60" t="n">
        <v>7076856.62447474</v>
      </c>
      <c r="V9" s="61">
        <f>U9/B9</f>
        <v/>
      </c>
    </row>
    <row r="10" ht="22.5" customHeight="1" s="150">
      <c r="A10" s="34" t="n">
        <v>8</v>
      </c>
      <c r="B10" s="50" t="n">
        <v>8512</v>
      </c>
      <c r="C10" s="50" t="n">
        <v>8419</v>
      </c>
      <c r="D10" s="50" t="n">
        <v>150</v>
      </c>
      <c r="E10" s="50" t="n">
        <v>248</v>
      </c>
      <c r="F10" s="51">
        <f>(C10*100)/B10</f>
        <v/>
      </c>
      <c r="G10" s="51">
        <f>(D10*100)/B10</f>
        <v/>
      </c>
      <c r="H10" s="53">
        <f>((B10-B11)/B10)*100</f>
        <v/>
      </c>
      <c r="I10" s="53">
        <f>((B10-C10)/B10)*100</f>
        <v/>
      </c>
      <c r="J10" s="53">
        <f>((C10-B11)/C10)*100</f>
        <v/>
      </c>
      <c r="K10" s="54">
        <f>100-(((C3-C11)/C3)*100)</f>
        <v/>
      </c>
      <c r="L10" s="55" t="n">
        <v>1.00152905198776</v>
      </c>
      <c r="M10" s="62" t="inlineStr">
        <is>
          <t>Normal</t>
        </is>
      </c>
      <c r="N10" s="55" t="n">
        <v>7.96</v>
      </c>
      <c r="O10" s="57">
        <f>N10/C10</f>
        <v/>
      </c>
      <c r="P10" s="58">
        <f>(Boosters_And!B10*100)/Boosters_And!N10</f>
        <v/>
      </c>
      <c r="Q10" s="58">
        <f>Boosters_And!B10/(C10+D10)</f>
        <v/>
      </c>
      <c r="R10" s="58">
        <f>Boosters_And!N10/B10</f>
        <v/>
      </c>
      <c r="S10" s="55" t="n">
        <v>5.13730886850152</v>
      </c>
      <c r="T10" s="59" t="n">
        <v>0</v>
      </c>
      <c r="U10" s="60" t="n">
        <v>7230121.54090983</v>
      </c>
      <c r="V10" s="61">
        <f>U10/B10</f>
        <v/>
      </c>
    </row>
    <row r="11" ht="22.5" customHeight="1" s="150">
      <c r="A11" s="34" t="n">
        <v>9</v>
      </c>
      <c r="B11" s="50" t="n">
        <v>8432</v>
      </c>
      <c r="C11" s="50" t="n">
        <v>8308</v>
      </c>
      <c r="D11" s="50" t="n">
        <v>317</v>
      </c>
      <c r="E11" s="50" t="n">
        <v>413</v>
      </c>
      <c r="F11" s="51">
        <f>(C11*100)/B11</f>
        <v/>
      </c>
      <c r="G11" s="64">
        <f>(D11*100)/B11</f>
        <v/>
      </c>
      <c r="H11" s="53">
        <f>((B11-B12)/B11)*100</f>
        <v/>
      </c>
      <c r="I11" s="53">
        <f>((B11-C11)/B11)*100</f>
        <v/>
      </c>
      <c r="J11" s="53">
        <f>((C11-B12)/C11)*100</f>
        <v/>
      </c>
      <c r="K11" s="54">
        <f>100-(((C3-C12)/C3)*100)</f>
        <v/>
      </c>
      <c r="L11" s="55" t="n">
        <v>1.02075588599752</v>
      </c>
      <c r="M11" s="63" t="inlineStr">
        <is>
          <t>Normal</t>
        </is>
      </c>
      <c r="N11" s="55" t="n">
        <v>8.970000000000001</v>
      </c>
      <c r="O11" s="57">
        <f>N11/C11</f>
        <v/>
      </c>
      <c r="P11" s="58">
        <f>(Boosters_And!B11*100)/Boosters_And!N11</f>
        <v/>
      </c>
      <c r="Q11" s="58">
        <f>Boosters_And!B11/(C11+D11)</f>
        <v/>
      </c>
      <c r="R11" s="58">
        <f>Boosters_And!N11/B11</f>
        <v/>
      </c>
      <c r="S11" s="55" t="n">
        <v>5.72180916976456</v>
      </c>
      <c r="T11" s="59" t="n">
        <v>28</v>
      </c>
      <c r="U11" s="60" t="n">
        <v>7373868.65960602</v>
      </c>
      <c r="V11" s="61">
        <f>U11/B11</f>
        <v/>
      </c>
    </row>
    <row r="12" ht="22.5" customHeight="1" s="150">
      <c r="A12" s="34" t="n">
        <v>10</v>
      </c>
      <c r="B12" s="50" t="n">
        <v>8122</v>
      </c>
      <c r="C12" s="50" t="n">
        <v>8086</v>
      </c>
      <c r="D12" s="50" t="n">
        <v>168</v>
      </c>
      <c r="E12" s="50" t="n">
        <v>165</v>
      </c>
      <c r="F12" s="51">
        <f>(C12*100)/B12</f>
        <v/>
      </c>
      <c r="G12" s="64">
        <f>(D12*100)/B12</f>
        <v/>
      </c>
      <c r="H12" s="53">
        <f>((B12-B13)/B12)*100</f>
        <v/>
      </c>
      <c r="I12" s="53">
        <f>((B12-C12)/B12)*100</f>
        <v/>
      </c>
      <c r="J12" s="53">
        <f>((C12-B13)/C12)*100</f>
        <v/>
      </c>
      <c r="K12" s="54">
        <f>100-(((C3-C13)/C3)*100)</f>
        <v/>
      </c>
      <c r="L12" s="55" t="n">
        <v>1.01305316778096</v>
      </c>
      <c r="M12" s="62" t="inlineStr">
        <is>
          <t>Normal</t>
        </is>
      </c>
      <c r="N12" s="55" t="n">
        <v>53.6</v>
      </c>
      <c r="O12" s="57">
        <f>N12/C12</f>
        <v/>
      </c>
      <c r="P12" s="58">
        <f>(Boosters_And!B12*100)/Boosters_And!N12</f>
        <v/>
      </c>
      <c r="Q12" s="58">
        <f>Boosters_And!B12/(C12+D12)</f>
        <v/>
      </c>
      <c r="R12" s="58">
        <f>Boosters_And!N12/B12</f>
        <v/>
      </c>
      <c r="S12" s="55" t="n">
        <v>4.11716014008277</v>
      </c>
      <c r="T12" s="59" t="n">
        <v>36</v>
      </c>
      <c r="U12" s="60" t="n">
        <v>7484084.24155269</v>
      </c>
      <c r="V12" s="61">
        <f>U12/B12</f>
        <v/>
      </c>
    </row>
    <row r="13" ht="22.5" customHeight="1" s="150">
      <c r="A13" s="65" t="n">
        <v>11</v>
      </c>
      <c r="B13" s="50" t="n">
        <v>7790</v>
      </c>
      <c r="C13" s="50" t="n">
        <v>7475</v>
      </c>
      <c r="D13" s="50" t="n">
        <v>1767</v>
      </c>
      <c r="E13" s="50" t="n">
        <v>1548</v>
      </c>
      <c r="F13" s="51">
        <f>(C13*100)/B13</f>
        <v/>
      </c>
      <c r="G13" s="66">
        <f>(D13*100)/B13</f>
        <v/>
      </c>
      <c r="H13" s="67">
        <f>((B13-B14)/B13)*100</f>
        <v/>
      </c>
      <c r="I13" s="53">
        <f>((B13-C13)/B13)*100</f>
        <v/>
      </c>
      <c r="J13" s="53">
        <f>((C13-B14)/C13)*100</f>
        <v/>
      </c>
      <c r="K13" s="54">
        <f>100-(((C3-C14)/C3)*100)</f>
        <v/>
      </c>
      <c r="L13" s="55" t="n">
        <v>1.1620130989314</v>
      </c>
      <c r="M13" s="63" t="inlineStr">
        <is>
          <t>Normal</t>
        </is>
      </c>
      <c r="N13" s="55" t="n">
        <v>73.53</v>
      </c>
      <c r="O13" s="57">
        <f>N13/C13</f>
        <v/>
      </c>
      <c r="P13" s="58">
        <f>(Boosters_And!B13*100)/Boosters_And!N13</f>
        <v/>
      </c>
      <c r="Q13" s="58">
        <f>Boosters_And!B13/(C13+D13)</f>
        <v/>
      </c>
      <c r="R13" s="58">
        <f>Boosters_And!N13/B13</f>
        <v/>
      </c>
      <c r="S13" s="55" t="n">
        <v>4.18028266115132</v>
      </c>
      <c r="T13" s="59" t="n">
        <v>1470</v>
      </c>
      <c r="U13" s="60" t="n">
        <v>9972124.268366629</v>
      </c>
      <c r="V13" s="61">
        <f>U13/B13</f>
        <v/>
      </c>
    </row>
    <row r="14" ht="22.5" customHeight="1" s="150">
      <c r="A14" s="34" t="n">
        <v>12</v>
      </c>
      <c r="B14" s="50" t="n">
        <v>7109</v>
      </c>
      <c r="C14" s="50" t="n">
        <v>7091</v>
      </c>
      <c r="D14" s="50" t="n">
        <v>64</v>
      </c>
      <c r="E14" s="50" t="n">
        <v>88</v>
      </c>
      <c r="F14" s="51">
        <f>(C14*100)/B14</f>
        <v/>
      </c>
      <c r="G14" s="51">
        <f>(D14*100)/B14</f>
        <v/>
      </c>
      <c r="H14" s="53">
        <f>((B14-B15)/B14)*100</f>
        <v/>
      </c>
      <c r="I14" s="53">
        <f>((B14-C14)/B14)*100</f>
        <v/>
      </c>
      <c r="J14" s="53">
        <f>((C14-B15)/C14)*100</f>
        <v/>
      </c>
      <c r="K14" s="54">
        <f>100-(((C3-C15)/C3)*100)</f>
        <v/>
      </c>
      <c r="L14" s="55" t="n">
        <v>1.00145401672119</v>
      </c>
      <c r="M14" s="62" t="inlineStr">
        <is>
          <t>Normal</t>
        </is>
      </c>
      <c r="N14" s="55" t="n">
        <v>194.35</v>
      </c>
      <c r="O14" s="57">
        <f>N14/C14</f>
        <v/>
      </c>
      <c r="P14" s="58">
        <f>(Boosters_And!B14*100)/Boosters_And!N14</f>
        <v/>
      </c>
      <c r="Q14" s="58">
        <f>Boosters_And!B14/(C14+D14)</f>
        <v/>
      </c>
      <c r="R14" s="58">
        <f>Boosters_And!N14/B14</f>
        <v/>
      </c>
      <c r="S14" s="55" t="n">
        <v>0.0268993093420574</v>
      </c>
      <c r="T14" s="59" t="n">
        <v>867</v>
      </c>
      <c r="U14" s="60" t="n">
        <v>10434292.0187341</v>
      </c>
      <c r="V14" s="61">
        <f>U14/B14</f>
        <v/>
      </c>
    </row>
    <row r="15" ht="22.5" customHeight="1" s="150">
      <c r="A15" s="34" t="n">
        <v>13</v>
      </c>
      <c r="B15" s="50" t="n">
        <v>6957</v>
      </c>
      <c r="C15" s="50" t="n">
        <v>6944</v>
      </c>
      <c r="D15" s="50" t="n">
        <v>23</v>
      </c>
      <c r="E15" s="50" t="n">
        <v>23</v>
      </c>
      <c r="F15" s="51">
        <f>(C15*100)/B15</f>
        <v/>
      </c>
      <c r="G15" s="51">
        <f>(D15*100)/B15</f>
        <v/>
      </c>
      <c r="H15" s="53">
        <f>((B15-B16)/B15)*100</f>
        <v/>
      </c>
      <c r="I15" s="53">
        <f>((B15-C15)/B15)*100</f>
        <v/>
      </c>
      <c r="J15" s="53">
        <f>((C15-B16)/C15)*100</f>
        <v/>
      </c>
      <c r="K15" s="54">
        <f>100-(((C3-C16)/C3)*100)</f>
        <v/>
      </c>
      <c r="L15" s="55" t="n">
        <v>1.0022271714922</v>
      </c>
      <c r="M15" s="63" t="inlineStr">
        <is>
          <t>Normal</t>
        </is>
      </c>
      <c r="N15" s="55" t="n">
        <v>38.84</v>
      </c>
      <c r="O15" s="57">
        <f>N15/C15</f>
        <v/>
      </c>
      <c r="P15" s="58">
        <f>(Boosters_And!B15*100)/Boosters_And!N15</f>
        <v/>
      </c>
      <c r="Q15" s="58">
        <f>Boosters_And!B15/(C15+D15)</f>
        <v/>
      </c>
      <c r="R15" s="58">
        <f>Boosters_And!N15/B15</f>
        <v/>
      </c>
      <c r="S15" s="55" t="n">
        <v>5.39198218262806</v>
      </c>
      <c r="T15" s="59" t="n">
        <v>818</v>
      </c>
      <c r="U15" s="60" t="n">
        <v>10662487.0230595</v>
      </c>
      <c r="V15" s="61">
        <f>U15/B15</f>
        <v/>
      </c>
    </row>
    <row r="16" ht="22.5" customHeight="1" s="150">
      <c r="A16" s="68" t="n">
        <v>14</v>
      </c>
      <c r="B16" s="50" t="n">
        <v>6871</v>
      </c>
      <c r="C16" s="50" t="n">
        <v>6681</v>
      </c>
      <c r="D16" s="50" t="n">
        <v>1826</v>
      </c>
      <c r="E16" s="50" t="n">
        <v>1501</v>
      </c>
      <c r="F16" s="51">
        <f>(C16*100)/B16</f>
        <v/>
      </c>
      <c r="G16" s="66">
        <f>(D16*100)/B16</f>
        <v/>
      </c>
      <c r="H16" s="52">
        <f>((B16-B17)/B16)*100</f>
        <v/>
      </c>
      <c r="I16" s="53">
        <f>((B16-C16)/B16)*100</f>
        <v/>
      </c>
      <c r="J16" s="53">
        <f>((C16-B17)/C16)*100</f>
        <v/>
      </c>
      <c r="K16" s="54">
        <f>100-(((C3-C17)/C3)*100)</f>
        <v/>
      </c>
      <c r="L16" s="55" t="n">
        <v>1.25106054762823</v>
      </c>
      <c r="M16" s="69" t="inlineStr">
        <is>
          <t>Hard</t>
        </is>
      </c>
      <c r="N16" s="55" t="n">
        <v>41.37</v>
      </c>
      <c r="O16" s="57">
        <f>N16/C16</f>
        <v/>
      </c>
      <c r="P16" s="58">
        <f>(Boosters_And!B16*100)/Boosters_And!N16</f>
        <v/>
      </c>
      <c r="Q16" s="58">
        <f>Boosters_And!B16/(C16+D16)</f>
        <v/>
      </c>
      <c r="R16" s="58">
        <f>Boosters_And!N16/B16</f>
        <v/>
      </c>
      <c r="S16" s="55" t="n">
        <v>3.37755495564982</v>
      </c>
      <c r="T16" s="59" t="n">
        <v>1119</v>
      </c>
      <c r="U16" s="60" t="n">
        <v>6180068.57085389</v>
      </c>
      <c r="V16" s="61">
        <f>U16/B16</f>
        <v/>
      </c>
    </row>
    <row r="17" ht="22.5" customHeight="1" s="150">
      <c r="A17" s="34" t="n">
        <v>15</v>
      </c>
      <c r="B17" s="50" t="n">
        <v>6608</v>
      </c>
      <c r="C17" s="50" t="n">
        <v>6585</v>
      </c>
      <c r="D17" s="50" t="n">
        <v>183</v>
      </c>
      <c r="E17" s="50" t="n">
        <v>183</v>
      </c>
      <c r="F17" s="51">
        <f>(C17*100)/B17</f>
        <v/>
      </c>
      <c r="G17" s="51">
        <f>(D17*100)/B17</f>
        <v/>
      </c>
      <c r="H17" s="53">
        <f>((B17-B18)/B17)*100</f>
        <v/>
      </c>
      <c r="I17" s="53">
        <f>((B17-C17)/B17)*100</f>
        <v/>
      </c>
      <c r="J17" s="53">
        <f>((C17-B18)/C17)*100</f>
        <v/>
      </c>
      <c r="K17" s="54">
        <f>100-(((C3-C18)/C3)*100)</f>
        <v/>
      </c>
      <c r="L17" s="55" t="n">
        <v>1.01996867658574</v>
      </c>
      <c r="M17" s="56" t="inlineStr">
        <is>
          <t>Normal</t>
        </is>
      </c>
      <c r="N17" s="55" t="n">
        <v>9.98</v>
      </c>
      <c r="O17" s="57">
        <f>N17/C17</f>
        <v/>
      </c>
      <c r="P17" s="58">
        <f>(Boosters_And!B17*100)/Boosters_And!N17</f>
        <v/>
      </c>
      <c r="Q17" s="58">
        <f>Boosters_And!B17/(C17+D17)</f>
        <v/>
      </c>
      <c r="R17" s="58">
        <f>Boosters_And!N17/B17</f>
        <v/>
      </c>
      <c r="S17" s="55" t="n">
        <v>4.65896632732967</v>
      </c>
      <c r="T17" s="59" t="n">
        <v>751</v>
      </c>
      <c r="U17" s="60" t="n">
        <v>6337898.93498488</v>
      </c>
      <c r="V17" s="61">
        <f>U17/B17</f>
        <v/>
      </c>
    </row>
    <row r="18" ht="22.5" customHeight="1" s="150">
      <c r="A18" s="34" t="n">
        <v>16</v>
      </c>
      <c r="B18" s="50" t="n">
        <v>6456</v>
      </c>
      <c r="C18" s="50" t="n">
        <v>6420</v>
      </c>
      <c r="D18" s="50" t="n">
        <v>330</v>
      </c>
      <c r="E18" s="50" t="n">
        <v>284</v>
      </c>
      <c r="F18" s="51">
        <f>(C18*100)/B18</f>
        <v/>
      </c>
      <c r="G18" s="66">
        <f>(D18*100)/B18</f>
        <v/>
      </c>
      <c r="H18" s="53">
        <f>((B18-B19)/B18)*100</f>
        <v/>
      </c>
      <c r="I18" s="53">
        <f>((B18-C18)/B18)*100</f>
        <v/>
      </c>
      <c r="J18" s="53">
        <f>((C18-B19)/C18)*100</f>
        <v/>
      </c>
      <c r="K18" s="54">
        <f>100-(((C3-C19)/C3)*100)</f>
        <v/>
      </c>
      <c r="L18" s="55" t="n">
        <v>1.01084337349397</v>
      </c>
      <c r="M18" s="70" t="inlineStr">
        <is>
          <t>Normal</t>
        </is>
      </c>
      <c r="N18" s="55" t="n">
        <v>27.42</v>
      </c>
      <c r="O18" s="57">
        <f>N18/C18</f>
        <v/>
      </c>
      <c r="P18" s="58">
        <f>(Boosters_And!B18*100)/Boosters_And!N18</f>
        <v/>
      </c>
      <c r="Q18" s="58">
        <f>Boosters_And!B18/(C18+D18)</f>
        <v/>
      </c>
      <c r="R18" s="58">
        <f>Boosters_And!N18/B18</f>
        <v/>
      </c>
      <c r="S18" s="55" t="n">
        <v>0.199598393574297</v>
      </c>
      <c r="T18" s="59" t="n">
        <v>704</v>
      </c>
      <c r="U18" s="60" t="n">
        <v>6743088.86636804</v>
      </c>
      <c r="V18" s="61">
        <f>U18/B18</f>
        <v/>
      </c>
    </row>
    <row r="19" ht="22.5" customHeight="1" s="150">
      <c r="A19" s="34" t="n">
        <v>17</v>
      </c>
      <c r="B19" s="50" t="n">
        <v>6299</v>
      </c>
      <c r="C19" s="50" t="n">
        <v>6276</v>
      </c>
      <c r="D19" s="50" t="n">
        <v>206</v>
      </c>
      <c r="E19" s="50" t="n">
        <v>178</v>
      </c>
      <c r="F19" s="51">
        <f>(C19*100)/B19</f>
        <v/>
      </c>
      <c r="G19" s="64">
        <f>(D19*100)/B19</f>
        <v/>
      </c>
      <c r="H19" s="53">
        <f>((B19-B20)/B19)*100</f>
        <v/>
      </c>
      <c r="I19" s="53">
        <f>((B19-C19)/B19)*100</f>
        <v/>
      </c>
      <c r="J19" s="53">
        <f>((C19-B20)/C19)*100</f>
        <v/>
      </c>
      <c r="K19" s="54">
        <f>100-(((C3-C20)/C3)*100)</f>
        <v/>
      </c>
      <c r="L19" s="55" t="n">
        <v>1.0176663927691</v>
      </c>
      <c r="M19" s="56" t="inlineStr">
        <is>
          <t>Normal</t>
        </is>
      </c>
      <c r="N19" s="55" t="n">
        <v>26.94</v>
      </c>
      <c r="O19" s="57">
        <f>N19/C19</f>
        <v/>
      </c>
      <c r="P19" s="58">
        <f>(Boosters_And!B19*100)/Boosters_And!N19</f>
        <v/>
      </c>
      <c r="Q19" s="58">
        <f>Boosters_And!B19/(C19+D19)</f>
        <v/>
      </c>
      <c r="R19" s="58">
        <f>Boosters_And!N19/B19</f>
        <v/>
      </c>
      <c r="S19" s="55" t="n">
        <v>5.09285127362366</v>
      </c>
      <c r="T19" s="59" t="n">
        <v>735</v>
      </c>
      <c r="U19" s="60" t="n">
        <v>6796507.183759</v>
      </c>
      <c r="V19" s="61">
        <f>U19/B19</f>
        <v/>
      </c>
    </row>
    <row r="20" ht="22.5" customHeight="1" s="150">
      <c r="A20" s="34" t="n">
        <v>18</v>
      </c>
      <c r="B20" s="50" t="n">
        <v>6196</v>
      </c>
      <c r="C20" s="50" t="n">
        <v>6193</v>
      </c>
      <c r="D20" s="50" t="n">
        <v>21</v>
      </c>
      <c r="E20" s="50" t="n">
        <v>18</v>
      </c>
      <c r="F20" s="51">
        <f>(C20*100)/B20</f>
        <v/>
      </c>
      <c r="G20" s="51">
        <f>(D20*100)/B20</f>
        <v/>
      </c>
      <c r="H20" s="53">
        <f>((B20-B21)/B20)*100</f>
        <v/>
      </c>
      <c r="I20" s="53">
        <f>((B20-C20)/B20)*100</f>
        <v/>
      </c>
      <c r="J20" s="53">
        <f>((C20-B21)/C20)*100</f>
        <v/>
      </c>
      <c r="K20" s="54">
        <f>100-(((C3-C21)/C3)*100)</f>
        <v/>
      </c>
      <c r="L20" s="55" t="n">
        <v>1.00291423813488</v>
      </c>
      <c r="M20" s="70" t="inlineStr">
        <is>
          <t>Normal</t>
        </is>
      </c>
      <c r="N20" s="55" t="n">
        <v>15.96</v>
      </c>
      <c r="O20" s="57">
        <f>N20/C20</f>
        <v/>
      </c>
      <c r="P20" s="58">
        <f>(Boosters_And!B20*100)/Boosters_And!N20</f>
        <v/>
      </c>
      <c r="Q20" s="58">
        <f>Boosters_And!B20/(C20+D20)</f>
        <v/>
      </c>
      <c r="R20" s="58">
        <f>Boosters_And!N20/B20</f>
        <v/>
      </c>
      <c r="S20" s="55" t="n">
        <v>4.49833472106577</v>
      </c>
      <c r="T20" s="59" t="n">
        <v>694</v>
      </c>
      <c r="U20" s="60" t="n">
        <v>6921915.13120218</v>
      </c>
      <c r="V20" s="61">
        <f>U20/B20</f>
        <v/>
      </c>
    </row>
    <row r="21" ht="22.5" customHeight="1" s="150">
      <c r="A21" s="34" t="n">
        <v>19</v>
      </c>
      <c r="B21" s="50" t="n">
        <v>6080</v>
      </c>
      <c r="C21" s="50" t="n">
        <v>6072</v>
      </c>
      <c r="D21" s="50" t="n">
        <v>36</v>
      </c>
      <c r="E21" s="50" t="n">
        <v>34</v>
      </c>
      <c r="F21" s="51">
        <f>(C21*100)/B21</f>
        <v/>
      </c>
      <c r="G21" s="51">
        <f>(D21*100)/B21</f>
        <v/>
      </c>
      <c r="H21" s="53">
        <f>((B21-B22)/B21)*100</f>
        <v/>
      </c>
      <c r="I21" s="53">
        <f>((B21-C21)/B21)*100</f>
        <v/>
      </c>
      <c r="J21" s="53">
        <f>((C21-B22)/C21)*100</f>
        <v/>
      </c>
      <c r="K21" s="53">
        <f>100-(((C3-C22)/C3)*100)</f>
        <v/>
      </c>
      <c r="L21" s="55" t="n">
        <v>1.00169851380042</v>
      </c>
      <c r="M21" s="56" t="inlineStr">
        <is>
          <t>Normal</t>
        </is>
      </c>
      <c r="N21" s="55" t="n">
        <v>85.5</v>
      </c>
      <c r="O21" s="57">
        <f>N21/C21</f>
        <v/>
      </c>
      <c r="P21" s="58">
        <f>(Boosters_And!B21*100)/Boosters_And!N21</f>
        <v/>
      </c>
      <c r="Q21" s="58">
        <f>Boosters_And!B21/(C21+D21)</f>
        <v/>
      </c>
      <c r="R21" s="58">
        <f>Boosters_And!N21/B21</f>
        <v/>
      </c>
      <c r="S21" s="55" t="n">
        <v>4.29299363057324</v>
      </c>
      <c r="T21" s="59" t="n">
        <v>1352</v>
      </c>
      <c r="U21" s="60" t="n">
        <v>7128056.70174227</v>
      </c>
      <c r="V21" s="61">
        <f>U21/B21</f>
        <v/>
      </c>
    </row>
    <row r="22" ht="22.5" customHeight="1" s="150">
      <c r="A22" s="34" t="n">
        <v>20</v>
      </c>
      <c r="B22" s="50" t="n">
        <v>5961</v>
      </c>
      <c r="C22" s="50" t="n">
        <v>5917</v>
      </c>
      <c r="D22" s="50" t="n">
        <v>433</v>
      </c>
      <c r="E22" s="50" t="n">
        <v>291</v>
      </c>
      <c r="F22" s="51">
        <f>(C22*100)/B22</f>
        <v/>
      </c>
      <c r="G22" s="64">
        <f>(D22*100)/B22</f>
        <v/>
      </c>
      <c r="H22" s="52">
        <f>((B22-B23)/B22)*100</f>
        <v/>
      </c>
      <c r="I22" s="53">
        <f>((B22-C22)/B22)*100</f>
        <v/>
      </c>
      <c r="J22" s="53">
        <f>((C22-B23)/C22)*100</f>
        <v/>
      </c>
      <c r="K22" s="52">
        <f>100-(((C3-C23)/C3)*100)</f>
        <v/>
      </c>
      <c r="L22" s="55" t="n">
        <v>1.02179598953792</v>
      </c>
      <c r="M22" s="70" t="inlineStr">
        <is>
          <t>Normal</t>
        </is>
      </c>
      <c r="N22" s="55" t="n">
        <v>35.94</v>
      </c>
      <c r="O22" s="57">
        <f>N22/C22</f>
        <v/>
      </c>
      <c r="P22" s="58">
        <f>(Boosters_And!B22*100)/Boosters_And!N22</f>
        <v/>
      </c>
      <c r="Q22" s="58">
        <f>Boosters_And!B22/(C22+D22)</f>
        <v/>
      </c>
      <c r="R22" s="58">
        <f>Boosters_And!N22/B22</f>
        <v/>
      </c>
      <c r="S22" s="55" t="n">
        <v>4.71795989537925</v>
      </c>
      <c r="T22" s="59" t="n">
        <v>874</v>
      </c>
      <c r="U22" s="60" t="n">
        <v>6973734.25222508</v>
      </c>
      <c r="V22" s="61">
        <f>U22/B22</f>
        <v/>
      </c>
    </row>
    <row r="23" ht="22.5" customHeight="1" s="150">
      <c r="A23" s="34" t="n">
        <v>21</v>
      </c>
      <c r="B23" s="50" t="n">
        <v>5726</v>
      </c>
      <c r="C23" s="50" t="n">
        <v>5703</v>
      </c>
      <c r="D23" s="50" t="n">
        <v>85</v>
      </c>
      <c r="E23" s="50" t="n">
        <v>101</v>
      </c>
      <c r="F23" s="51">
        <f>(C23*100)/B23</f>
        <v/>
      </c>
      <c r="G23" s="51">
        <f>(D23*100)/B23</f>
        <v/>
      </c>
      <c r="H23" s="53">
        <f>((B23-B24)/B23)*100</f>
        <v/>
      </c>
      <c r="I23" s="53">
        <f>((B23-C23)/B23)*100</f>
        <v/>
      </c>
      <c r="J23" s="53">
        <f>((C23-B24)/C23)*100</f>
        <v/>
      </c>
      <c r="K23" s="54">
        <f>100-(((C3-C24)/C3)*100)</f>
        <v/>
      </c>
      <c r="L23" s="55" t="n">
        <v>1.00135685210312</v>
      </c>
      <c r="M23" s="56" t="inlineStr">
        <is>
          <t>Normal</t>
        </is>
      </c>
      <c r="N23" s="55" t="n">
        <v>52.43</v>
      </c>
      <c r="O23" s="57">
        <f>N23/C23</f>
        <v/>
      </c>
      <c r="P23" s="58">
        <f>(Boosters_And!B23*100)/Boosters_And!N23</f>
        <v/>
      </c>
      <c r="Q23" s="58">
        <f>Boosters_And!B23/(C23+D23)</f>
        <v/>
      </c>
      <c r="R23" s="58">
        <f>Boosters_And!N23/B23</f>
        <v/>
      </c>
      <c r="S23" s="55" t="n">
        <v>4.25554047942107</v>
      </c>
      <c r="T23" s="59" t="n">
        <v>1638</v>
      </c>
      <c r="U23" s="60" t="n">
        <v>7602940.64258481</v>
      </c>
      <c r="V23" s="61">
        <f>U23/B23</f>
        <v/>
      </c>
    </row>
    <row r="24" ht="22.5" customHeight="1" s="150">
      <c r="A24" s="34" t="n">
        <v>22</v>
      </c>
      <c r="B24" s="50" t="n">
        <v>5551</v>
      </c>
      <c r="C24" s="50" t="n">
        <v>5538</v>
      </c>
      <c r="D24" s="50" t="n">
        <v>34</v>
      </c>
      <c r="E24" s="50" t="n">
        <v>39</v>
      </c>
      <c r="F24" s="51">
        <f>(C24*100)/B24</f>
        <v/>
      </c>
      <c r="G24" s="51">
        <f>(D24*100)/B24</f>
        <v/>
      </c>
      <c r="H24" s="53">
        <f>((B24-B25)/B24)*100</f>
        <v/>
      </c>
      <c r="I24" s="53">
        <f>((B24-C24)/B24)*100</f>
        <v/>
      </c>
      <c r="J24" s="53">
        <f>((C24-B25)/C24)*100</f>
        <v/>
      </c>
      <c r="K24" s="54">
        <f>100-(((C3-C25)/C3)*100)</f>
        <v/>
      </c>
      <c r="L24" s="55" t="n">
        <v>1.00139729855612</v>
      </c>
      <c r="M24" s="70" t="inlineStr">
        <is>
          <t>Normal</t>
        </is>
      </c>
      <c r="N24" s="55" t="n">
        <v>69.14</v>
      </c>
      <c r="O24" s="57">
        <f>N24/C24</f>
        <v/>
      </c>
      <c r="P24" s="58">
        <f>(Boosters_And!B24*100)/Boosters_And!N24</f>
        <v/>
      </c>
      <c r="Q24" s="58">
        <f>Boosters_And!B24/(C24+D24)</f>
        <v/>
      </c>
      <c r="R24" s="58">
        <f>Boosters_And!N24/B24</f>
        <v/>
      </c>
      <c r="S24" s="55" t="n">
        <v>4.67256637168141</v>
      </c>
      <c r="T24" s="59" t="n">
        <v>859</v>
      </c>
      <c r="U24" s="60" t="n">
        <v>7709312.99455019</v>
      </c>
      <c r="V24" s="61">
        <f>U24/B24</f>
        <v/>
      </c>
    </row>
    <row r="25" ht="22.5" customHeight="1" s="150">
      <c r="A25" s="34" t="n">
        <v>23</v>
      </c>
      <c r="B25" s="50" t="n">
        <v>5476</v>
      </c>
      <c r="C25" s="50" t="n">
        <v>5386</v>
      </c>
      <c r="D25" s="50" t="n">
        <v>1045</v>
      </c>
      <c r="E25" s="50" t="n">
        <v>601</v>
      </c>
      <c r="F25" s="51">
        <f>(C25*100)/B25</f>
        <v/>
      </c>
      <c r="G25" s="66">
        <f>(D25*100)/B25</f>
        <v/>
      </c>
      <c r="H25" s="53">
        <f>((B25-B26)/B25)*100</f>
        <v/>
      </c>
      <c r="I25" s="53">
        <f>((B25-C25)/B25)*100</f>
        <v/>
      </c>
      <c r="J25" s="53">
        <f>((C25-B26)/C25)*100</f>
        <v/>
      </c>
      <c r="K25" s="54">
        <f>100-(((C3-C26)/C3)*100)</f>
        <v/>
      </c>
      <c r="L25" s="55" t="n">
        <v>1.11877394636015</v>
      </c>
      <c r="M25" s="71" t="inlineStr">
        <is>
          <t>Hard</t>
        </is>
      </c>
      <c r="N25" s="55" t="n">
        <v>46.48</v>
      </c>
      <c r="O25" s="57">
        <f>N25/C25</f>
        <v/>
      </c>
      <c r="P25" s="58">
        <f>(Boosters_And!B25*100)/Boosters_And!N25</f>
        <v/>
      </c>
      <c r="Q25" s="58">
        <f>Boosters_And!B25/(C25+D25)</f>
        <v/>
      </c>
      <c r="R25" s="58">
        <f>Boosters_And!N25/B25</f>
        <v/>
      </c>
      <c r="S25" s="55" t="n">
        <v>6.29789272030651</v>
      </c>
      <c r="T25" s="59" t="n">
        <v>934</v>
      </c>
      <c r="U25" s="60" t="n">
        <v>7012852.65886686</v>
      </c>
      <c r="V25" s="61">
        <f>U25/B25</f>
        <v/>
      </c>
    </row>
    <row r="26" ht="22.5" customHeight="1" s="150">
      <c r="A26" s="65" t="n">
        <v>24</v>
      </c>
      <c r="B26" s="50" t="n">
        <v>5347</v>
      </c>
      <c r="C26" s="50" t="n">
        <v>5306</v>
      </c>
      <c r="D26" s="50" t="n">
        <v>526</v>
      </c>
      <c r="E26" s="50" t="n">
        <v>356</v>
      </c>
      <c r="F26" s="51">
        <f>(C26*100)/B26</f>
        <v/>
      </c>
      <c r="G26" s="51">
        <f>(D26*100)/B26</f>
        <v/>
      </c>
      <c r="H26" s="72">
        <f>((B26-B27)/B26)*100</f>
        <v/>
      </c>
      <c r="I26" s="53">
        <f>((B26-C26)/B26)*100</f>
        <v/>
      </c>
      <c r="J26" s="53">
        <f>((C26-B27)/C26)*100</f>
        <v/>
      </c>
      <c r="K26" s="54">
        <f>100-(((C3-C27)/C3)*100)</f>
        <v/>
      </c>
      <c r="L26" s="55" t="n">
        <v>1.0461837627613</v>
      </c>
      <c r="M26" s="70" t="inlineStr">
        <is>
          <t>Normal</t>
        </is>
      </c>
      <c r="N26" s="55" t="n">
        <v>36.95</v>
      </c>
      <c r="O26" s="57">
        <f>N26/C26</f>
        <v/>
      </c>
      <c r="P26" s="58">
        <f>(Boosters_And!B26*100)/Boosters_And!N26</f>
        <v/>
      </c>
      <c r="Q26" s="58">
        <f>Boosters_And!B26/(C26+D26)</f>
        <v/>
      </c>
      <c r="R26" s="58">
        <f>Boosters_And!N26/B26</f>
        <v/>
      </c>
      <c r="S26" s="55" t="n">
        <v>5.64511424404472</v>
      </c>
      <c r="T26" s="59" t="n">
        <v>846</v>
      </c>
      <c r="U26" s="60" t="n">
        <v>7254872.97372893</v>
      </c>
      <c r="V26" s="61">
        <f>U26/B26</f>
        <v/>
      </c>
    </row>
    <row r="27" ht="22.5" customHeight="1" s="150">
      <c r="A27" s="34" t="n">
        <v>25</v>
      </c>
      <c r="B27" s="50" t="n">
        <v>5239</v>
      </c>
      <c r="C27" s="50" t="n">
        <v>5236</v>
      </c>
      <c r="D27" s="50" t="n">
        <v>8</v>
      </c>
      <c r="E27" s="50" t="n">
        <v>10</v>
      </c>
      <c r="F27" s="51">
        <f>(C27*100)/B27</f>
        <v/>
      </c>
      <c r="G27" s="51">
        <f>(D27*100)/B27</f>
        <v/>
      </c>
      <c r="H27" s="53">
        <f>((B27-B28)/B27)*100</f>
        <v/>
      </c>
      <c r="I27" s="53">
        <f>((B27-C27)/B27)*100</f>
        <v/>
      </c>
      <c r="J27" s="53">
        <f>((C27-B28)/C27)*100</f>
        <v/>
      </c>
      <c r="K27" s="54">
        <f>100-(((C3-C28)/C3)*100)</f>
        <v/>
      </c>
      <c r="L27" s="55" t="n">
        <v>1.00196947316592</v>
      </c>
      <c r="M27" s="56" t="inlineStr">
        <is>
          <t>Normal</t>
        </is>
      </c>
      <c r="N27" s="55" t="n">
        <v>0.99</v>
      </c>
      <c r="O27" s="57">
        <f>N27/C27</f>
        <v/>
      </c>
      <c r="P27" s="58">
        <f>(Boosters_And!B27*100)/Boosters_And!N27</f>
        <v/>
      </c>
      <c r="Q27" s="58">
        <f>Boosters_And!B27/(C27+D27)</f>
        <v/>
      </c>
      <c r="R27" s="58">
        <f>Boosters_And!N27/B27</f>
        <v/>
      </c>
      <c r="S27" s="55" t="n">
        <v>7.48055145248645</v>
      </c>
      <c r="T27" s="59" t="n">
        <v>725</v>
      </c>
      <c r="U27" s="60" t="n">
        <v>7429752.83462255</v>
      </c>
      <c r="V27" s="61">
        <f>U27/B27</f>
        <v/>
      </c>
    </row>
    <row r="28" ht="22.5" customHeight="1" s="150">
      <c r="A28" s="34" t="n">
        <v>26</v>
      </c>
      <c r="B28" s="50" t="n">
        <v>5159</v>
      </c>
      <c r="C28" s="50" t="n">
        <v>5159</v>
      </c>
      <c r="D28" s="50" t="n">
        <v>0</v>
      </c>
      <c r="E28" s="50" t="n">
        <v>0</v>
      </c>
      <c r="F28" s="51">
        <f>(C28*100)/B28</f>
        <v/>
      </c>
      <c r="G28" s="51">
        <f>(D28*100)/B28</f>
        <v/>
      </c>
      <c r="H28" s="53">
        <f>((B28-B29)/B28)*100</f>
        <v/>
      </c>
      <c r="I28" s="53">
        <f>((B28-C28)/B28)*100</f>
        <v/>
      </c>
      <c r="J28" s="53">
        <f>((C28-B29)/C28)*100</f>
        <v/>
      </c>
      <c r="K28" s="54">
        <f>100-(((C3-C29)/C3)*100)</f>
        <v/>
      </c>
      <c r="L28" s="55" t="n">
        <v>1.00199900049975</v>
      </c>
      <c r="M28" s="70" t="inlineStr">
        <is>
          <t>Normal</t>
        </is>
      </c>
      <c r="N28" s="55" t="n">
        <v>5.97</v>
      </c>
      <c r="O28" s="57">
        <f>N28/C28</f>
        <v/>
      </c>
      <c r="P28" s="58">
        <f>(Boosters_And!B28*100)/Boosters_And!N28</f>
        <v/>
      </c>
      <c r="Q28" s="58">
        <f>Boosters_And!B28/(C28+D28)</f>
        <v/>
      </c>
      <c r="R28" s="58">
        <f>Boosters_And!N28/B28</f>
        <v/>
      </c>
      <c r="S28" s="55" t="n">
        <v>2.37131434282858</v>
      </c>
      <c r="T28" s="59" t="n">
        <v>642</v>
      </c>
      <c r="U28" s="60" t="n">
        <v>7535970.42564909</v>
      </c>
      <c r="V28" s="61">
        <f>U28/B28</f>
        <v/>
      </c>
    </row>
    <row r="29" ht="22.5" customHeight="1" s="150">
      <c r="A29" s="65" t="n">
        <v>27</v>
      </c>
      <c r="B29" s="50" t="n">
        <v>5094</v>
      </c>
      <c r="C29" s="50" t="n">
        <v>5027</v>
      </c>
      <c r="D29" s="50" t="n">
        <v>1174</v>
      </c>
      <c r="E29" s="50" t="n">
        <v>578</v>
      </c>
      <c r="F29" s="51">
        <f>(C29*100)/B29</f>
        <v/>
      </c>
      <c r="G29" s="73">
        <f>(D29*100)/B29</f>
        <v/>
      </c>
      <c r="H29" s="53">
        <f>((B29-B30)/B29)*100</f>
        <v/>
      </c>
      <c r="I29" s="53">
        <f>((B29-C29)/B29)*100</f>
        <v/>
      </c>
      <c r="J29" s="53">
        <f>((C29-B30)/C29)*100</f>
        <v/>
      </c>
      <c r="K29" s="54">
        <f>100-(((C3-C30)/C3)*100)</f>
        <v/>
      </c>
      <c r="L29" s="55" t="n">
        <v>1.14307692307692</v>
      </c>
      <c r="M29" s="56" t="inlineStr">
        <is>
          <t>Normal</t>
        </is>
      </c>
      <c r="N29" s="55" t="n">
        <v>39.44</v>
      </c>
      <c r="O29" s="57">
        <f>N29/C29</f>
        <v/>
      </c>
      <c r="P29" s="58">
        <f>(Boosters_And!B29*100)/Boosters_And!N29</f>
        <v/>
      </c>
      <c r="Q29" s="58">
        <f>Boosters_And!B29/(C29+D29)</f>
        <v/>
      </c>
      <c r="R29" s="58">
        <f>Boosters_And!N29/B29</f>
        <v/>
      </c>
      <c r="S29" s="55" t="n">
        <v>2.87897435897435</v>
      </c>
      <c r="T29" s="59" t="n">
        <v>782</v>
      </c>
      <c r="U29" s="60" t="n">
        <v>6876766.20664345</v>
      </c>
      <c r="V29" s="61">
        <f>U29/B29</f>
        <v/>
      </c>
    </row>
    <row r="30" ht="22.5" customHeight="1" s="150">
      <c r="A30" s="65" t="n">
        <v>28</v>
      </c>
      <c r="B30" s="50" t="n">
        <v>4914</v>
      </c>
      <c r="C30" s="50" t="n">
        <v>4898</v>
      </c>
      <c r="D30" s="50" t="n">
        <v>21</v>
      </c>
      <c r="E30" s="50" t="n">
        <v>21</v>
      </c>
      <c r="F30" s="51">
        <f>(C30*100)/B30</f>
        <v/>
      </c>
      <c r="G30" s="73">
        <f>(D30*100)/B30</f>
        <v/>
      </c>
      <c r="H30" s="53">
        <f>((B30-B31)/B30)*100</f>
        <v/>
      </c>
      <c r="I30" s="53">
        <f>((B30-C30)/B30)*100</f>
        <v/>
      </c>
      <c r="J30" s="53">
        <f>((C30-B31)/C30)*100</f>
        <v/>
      </c>
      <c r="K30" s="54">
        <f>100-(((C3-C31)/C3)*100)</f>
        <v/>
      </c>
      <c r="L30" s="55" t="n">
        <v>1.00210637177461</v>
      </c>
      <c r="M30" s="70" t="inlineStr">
        <is>
          <t>Normal</t>
        </is>
      </c>
      <c r="N30" s="55" t="n">
        <v>26.83</v>
      </c>
      <c r="O30" s="57">
        <f>N30/C30</f>
        <v/>
      </c>
      <c r="P30" s="58">
        <f>(Boosters_And!B30*100)/Boosters_And!N30</f>
        <v/>
      </c>
      <c r="Q30" s="58">
        <f>Boosters_And!B30/(C30+D30)</f>
        <v/>
      </c>
      <c r="R30" s="58">
        <f>Boosters_And!N30/B30</f>
        <v/>
      </c>
      <c r="S30" s="55" t="n">
        <v>3.93838862559241</v>
      </c>
      <c r="T30" s="59" t="n">
        <v>624</v>
      </c>
      <c r="U30" s="60" t="n">
        <v>7016412.16046027</v>
      </c>
      <c r="V30" s="61">
        <f>U30/B30</f>
        <v/>
      </c>
    </row>
    <row r="31" ht="22.5" customHeight="1" s="150">
      <c r="A31" s="65" t="n">
        <v>29</v>
      </c>
      <c r="B31" s="50" t="n">
        <v>4865</v>
      </c>
      <c r="C31" s="50" t="n">
        <v>4849</v>
      </c>
      <c r="D31" s="50" t="n">
        <v>137</v>
      </c>
      <c r="E31" s="50" t="n">
        <v>111</v>
      </c>
      <c r="F31" s="51">
        <f>(C31*100)/B31</f>
        <v/>
      </c>
      <c r="G31" s="73">
        <f>(D31*100)/B31</f>
        <v/>
      </c>
      <c r="H31" s="53">
        <f>((B31-B32)/B31)*100</f>
        <v/>
      </c>
      <c r="I31" s="53">
        <f>((B31-C31)/B31)*100</f>
        <v/>
      </c>
      <c r="J31" s="53">
        <f>((C31-B32)/C31)*100</f>
        <v/>
      </c>
      <c r="K31" s="54">
        <f>100-(((C3-C32)/C3)*100)</f>
        <v/>
      </c>
      <c r="L31" s="55" t="n">
        <v>1.01436170212765</v>
      </c>
      <c r="M31" s="56" t="inlineStr">
        <is>
          <t>Normal</t>
        </is>
      </c>
      <c r="N31" s="55" t="n">
        <v>5.97</v>
      </c>
      <c r="O31" s="57">
        <f>N31/C31</f>
        <v/>
      </c>
      <c r="P31" s="58">
        <f>(Boosters_And!B31*100)/Boosters_And!N31</f>
        <v/>
      </c>
      <c r="Q31" s="58">
        <f>Boosters_And!B31/(C31+D31)</f>
        <v/>
      </c>
      <c r="R31" s="58">
        <f>Boosters_And!N31/B31</f>
        <v/>
      </c>
      <c r="S31" s="55" t="n">
        <v>3.7031914893617</v>
      </c>
      <c r="T31" s="59" t="n">
        <v>616</v>
      </c>
      <c r="U31" s="60" t="n">
        <v>7104677.48258092</v>
      </c>
      <c r="V31" s="61">
        <f>U31/B31</f>
        <v/>
      </c>
    </row>
    <row r="32" ht="22.5" customHeight="1" s="150">
      <c r="A32" s="34" t="n">
        <v>30</v>
      </c>
      <c r="B32" s="50" t="n">
        <v>4798</v>
      </c>
      <c r="C32" s="50" t="n">
        <v>4780</v>
      </c>
      <c r="D32" s="50" t="n">
        <v>273</v>
      </c>
      <c r="E32" s="50" t="n">
        <v>165</v>
      </c>
      <c r="F32" s="51">
        <f>(C32*100)/B32</f>
        <v/>
      </c>
      <c r="G32" s="73">
        <f>(D32*100)/B32</f>
        <v/>
      </c>
      <c r="H32" s="53">
        <f>((B32-B33)/B32)*100</f>
        <v/>
      </c>
      <c r="I32" s="53">
        <f>((B32-C32)/B32)*100</f>
        <v/>
      </c>
      <c r="J32" s="53">
        <f>((C32-B33)/C32)*100</f>
        <v/>
      </c>
      <c r="K32" s="52">
        <f>100-(((C3-C33)/C3)*100)</f>
        <v/>
      </c>
      <c r="L32" s="55" t="n">
        <v>1.0307609282245</v>
      </c>
      <c r="M32" s="70" t="inlineStr">
        <is>
          <t>Normal</t>
        </is>
      </c>
      <c r="N32" s="55" t="n">
        <v>20.46</v>
      </c>
      <c r="O32" s="57">
        <f>N32/C32</f>
        <v/>
      </c>
      <c r="P32" s="58">
        <f>(Boosters_And!B32*100)/Boosters_And!N32</f>
        <v/>
      </c>
      <c r="Q32" s="58">
        <f>Boosters_And!B32/(C32+D32)</f>
        <v/>
      </c>
      <c r="R32" s="58">
        <f>Boosters_And!N32/B32</f>
        <v/>
      </c>
      <c r="S32" s="55" t="n">
        <v>3.7415002698327</v>
      </c>
      <c r="T32" s="59" t="n">
        <v>660</v>
      </c>
      <c r="U32" s="60" t="n">
        <v>7082211.35295874</v>
      </c>
      <c r="V32" s="61">
        <f>U32/B32</f>
        <v/>
      </c>
    </row>
    <row r="33" ht="22.5" customHeight="1" s="150">
      <c r="A33" s="34" t="n">
        <v>31</v>
      </c>
      <c r="B33" s="50" t="n">
        <v>4702</v>
      </c>
      <c r="C33" s="50" t="n">
        <v>4614</v>
      </c>
      <c r="D33" s="50" t="n">
        <v>1426</v>
      </c>
      <c r="E33" s="50" t="n">
        <v>818</v>
      </c>
      <c r="F33" s="51">
        <f>(C33*100)/B33</f>
        <v/>
      </c>
      <c r="G33" s="73">
        <f>(D33*100)/B33</f>
        <v/>
      </c>
      <c r="H33" s="53">
        <f>((B33-B34)/B33)*100</f>
        <v/>
      </c>
      <c r="I33" s="53">
        <f>((B33-C33)/B33)*100</f>
        <v/>
      </c>
      <c r="J33" s="53">
        <f>((C33-B34)/C33)*100</f>
        <v/>
      </c>
      <c r="K33" s="54" t="n"/>
      <c r="L33" s="55" t="n">
        <v>1.22079373951928</v>
      </c>
      <c r="M33" s="56" t="inlineStr">
        <is>
          <t>Normal</t>
        </is>
      </c>
      <c r="N33" s="55" t="n">
        <v>51.84</v>
      </c>
      <c r="O33" s="57">
        <f>N33/C33</f>
        <v/>
      </c>
      <c r="P33" s="58">
        <f>(Boosters_And!B33*100)/Boosters_And!N33</f>
        <v/>
      </c>
      <c r="Q33" s="58">
        <f>Boosters_And!B33/(C33+D33)</f>
        <v/>
      </c>
      <c r="R33" s="58">
        <f>Boosters_And!N33/B33</f>
        <v/>
      </c>
      <c r="S33" s="55" t="n">
        <v>4.37618781442146</v>
      </c>
      <c r="T33" s="59" t="n">
        <v>843</v>
      </c>
      <c r="U33" s="60" t="n">
        <v>6240634.26427046</v>
      </c>
      <c r="V33" s="61">
        <f>U33/B33</f>
        <v/>
      </c>
    </row>
    <row r="34" ht="22.5" customHeight="1" s="150">
      <c r="A34" s="34" t="n">
        <v>32</v>
      </c>
      <c r="B34" s="50" t="n">
        <v>4514</v>
      </c>
      <c r="C34" s="50" t="n">
        <v>4442</v>
      </c>
      <c r="D34" s="50" t="n">
        <v>596</v>
      </c>
      <c r="E34" s="50" t="n">
        <v>369</v>
      </c>
      <c r="F34" s="51">
        <f>(C34*100)/B34</f>
        <v/>
      </c>
      <c r="G34" s="73">
        <f>(D34*100)/B34</f>
        <v/>
      </c>
      <c r="H34" s="53">
        <f>((B34-B35)/B34)*100</f>
        <v/>
      </c>
      <c r="I34" s="53">
        <f>((B34-C34)/B34)*100</f>
        <v/>
      </c>
      <c r="J34" s="53">
        <f>((C34-B35)/C34)*100</f>
        <v/>
      </c>
      <c r="K34" s="54" t="n"/>
      <c r="L34" s="55" t="n">
        <v>1.0650406504065</v>
      </c>
      <c r="M34" s="70" t="inlineStr">
        <is>
          <t>Normal</t>
        </is>
      </c>
      <c r="N34" s="55" t="n">
        <v>44.52</v>
      </c>
      <c r="O34" s="57">
        <f>N34/C34</f>
        <v/>
      </c>
      <c r="P34" s="58">
        <f>(Boosters_And!B34*100)/Boosters_And!N34</f>
        <v/>
      </c>
      <c r="Q34" s="58">
        <f>Boosters_And!B34/(C34+D34)</f>
        <v/>
      </c>
      <c r="R34" s="58">
        <f>Boosters_And!N34/B34</f>
        <v/>
      </c>
      <c r="S34" s="55" t="n">
        <v>5.06387921022067</v>
      </c>
      <c r="T34" s="59" t="n">
        <v>704</v>
      </c>
      <c r="U34" s="60" t="n">
        <v>6057526.2801283</v>
      </c>
      <c r="V34" s="61">
        <f>U34/B34</f>
        <v/>
      </c>
    </row>
    <row r="35" ht="22.5" customHeight="1" s="150">
      <c r="A35" s="65" t="n">
        <v>33</v>
      </c>
      <c r="B35" s="50" t="n">
        <v>4362</v>
      </c>
      <c r="C35" s="50" t="n">
        <v>4349</v>
      </c>
      <c r="D35" s="50" t="n">
        <v>459</v>
      </c>
      <c r="E35" s="50" t="n">
        <v>284</v>
      </c>
      <c r="F35" s="51">
        <f>(C35*100)/B35</f>
        <v/>
      </c>
      <c r="G35" s="73">
        <f>(D35*100)/B35</f>
        <v/>
      </c>
      <c r="H35" s="53">
        <f>((B35-B36)/B35)*100</f>
        <v/>
      </c>
      <c r="I35" s="53">
        <f>((B35-C35)/B35)*100</f>
        <v/>
      </c>
      <c r="J35" s="53">
        <f>((C35-B36)/C35)*100</f>
        <v/>
      </c>
      <c r="K35" s="54" t="n"/>
      <c r="L35" s="55" t="n">
        <v>1.05397390272835</v>
      </c>
      <c r="M35" s="56" t="inlineStr">
        <is>
          <t>Normal</t>
        </is>
      </c>
      <c r="N35" s="55" t="n">
        <v>25.54</v>
      </c>
      <c r="O35" s="57">
        <f>N35/C35</f>
        <v/>
      </c>
      <c r="P35" s="58">
        <f>(Boosters_And!B35*100)/Boosters_And!N35</f>
        <v/>
      </c>
      <c r="Q35" s="58">
        <f>Boosters_And!B35/(C35+D35)</f>
        <v/>
      </c>
      <c r="R35" s="58">
        <f>Boosters_And!N35/B35</f>
        <v/>
      </c>
      <c r="S35" s="55" t="n">
        <v>4.0747330960854</v>
      </c>
      <c r="T35" s="59" t="n">
        <v>627</v>
      </c>
      <c r="U35" s="60" t="n">
        <v>5895527.68804446</v>
      </c>
      <c r="V35" s="61">
        <f>U35/B35</f>
        <v/>
      </c>
    </row>
    <row r="36" ht="22.5" customHeight="1" s="150">
      <c r="A36" s="65" t="n">
        <v>34</v>
      </c>
      <c r="B36" s="50" t="n">
        <v>4274</v>
      </c>
      <c r="C36" s="50" t="n">
        <v>4248</v>
      </c>
      <c r="D36" s="50" t="n">
        <v>113</v>
      </c>
      <c r="E36" s="50" t="n">
        <v>83</v>
      </c>
      <c r="F36" s="51">
        <f>(C36*100)/B36</f>
        <v/>
      </c>
      <c r="G36" s="51">
        <f>(D36*100)/B36</f>
        <v/>
      </c>
      <c r="H36" s="53">
        <f>((B36-B37)/B36)*100</f>
        <v/>
      </c>
      <c r="I36" s="53">
        <f>((B36-C36)/B36)*100</f>
        <v/>
      </c>
      <c r="J36" s="53">
        <f>((C36-B37)/C36)*100</f>
        <v/>
      </c>
      <c r="K36" s="54" t="n"/>
      <c r="L36" s="55" t="n">
        <v>1.01092896174863</v>
      </c>
      <c r="M36" s="70" t="inlineStr">
        <is>
          <t>Normal</t>
        </is>
      </c>
      <c r="N36" s="55" t="n">
        <v>19.7</v>
      </c>
      <c r="O36" s="57">
        <f>N36/C36</f>
        <v/>
      </c>
      <c r="P36" s="58">
        <f>(Boosters_And!B36*100)/Boosters_And!N36</f>
        <v/>
      </c>
      <c r="Q36" s="58">
        <f>Boosters_And!B36/(C36+D36)</f>
        <v/>
      </c>
      <c r="R36" s="58">
        <f>Boosters_And!N36/B36</f>
        <v/>
      </c>
      <c r="S36" s="55" t="n">
        <v>4.16211293260473</v>
      </c>
      <c r="T36" s="59" t="n">
        <v>606</v>
      </c>
      <c r="U36" s="60" t="n">
        <v>6023050.70165184</v>
      </c>
      <c r="V36" s="61">
        <f>U36/B36</f>
        <v/>
      </c>
    </row>
    <row r="37" ht="22.5" customHeight="1" s="150">
      <c r="A37" s="34" t="n">
        <v>35</v>
      </c>
      <c r="B37" s="50" t="n">
        <v>4230</v>
      </c>
      <c r="C37" s="50" t="n">
        <v>4202</v>
      </c>
      <c r="D37" s="50" t="n">
        <v>653</v>
      </c>
      <c r="E37" s="50" t="n">
        <v>364</v>
      </c>
      <c r="F37" s="51">
        <f>(C37*100)/B37</f>
        <v/>
      </c>
      <c r="G37" s="51">
        <f>(D37*100)/B37</f>
        <v/>
      </c>
      <c r="H37" s="53">
        <f>((B37-B38)/B37)*100</f>
        <v/>
      </c>
      <c r="I37" s="53">
        <f>((B37-C37)/B37)*100</f>
        <v/>
      </c>
      <c r="J37" s="53">
        <f>((C37-B38)/C37)*100</f>
        <v/>
      </c>
      <c r="K37" s="54" t="n"/>
      <c r="L37" s="55" t="n">
        <v>1.08164518109269</v>
      </c>
      <c r="M37" s="56" t="inlineStr">
        <is>
          <t>Normal</t>
        </is>
      </c>
      <c r="N37" s="55" t="n">
        <v>15.16</v>
      </c>
      <c r="O37" s="57">
        <f>N37/C37</f>
        <v/>
      </c>
      <c r="P37" s="58">
        <f>(Boosters_And!B37*100)/Boosters_And!N37</f>
        <v/>
      </c>
      <c r="Q37" s="58">
        <f>Boosters_And!B37/(C37+D37)</f>
        <v/>
      </c>
      <c r="R37" s="58">
        <f>Boosters_And!N37/B37</f>
        <v/>
      </c>
      <c r="S37" s="55" t="n">
        <v>4.62615101289134</v>
      </c>
      <c r="T37" s="59" t="n">
        <v>653</v>
      </c>
      <c r="U37" s="60" t="n">
        <v>5821281.12763409</v>
      </c>
      <c r="V37" s="61">
        <f>U37/B37</f>
        <v/>
      </c>
    </row>
    <row r="38" ht="22.5" customHeight="1" s="150">
      <c r="A38" s="34" t="n">
        <v>36</v>
      </c>
      <c r="B38" s="50" t="n">
        <v>4127</v>
      </c>
      <c r="C38" s="50" t="n">
        <v>4130</v>
      </c>
      <c r="D38" s="50" t="n">
        <v>15</v>
      </c>
      <c r="E38" s="50" t="n">
        <v>21</v>
      </c>
      <c r="F38" s="51">
        <f>(C38*100)/B38</f>
        <v/>
      </c>
      <c r="G38" s="64">
        <f>(D38*100)/B38</f>
        <v/>
      </c>
      <c r="H38" s="53">
        <f>((B38-B39)/B38)*100</f>
        <v/>
      </c>
      <c r="I38" s="53">
        <f>((B38-C38)/B38)*100</f>
        <v/>
      </c>
      <c r="J38" s="53">
        <f>((C38-B39)/C38)*100</f>
        <v/>
      </c>
      <c r="K38" s="54" t="n"/>
      <c r="L38" s="55" t="n">
        <v>1.00124921923797</v>
      </c>
      <c r="M38" s="70" t="inlineStr">
        <is>
          <t>Normal</t>
        </is>
      </c>
      <c r="N38" s="55" t="n">
        <v>28.88</v>
      </c>
      <c r="O38" s="57">
        <f>N38/C38</f>
        <v/>
      </c>
      <c r="P38" s="58">
        <f>(Boosters_And!B38*100)/Boosters_And!N38</f>
        <v/>
      </c>
      <c r="Q38" s="58">
        <f>Boosters_And!B38/(C38+D38)</f>
        <v/>
      </c>
      <c r="R38" s="58">
        <f>Boosters_And!N38/B38</f>
        <v/>
      </c>
      <c r="S38" s="55" t="n">
        <v>7.14865708931917</v>
      </c>
      <c r="T38" s="59" t="n">
        <v>580</v>
      </c>
      <c r="U38" s="60" t="n">
        <v>5874480.20036169</v>
      </c>
      <c r="V38" s="61">
        <f>U38/B38</f>
        <v/>
      </c>
    </row>
    <row r="39" ht="22.5" customHeight="1" s="150">
      <c r="A39" s="34" t="n">
        <v>37</v>
      </c>
      <c r="B39" s="50" t="n">
        <v>4091</v>
      </c>
      <c r="C39" s="50" t="n">
        <v>4088</v>
      </c>
      <c r="D39" s="50" t="n">
        <v>10</v>
      </c>
      <c r="E39" s="50" t="n">
        <v>15</v>
      </c>
      <c r="F39" s="51">
        <f>(C39*100)/B39</f>
        <v/>
      </c>
      <c r="G39" s="51">
        <f>(D39*100)/B39</f>
        <v/>
      </c>
      <c r="H39" s="53">
        <f>((B39-B40)/B39)*100</f>
        <v/>
      </c>
      <c r="I39" s="53">
        <f>((B39-C39)/B39)*100</f>
        <v/>
      </c>
      <c r="J39" s="53">
        <f>((C39-B40)/C39)*100</f>
        <v/>
      </c>
      <c r="K39" s="54" t="n"/>
      <c r="L39" s="55" t="n">
        <v>1.00126182965299</v>
      </c>
      <c r="M39" s="56" t="inlineStr">
        <is>
          <t>Normal</t>
        </is>
      </c>
      <c r="N39" s="55" t="n">
        <v>24.21</v>
      </c>
      <c r="O39" s="57">
        <f>N39/C39</f>
        <v/>
      </c>
      <c r="P39" s="58">
        <f>(Boosters_And!B39*100)/Boosters_And!N39</f>
        <v/>
      </c>
      <c r="Q39" s="58">
        <f>Boosters_And!B39/(C39+D39)</f>
        <v/>
      </c>
      <c r="R39" s="58">
        <f>Boosters_And!N39/B39</f>
        <v/>
      </c>
      <c r="S39" s="55" t="n">
        <v>2.80126182965299</v>
      </c>
      <c r="T39" s="59" t="n">
        <v>485</v>
      </c>
      <c r="U39" s="60" t="n">
        <v>5972198.83649671</v>
      </c>
      <c r="V39" s="61">
        <f>U39/B39</f>
        <v/>
      </c>
    </row>
    <row r="40" ht="22.5" customHeight="1" s="150">
      <c r="A40" s="65" t="n">
        <v>38</v>
      </c>
      <c r="B40" s="50" t="n">
        <v>4052</v>
      </c>
      <c r="C40" s="50" t="n">
        <v>4044</v>
      </c>
      <c r="D40" s="50" t="n">
        <v>13</v>
      </c>
      <c r="E40" s="50" t="n">
        <v>21</v>
      </c>
      <c r="F40" s="51">
        <f>(C40*100)/B40</f>
        <v/>
      </c>
      <c r="G40" s="51">
        <f>(D40*100)/B40</f>
        <v/>
      </c>
      <c r="H40" s="53">
        <f>((B40-B41)/B40)*100</f>
        <v/>
      </c>
      <c r="I40" s="53">
        <f>((B40-C40)/B40)*100</f>
        <v/>
      </c>
      <c r="J40" s="53">
        <f>((C40-B41)/C40)*100</f>
        <v/>
      </c>
      <c r="K40" s="54" t="n"/>
      <c r="L40" s="55" t="n">
        <v>1.00127551020408</v>
      </c>
      <c r="M40" s="70" t="inlineStr">
        <is>
          <t>Normal</t>
        </is>
      </c>
      <c r="N40" s="55" t="n">
        <v>60.93</v>
      </c>
      <c r="O40" s="57">
        <f>N40/C40</f>
        <v/>
      </c>
      <c r="P40" s="58">
        <f>(Boosters_And!B40*100)/Boosters_And!N40</f>
        <v/>
      </c>
      <c r="Q40" s="58">
        <f>Boosters_And!B40/(C40+D40)</f>
        <v/>
      </c>
      <c r="R40" s="58">
        <f>Boosters_And!N40/B40</f>
        <v/>
      </c>
      <c r="S40" s="55" t="n">
        <v>3.17793367346938</v>
      </c>
      <c r="T40" s="59" t="n">
        <v>537</v>
      </c>
      <c r="U40" s="60" t="n">
        <v>6157022.08771105</v>
      </c>
      <c r="V40" s="61">
        <f>U40/B40</f>
        <v/>
      </c>
    </row>
    <row r="41" ht="22.5" customHeight="1" s="150">
      <c r="A41" s="34" t="n">
        <v>39</v>
      </c>
      <c r="B41" s="50" t="n">
        <v>4073</v>
      </c>
      <c r="C41" s="50" t="n">
        <v>3807</v>
      </c>
      <c r="D41" s="50" t="n">
        <v>1769</v>
      </c>
      <c r="E41" s="50" t="n">
        <v>1434</v>
      </c>
      <c r="F41" s="51">
        <f>(C41*100)/B41</f>
        <v/>
      </c>
      <c r="G41" s="66">
        <f>(D41*100)/B41</f>
        <v/>
      </c>
      <c r="H41" s="52">
        <f>((B41-B42)/B41)*100</f>
        <v/>
      </c>
      <c r="I41" s="53">
        <f>((B41-C41)/B41)*100</f>
        <v/>
      </c>
      <c r="J41" s="53">
        <f>((C41-B42)/C41)*100</f>
        <v/>
      </c>
      <c r="K41" s="54" t="n"/>
      <c r="L41" s="55" t="n">
        <v>1.66192411924119</v>
      </c>
      <c r="M41" s="74" t="inlineStr">
        <is>
          <t>Very Hard</t>
        </is>
      </c>
      <c r="N41" s="55" t="n">
        <v>135.59</v>
      </c>
      <c r="O41" s="57">
        <f>N41/C41</f>
        <v/>
      </c>
      <c r="P41" s="58">
        <f>(Boosters_And!B41*100)/Boosters_And!N41</f>
        <v/>
      </c>
      <c r="Q41" s="58">
        <f>Boosters_And!B41/(C41+D41)</f>
        <v/>
      </c>
      <c r="R41" s="58">
        <f>Boosters_And!N41/B41</f>
        <v/>
      </c>
      <c r="S41" s="55" t="n">
        <v>4.01287262872628</v>
      </c>
      <c r="T41" s="59" t="n">
        <v>978</v>
      </c>
      <c r="U41" s="60" t="n">
        <v>4841244.58566012</v>
      </c>
      <c r="V41" s="61">
        <f>U41/B41</f>
        <v/>
      </c>
    </row>
    <row r="42" ht="22.5" customHeight="1" s="150">
      <c r="A42" s="34" t="n">
        <v>40</v>
      </c>
      <c r="B42" s="50" t="n">
        <v>3884</v>
      </c>
      <c r="C42" s="50" t="n">
        <v>3541</v>
      </c>
      <c r="D42" s="50" t="n">
        <v>2448</v>
      </c>
      <c r="E42" s="50" t="n">
        <v>1741</v>
      </c>
      <c r="F42" s="51">
        <f>(C42*100)/B42</f>
        <v/>
      </c>
      <c r="G42" s="73">
        <f>(D42*100)/B42</f>
        <v/>
      </c>
      <c r="H42" s="67">
        <f>((B42-B43)/B42)*100</f>
        <v/>
      </c>
      <c r="I42" s="53">
        <f>((B42-C42)/B42)*100</f>
        <v/>
      </c>
      <c r="J42" s="53">
        <f>((C42-B43)/C42)*100</f>
        <v/>
      </c>
      <c r="K42" s="54" t="n"/>
      <c r="L42" s="55" t="n">
        <v>1.77348871085214</v>
      </c>
      <c r="M42" s="69" t="inlineStr">
        <is>
          <t>Hard</t>
        </is>
      </c>
      <c r="N42" s="55" t="n">
        <v>157.72</v>
      </c>
      <c r="O42" s="57">
        <f>N42/C42</f>
        <v/>
      </c>
      <c r="P42" s="75">
        <f>(Boosters_And!B42*100)/Boosters_And!N42</f>
        <v/>
      </c>
      <c r="Q42" s="58">
        <f>Boosters_And!B42/(C42+D42)</f>
        <v/>
      </c>
      <c r="R42" s="58">
        <f>Boosters_And!N42/B42</f>
        <v/>
      </c>
      <c r="S42" s="55" t="n">
        <v>5.25637290604515</v>
      </c>
      <c r="T42" s="59" t="n">
        <v>1377</v>
      </c>
      <c r="U42" s="60" t="n">
        <v>3169658.78846214</v>
      </c>
      <c r="V42" s="61">
        <f>U42/B42</f>
        <v/>
      </c>
    </row>
    <row r="43" ht="22.5" customHeight="1" s="150">
      <c r="A43" s="34" t="n">
        <v>41</v>
      </c>
      <c r="B43" s="50" t="n">
        <v>3500</v>
      </c>
      <c r="C43" s="50" t="n">
        <v>3490</v>
      </c>
      <c r="D43" s="50" t="n">
        <v>18</v>
      </c>
      <c r="E43" s="50" t="n">
        <v>34</v>
      </c>
      <c r="F43" s="51">
        <f>(C43*100)/B43</f>
        <v/>
      </c>
      <c r="G43" s="51">
        <f>(D43*100)/B43</f>
        <v/>
      </c>
      <c r="H43" s="53">
        <f>((B43-B44)/B43)*100</f>
        <v/>
      </c>
      <c r="I43" s="53">
        <f>((B43-C43)/B43)*100</f>
        <v/>
      </c>
      <c r="J43" s="53">
        <f>((C43-B44)/C43)*100</f>
        <v/>
      </c>
      <c r="K43" s="54" t="n"/>
      <c r="L43" s="55" t="n">
        <v>1.00073909830007</v>
      </c>
      <c r="M43" s="56" t="inlineStr">
        <is>
          <t>Normal</t>
        </is>
      </c>
      <c r="N43" s="55" t="n">
        <v>6.95</v>
      </c>
      <c r="O43" s="57">
        <f>N43/C43</f>
        <v/>
      </c>
      <c r="P43" s="58">
        <f>(Boosters_And!B43*100)/Boosters_And!N43</f>
        <v/>
      </c>
      <c r="Q43" s="58">
        <f>Boosters_And!B43/(C43+D43)</f>
        <v/>
      </c>
      <c r="R43" s="58">
        <f>Boosters_And!N43/B43</f>
        <v/>
      </c>
      <c r="S43" s="55" t="n">
        <v>4.07317073170731</v>
      </c>
      <c r="T43" s="59" t="n">
        <v>586</v>
      </c>
      <c r="U43" s="60" t="n">
        <v>3372679.34673554</v>
      </c>
      <c r="V43" s="61">
        <f>U43/B43</f>
        <v/>
      </c>
    </row>
    <row r="44" ht="22.5" customHeight="1" s="150">
      <c r="A44" s="34" t="n">
        <v>42</v>
      </c>
      <c r="B44" s="50" t="n">
        <v>3495</v>
      </c>
      <c r="C44" s="50" t="n">
        <v>3255</v>
      </c>
      <c r="D44" s="50" t="n">
        <v>1935</v>
      </c>
      <c r="E44" s="50" t="n">
        <v>1527</v>
      </c>
      <c r="F44" s="51">
        <f>(C44*100)/B44</f>
        <v/>
      </c>
      <c r="G44" s="51">
        <f>(D44*100)/B44</f>
        <v/>
      </c>
      <c r="H44" s="52">
        <f>((B44-B45)/B44)*100</f>
        <v/>
      </c>
      <c r="I44" s="53">
        <f>((B44-C44)/B44)*100</f>
        <v/>
      </c>
      <c r="J44" s="53">
        <f>((C44-B45)/C44)*100</f>
        <v/>
      </c>
      <c r="K44" s="54" t="n"/>
      <c r="L44" s="55" t="n">
        <v>1.89390340459224</v>
      </c>
      <c r="M44" s="76" t="inlineStr">
        <is>
          <t>Very Hard</t>
        </is>
      </c>
      <c r="N44" s="55" t="n">
        <v>124.87</v>
      </c>
      <c r="O44" s="57">
        <f>N44/C44</f>
        <v/>
      </c>
      <c r="P44" s="58">
        <f>(Boosters_And!B44*100)/Boosters_And!N44</f>
        <v/>
      </c>
      <c r="Q44" s="58">
        <f>Boosters_And!B44/(C44+D44)</f>
        <v/>
      </c>
      <c r="R44" s="58">
        <f>Boosters_And!N44/B44</f>
        <v/>
      </c>
      <c r="S44" s="55" t="n">
        <v>5.8147268408551</v>
      </c>
      <c r="T44" s="59" t="n">
        <v>1168</v>
      </c>
      <c r="U44" s="60" t="n">
        <v>2605903.37848848</v>
      </c>
      <c r="V44" s="61">
        <f>U44/B44</f>
        <v/>
      </c>
    </row>
    <row r="45" ht="22.5" customHeight="1" s="150">
      <c r="A45" s="65" t="n">
        <v>43</v>
      </c>
      <c r="B45" s="50" t="n">
        <v>3227</v>
      </c>
      <c r="C45" s="50" t="n">
        <v>3201</v>
      </c>
      <c r="D45" s="50" t="n">
        <v>253</v>
      </c>
      <c r="E45" s="50" t="n">
        <v>222</v>
      </c>
      <c r="F45" s="51">
        <f>(C45*100)/B45</f>
        <v/>
      </c>
      <c r="G45" s="51">
        <f>(D45*100)/B45</f>
        <v/>
      </c>
      <c r="H45" s="53">
        <f>((B45-B46)/B45)*100</f>
        <v/>
      </c>
      <c r="I45" s="53">
        <f>((B45-C45)/B45)*100</f>
        <v/>
      </c>
      <c r="J45" s="53">
        <f>((C45-B46)/C45)*100</f>
        <v/>
      </c>
      <c r="K45" s="54" t="n"/>
      <c r="L45" s="55" t="n">
        <v>1.0354267310789</v>
      </c>
      <c r="M45" s="56" t="inlineStr">
        <is>
          <t>Normal</t>
        </is>
      </c>
      <c r="N45" s="55" t="n">
        <v>48.23</v>
      </c>
      <c r="O45" s="57">
        <f>N45/C45</f>
        <v/>
      </c>
      <c r="P45" s="58">
        <f>(Boosters_And!B45*100)/Boosters_And!N45</f>
        <v/>
      </c>
      <c r="Q45" s="58">
        <f>Boosters_And!B45/(C45+D45)</f>
        <v/>
      </c>
      <c r="R45" s="58">
        <f>Boosters_And!N45/B45</f>
        <v/>
      </c>
      <c r="S45" s="55" t="n">
        <v>4.48711755233494</v>
      </c>
      <c r="T45" s="59" t="n">
        <v>660</v>
      </c>
      <c r="U45" s="60" t="n">
        <v>2714893.7696693</v>
      </c>
      <c r="V45" s="61">
        <f>U45/B45</f>
        <v/>
      </c>
    </row>
    <row r="46" ht="22.5" customHeight="1" s="150">
      <c r="A46" s="34" t="n">
        <v>44</v>
      </c>
      <c r="B46" s="50" t="n">
        <v>3173</v>
      </c>
      <c r="C46" s="50" t="n">
        <v>3170</v>
      </c>
      <c r="D46" s="50" t="n">
        <v>10</v>
      </c>
      <c r="E46" s="50" t="n">
        <v>8</v>
      </c>
      <c r="F46" s="51">
        <f>(C46*100)/B46</f>
        <v/>
      </c>
      <c r="G46" s="51">
        <f>(D46*100)/B46</f>
        <v/>
      </c>
      <c r="H46" s="53">
        <f>((B46-B47)/B46)*100</f>
        <v/>
      </c>
      <c r="I46" s="53">
        <f>((B46-C46)/B46)*100</f>
        <v/>
      </c>
      <c r="J46" s="53">
        <f>((C46-B47)/C46)*100</f>
        <v/>
      </c>
      <c r="K46" s="54" t="n"/>
      <c r="L46" s="55" t="n">
        <v>1.00243902439024</v>
      </c>
      <c r="M46" s="69" t="inlineStr">
        <is>
          <t>Hard</t>
        </is>
      </c>
      <c r="N46" s="55" t="n">
        <v>30.93</v>
      </c>
      <c r="O46" s="57">
        <f>N46/C46</f>
        <v/>
      </c>
      <c r="P46" s="58">
        <f>(Boosters_And!B46*100)/Boosters_And!N46</f>
        <v/>
      </c>
      <c r="Q46" s="58">
        <f>Boosters_And!B46/(C46+D46)</f>
        <v/>
      </c>
      <c r="R46" s="58">
        <f>Boosters_And!N46/B46</f>
        <v/>
      </c>
      <c r="S46" s="55" t="n">
        <v>4.23414634146341</v>
      </c>
      <c r="T46" s="59" t="n">
        <v>567</v>
      </c>
      <c r="U46" s="60" t="n">
        <v>2899536.46645499</v>
      </c>
      <c r="V46" s="61">
        <f>U46/B46</f>
        <v/>
      </c>
    </row>
    <row r="47" ht="22.5" customHeight="1" s="150">
      <c r="A47" s="65" t="n">
        <v>45</v>
      </c>
      <c r="B47" s="50" t="n">
        <v>3155</v>
      </c>
      <c r="C47" s="50" t="n">
        <v>3155</v>
      </c>
      <c r="D47" s="50" t="n">
        <v>3</v>
      </c>
      <c r="E47" s="50" t="n">
        <v>5</v>
      </c>
      <c r="F47" s="51">
        <f>(C47*100)/B47</f>
        <v/>
      </c>
      <c r="G47" s="51">
        <f>(D47*100)/B47</f>
        <v/>
      </c>
      <c r="H47" s="53">
        <f>((B47-B48)/B47)*100</f>
        <v/>
      </c>
      <c r="I47" s="53">
        <f>((B47-C47)/B47)*100</f>
        <v/>
      </c>
      <c r="J47" s="53">
        <f>((C47-B48)/C47)*100</f>
        <v/>
      </c>
      <c r="K47" s="54" t="n"/>
      <c r="L47" s="55" t="n">
        <v>1.0016339869281</v>
      </c>
      <c r="M47" s="56" t="inlineStr">
        <is>
          <t>Normal</t>
        </is>
      </c>
      <c r="N47" s="55" t="n">
        <v>8.48</v>
      </c>
      <c r="O47" s="57">
        <f>N47/C47</f>
        <v/>
      </c>
      <c r="P47" s="58">
        <f>(Boosters_And!B47*100)/Boosters_And!N47</f>
        <v/>
      </c>
      <c r="Q47" s="58">
        <f>Boosters_And!B47/(C47+D47)</f>
        <v/>
      </c>
      <c r="R47" s="58">
        <f>Boosters_And!N47/B47</f>
        <v/>
      </c>
      <c r="S47" s="55" t="n">
        <v>3.97875816993464</v>
      </c>
      <c r="T47" s="59" t="n">
        <v>544</v>
      </c>
      <c r="U47" s="60" t="n">
        <v>3061558.27267966</v>
      </c>
      <c r="V47" s="61">
        <f>U47/B47</f>
        <v/>
      </c>
    </row>
    <row r="48" ht="22.5" customHeight="1" s="150">
      <c r="A48" s="34" t="n">
        <v>46</v>
      </c>
      <c r="B48" s="50" t="n">
        <v>3126</v>
      </c>
      <c r="C48" s="50" t="n">
        <v>3126</v>
      </c>
      <c r="D48" s="50" t="n">
        <v>0</v>
      </c>
      <c r="E48" s="50" t="n">
        <v>5</v>
      </c>
      <c r="F48" s="51">
        <f>(C48*100)/B48</f>
        <v/>
      </c>
      <c r="G48" s="51">
        <f>(D48*100)/B48</f>
        <v/>
      </c>
      <c r="H48" s="53">
        <f>((B48-B49)/B48)*100</f>
        <v/>
      </c>
      <c r="I48" s="53">
        <f>((B48-C48)/B48)*100</f>
        <v/>
      </c>
      <c r="J48" s="53">
        <f>((C48-B49)/C48)*100</f>
        <v/>
      </c>
      <c r="K48" s="54" t="n"/>
      <c r="L48" s="55" t="n">
        <v>1.00082440230832</v>
      </c>
      <c r="M48" s="70" t="inlineStr">
        <is>
          <t>Normal</t>
        </is>
      </c>
      <c r="N48" s="55" t="n">
        <v>22.9</v>
      </c>
      <c r="O48" s="57">
        <f>N48/C48</f>
        <v/>
      </c>
      <c r="P48" s="58">
        <f>(Boosters_And!B48*100)/Boosters_And!N48</f>
        <v/>
      </c>
      <c r="Q48" s="58">
        <f>Boosters_And!B48/(C48+D48)</f>
        <v/>
      </c>
      <c r="R48" s="58">
        <f>Boosters_And!N48/B48</f>
        <v/>
      </c>
      <c r="S48" s="55" t="n">
        <v>5.70156636438582</v>
      </c>
      <c r="T48" s="59" t="n">
        <v>511</v>
      </c>
      <c r="U48" s="60" t="n">
        <v>3223812.2203126</v>
      </c>
      <c r="V48" s="61">
        <f>U48/B48</f>
        <v/>
      </c>
    </row>
    <row r="49" ht="22.5" customHeight="1" s="150">
      <c r="A49" s="34" t="n">
        <v>47</v>
      </c>
      <c r="B49" s="50" t="n">
        <v>3090</v>
      </c>
      <c r="C49" s="50" t="n">
        <v>3090</v>
      </c>
      <c r="D49" s="50" t="n">
        <v>0</v>
      </c>
      <c r="E49" s="50" t="n">
        <v>3</v>
      </c>
      <c r="F49" s="51">
        <f>(C49*100)/B49</f>
        <v/>
      </c>
      <c r="G49" s="51">
        <f>(D49*100)/B49</f>
        <v/>
      </c>
      <c r="H49" s="53">
        <f>((B49-B50)/B49)*100</f>
        <v/>
      </c>
      <c r="I49" s="53">
        <f>((B49-C49)/B49)*100</f>
        <v/>
      </c>
      <c r="J49" s="53">
        <f>((C49-B50)/C49)*100</f>
        <v/>
      </c>
      <c r="K49" s="54" t="n"/>
      <c r="L49" s="55" t="n">
        <v>1.00083402835696</v>
      </c>
      <c r="M49" s="56" t="inlineStr">
        <is>
          <t>Normal</t>
        </is>
      </c>
      <c r="N49" s="55" t="n">
        <v>27.95</v>
      </c>
      <c r="O49" s="57">
        <f>N49/C49</f>
        <v/>
      </c>
      <c r="P49" s="58">
        <f>(Boosters_And!B49*100)/Boosters_And!N49</f>
        <v/>
      </c>
      <c r="Q49" s="58">
        <f>Boosters_And!B49/(C49+D49)</f>
        <v/>
      </c>
      <c r="R49" s="58">
        <f>Boosters_And!N49/B49</f>
        <v/>
      </c>
      <c r="S49" s="55" t="n">
        <v>3.46622185154295</v>
      </c>
      <c r="T49" s="59" t="n">
        <v>508</v>
      </c>
      <c r="U49" s="60" t="n">
        <v>3307808.71987013</v>
      </c>
      <c r="V49" s="61">
        <f>U49/B49</f>
        <v/>
      </c>
    </row>
    <row r="50" ht="22.5" customHeight="1" s="150">
      <c r="A50" s="65" t="n">
        <v>48</v>
      </c>
      <c r="B50" s="50" t="n">
        <v>3077</v>
      </c>
      <c r="C50" s="50" t="n">
        <v>3062</v>
      </c>
      <c r="D50" s="50" t="n">
        <v>428</v>
      </c>
      <c r="E50" s="50" t="n">
        <v>328</v>
      </c>
      <c r="F50" s="51">
        <f>(C50*100)/B50</f>
        <v/>
      </c>
      <c r="G50" s="51">
        <f>(D50*100)/B50</f>
        <v/>
      </c>
      <c r="H50" s="53">
        <f>((B50-B51)/B50)*100</f>
        <v/>
      </c>
      <c r="I50" s="53">
        <f>((B50-C50)/B50)*100</f>
        <v/>
      </c>
      <c r="J50" s="53">
        <f>((C50-B51)/C50)*100</f>
        <v/>
      </c>
      <c r="K50" s="54" t="n"/>
      <c r="L50" s="55" t="n">
        <v>1.09595959595959</v>
      </c>
      <c r="M50" s="70" t="inlineStr">
        <is>
          <t>Normal</t>
        </is>
      </c>
      <c r="N50" s="55" t="n">
        <v>8.94</v>
      </c>
      <c r="O50" s="57">
        <f>N50/C50</f>
        <v/>
      </c>
      <c r="P50" s="58">
        <f>(Boosters_And!B50*100)/Boosters_And!N50</f>
        <v/>
      </c>
      <c r="Q50" s="58">
        <f>Boosters_And!B50/(C50+D50)</f>
        <v/>
      </c>
      <c r="R50" s="58">
        <f>Boosters_And!N50/B50</f>
        <v/>
      </c>
      <c r="S50" s="55" t="n">
        <v>4.19107744107744</v>
      </c>
      <c r="T50" s="59" t="n">
        <v>573</v>
      </c>
      <c r="U50" s="60" t="n">
        <v>3241313.10314687</v>
      </c>
      <c r="V50" s="61">
        <f>U50/B50</f>
        <v/>
      </c>
    </row>
    <row r="51" ht="22.5" customHeight="1" s="150">
      <c r="A51" s="34" t="n">
        <v>49</v>
      </c>
      <c r="B51" s="50" t="n">
        <v>3085</v>
      </c>
      <c r="C51" s="50" t="n">
        <v>2974</v>
      </c>
      <c r="D51" s="50" t="n">
        <v>1579</v>
      </c>
      <c r="E51" s="50" t="n">
        <v>1068</v>
      </c>
      <c r="F51" s="51">
        <f>(C51*100)/B51</f>
        <v/>
      </c>
      <c r="G51" s="51">
        <f>(D51*100)/B51</f>
        <v/>
      </c>
      <c r="H51" s="53">
        <f>((B51-B52)/B51)*100</f>
        <v/>
      </c>
      <c r="I51" s="53">
        <f>((B51-C51)/B51)*100</f>
        <v/>
      </c>
      <c r="J51" s="53">
        <f>((C51-B52)/C51)*100</f>
        <v/>
      </c>
      <c r="K51" s="54" t="n"/>
      <c r="L51" s="55" t="n">
        <v>1.41457068516912</v>
      </c>
      <c r="M51" s="71" t="inlineStr">
        <is>
          <t>Hard</t>
        </is>
      </c>
      <c r="N51" s="55" t="n">
        <v>101.17</v>
      </c>
      <c r="O51" s="57">
        <f>N51/C51</f>
        <v/>
      </c>
      <c r="P51" s="58">
        <f>(Boosters_And!B51*100)/Boosters_And!N51</f>
        <v/>
      </c>
      <c r="Q51" s="58">
        <f>Boosters_And!B51/(C51+D51)</f>
        <v/>
      </c>
      <c r="R51" s="58">
        <f>Boosters_And!N51/B51</f>
        <v/>
      </c>
      <c r="S51" s="55" t="n">
        <v>6.23677363399826</v>
      </c>
      <c r="T51" s="59" t="n">
        <v>978</v>
      </c>
      <c r="U51" s="60" t="n">
        <v>2460440.99272011</v>
      </c>
      <c r="V51" s="61">
        <f>U51/B51</f>
        <v/>
      </c>
    </row>
    <row r="52" ht="22.5" customHeight="1" s="150">
      <c r="A52" s="65" t="n">
        <v>50</v>
      </c>
      <c r="B52" s="50" t="n">
        <v>3002</v>
      </c>
      <c r="C52" s="50" t="n">
        <v>2886</v>
      </c>
      <c r="D52" s="50" t="n">
        <v>1318</v>
      </c>
      <c r="E52" s="50" t="n">
        <v>1032</v>
      </c>
      <c r="F52" s="51">
        <f>(C52*100)/B52</f>
        <v/>
      </c>
      <c r="G52" s="51">
        <f>(D52*100)/B52</f>
        <v/>
      </c>
      <c r="H52" s="52">
        <f>((B52-B53)/B52)*100</f>
        <v/>
      </c>
      <c r="I52" s="53">
        <f>((B52-C52)/B52)*100</f>
        <v/>
      </c>
      <c r="J52" s="53">
        <f>((C52-B53)/C52)*100</f>
        <v/>
      </c>
      <c r="K52" s="52">
        <f>100-(((C3-C53)/C3)*100)</f>
        <v/>
      </c>
      <c r="L52" s="55" t="n">
        <v>1.31546023235031</v>
      </c>
      <c r="M52" s="70" t="inlineStr">
        <is>
          <t>Normal</t>
        </is>
      </c>
      <c r="N52" s="55" t="n">
        <v>137.27</v>
      </c>
      <c r="O52" s="57">
        <f>N52/C52</f>
        <v/>
      </c>
      <c r="P52" s="58">
        <f>(Boosters_And!B52*100)/Boosters_And!N52</f>
        <v/>
      </c>
      <c r="Q52" s="58">
        <f>Boosters_And!B52/(C52+D52)</f>
        <v/>
      </c>
      <c r="R52" s="58">
        <f>Boosters_And!N52/B52</f>
        <v/>
      </c>
      <c r="S52" s="55" t="n">
        <v>5.42895442359249</v>
      </c>
      <c r="T52" s="59" t="n">
        <v>890</v>
      </c>
      <c r="U52" s="60" t="n">
        <v>2135842.82023991</v>
      </c>
      <c r="V52" s="61">
        <f>U52/B52</f>
        <v/>
      </c>
    </row>
    <row r="53" ht="22.5" customHeight="1" s="150">
      <c r="A53" s="34" t="n">
        <v>51</v>
      </c>
      <c r="B53" s="50" t="n">
        <v>2881</v>
      </c>
      <c r="C53" s="50" t="n">
        <v>2683</v>
      </c>
      <c r="D53" s="50" t="n">
        <v>1279</v>
      </c>
      <c r="E53" s="50" t="n">
        <v>1238</v>
      </c>
      <c r="F53" s="51">
        <f>(C53*100)/B53</f>
        <v/>
      </c>
      <c r="G53" s="51">
        <f>(D53*100)/B53</f>
        <v/>
      </c>
      <c r="H53" s="52">
        <f>((B53-B54)/B53)*100</f>
        <v/>
      </c>
      <c r="I53" s="53">
        <f>((B53-C53)/B53)*100</f>
        <v/>
      </c>
      <c r="J53" s="53">
        <f>((C53-B54)/C53)*100</f>
        <v/>
      </c>
      <c r="K53" s="54" t="n"/>
      <c r="L53" s="55" t="n">
        <v>1.53698366954851</v>
      </c>
      <c r="M53" s="74" t="inlineStr">
        <is>
          <t>Very Hard</t>
        </is>
      </c>
      <c r="N53" s="55" t="n">
        <v>119.06</v>
      </c>
      <c r="O53" s="57">
        <f>N53/C53</f>
        <v/>
      </c>
      <c r="P53" s="58">
        <f>(Boosters_And!B53*100)/Boosters_And!N53</f>
        <v/>
      </c>
      <c r="Q53" s="58">
        <f>Boosters_And!B53/(C53+D53)</f>
        <v/>
      </c>
      <c r="R53" s="58">
        <f>Boosters_And!N53/B53</f>
        <v/>
      </c>
      <c r="S53" s="55" t="n">
        <v>5.93179634966378</v>
      </c>
      <c r="T53" s="59" t="n">
        <v>993</v>
      </c>
      <c r="U53" s="60" t="n">
        <v>1976387.46625106</v>
      </c>
      <c r="V53" s="61">
        <f>U53/B53</f>
        <v/>
      </c>
    </row>
    <row r="54" ht="22.5" customHeight="1" s="150">
      <c r="A54" s="34" t="n">
        <v>52</v>
      </c>
      <c r="B54" s="50" t="n">
        <v>2649</v>
      </c>
      <c r="C54" s="50" t="n">
        <v>2608</v>
      </c>
      <c r="D54" s="50" t="n">
        <v>462</v>
      </c>
      <c r="E54" s="50" t="n">
        <v>426</v>
      </c>
      <c r="F54" s="51">
        <f>(C54*100)/B54</f>
        <v/>
      </c>
      <c r="G54" s="51">
        <f>(D54*100)/B54</f>
        <v/>
      </c>
      <c r="H54" s="53">
        <f>((B54-B55)/B54)*100</f>
        <v/>
      </c>
      <c r="I54" s="53">
        <f>((B54-C54)/B54)*100</f>
        <v/>
      </c>
      <c r="J54" s="53">
        <f>((C54-B55)/C54)*100</f>
        <v/>
      </c>
      <c r="K54" s="54" t="n"/>
      <c r="L54" s="55" t="n">
        <v>1.15118577075098</v>
      </c>
      <c r="M54" s="70" t="inlineStr">
        <is>
          <t>Normal</t>
        </is>
      </c>
      <c r="N54" s="55" t="n">
        <v>36.58</v>
      </c>
      <c r="O54" s="57">
        <f>N54/C54</f>
        <v/>
      </c>
      <c r="P54" s="58">
        <f>(Boosters_And!B54*100)/Boosters_And!N54</f>
        <v/>
      </c>
      <c r="Q54" s="58">
        <f>Boosters_And!B54/(C54+D54)</f>
        <v/>
      </c>
      <c r="R54" s="58">
        <f>Boosters_And!N54/B54</f>
        <v/>
      </c>
      <c r="S54" s="55" t="n">
        <v>8.27569169960474</v>
      </c>
      <c r="T54" s="59" t="n">
        <v>678</v>
      </c>
      <c r="U54" s="60" t="n">
        <v>2076595.1741525</v>
      </c>
      <c r="V54" s="61">
        <f>U54/B54</f>
        <v/>
      </c>
    </row>
    <row r="55" ht="22.5" customHeight="1" s="150">
      <c r="A55" s="34" t="n">
        <v>53</v>
      </c>
      <c r="B55" s="50" t="n">
        <v>2577</v>
      </c>
      <c r="C55" s="50" t="n">
        <v>2574</v>
      </c>
      <c r="D55" s="50" t="n">
        <v>8</v>
      </c>
      <c r="E55" s="50" t="n">
        <v>8</v>
      </c>
      <c r="F55" s="51">
        <f>(C55*100)/B55</f>
        <v/>
      </c>
      <c r="G55" s="51">
        <f>(D55*100)/B55</f>
        <v/>
      </c>
      <c r="H55" s="53">
        <f>((B55-B56)/B55)*100</f>
        <v/>
      </c>
      <c r="I55" s="53">
        <f>((B55-C55)/B55)*100</f>
        <v/>
      </c>
      <c r="J55" s="53">
        <f>((C55-B56)/C55)*100</f>
        <v/>
      </c>
      <c r="K55" s="54" t="n"/>
      <c r="L55" s="55" t="n">
        <v>1.003003003003</v>
      </c>
      <c r="M55" s="56" t="inlineStr">
        <is>
          <t>Normal</t>
        </is>
      </c>
      <c r="N55" s="55" t="n">
        <v>6.49</v>
      </c>
      <c r="O55" s="57">
        <f>N55/C55</f>
        <v/>
      </c>
      <c r="P55" s="58">
        <f>(Boosters_And!B55*100)/Boosters_And!N55</f>
        <v/>
      </c>
      <c r="Q55" s="58">
        <f>Boosters_And!B55/(C55+D55)</f>
        <v/>
      </c>
      <c r="R55" s="58">
        <f>Boosters_And!N55/B55</f>
        <v/>
      </c>
      <c r="S55" s="55" t="n">
        <v>5.27127127127127</v>
      </c>
      <c r="T55" s="59" t="n">
        <v>503</v>
      </c>
      <c r="U55" s="60" t="n">
        <v>2204389.01940286</v>
      </c>
      <c r="V55" s="61">
        <f>U55/B55</f>
        <v/>
      </c>
    </row>
    <row r="56" ht="22.5" customHeight="1" s="150">
      <c r="A56" s="34" t="n">
        <v>54</v>
      </c>
      <c r="B56" s="50" t="n">
        <v>2566</v>
      </c>
      <c r="C56" s="50" t="n">
        <v>2564</v>
      </c>
      <c r="D56" s="50" t="n">
        <v>0</v>
      </c>
      <c r="E56" s="50" t="n">
        <v>3</v>
      </c>
      <c r="F56" s="51">
        <f>(C56*100)/B56</f>
        <v/>
      </c>
      <c r="G56" s="51">
        <f>(D56*100)/B56</f>
        <v/>
      </c>
      <c r="H56" s="53">
        <f>((B56-B57)/B56)*100</f>
        <v/>
      </c>
      <c r="I56" s="53">
        <f>((B56-C56)/B56)*100</f>
        <v/>
      </c>
      <c r="J56" s="53">
        <f>((C56-B57)/C56)*100</f>
        <v/>
      </c>
      <c r="K56" s="54" t="n"/>
      <c r="L56" s="55" t="n">
        <v>1.00201005025125</v>
      </c>
      <c r="M56" s="70" t="inlineStr">
        <is>
          <t>Normal</t>
        </is>
      </c>
      <c r="N56" s="55" t="n">
        <v>0.99</v>
      </c>
      <c r="O56" s="57">
        <f>N56/C56</f>
        <v/>
      </c>
      <c r="P56" s="58">
        <f>(Boosters_And!B56*100)/Boosters_And!N56</f>
        <v/>
      </c>
      <c r="Q56" s="58">
        <f>Boosters_And!B56/(C56+D56)</f>
        <v/>
      </c>
      <c r="R56" s="58">
        <f>Boosters_And!N56/B56</f>
        <v/>
      </c>
      <c r="S56" s="55" t="n">
        <v>4.03718592964824</v>
      </c>
      <c r="T56" s="59" t="n">
        <v>480</v>
      </c>
      <c r="U56" s="60" t="n">
        <v>2344525.04952602</v>
      </c>
      <c r="V56" s="61">
        <f>U56/B56</f>
        <v/>
      </c>
    </row>
    <row r="57" ht="22.5" customHeight="1" s="150">
      <c r="A57" s="77" t="n">
        <v>55</v>
      </c>
      <c r="B57" s="50" t="n">
        <v>2548</v>
      </c>
      <c r="C57" s="50" t="n">
        <v>2275</v>
      </c>
      <c r="D57" s="50" t="n">
        <v>1790</v>
      </c>
      <c r="E57" s="50" t="n">
        <v>1328</v>
      </c>
      <c r="F57" s="51">
        <f>(C57*100)/B57</f>
        <v/>
      </c>
      <c r="G57" s="51">
        <f>(D57*100)/B57</f>
        <v/>
      </c>
      <c r="H57" s="53">
        <f>((B57-B58)/B57)*100</f>
        <v/>
      </c>
      <c r="I57" s="53">
        <f>((B57-C57)/B57)*100</f>
        <v/>
      </c>
      <c r="J57" s="53">
        <f>((C57-B58)/C57)*100</f>
        <v/>
      </c>
      <c r="K57" s="54" t="n"/>
      <c r="L57" s="55" t="n">
        <v>2.29024943310657</v>
      </c>
      <c r="M57" s="56" t="inlineStr">
        <is>
          <t>Normal</t>
        </is>
      </c>
      <c r="N57" s="55" t="n">
        <v>201.18</v>
      </c>
      <c r="O57" s="57">
        <f>N57/C57</f>
        <v/>
      </c>
      <c r="P57" s="58">
        <f>(Boosters_And!B57*100)/Boosters_And!N57</f>
        <v/>
      </c>
      <c r="Q57" s="58">
        <f>Boosters_And!B57/(C57+D57)</f>
        <v/>
      </c>
      <c r="R57" s="58">
        <f>Boosters_And!N57/B57</f>
        <v/>
      </c>
      <c r="S57" s="55" t="n">
        <v>11.4841269841269</v>
      </c>
      <c r="T57" s="59" t="n">
        <v>1112</v>
      </c>
      <c r="U57" s="60" t="n">
        <v>1639950.08194931</v>
      </c>
      <c r="V57" s="61">
        <f>U57/B57</f>
        <v/>
      </c>
    </row>
    <row r="58" ht="22.5" customHeight="1" s="150">
      <c r="A58" s="34" t="n">
        <v>56</v>
      </c>
      <c r="B58" s="50" t="n">
        <v>2265</v>
      </c>
      <c r="C58" s="50" t="n">
        <v>2265</v>
      </c>
      <c r="D58" s="50" t="n">
        <v>5</v>
      </c>
      <c r="E58" s="50" t="n">
        <v>5</v>
      </c>
      <c r="F58" s="51">
        <f>(C58*100)/B58</f>
        <v/>
      </c>
      <c r="G58" s="51">
        <f>(D58*100)/B58</f>
        <v/>
      </c>
      <c r="H58" s="53">
        <f>((B58-B59)/B58)*100</f>
        <v/>
      </c>
      <c r="I58" s="53">
        <f>((B58-C58)/B58)*100</f>
        <v/>
      </c>
      <c r="J58" s="53">
        <f>((C58-B59)/C58)*100</f>
        <v/>
      </c>
      <c r="K58" s="54" t="n"/>
      <c r="L58" s="55" t="n">
        <v>1.001138952164</v>
      </c>
      <c r="M58" s="70" t="inlineStr">
        <is>
          <t>Normal</t>
        </is>
      </c>
      <c r="N58" s="55" t="n">
        <v>0.99</v>
      </c>
      <c r="O58" s="57">
        <f>N58/C58</f>
        <v/>
      </c>
      <c r="P58" s="58">
        <f>(Boosters_And!B58*100)/Boosters_And!N58</f>
        <v/>
      </c>
      <c r="Q58" s="58">
        <f>Boosters_And!B58/(C58+D58)</f>
        <v/>
      </c>
      <c r="R58" s="58">
        <f>Boosters_And!N58/B58</f>
        <v/>
      </c>
      <c r="S58" s="55" t="n">
        <v>7.001138952164</v>
      </c>
      <c r="T58" s="59" t="n">
        <v>467</v>
      </c>
      <c r="U58" s="60" t="n">
        <v>1747728.17910919</v>
      </c>
      <c r="V58" s="61">
        <f>U58/B58</f>
        <v/>
      </c>
    </row>
    <row r="59" ht="22.5" customHeight="1" s="150">
      <c r="A59" s="34" t="n">
        <v>57</v>
      </c>
      <c r="B59" s="50" t="n">
        <v>2260</v>
      </c>
      <c r="C59" s="50" t="n">
        <v>2260</v>
      </c>
      <c r="D59" s="50" t="n">
        <v>3</v>
      </c>
      <c r="E59" s="50" t="n">
        <v>8</v>
      </c>
      <c r="F59" s="51">
        <f>(C59*100)/B59</f>
        <v/>
      </c>
      <c r="G59" s="51">
        <f>(D59*100)/B59</f>
        <v/>
      </c>
      <c r="H59" s="53">
        <f>((B59-B60)/B59)*100</f>
        <v/>
      </c>
      <c r="I59" s="53">
        <f>((B59-C59)/B59)*100</f>
        <v/>
      </c>
      <c r="J59" s="53">
        <f>((C59-B60)/C59)*100</f>
        <v/>
      </c>
      <c r="K59" s="54" t="n"/>
      <c r="L59" s="55" t="n">
        <v>1.00114155251141</v>
      </c>
      <c r="M59" s="56" t="inlineStr">
        <is>
          <t>Normal</t>
        </is>
      </c>
      <c r="N59" s="55" t="n">
        <v>25.98</v>
      </c>
      <c r="O59" s="57">
        <f>N59/C59</f>
        <v/>
      </c>
      <c r="P59" s="58">
        <f>(Boosters_And!B59*100)/Boosters_And!N59</f>
        <v/>
      </c>
      <c r="Q59" s="58">
        <f>Boosters_And!B59/(C59+D59)</f>
        <v/>
      </c>
      <c r="R59" s="58">
        <f>Boosters_And!N59/B59</f>
        <v/>
      </c>
      <c r="S59" s="55" t="n">
        <v>5.81050228310502</v>
      </c>
      <c r="T59" s="59" t="n">
        <v>428</v>
      </c>
      <c r="U59" s="60" t="n">
        <v>1845627.36967286</v>
      </c>
      <c r="V59" s="61">
        <f>U59/B59</f>
        <v/>
      </c>
    </row>
    <row r="60" ht="22.5" customHeight="1" s="150">
      <c r="A60" s="34" t="n">
        <v>58</v>
      </c>
      <c r="B60" s="50" t="n">
        <v>2254</v>
      </c>
      <c r="C60" s="50" t="n">
        <v>2236</v>
      </c>
      <c r="D60" s="50" t="n">
        <v>170</v>
      </c>
      <c r="E60" s="50" t="n">
        <v>147</v>
      </c>
      <c r="F60" s="51">
        <f>(C60*100)/B60</f>
        <v/>
      </c>
      <c r="G60" s="51">
        <f>(D60*100)/B60</f>
        <v/>
      </c>
      <c r="H60" s="53">
        <f>((B60-B61)/B60)*100</f>
        <v/>
      </c>
      <c r="I60" s="53">
        <f>((B60-C60)/B60)*100</f>
        <v/>
      </c>
      <c r="J60" s="53">
        <f>((C60-B61)/C60)*100</f>
        <v/>
      </c>
      <c r="K60" s="54" t="n"/>
      <c r="L60" s="55" t="n">
        <v>1.06459054209919</v>
      </c>
      <c r="M60" s="70" t="inlineStr">
        <is>
          <t>Normal</t>
        </is>
      </c>
      <c r="N60" s="55" t="n">
        <v>13.97</v>
      </c>
      <c r="O60" s="57">
        <f>N60/C60</f>
        <v/>
      </c>
      <c r="P60" s="58">
        <f>(Boosters_And!B60*100)/Boosters_And!N60</f>
        <v/>
      </c>
      <c r="Q60" s="58">
        <f>Boosters_And!B60/(C60+D60)</f>
        <v/>
      </c>
      <c r="R60" s="58">
        <f>Boosters_And!N60/B60</f>
        <v/>
      </c>
      <c r="S60" s="55" t="n">
        <v>5.37370242214532</v>
      </c>
      <c r="T60" s="59" t="n">
        <v>469</v>
      </c>
      <c r="U60" s="60" t="n">
        <v>1888083.45389571</v>
      </c>
      <c r="V60" s="61">
        <f>U60/B60</f>
        <v/>
      </c>
    </row>
    <row r="61" ht="22.5" customHeight="1" s="150">
      <c r="A61" s="34" t="n">
        <v>59</v>
      </c>
      <c r="B61" s="50" t="n">
        <v>2239</v>
      </c>
      <c r="C61" s="50" t="n">
        <v>2192</v>
      </c>
      <c r="D61" s="50" t="n">
        <v>838</v>
      </c>
      <c r="E61" s="50" t="n">
        <v>655</v>
      </c>
      <c r="F61" s="51">
        <f>(C61*100)/B61</f>
        <v/>
      </c>
      <c r="G61" s="51">
        <f>(D61*100)/B61</f>
        <v/>
      </c>
      <c r="H61" s="53">
        <f>((B61-B62)/B61)*100</f>
        <v/>
      </c>
      <c r="I61" s="53">
        <f>((B61-C61)/B61)*100</f>
        <v/>
      </c>
      <c r="J61" s="53">
        <f>((C61-B62)/C61)*100</f>
        <v/>
      </c>
      <c r="K61" s="54" t="n"/>
      <c r="L61" s="55" t="n">
        <v>1.41647058823529</v>
      </c>
      <c r="M61" s="56" t="inlineStr">
        <is>
          <t>Normal</t>
        </is>
      </c>
      <c r="N61" s="55" t="n">
        <v>60.91</v>
      </c>
      <c r="O61" s="57">
        <f>N61/C61</f>
        <v/>
      </c>
      <c r="P61" s="58">
        <f>(Boosters_And!B61*100)/Boosters_And!N61</f>
        <v/>
      </c>
      <c r="Q61" s="58">
        <f>Boosters_And!B61/(C61+D61)</f>
        <v/>
      </c>
      <c r="R61" s="58">
        <f>Boosters_And!N61/B61</f>
        <v/>
      </c>
      <c r="S61" s="55" t="n">
        <v>6.12588235294117</v>
      </c>
      <c r="T61" s="59" t="n">
        <v>653</v>
      </c>
      <c r="U61" s="60" t="n">
        <v>1717769.04069799</v>
      </c>
      <c r="V61" s="61">
        <f>U61/B61</f>
        <v/>
      </c>
    </row>
    <row r="62" ht="22.5" customHeight="1" s="150">
      <c r="A62" s="34" t="n">
        <v>60</v>
      </c>
      <c r="B62" s="50" t="n">
        <v>2187</v>
      </c>
      <c r="C62" s="50" t="n">
        <v>2182</v>
      </c>
      <c r="D62" s="50" t="n">
        <v>178</v>
      </c>
      <c r="E62" s="50" t="n">
        <v>181</v>
      </c>
      <c r="F62" s="51">
        <f>(C62*100)/B62</f>
        <v/>
      </c>
      <c r="G62" s="51">
        <f>(D62*100)/B62</f>
        <v/>
      </c>
      <c r="H62" s="53">
        <f>((B62-B63)/B62)*100</f>
        <v/>
      </c>
      <c r="I62" s="53">
        <f>((B62-C62)/B62)*100</f>
        <v/>
      </c>
      <c r="J62" s="53">
        <f>((C62-B63)/C62)*100</f>
        <v/>
      </c>
      <c r="K62" s="54" t="n"/>
      <c r="L62" s="55" t="n">
        <v>1.06737588652482</v>
      </c>
      <c r="M62" s="70" t="inlineStr">
        <is>
          <t>Normal</t>
        </is>
      </c>
      <c r="N62" s="55" t="n">
        <v>22.94</v>
      </c>
      <c r="O62" s="57">
        <f>N62/C62</f>
        <v/>
      </c>
      <c r="P62" s="58">
        <f>(Boosters_And!B62*100)/Boosters_And!N62</f>
        <v/>
      </c>
      <c r="Q62" s="58">
        <f>Boosters_And!B62/(C62+D62)</f>
        <v/>
      </c>
      <c r="R62" s="58">
        <f>Boosters_And!N62/B62</f>
        <v/>
      </c>
      <c r="S62" s="55" t="n">
        <v>8.46217494089834</v>
      </c>
      <c r="T62" s="59" t="n">
        <v>475</v>
      </c>
      <c r="U62" s="60" t="n">
        <v>1835271.28351522</v>
      </c>
      <c r="V62" s="61">
        <f>U62/B62</f>
        <v/>
      </c>
    </row>
    <row r="63" ht="22.5" customHeight="1" s="150">
      <c r="A63" s="34" t="n">
        <v>61</v>
      </c>
      <c r="B63" s="50" t="n">
        <v>2195</v>
      </c>
      <c r="C63" s="50" t="n">
        <v>2136</v>
      </c>
      <c r="D63" s="50" t="n">
        <v>895</v>
      </c>
      <c r="E63" s="50" t="n">
        <v>676</v>
      </c>
      <c r="F63" s="51">
        <f>(C63*100)/B63</f>
        <v/>
      </c>
      <c r="G63" s="51">
        <f>(D63*100)/B63</f>
        <v/>
      </c>
      <c r="H63" s="53">
        <f>((B63-B64)/B63)*100</f>
        <v/>
      </c>
      <c r="I63" s="53">
        <f>((B63-C63)/B63)*100</f>
        <v/>
      </c>
      <c r="J63" s="53">
        <f>((C63-B64)/C63)*100</f>
        <v/>
      </c>
      <c r="K63" s="54" t="n"/>
      <c r="L63" s="55" t="n">
        <v>1.39371980676328</v>
      </c>
      <c r="M63" s="71" t="inlineStr">
        <is>
          <t>Hard</t>
        </is>
      </c>
      <c r="N63" s="55" t="n">
        <v>40.55</v>
      </c>
      <c r="O63" s="57">
        <f>N63/C63</f>
        <v/>
      </c>
      <c r="P63" s="58">
        <f>(Boosters_And!B63*100)/Boosters_And!N63</f>
        <v/>
      </c>
      <c r="Q63" s="58">
        <f>Boosters_And!B63/(C63+D63)</f>
        <v/>
      </c>
      <c r="R63" s="58">
        <f>Boosters_And!N63/B63</f>
        <v/>
      </c>
      <c r="S63" s="55" t="n">
        <v>6.00241545893719</v>
      </c>
      <c r="T63" s="59" t="n">
        <v>647</v>
      </c>
      <c r="U63" s="60" t="n">
        <v>1765719.13824979</v>
      </c>
      <c r="V63" s="61">
        <f>U63/B63</f>
        <v/>
      </c>
    </row>
    <row r="64" ht="22.5" customHeight="1" s="150">
      <c r="A64" s="34" t="n">
        <v>62</v>
      </c>
      <c r="B64" s="50" t="n">
        <v>2156</v>
      </c>
      <c r="C64" s="50" t="n">
        <v>2102</v>
      </c>
      <c r="D64" s="50" t="n">
        <v>676</v>
      </c>
      <c r="E64" s="50" t="n">
        <v>614</v>
      </c>
      <c r="F64" s="51">
        <f>(C64*100)/B64</f>
        <v/>
      </c>
      <c r="G64" s="51">
        <f>(D64*100)/B64</f>
        <v/>
      </c>
      <c r="H64" s="53">
        <f>((B64-B65)/B64)*100</f>
        <v/>
      </c>
      <c r="I64" s="53">
        <f>((B64-C64)/B64)*100</f>
        <v/>
      </c>
      <c r="J64" s="53">
        <f>((C64-B65)/C64)*100</f>
        <v/>
      </c>
      <c r="K64" s="54" t="n"/>
      <c r="L64" s="55" t="n">
        <v>1.29411764705882</v>
      </c>
      <c r="M64" s="76" t="inlineStr">
        <is>
          <t>Very Hard</t>
        </is>
      </c>
      <c r="N64" s="55" t="n">
        <v>33.43</v>
      </c>
      <c r="O64" s="57">
        <f>N64/C64</f>
        <v/>
      </c>
      <c r="P64" s="58">
        <f>(Boosters_And!B64*100)/Boosters_And!N64</f>
        <v/>
      </c>
      <c r="Q64" s="58">
        <f>Boosters_And!B64/(C64+D64)</f>
        <v/>
      </c>
      <c r="R64" s="58">
        <f>Boosters_And!N64/B64</f>
        <v/>
      </c>
      <c r="S64" s="55" t="n">
        <v>5.72916666666666</v>
      </c>
      <c r="T64" s="59" t="n">
        <v>593</v>
      </c>
      <c r="U64" s="60" t="n">
        <v>1629323.16414869</v>
      </c>
      <c r="V64" s="61">
        <f>U64/B64</f>
        <v/>
      </c>
    </row>
    <row r="65" ht="22.5" customHeight="1" s="150">
      <c r="A65" s="65" t="n">
        <v>63</v>
      </c>
      <c r="B65" s="50" t="n">
        <v>2094</v>
      </c>
      <c r="C65" s="50" t="n">
        <v>2092</v>
      </c>
      <c r="D65" s="50" t="n">
        <v>15</v>
      </c>
      <c r="E65" s="50" t="n">
        <v>13</v>
      </c>
      <c r="F65" s="51">
        <f>(C65*100)/B65</f>
        <v/>
      </c>
      <c r="G65" s="51">
        <f>(D65*100)/B65</f>
        <v/>
      </c>
      <c r="H65" s="53">
        <f>((B65-B66)/B65)*100</f>
        <v/>
      </c>
      <c r="I65" s="53">
        <f>((B65-C65)/B65)*100</f>
        <v/>
      </c>
      <c r="J65" s="53">
        <f>((C65-B66)/C65)*100</f>
        <v/>
      </c>
      <c r="K65" s="54" t="n"/>
      <c r="L65" s="55" t="n">
        <v>1.00493218249075</v>
      </c>
      <c r="M65" s="56" t="inlineStr">
        <is>
          <t>Normal</t>
        </is>
      </c>
      <c r="N65" s="55" t="n">
        <v>2.02</v>
      </c>
      <c r="O65" s="57">
        <f>N65/C65</f>
        <v/>
      </c>
      <c r="P65" s="58">
        <f>(Boosters_And!B65*100)/Boosters_And!N65</f>
        <v/>
      </c>
      <c r="Q65" s="58">
        <f>Boosters_And!B65/(C65+D65)</f>
        <v/>
      </c>
      <c r="R65" s="58">
        <f>Boosters_And!N65/B65</f>
        <v/>
      </c>
      <c r="S65" s="55" t="n">
        <v>5.72379778051787</v>
      </c>
      <c r="T65" s="59" t="n">
        <v>449</v>
      </c>
      <c r="U65" s="60" t="n">
        <v>1783955.13554356</v>
      </c>
      <c r="V65" s="61">
        <f>U65/B65</f>
        <v/>
      </c>
    </row>
    <row r="66" ht="22.5" customHeight="1" s="150">
      <c r="A66" s="65" t="n">
        <v>64</v>
      </c>
      <c r="B66" s="50" t="n">
        <v>2087</v>
      </c>
      <c r="C66" s="50" t="n">
        <v>2063</v>
      </c>
      <c r="D66" s="50" t="n">
        <v>428</v>
      </c>
      <c r="E66" s="50" t="n">
        <v>364</v>
      </c>
      <c r="F66" s="51">
        <f>(C66*100)/B66</f>
        <v/>
      </c>
      <c r="G66" s="51">
        <f>(D66*100)/B66</f>
        <v/>
      </c>
      <c r="H66" s="53">
        <f>((B66-B67)/B66)*100</f>
        <v/>
      </c>
      <c r="I66" s="53">
        <f>((B66-C66)/B66)*100</f>
        <v/>
      </c>
      <c r="J66" s="53">
        <f>((C66-B67)/C66)*100</f>
        <v/>
      </c>
      <c r="K66" s="54" t="n"/>
      <c r="L66" s="55" t="n">
        <v>1.16125</v>
      </c>
      <c r="M66" s="70" t="inlineStr">
        <is>
          <t>Normal</t>
        </is>
      </c>
      <c r="N66" s="55" t="n">
        <v>30.9</v>
      </c>
      <c r="O66" s="57">
        <f>N66/C66</f>
        <v/>
      </c>
      <c r="P66" s="58">
        <f>(Boosters_And!B66*100)/Boosters_And!N66</f>
        <v/>
      </c>
      <c r="Q66" s="58">
        <f>Boosters_And!B66/(C66+D66)</f>
        <v/>
      </c>
      <c r="R66" s="58">
        <f>Boosters_And!N66/B66</f>
        <v/>
      </c>
      <c r="S66" s="55" t="n">
        <v>4.7</v>
      </c>
      <c r="T66" s="59" t="n">
        <v>495</v>
      </c>
      <c r="U66" s="60" t="n">
        <v>1745355.17804691</v>
      </c>
      <c r="V66" s="61">
        <f>U66/B66</f>
        <v/>
      </c>
    </row>
    <row r="67" ht="22.5" customHeight="1" s="150">
      <c r="A67" s="77" t="n">
        <v>65</v>
      </c>
      <c r="B67" s="50" t="n">
        <v>2066</v>
      </c>
      <c r="C67" s="50" t="n">
        <v>1640</v>
      </c>
      <c r="D67" s="50" t="n">
        <v>1455</v>
      </c>
      <c r="E67" s="50" t="n">
        <v>1112</v>
      </c>
      <c r="F67" s="51">
        <f>(C67*100)/B67</f>
        <v/>
      </c>
      <c r="G67" s="51">
        <f>(D67*100)/B67</f>
        <v/>
      </c>
      <c r="H67" s="53">
        <f>((B67-B68)/B67)*100</f>
        <v/>
      </c>
      <c r="I67" s="53">
        <f>((B67-C67)/B67)*100</f>
        <v/>
      </c>
      <c r="J67" s="53">
        <f>((C67-B68)/C67)*100</f>
        <v/>
      </c>
      <c r="K67" s="54" t="n"/>
      <c r="L67" s="55" t="n">
        <v>2.72327044025157</v>
      </c>
      <c r="M67" s="56" t="inlineStr">
        <is>
          <t>Normal</t>
        </is>
      </c>
      <c r="N67" s="55" t="n">
        <v>398.7</v>
      </c>
      <c r="O67" s="57">
        <f>N67/C67</f>
        <v/>
      </c>
      <c r="P67" s="58">
        <f>(Boosters_And!B67*100)/Boosters_And!N67</f>
        <v/>
      </c>
      <c r="Q67" s="58">
        <f>Boosters_And!B67/(C67+D67)</f>
        <v/>
      </c>
      <c r="R67" s="58">
        <f>Boosters_And!N67/B67</f>
        <v/>
      </c>
      <c r="S67" s="55" t="n">
        <v>10.4371069182389</v>
      </c>
      <c r="T67" s="59" t="n">
        <v>1153</v>
      </c>
      <c r="U67" s="60" t="n">
        <v>1174454.97139663</v>
      </c>
      <c r="V67" s="61">
        <f>U67/B67</f>
        <v/>
      </c>
    </row>
    <row r="68" ht="22.5" customHeight="1" s="150">
      <c r="A68" s="34" t="n">
        <v>66</v>
      </c>
      <c r="B68" s="50" t="n">
        <v>1643</v>
      </c>
      <c r="C68" s="50" t="n">
        <v>1638</v>
      </c>
      <c r="D68" s="50" t="n">
        <v>15</v>
      </c>
      <c r="E68" s="50" t="n">
        <v>13</v>
      </c>
      <c r="F68" s="51">
        <f>(C68*100)/B68</f>
        <v/>
      </c>
      <c r="G68" s="51">
        <f>(D68*100)/B68</f>
        <v/>
      </c>
      <c r="H68" s="53">
        <f>((B68-B69)/B68)*100</f>
        <v/>
      </c>
      <c r="I68" s="53">
        <f>((B68-C68)/B68)*100</f>
        <v/>
      </c>
      <c r="J68" s="53">
        <f>((C68-B69)/C68)*100</f>
        <v/>
      </c>
      <c r="K68" s="54" t="n"/>
      <c r="L68" s="55" t="n">
        <v>1.00314960629921</v>
      </c>
      <c r="M68" s="70" t="inlineStr">
        <is>
          <t>Normal</t>
        </is>
      </c>
      <c r="N68" s="55" t="n">
        <v>12.68</v>
      </c>
      <c r="O68" s="57">
        <f>N68/C68</f>
        <v/>
      </c>
      <c r="P68" s="58">
        <f>(Boosters_And!B68*100)/Boosters_And!N68</f>
        <v/>
      </c>
      <c r="Q68" s="58">
        <f>Boosters_And!B68/(C68+D68)</f>
        <v/>
      </c>
      <c r="R68" s="58">
        <f>Boosters_And!N68/B68</f>
        <v/>
      </c>
      <c r="S68" s="55" t="n">
        <v>5.7023622047244</v>
      </c>
      <c r="T68" s="59" t="n">
        <v>366</v>
      </c>
      <c r="U68" s="60" t="n">
        <v>1304995.82331147</v>
      </c>
      <c r="V68" s="61">
        <f>U68/B68</f>
        <v/>
      </c>
    </row>
    <row r="69" ht="22.5" customHeight="1" s="150">
      <c r="A69" s="34" t="n">
        <v>67</v>
      </c>
      <c r="B69" s="50" t="n">
        <v>1638</v>
      </c>
      <c r="C69" s="50" t="n">
        <v>1630</v>
      </c>
      <c r="D69" s="50" t="n">
        <v>258</v>
      </c>
      <c r="E69" s="50" t="n">
        <v>240</v>
      </c>
      <c r="F69" s="51">
        <f>(C69*100)/B69</f>
        <v/>
      </c>
      <c r="G69" s="51">
        <f>(D69*100)/B69</f>
        <v/>
      </c>
      <c r="H69" s="53">
        <f>((B69-B70)/B69)*100</f>
        <v/>
      </c>
      <c r="I69" s="53">
        <f>((B69-C69)/B69)*100</f>
        <v/>
      </c>
      <c r="J69" s="53">
        <f>((C69-B70)/C69)*100</f>
        <v/>
      </c>
      <c r="K69" s="54" t="n"/>
      <c r="L69" s="55" t="n">
        <v>1.12341772151898</v>
      </c>
      <c r="M69" s="56" t="inlineStr">
        <is>
          <t>Normal</t>
        </is>
      </c>
      <c r="N69" s="55" t="n">
        <v>25.59</v>
      </c>
      <c r="O69" s="57">
        <f>N69/C69</f>
        <v/>
      </c>
      <c r="P69" s="58">
        <f>(Boosters_And!B69*100)/Boosters_And!N69</f>
        <v/>
      </c>
      <c r="Q69" s="58">
        <f>Boosters_And!B69/(C69+D69)</f>
        <v/>
      </c>
      <c r="R69" s="58">
        <f>Boosters_And!N69/B69</f>
        <v/>
      </c>
      <c r="S69" s="55" t="n">
        <v>16.2721518987341</v>
      </c>
      <c r="T69" s="59" t="n">
        <v>444</v>
      </c>
      <c r="U69" s="60" t="n">
        <v>1343312.05242024</v>
      </c>
      <c r="V69" s="61">
        <f>U69/B69</f>
        <v/>
      </c>
    </row>
    <row r="70" ht="22.5" customHeight="1" s="150">
      <c r="A70" s="65" t="n">
        <v>68</v>
      </c>
      <c r="B70" s="50" t="n">
        <v>1643</v>
      </c>
      <c r="C70" s="50" t="n">
        <v>1638</v>
      </c>
      <c r="D70" s="50" t="n">
        <v>258</v>
      </c>
      <c r="E70" s="50" t="n">
        <v>242</v>
      </c>
      <c r="F70" s="51">
        <f>(C70*100)/B70</f>
        <v/>
      </c>
      <c r="G70" s="51">
        <f>(D70*100)/B70</f>
        <v/>
      </c>
      <c r="H70" s="53">
        <f>((B70-B71)/B70)*100</f>
        <v/>
      </c>
      <c r="I70" s="53">
        <f>((B70-C70)/B70)*100</f>
        <v/>
      </c>
      <c r="J70" s="53">
        <f>((C70-B71)/C70)*100</f>
        <v/>
      </c>
      <c r="K70" s="54" t="n"/>
      <c r="L70" s="55" t="n">
        <v>1.11811023622047</v>
      </c>
      <c r="M70" s="70" t="inlineStr">
        <is>
          <t>Normal</t>
        </is>
      </c>
      <c r="N70" s="55" t="n">
        <v>31.38</v>
      </c>
      <c r="O70" s="57">
        <f>N70/C70</f>
        <v/>
      </c>
      <c r="P70" s="58">
        <f>(Boosters_And!B70*100)/Boosters_And!N70</f>
        <v/>
      </c>
      <c r="Q70" s="58">
        <f>Boosters_And!B70/(C70+D70)</f>
        <v/>
      </c>
      <c r="R70" s="58">
        <f>Boosters_And!N70/B70</f>
        <v/>
      </c>
      <c r="S70" s="55" t="n">
        <v>9.14173228346456</v>
      </c>
      <c r="T70" s="59" t="n">
        <v>418</v>
      </c>
      <c r="U70" s="60" t="n">
        <v>1399477.37647568</v>
      </c>
      <c r="V70" s="61">
        <f>U70/B70</f>
        <v/>
      </c>
    </row>
    <row r="71" ht="22.5" customHeight="1" s="150">
      <c r="A71" s="34" t="n">
        <v>69</v>
      </c>
      <c r="B71" s="50" t="n">
        <v>1635</v>
      </c>
      <c r="C71" s="50" t="n">
        <v>1622</v>
      </c>
      <c r="D71" s="50" t="n">
        <v>196</v>
      </c>
      <c r="E71" s="50" t="n">
        <v>160</v>
      </c>
      <c r="F71" s="51">
        <f>(C71*100)/B71</f>
        <v/>
      </c>
      <c r="G71" s="51">
        <f>(D71*100)/B71</f>
        <v/>
      </c>
      <c r="H71" s="53">
        <f>((B71-B72)/B71)*100</f>
        <v/>
      </c>
      <c r="I71" s="53">
        <f>((B71-C71)/B71)*100</f>
        <v/>
      </c>
      <c r="J71" s="53">
        <f>((C71-B72)/C71)*100</f>
        <v/>
      </c>
      <c r="K71" s="54" t="n"/>
      <c r="L71" s="55" t="n">
        <v>1.08426073131955</v>
      </c>
      <c r="M71" s="56" t="inlineStr">
        <is>
          <t>Normal</t>
        </is>
      </c>
      <c r="N71" s="55" t="n">
        <v>7.460000000000001</v>
      </c>
      <c r="O71" s="57">
        <f>N71/C71</f>
        <v/>
      </c>
      <c r="P71" s="58">
        <f>(Boosters_And!B71*100)/Boosters_And!N71</f>
        <v/>
      </c>
      <c r="Q71" s="58">
        <f>Boosters_And!B71/(C71+D71)</f>
        <v/>
      </c>
      <c r="R71" s="58">
        <f>Boosters_And!N71/B71</f>
        <v/>
      </c>
      <c r="S71" s="55" t="n">
        <v>5.71542130365659</v>
      </c>
      <c r="T71" s="59" t="n">
        <v>423</v>
      </c>
      <c r="U71" s="60" t="n">
        <v>1428998.02556015</v>
      </c>
      <c r="V71" s="61">
        <f>U71/B71</f>
        <v/>
      </c>
    </row>
    <row r="72" ht="22.5" customHeight="1" s="150">
      <c r="A72" s="34" t="n">
        <v>70</v>
      </c>
      <c r="B72" s="50" t="n">
        <v>1628</v>
      </c>
      <c r="C72" s="50" t="n">
        <v>1628</v>
      </c>
      <c r="D72" s="50" t="n">
        <v>57</v>
      </c>
      <c r="E72" s="50" t="n">
        <v>72</v>
      </c>
      <c r="F72" s="51">
        <f>(C72*100)/B72</f>
        <v/>
      </c>
      <c r="G72" s="51">
        <f>(D72*100)/B72</f>
        <v/>
      </c>
      <c r="H72" s="53">
        <f>((B72-B73)/B72)*100</f>
        <v/>
      </c>
      <c r="I72" s="53">
        <f>((B72-C72)/B72)*100</f>
        <v/>
      </c>
      <c r="J72" s="53">
        <f>((C72-B73)/C72)*100</f>
        <v/>
      </c>
      <c r="K72" s="54" t="n"/>
      <c r="L72" s="55" t="n">
        <v>1.026941362916</v>
      </c>
      <c r="M72" s="70" t="inlineStr">
        <is>
          <t>Normal</t>
        </is>
      </c>
      <c r="N72" s="55" t="n">
        <v>6.49</v>
      </c>
      <c r="O72" s="57">
        <f>N72/C72</f>
        <v/>
      </c>
      <c r="P72" s="58">
        <f>(Boosters_And!B72*100)/Boosters_And!N72</f>
        <v/>
      </c>
      <c r="Q72" s="58">
        <f>Boosters_And!B72/(C72+D72)</f>
        <v/>
      </c>
      <c r="R72" s="58">
        <f>Boosters_And!N72/B72</f>
        <v/>
      </c>
      <c r="S72" s="55" t="n">
        <v>6.83676703645007</v>
      </c>
      <c r="T72" s="59" t="n">
        <v>364</v>
      </c>
      <c r="U72" s="60" t="n">
        <v>1516296.09181302</v>
      </c>
      <c r="V72" s="61">
        <f>U72/B72</f>
        <v/>
      </c>
    </row>
    <row r="73" ht="22.5" customHeight="1" s="150">
      <c r="A73" s="34" t="n">
        <v>71</v>
      </c>
      <c r="B73" s="50" t="n">
        <v>1625</v>
      </c>
      <c r="C73" s="50" t="n">
        <v>1620</v>
      </c>
      <c r="D73" s="50" t="n">
        <v>170</v>
      </c>
      <c r="E73" s="50" t="n">
        <v>186</v>
      </c>
      <c r="F73" s="51">
        <f>(C73*100)/B73</f>
        <v/>
      </c>
      <c r="G73" s="51">
        <f>(D73*100)/B73</f>
        <v/>
      </c>
      <c r="H73" s="53">
        <f>((B73-B74)/B73)*100</f>
        <v/>
      </c>
      <c r="I73" s="53">
        <f>((B73-C73)/B73)*100</f>
        <v/>
      </c>
      <c r="J73" s="53">
        <f>((C73-B74)/C73)*100</f>
        <v/>
      </c>
      <c r="K73" s="54" t="n"/>
      <c r="L73" s="55" t="n">
        <v>1.09872611464968</v>
      </c>
      <c r="M73" s="56" t="inlineStr">
        <is>
          <t>Normal</t>
        </is>
      </c>
      <c r="N73" s="55" t="n">
        <v>29.43</v>
      </c>
      <c r="O73" s="57">
        <f>N73/C73</f>
        <v/>
      </c>
      <c r="P73" s="58">
        <f>(Boosters_And!B73*100)/Boosters_And!N73</f>
        <v/>
      </c>
      <c r="Q73" s="58">
        <f>Boosters_And!B73/(C73+D73)</f>
        <v/>
      </c>
      <c r="R73" s="58">
        <f>Boosters_And!N73/B73</f>
        <v/>
      </c>
      <c r="S73" s="55" t="n">
        <v>7.74203821656051</v>
      </c>
      <c r="T73" s="59" t="n">
        <v>384</v>
      </c>
      <c r="U73" s="60" t="n">
        <v>1523982.5517756</v>
      </c>
      <c r="V73" s="61">
        <f>U73/B73</f>
        <v/>
      </c>
    </row>
    <row r="74" ht="22.5" customHeight="1" s="150">
      <c r="A74" s="34" t="n">
        <v>72</v>
      </c>
      <c r="B74" s="50" t="n">
        <v>1612</v>
      </c>
      <c r="C74" s="50" t="n">
        <v>1612</v>
      </c>
      <c r="D74" s="50" t="n">
        <v>23</v>
      </c>
      <c r="E74" s="50" t="n">
        <v>31</v>
      </c>
      <c r="F74" s="51">
        <f>(C74*100)/B74</f>
        <v/>
      </c>
      <c r="G74" s="51">
        <f>(D74*100)/B74</f>
        <v/>
      </c>
      <c r="H74" s="53">
        <f>((B74-B75)/B74)*100</f>
        <v/>
      </c>
      <c r="I74" s="53">
        <f>((B74-C74)/B74)*100</f>
        <v/>
      </c>
      <c r="J74" s="53">
        <f>((C74-B75)/C74)*100</f>
        <v/>
      </c>
      <c r="K74" s="54" t="n"/>
      <c r="L74" s="55" t="n">
        <v>1.0032</v>
      </c>
      <c r="M74" s="70" t="inlineStr">
        <is>
          <t>Normal</t>
        </is>
      </c>
      <c r="N74" s="55" t="n">
        <v>4.99</v>
      </c>
      <c r="O74" s="57">
        <f>N74/C74</f>
        <v/>
      </c>
      <c r="P74" s="58">
        <f>(Boosters_And!B74*100)/Boosters_And!N74</f>
        <v/>
      </c>
      <c r="Q74" s="58">
        <f>Boosters_And!B74/(C74+D74)</f>
        <v/>
      </c>
      <c r="R74" s="58">
        <f>Boosters_And!N74/B74</f>
        <v/>
      </c>
      <c r="S74" s="55" t="n">
        <v>6.35359999999999</v>
      </c>
      <c r="T74" s="59" t="n">
        <v>371</v>
      </c>
      <c r="U74" s="60" t="n">
        <v>1630703.11585338</v>
      </c>
      <c r="V74" s="61">
        <f>U74/B74</f>
        <v/>
      </c>
    </row>
    <row r="75" ht="22.5" customHeight="1" s="150">
      <c r="A75" s="34" t="n">
        <v>73</v>
      </c>
      <c r="B75" s="50" t="n">
        <v>1617</v>
      </c>
      <c r="C75" s="50" t="n">
        <v>1604</v>
      </c>
      <c r="D75" s="50" t="n">
        <v>410</v>
      </c>
      <c r="E75" s="50" t="n">
        <v>268</v>
      </c>
      <c r="F75" s="51">
        <f>(C75*100)/B75</f>
        <v/>
      </c>
      <c r="G75" s="51">
        <f>(D75*100)/B75</f>
        <v/>
      </c>
      <c r="H75" s="53">
        <f>((B75-B76)/B75)*100</f>
        <v/>
      </c>
      <c r="I75" s="53">
        <f>((B75-C75)/B75)*100</f>
        <v/>
      </c>
      <c r="J75" s="53">
        <f>((C75-B76)/C75)*100</f>
        <v/>
      </c>
      <c r="K75" s="54" t="n"/>
      <c r="L75" s="55" t="n">
        <v>1.14147909967845</v>
      </c>
      <c r="M75" s="56" t="inlineStr">
        <is>
          <t>Normal</t>
        </is>
      </c>
      <c r="N75" s="55" t="n">
        <v>36.41</v>
      </c>
      <c r="O75" s="57">
        <f>N75/C75</f>
        <v/>
      </c>
      <c r="P75" s="58">
        <f>(Boosters_And!B75*100)/Boosters_And!N75</f>
        <v/>
      </c>
      <c r="Q75" s="58">
        <f>Boosters_And!B75/(C75+D75)</f>
        <v/>
      </c>
      <c r="R75" s="58">
        <f>Boosters_And!N75/B75</f>
        <v/>
      </c>
      <c r="S75" s="55" t="n">
        <v>4.69614147909967</v>
      </c>
      <c r="T75" s="59" t="n">
        <v>446</v>
      </c>
      <c r="U75" s="60" t="n">
        <v>1495106.73993631</v>
      </c>
      <c r="V75" s="61">
        <f>U75/B75</f>
        <v/>
      </c>
    </row>
    <row r="76" ht="22.5" customHeight="1" s="150">
      <c r="A76" s="65" t="n">
        <v>74</v>
      </c>
      <c r="B76" s="50" t="n">
        <v>1594</v>
      </c>
      <c r="C76" s="50" t="n">
        <v>1591</v>
      </c>
      <c r="D76" s="50" t="n">
        <v>64</v>
      </c>
      <c r="E76" s="50" t="n">
        <v>49</v>
      </c>
      <c r="F76" s="51">
        <f>(C76*100)/B76</f>
        <v/>
      </c>
      <c r="G76" s="51">
        <f>(D76*100)/B76</f>
        <v/>
      </c>
      <c r="H76" s="53">
        <f>((B76-B77)/B76)*100</f>
        <v/>
      </c>
      <c r="I76" s="53">
        <f>((B76-C76)/B76)*100</f>
        <v/>
      </c>
      <c r="J76" s="53">
        <f>((C76-B77)/C76)*100</f>
        <v/>
      </c>
      <c r="K76" s="54" t="n"/>
      <c r="L76" s="55" t="n">
        <v>1.02269043760129</v>
      </c>
      <c r="M76" s="70" t="inlineStr">
        <is>
          <t>Normal</t>
        </is>
      </c>
      <c r="N76" s="55" t="n">
        <v>6.48</v>
      </c>
      <c r="O76" s="57">
        <f>N76/C76</f>
        <v/>
      </c>
      <c r="P76" s="58">
        <f>(Boosters_And!B76*100)/Boosters_And!N76</f>
        <v/>
      </c>
      <c r="Q76" s="58">
        <f>Boosters_And!B76/(C76+D76)</f>
        <v/>
      </c>
      <c r="R76" s="58">
        <f>Boosters_And!N76/B76</f>
        <v/>
      </c>
      <c r="S76" s="55" t="n">
        <v>4.97568881685575</v>
      </c>
      <c r="T76" s="59" t="n">
        <v>346</v>
      </c>
      <c r="U76" s="60" t="n">
        <v>1569198.53940783</v>
      </c>
      <c r="V76" s="61">
        <f>U76/B76</f>
        <v/>
      </c>
    </row>
    <row r="77" ht="22.5" customHeight="1" s="150">
      <c r="A77" s="77" t="n">
        <v>75</v>
      </c>
      <c r="B77" s="50" t="n">
        <v>1584</v>
      </c>
      <c r="C77" s="50" t="n">
        <v>1442</v>
      </c>
      <c r="D77" s="50" t="n">
        <v>1039</v>
      </c>
      <c r="E77" s="50" t="n">
        <v>578</v>
      </c>
      <c r="F77" s="51">
        <f>(C77*100)/B77</f>
        <v/>
      </c>
      <c r="G77" s="51">
        <f>(D77*100)/B77</f>
        <v/>
      </c>
      <c r="H77" s="53">
        <f>((B77-B78)/B77)*100</f>
        <v/>
      </c>
      <c r="I77" s="53">
        <f>((B77-C77)/B77)*100</f>
        <v/>
      </c>
      <c r="J77" s="53">
        <f>((C77-B78)/C77)*100</f>
        <v/>
      </c>
      <c r="K77" s="54" t="n"/>
      <c r="L77" s="55" t="n">
        <v>1.70892857142857</v>
      </c>
      <c r="M77" s="56" t="inlineStr">
        <is>
          <t>Normal</t>
        </is>
      </c>
      <c r="N77" s="55" t="n">
        <v>198.49</v>
      </c>
      <c r="O77" s="57">
        <f>N77/C77</f>
        <v/>
      </c>
      <c r="P77" s="58">
        <f>(Boosters_And!B77*100)/Boosters_And!N77</f>
        <v/>
      </c>
      <c r="Q77" s="58">
        <f>Boosters_And!B77/(C77+D77)</f>
        <v/>
      </c>
      <c r="R77" s="58">
        <f>Boosters_And!N77/B77</f>
        <v/>
      </c>
      <c r="S77" s="55" t="n">
        <v>6.40714285714285</v>
      </c>
      <c r="T77" s="59" t="n">
        <v>867</v>
      </c>
      <c r="U77" s="60" t="n">
        <v>1074298.85047481</v>
      </c>
      <c r="V77" s="61">
        <f>U77/B77</f>
        <v/>
      </c>
    </row>
    <row r="78" ht="22.5" customHeight="1" s="150">
      <c r="A78" s="65" t="n">
        <v>76</v>
      </c>
      <c r="B78" s="50" t="n">
        <v>1429</v>
      </c>
      <c r="C78" s="50" t="n">
        <v>1432</v>
      </c>
      <c r="D78" s="50" t="n">
        <v>5</v>
      </c>
      <c r="E78" s="50" t="n">
        <v>10</v>
      </c>
      <c r="F78" s="51">
        <f>(C78*100)/B78</f>
        <v/>
      </c>
      <c r="G78" s="51">
        <f>(D78*100)/B78</f>
        <v/>
      </c>
      <c r="H78" s="53">
        <f>((B78-B79)/B78)*100</f>
        <v/>
      </c>
      <c r="I78" s="53">
        <f>((B78-C78)/B78)*100</f>
        <v/>
      </c>
      <c r="J78" s="53">
        <f>((C78-B79)/C78)*100</f>
        <v/>
      </c>
      <c r="K78" s="54" t="n"/>
      <c r="L78" s="55" t="n">
        <v>1.00179856115107</v>
      </c>
      <c r="M78" s="70" t="inlineStr">
        <is>
          <t>Normal</t>
        </is>
      </c>
      <c r="N78" s="55" t="n">
        <v>6.96</v>
      </c>
      <c r="O78" s="57">
        <f>N78/C78</f>
        <v/>
      </c>
      <c r="P78" s="58">
        <f>(Boosters_And!B78*100)/Boosters_And!N78</f>
        <v/>
      </c>
      <c r="Q78" s="58">
        <f>Boosters_And!B78/(C78+D78)</f>
        <v/>
      </c>
      <c r="R78" s="58">
        <f>Boosters_And!N78/B78</f>
        <v/>
      </c>
      <c r="S78" s="55" t="n">
        <v>9.62949640287769</v>
      </c>
      <c r="T78" s="59" t="n">
        <v>338</v>
      </c>
      <c r="U78" s="60" t="n">
        <v>1222301.8949892</v>
      </c>
      <c r="V78" s="61">
        <f>U78/B78</f>
        <v/>
      </c>
    </row>
    <row r="79" ht="22.5" customHeight="1" s="150">
      <c r="A79" s="65" t="n">
        <v>77</v>
      </c>
      <c r="B79" s="50" t="n">
        <v>1419</v>
      </c>
      <c r="C79" s="50" t="n">
        <v>1419</v>
      </c>
      <c r="D79" s="50" t="n">
        <v>18</v>
      </c>
      <c r="E79" s="50" t="n">
        <v>28</v>
      </c>
      <c r="F79" s="51">
        <f>(C79*100)/B79</f>
        <v/>
      </c>
      <c r="G79" s="51">
        <f>(D79*100)/B79</f>
        <v/>
      </c>
      <c r="H79" s="53">
        <f>((B79-B80)/B79)*100</f>
        <v/>
      </c>
      <c r="I79" s="53">
        <f>((B79-C79)/B79)*100</f>
        <v/>
      </c>
      <c r="J79" s="53">
        <f>((C79-B80)/C79)*100</f>
        <v/>
      </c>
      <c r="K79" s="54" t="n"/>
      <c r="L79" s="55" t="n">
        <v>1.010889292196</v>
      </c>
      <c r="M79" s="56" t="inlineStr">
        <is>
          <t>Normal</t>
        </is>
      </c>
      <c r="N79" s="55" t="n">
        <v>0.99</v>
      </c>
      <c r="O79" s="57">
        <f>N79/C79</f>
        <v/>
      </c>
      <c r="P79" s="58">
        <f>(Boosters_And!B79*100)/Boosters_And!N79</f>
        <v/>
      </c>
      <c r="Q79" s="58">
        <f>Boosters_And!B79/(C79+D79)</f>
        <v/>
      </c>
      <c r="R79" s="58">
        <f>Boosters_And!N79/B79</f>
        <v/>
      </c>
      <c r="S79" s="55" t="n">
        <v>6.6043557168784</v>
      </c>
      <c r="T79" s="59" t="n">
        <v>307</v>
      </c>
      <c r="U79" s="60" t="n">
        <v>1312501.7288454</v>
      </c>
      <c r="V79" s="61">
        <f>U79/B79</f>
        <v/>
      </c>
    </row>
    <row r="80" ht="22.5" customHeight="1" s="150">
      <c r="A80" s="65" t="n">
        <v>78</v>
      </c>
      <c r="B80" s="50" t="n">
        <v>1416</v>
      </c>
      <c r="C80" s="50" t="n">
        <v>1416</v>
      </c>
      <c r="D80" s="50" t="n">
        <v>10</v>
      </c>
      <c r="E80" s="50" t="n">
        <v>28</v>
      </c>
      <c r="F80" s="51">
        <f>(C80*100)/B80</f>
        <v/>
      </c>
      <c r="G80" s="51">
        <f>(D80*100)/B80</f>
        <v/>
      </c>
      <c r="H80" s="53">
        <f>((B80-B81)/B80)*100</f>
        <v/>
      </c>
      <c r="I80" s="53">
        <f>((B80-C80)/B80)*100</f>
        <v/>
      </c>
      <c r="J80" s="53">
        <f>((C80-B81)/C80)*100</f>
        <v/>
      </c>
      <c r="K80" s="54" t="n"/>
      <c r="L80" s="55" t="n">
        <v>1.00727272727272</v>
      </c>
      <c r="M80" s="70" t="inlineStr">
        <is>
          <t>Normal</t>
        </is>
      </c>
      <c r="N80" s="55" t="n">
        <v>2.99</v>
      </c>
      <c r="O80" s="57">
        <f>N80/C80</f>
        <v/>
      </c>
      <c r="P80" s="58">
        <f>(Boosters_And!B80*100)/Boosters_And!N80</f>
        <v/>
      </c>
      <c r="Q80" s="58">
        <f>Boosters_And!B80/(C80+D80)</f>
        <v/>
      </c>
      <c r="R80" s="58">
        <f>Boosters_And!N80/B80</f>
        <v/>
      </c>
      <c r="S80" s="55" t="n">
        <v>4.32727272727272</v>
      </c>
      <c r="T80" s="59" t="n">
        <v>333</v>
      </c>
      <c r="U80" s="60" t="n">
        <v>1431358.12987752</v>
      </c>
      <c r="V80" s="61">
        <f>U80/B80</f>
        <v/>
      </c>
    </row>
    <row r="81" ht="22.5" customHeight="1" s="150">
      <c r="A81" s="65" t="n">
        <v>79</v>
      </c>
      <c r="B81" s="50" t="n">
        <v>1406</v>
      </c>
      <c r="C81" s="50" t="n">
        <v>1393</v>
      </c>
      <c r="D81" s="50" t="n">
        <v>242</v>
      </c>
      <c r="E81" s="50" t="n">
        <v>199</v>
      </c>
      <c r="F81" s="51">
        <f>(C81*100)/B81</f>
        <v/>
      </c>
      <c r="G81" s="51">
        <f>(D81*100)/B81</f>
        <v/>
      </c>
      <c r="H81" s="53">
        <f>((B81-B82)/B81)*100</f>
        <v/>
      </c>
      <c r="I81" s="53">
        <f>((B81-C81)/B81)*100</f>
        <v/>
      </c>
      <c r="J81" s="53">
        <f>((C81-B82)/C81)*100</f>
        <v/>
      </c>
      <c r="K81" s="54" t="n"/>
      <c r="L81" s="55" t="n">
        <v>1.16851851851851</v>
      </c>
      <c r="M81" s="56" t="inlineStr">
        <is>
          <t>Normal</t>
        </is>
      </c>
      <c r="N81" s="55" t="n">
        <v>7.02</v>
      </c>
      <c r="O81" s="57">
        <f>N81/C81</f>
        <v/>
      </c>
      <c r="P81" s="58">
        <f>(Boosters_And!B81*100)/Boosters_And!N81</f>
        <v/>
      </c>
      <c r="Q81" s="58">
        <f>Boosters_And!B81/(C81+D81)</f>
        <v/>
      </c>
      <c r="R81" s="58">
        <f>Boosters_And!N81/B81</f>
        <v/>
      </c>
      <c r="S81" s="55" t="n">
        <v>4.89074074074074</v>
      </c>
      <c r="T81" s="59" t="n">
        <v>364</v>
      </c>
      <c r="U81" s="60" t="n">
        <v>1389417.91545082</v>
      </c>
      <c r="V81" s="61">
        <f>U81/B81</f>
        <v/>
      </c>
    </row>
    <row r="82" ht="22.5" customHeight="1" s="150">
      <c r="A82" s="34" t="n">
        <v>80</v>
      </c>
      <c r="B82" s="50" t="n">
        <v>1460</v>
      </c>
      <c r="C82" s="50" t="n">
        <v>1357</v>
      </c>
      <c r="D82" s="50" t="n">
        <v>787</v>
      </c>
      <c r="E82" s="50" t="n">
        <v>676</v>
      </c>
      <c r="F82" s="51">
        <f>(C82*100)/B82</f>
        <v/>
      </c>
      <c r="G82" s="51">
        <f>(D82*100)/B82</f>
        <v/>
      </c>
      <c r="H82" s="52">
        <f>((B82-B83)/B82)*100</f>
        <v/>
      </c>
      <c r="I82" s="53">
        <f>((B82-C82)/B82)*100</f>
        <v/>
      </c>
      <c r="J82" s="53">
        <f>((C82-B83)/C82)*100</f>
        <v/>
      </c>
      <c r="K82" s="54" t="n"/>
      <c r="L82" s="55" t="n">
        <v>2.28517110266159</v>
      </c>
      <c r="M82" s="70" t="inlineStr">
        <is>
          <t>Normal</t>
        </is>
      </c>
      <c r="N82" s="55" t="n">
        <v>104.9</v>
      </c>
      <c r="O82" s="57">
        <f>N82/C82</f>
        <v/>
      </c>
      <c r="P82" s="58">
        <f>(Boosters_And!B82*100)/Boosters_And!N82</f>
        <v/>
      </c>
      <c r="Q82" s="58">
        <f>Boosters_And!B82/(C82+D82)</f>
        <v/>
      </c>
      <c r="R82" s="58">
        <f>Boosters_And!N82/B82</f>
        <v/>
      </c>
      <c r="S82" s="55" t="n">
        <v>6.63688212927756</v>
      </c>
      <c r="T82" s="59" t="n">
        <v>619</v>
      </c>
      <c r="U82" s="60" t="n">
        <v>1012967.09041097</v>
      </c>
      <c r="V82" s="78">
        <f>U82/B82</f>
        <v/>
      </c>
    </row>
    <row r="83" ht="22.5" customHeight="1" s="150">
      <c r="A83" s="34" t="n">
        <v>81</v>
      </c>
      <c r="B83" s="50" t="n">
        <v>1362</v>
      </c>
      <c r="C83" s="50" t="n">
        <v>1323</v>
      </c>
      <c r="D83" s="50" t="n">
        <v>485</v>
      </c>
      <c r="E83" s="50" t="n">
        <v>405</v>
      </c>
      <c r="F83" s="51">
        <f>(C83*100)/B83</f>
        <v/>
      </c>
      <c r="G83" s="51">
        <f>(D83*100)/B83</f>
        <v/>
      </c>
      <c r="H83" s="53">
        <f>((B83-B84)/B83)*100</f>
        <v/>
      </c>
      <c r="I83" s="53">
        <f>((B83-C83)/B83)*100</f>
        <v/>
      </c>
      <c r="J83" s="53">
        <f>((C83-B84)/C83)*100</f>
        <v/>
      </c>
      <c r="K83" s="54" t="n"/>
      <c r="L83" s="55" t="n">
        <v>1.36452241715399</v>
      </c>
      <c r="M83" s="56" t="inlineStr">
        <is>
          <t>Normal</t>
        </is>
      </c>
      <c r="N83" s="55" t="n">
        <v>19.43</v>
      </c>
      <c r="O83" s="57">
        <f>N83/C83</f>
        <v/>
      </c>
      <c r="P83" s="58">
        <f>(Boosters_And!B83*100)/Boosters_And!N83</f>
        <v/>
      </c>
      <c r="Q83" s="58">
        <f>Boosters_And!B83/(C83+D83)</f>
        <v/>
      </c>
      <c r="R83" s="58">
        <f>Boosters_And!N83/B83</f>
        <v/>
      </c>
      <c r="S83" s="55" t="n">
        <v>19.1052631578947</v>
      </c>
      <c r="T83" s="59" t="n">
        <v>493</v>
      </c>
      <c r="U83" s="60" t="n">
        <v>976430.612098906</v>
      </c>
      <c r="V83" s="61">
        <f>U83/B83</f>
        <v/>
      </c>
    </row>
    <row r="84" ht="22.5" customHeight="1" s="150">
      <c r="A84" s="34" t="n">
        <v>82</v>
      </c>
      <c r="B84" s="50" t="n">
        <v>1326</v>
      </c>
      <c r="C84" s="50" t="n">
        <v>1313</v>
      </c>
      <c r="D84" s="50" t="n">
        <v>258</v>
      </c>
      <c r="E84" s="50" t="n">
        <v>222</v>
      </c>
      <c r="F84" s="51">
        <f>(C84*100)/B84</f>
        <v/>
      </c>
      <c r="G84" s="51">
        <f>(D84*100)/B84</f>
        <v/>
      </c>
      <c r="H84" s="53">
        <f>((B84-B85)/B84)*100</f>
        <v/>
      </c>
      <c r="I84" s="53">
        <f>((B84-C84)/B84)*100</f>
        <v/>
      </c>
      <c r="J84" s="53">
        <f>((C84-B85)/C84)*100</f>
        <v/>
      </c>
      <c r="K84" s="54" t="n"/>
      <c r="L84" s="55" t="n">
        <v>1.14734774066797</v>
      </c>
      <c r="M84" s="70" t="inlineStr">
        <is>
          <t>Normal</t>
        </is>
      </c>
      <c r="N84" s="55" t="n">
        <v>12.97</v>
      </c>
      <c r="O84" s="57">
        <f>N84/C84</f>
        <v/>
      </c>
      <c r="P84" s="58">
        <f>(Boosters_And!B84*100)/Boosters_And!N84</f>
        <v/>
      </c>
      <c r="Q84" s="58">
        <f>Boosters_And!B84/(C84+D84)</f>
        <v/>
      </c>
      <c r="R84" s="58">
        <f>Boosters_And!N84/B84</f>
        <v/>
      </c>
      <c r="S84" s="55" t="n">
        <v>5.52848722986247</v>
      </c>
      <c r="T84" s="59" t="n">
        <v>382</v>
      </c>
      <c r="U84" s="60" t="n">
        <v>1036516.54660505</v>
      </c>
      <c r="V84" s="61">
        <f>U84/B84</f>
        <v/>
      </c>
    </row>
    <row r="85" ht="22.5" customHeight="1" s="150">
      <c r="A85" s="34" t="n">
        <v>83</v>
      </c>
      <c r="B85" s="50" t="n">
        <v>1308</v>
      </c>
      <c r="C85" s="50" t="n">
        <v>1310</v>
      </c>
      <c r="D85" s="50" t="n">
        <v>3</v>
      </c>
      <c r="E85" s="50" t="n">
        <v>5</v>
      </c>
      <c r="F85" s="51">
        <f>(C85*100)/B85</f>
        <v/>
      </c>
      <c r="G85" s="51">
        <f>(D85*100)/B85</f>
        <v/>
      </c>
      <c r="H85" s="53">
        <f>((B85-B86)/B85)*100</f>
        <v/>
      </c>
      <c r="I85" s="53">
        <f>((B85-C85)/B85)*100</f>
        <v/>
      </c>
      <c r="J85" s="53">
        <f>((C85-B86)/C85)*100</f>
        <v/>
      </c>
      <c r="K85" s="54" t="n"/>
      <c r="L85" s="55" t="n">
        <v>1.00393700787401</v>
      </c>
      <c r="M85" s="63" t="inlineStr">
        <is>
          <t>Normal</t>
        </is>
      </c>
      <c r="N85" s="55" t="n">
        <v>0</v>
      </c>
      <c r="O85" s="57">
        <f>N85/C85</f>
        <v/>
      </c>
      <c r="P85" s="58">
        <f>(Boosters_And!B85*100)/Boosters_And!N85</f>
        <v/>
      </c>
      <c r="Q85" s="58">
        <f>Boosters_And!B85/(C85+D85)</f>
        <v/>
      </c>
      <c r="R85" s="58">
        <f>Boosters_And!N85/B85</f>
        <v/>
      </c>
      <c r="S85" s="55" t="n">
        <v>6.18110236220472</v>
      </c>
      <c r="T85" s="59" t="n">
        <v>338</v>
      </c>
      <c r="U85" s="60" t="n">
        <v>1118926.74653943</v>
      </c>
      <c r="V85" s="61">
        <f>U85/B85</f>
        <v/>
      </c>
    </row>
    <row r="86" ht="22.5" customHeight="1" s="150">
      <c r="A86" s="34" t="n">
        <v>84</v>
      </c>
      <c r="B86" s="50" t="n">
        <v>1328</v>
      </c>
      <c r="C86" s="50" t="n">
        <v>1303</v>
      </c>
      <c r="D86" s="50" t="n">
        <v>513</v>
      </c>
      <c r="E86" s="50" t="n">
        <v>454</v>
      </c>
      <c r="F86" s="51">
        <f>(C86*100)/B86</f>
        <v/>
      </c>
      <c r="G86" s="51">
        <f>(D86*100)/B86</f>
        <v/>
      </c>
      <c r="H86" s="53">
        <f>((B86-B87)/B86)*100</f>
        <v/>
      </c>
      <c r="I86" s="53">
        <f>((B86-C86)/B86)*100</f>
        <v/>
      </c>
      <c r="J86" s="53">
        <f>((C86-B87)/C86)*100</f>
        <v/>
      </c>
      <c r="K86" s="54" t="n"/>
      <c r="L86" s="55" t="n">
        <v>1.28712871287128</v>
      </c>
      <c r="M86" s="70" t="inlineStr">
        <is>
          <t>Normal</t>
        </is>
      </c>
      <c r="N86" s="55" t="n">
        <v>23.44</v>
      </c>
      <c r="O86" s="57">
        <f>N86/C86</f>
        <v/>
      </c>
      <c r="P86" s="58">
        <f>(Boosters_And!B86*100)/Boosters_And!N86</f>
        <v/>
      </c>
      <c r="Q86" s="58">
        <f>Boosters_And!B86/(C86+D86)</f>
        <v/>
      </c>
      <c r="R86" s="58">
        <f>Boosters_And!N86/B86</f>
        <v/>
      </c>
      <c r="S86" s="55" t="n">
        <v>5.77029702970297</v>
      </c>
      <c r="T86" s="59" t="n">
        <v>438</v>
      </c>
      <c r="U86" s="60" t="n">
        <v>1059730.68743164</v>
      </c>
      <c r="V86" s="61">
        <f>U86/B86</f>
        <v/>
      </c>
    </row>
    <row r="87" ht="22.5" customHeight="1" s="150">
      <c r="A87" s="77" t="n">
        <v>85</v>
      </c>
      <c r="B87" s="50" t="n">
        <v>1290</v>
      </c>
      <c r="C87" s="50" t="n">
        <v>1256</v>
      </c>
      <c r="D87" s="50" t="n">
        <v>702</v>
      </c>
      <c r="E87" s="50" t="n">
        <v>433</v>
      </c>
      <c r="F87" s="51">
        <f>(C87*100)/B87</f>
        <v/>
      </c>
      <c r="G87" s="51">
        <f>(D87*100)/B87</f>
        <v/>
      </c>
      <c r="H87" s="53">
        <f>((B87-B88)/B87)*100</f>
        <v/>
      </c>
      <c r="I87" s="53">
        <f>((B87-C87)/B87)*100</f>
        <v/>
      </c>
      <c r="J87" s="53">
        <f>((C87-B88)/C87)*100</f>
        <v/>
      </c>
      <c r="K87" s="54" t="n"/>
      <c r="L87" s="55" t="n">
        <v>1.48049281314168</v>
      </c>
      <c r="M87" s="56" t="inlineStr">
        <is>
          <t>Normal</t>
        </is>
      </c>
      <c r="N87" s="55" t="n">
        <v>54.44</v>
      </c>
      <c r="O87" s="57">
        <f>N87/C87</f>
        <v/>
      </c>
      <c r="P87" s="58">
        <f>(Boosters_And!B87*100)/Boosters_And!N87</f>
        <v/>
      </c>
      <c r="Q87" s="58">
        <f>Boosters_And!B87/(C87+D87)</f>
        <v/>
      </c>
      <c r="R87" s="58">
        <f>Boosters_And!N87/B87</f>
        <v/>
      </c>
      <c r="S87" s="55" t="n">
        <v>6.03696098562628</v>
      </c>
      <c r="T87" s="59" t="n">
        <v>578</v>
      </c>
      <c r="U87" s="60" t="n">
        <v>986812.4917463521</v>
      </c>
      <c r="V87" s="61">
        <f>U87/B87</f>
        <v/>
      </c>
    </row>
    <row r="88" ht="22.5" customHeight="1" s="150">
      <c r="A88" s="34" t="n">
        <v>86</v>
      </c>
      <c r="B88" s="50" t="n">
        <v>1251</v>
      </c>
      <c r="C88" s="50" t="n">
        <v>1248</v>
      </c>
      <c r="D88" s="50" t="n">
        <v>36</v>
      </c>
      <c r="E88" s="50" t="n">
        <v>54</v>
      </c>
      <c r="F88" s="51">
        <f>(C88*100)/B88</f>
        <v/>
      </c>
      <c r="G88" s="51">
        <f>(D88*100)/B88</f>
        <v/>
      </c>
      <c r="H88" s="53">
        <f>((B88-B89)/B88)*100</f>
        <v/>
      </c>
      <c r="I88" s="53">
        <f>((B88-C88)/B88)*100</f>
        <v/>
      </c>
      <c r="J88" s="53">
        <f>((C88-B89)/C88)*100</f>
        <v/>
      </c>
      <c r="K88" s="54" t="n"/>
      <c r="L88" s="55" t="n">
        <v>1.03099173553719</v>
      </c>
      <c r="M88" s="70" t="inlineStr">
        <is>
          <t>Normal</t>
        </is>
      </c>
      <c r="N88" s="55" t="n">
        <v>0</v>
      </c>
      <c r="O88" s="57">
        <f>N88/C88</f>
        <v/>
      </c>
      <c r="P88" s="58">
        <f>(Boosters_And!B88*100)/Boosters_And!N88</f>
        <v/>
      </c>
      <c r="Q88" s="58">
        <f>Boosters_And!B88/(C88+D88)</f>
        <v/>
      </c>
      <c r="R88" s="58">
        <f>Boosters_And!N88/B88</f>
        <v/>
      </c>
      <c r="S88" s="55" t="n">
        <v>5.37396694214876</v>
      </c>
      <c r="T88" s="59" t="n">
        <v>289</v>
      </c>
      <c r="U88" s="60" t="n">
        <v>1076586.73302072</v>
      </c>
      <c r="V88" s="61">
        <f>U88/B88</f>
        <v/>
      </c>
    </row>
    <row r="89" ht="22.5" customHeight="1" s="150">
      <c r="A89" s="34" t="n">
        <v>87</v>
      </c>
      <c r="B89" s="50" t="n">
        <v>1295</v>
      </c>
      <c r="C89" s="50" t="n">
        <v>1217</v>
      </c>
      <c r="D89" s="50" t="n">
        <v>684</v>
      </c>
      <c r="E89" s="50" t="n">
        <v>665</v>
      </c>
      <c r="F89" s="51">
        <f>(C89*100)/B89</f>
        <v/>
      </c>
      <c r="G89" s="51">
        <f>(D89*100)/B89</f>
        <v/>
      </c>
      <c r="H89" s="52">
        <f>((B89-B90)/B89)*100</f>
        <v/>
      </c>
      <c r="I89" s="53">
        <f>((B89-C89)/B89)*100</f>
        <v/>
      </c>
      <c r="J89" s="53">
        <f>((C89-B90)/C89)*100</f>
        <v/>
      </c>
      <c r="K89" s="54" t="n"/>
      <c r="L89" s="55" t="n">
        <v>2.05296610169491</v>
      </c>
      <c r="M89" s="74" t="inlineStr">
        <is>
          <t>Very Hard</t>
        </is>
      </c>
      <c r="N89" s="55" t="n">
        <v>166.07</v>
      </c>
      <c r="O89" s="57">
        <f>N89/C89</f>
        <v/>
      </c>
      <c r="P89" s="58">
        <f>(Boosters_And!B89*100)/Boosters_And!N89</f>
        <v/>
      </c>
      <c r="Q89" s="58">
        <f>Boosters_And!B89/(C89+D89)</f>
        <v/>
      </c>
      <c r="R89" s="58">
        <f>Boosters_And!N89/B89</f>
        <v/>
      </c>
      <c r="S89" s="55" t="n">
        <v>4.48516949152542</v>
      </c>
      <c r="T89" s="59" t="n">
        <v>544</v>
      </c>
      <c r="U89" s="60" t="n">
        <v>870393.57550102</v>
      </c>
      <c r="V89" s="61">
        <f>U89/B89</f>
        <v/>
      </c>
    </row>
    <row r="90" ht="22.5" customHeight="1" s="150">
      <c r="A90" s="34" t="n">
        <v>88</v>
      </c>
      <c r="B90" s="50" t="n">
        <v>1223</v>
      </c>
      <c r="C90" s="50" t="n">
        <v>1217</v>
      </c>
      <c r="D90" s="50" t="n">
        <v>150</v>
      </c>
      <c r="E90" s="50" t="n">
        <v>132</v>
      </c>
      <c r="F90" s="51">
        <f>(C90*100)/B90</f>
        <v/>
      </c>
      <c r="G90" s="51">
        <f>(D90*100)/B90</f>
        <v/>
      </c>
      <c r="H90" s="53">
        <f>((B90-B91)/B90)*100</f>
        <v/>
      </c>
      <c r="I90" s="53">
        <f>((B90-C90)/B90)*100</f>
        <v/>
      </c>
      <c r="J90" s="53">
        <f>((C90-B91)/C90)*100</f>
        <v/>
      </c>
      <c r="K90" s="54" t="n"/>
      <c r="L90" s="55" t="n">
        <v>1.10381355932203</v>
      </c>
      <c r="M90" s="70" t="inlineStr">
        <is>
          <t>Normal</t>
        </is>
      </c>
      <c r="N90" s="55" t="n">
        <v>7.48</v>
      </c>
      <c r="O90" s="57">
        <f>N90/C90</f>
        <v/>
      </c>
      <c r="P90" s="58">
        <f>(Boosters_And!B90*100)/Boosters_And!N90</f>
        <v/>
      </c>
      <c r="Q90" s="58">
        <f>Boosters_And!B90/(C90+D90)</f>
        <v/>
      </c>
      <c r="R90" s="58">
        <f>Boosters_And!N90/B90</f>
        <v/>
      </c>
      <c r="S90" s="55" t="n">
        <v>5.25635593220339</v>
      </c>
      <c r="T90" s="59" t="n">
        <v>328</v>
      </c>
      <c r="U90" s="60" t="n">
        <v>948122.2570353739</v>
      </c>
      <c r="V90" s="61">
        <f>U90/B90</f>
        <v/>
      </c>
    </row>
    <row r="91" ht="22.5" customHeight="1" s="150">
      <c r="A91" s="34" t="n">
        <v>89</v>
      </c>
      <c r="B91" s="50" t="n">
        <v>1220</v>
      </c>
      <c r="C91" s="50" t="n">
        <v>1217</v>
      </c>
      <c r="D91" s="50" t="n">
        <v>57</v>
      </c>
      <c r="E91" s="50" t="n">
        <v>44</v>
      </c>
      <c r="F91" s="51">
        <f>(C91*100)/B91</f>
        <v/>
      </c>
      <c r="G91" s="51">
        <f>(D91*100)/B91</f>
        <v/>
      </c>
      <c r="H91" s="53">
        <f>((B91-B92)/B91)*100</f>
        <v/>
      </c>
      <c r="I91" s="53">
        <f>((B91-C91)/B91)*100</f>
        <v/>
      </c>
      <c r="J91" s="53">
        <f>((C91-B92)/C91)*100</f>
        <v/>
      </c>
      <c r="K91" s="54" t="n"/>
      <c r="L91" s="55" t="n">
        <v>1.02966101694915</v>
      </c>
      <c r="M91" s="56" t="inlineStr">
        <is>
          <t>Normal</t>
        </is>
      </c>
      <c r="N91" s="55" t="n">
        <v>26.93</v>
      </c>
      <c r="O91" s="57">
        <f>N91/C91</f>
        <v/>
      </c>
      <c r="P91" s="58">
        <f>(Boosters_And!B91*100)/Boosters_And!N91</f>
        <v/>
      </c>
      <c r="Q91" s="58">
        <f>Boosters_And!B91/(C91+D91)</f>
        <v/>
      </c>
      <c r="R91" s="58">
        <f>Boosters_And!N91/B91</f>
        <v/>
      </c>
      <c r="S91" s="55" t="n">
        <v>4.38135593220338</v>
      </c>
      <c r="T91" s="59" t="n">
        <v>297</v>
      </c>
      <c r="U91" s="60" t="n">
        <v>1022162.46952728</v>
      </c>
      <c r="V91" s="61">
        <f>U91/B91</f>
        <v/>
      </c>
    </row>
    <row r="92" ht="22.5" customHeight="1" s="150">
      <c r="A92" s="34" t="n">
        <v>90</v>
      </c>
      <c r="B92" s="50" t="n">
        <v>1217</v>
      </c>
      <c r="C92" s="50" t="n">
        <v>1189</v>
      </c>
      <c r="D92" s="50" t="n">
        <v>477</v>
      </c>
      <c r="E92" s="50" t="n">
        <v>444</v>
      </c>
      <c r="F92" s="51">
        <f>(C92*100)/B92</f>
        <v/>
      </c>
      <c r="G92" s="51">
        <f>(D92*100)/B92</f>
        <v/>
      </c>
      <c r="H92" s="52">
        <f>((B92-B93)/B92)*100</f>
        <v/>
      </c>
      <c r="I92" s="53">
        <f>((B92-C92)/B92)*100</f>
        <v/>
      </c>
      <c r="J92" s="53">
        <f>((C92-B93)/C92)*100</f>
        <v/>
      </c>
      <c r="K92" s="54" t="n"/>
      <c r="L92" s="55" t="n">
        <v>1.37527114967462</v>
      </c>
      <c r="M92" s="70" t="inlineStr">
        <is>
          <t>Normal</t>
        </is>
      </c>
      <c r="N92" s="55" t="n">
        <v>87.27</v>
      </c>
      <c r="O92" s="57">
        <f>N92/C92</f>
        <v/>
      </c>
      <c r="P92" s="58">
        <f>(Boosters_And!B92*100)/Boosters_And!N92</f>
        <v/>
      </c>
      <c r="Q92" s="58">
        <f>Boosters_And!B92/(C92+D92)</f>
        <v/>
      </c>
      <c r="R92" s="58">
        <f>Boosters_And!N92/B92</f>
        <v/>
      </c>
      <c r="S92" s="55" t="n">
        <v>5.99132321041214</v>
      </c>
      <c r="T92" s="59" t="n">
        <v>415</v>
      </c>
      <c r="U92" s="60" t="n">
        <v>882697.070139111</v>
      </c>
      <c r="V92" s="61">
        <f>U92/B92</f>
        <v/>
      </c>
    </row>
    <row r="93" ht="22.5" customHeight="1" s="150">
      <c r="A93" s="34" t="n">
        <v>91</v>
      </c>
      <c r="B93" s="50" t="n">
        <v>1184</v>
      </c>
      <c r="C93" s="50" t="n">
        <v>1179</v>
      </c>
      <c r="D93" s="50" t="n">
        <v>142</v>
      </c>
      <c r="E93" s="50" t="n">
        <v>139</v>
      </c>
      <c r="F93" s="51">
        <f>(C93*100)/B93</f>
        <v/>
      </c>
      <c r="G93" s="51">
        <f>(D93*100)/B93</f>
        <v/>
      </c>
      <c r="H93" s="53">
        <f>((B93-B94)/B93)*100</f>
        <v/>
      </c>
      <c r="I93" s="53">
        <f>((B93-C93)/B93)*100</f>
        <v/>
      </c>
      <c r="J93" s="53">
        <f>((C93-B94)/C93)*100</f>
        <v/>
      </c>
      <c r="K93" s="54" t="n"/>
      <c r="L93" s="55" t="n">
        <v>1.12472647702407</v>
      </c>
      <c r="M93" s="56" t="inlineStr">
        <is>
          <t>Normal</t>
        </is>
      </c>
      <c r="N93" s="55" t="n">
        <v>11.5</v>
      </c>
      <c r="O93" s="57">
        <f>N93/C93</f>
        <v/>
      </c>
      <c r="P93" s="58">
        <f>(Boosters_And!B93*100)/Boosters_And!N93</f>
        <v/>
      </c>
      <c r="Q93" s="58">
        <f>Boosters_And!B93/(C93+D93)</f>
        <v/>
      </c>
      <c r="R93" s="58">
        <f>Boosters_And!N93/B93</f>
        <v/>
      </c>
      <c r="S93" s="55" t="n">
        <v>8.288840262582051</v>
      </c>
      <c r="T93" s="59" t="n">
        <v>302</v>
      </c>
      <c r="U93" s="60" t="n">
        <v>933123.342712419</v>
      </c>
      <c r="V93" s="61">
        <f>U93/B93</f>
        <v/>
      </c>
    </row>
    <row r="94" ht="22.5" customHeight="1" s="150">
      <c r="A94" s="34" t="n">
        <v>92</v>
      </c>
      <c r="B94" s="50" t="n">
        <v>1197</v>
      </c>
      <c r="C94" s="50" t="n">
        <v>1168</v>
      </c>
      <c r="D94" s="50" t="n">
        <v>400</v>
      </c>
      <c r="E94" s="50" t="n">
        <v>379</v>
      </c>
      <c r="F94" s="51">
        <f>(C94*100)/B94</f>
        <v/>
      </c>
      <c r="G94" s="51">
        <f>(D94*100)/B94</f>
        <v/>
      </c>
      <c r="H94" s="53">
        <f>((B94-B95)/B94)*100</f>
        <v/>
      </c>
      <c r="I94" s="53">
        <f>((B94-C94)/B94)*100</f>
        <v/>
      </c>
      <c r="J94" s="53">
        <f>((C94-B95)/C94)*100</f>
        <v/>
      </c>
      <c r="K94" s="54" t="n"/>
      <c r="L94" s="55" t="n">
        <v>1.37086092715231</v>
      </c>
      <c r="M94" s="70" t="inlineStr">
        <is>
          <t>Normal</t>
        </is>
      </c>
      <c r="N94" s="55" t="n">
        <v>30.9</v>
      </c>
      <c r="O94" s="57">
        <f>N94/C94</f>
        <v/>
      </c>
      <c r="P94" s="58">
        <f>(Boosters_And!B94*100)/Boosters_And!N94</f>
        <v/>
      </c>
      <c r="Q94" s="58">
        <f>Boosters_And!B94/(C94+D94)</f>
        <v/>
      </c>
      <c r="R94" s="58">
        <f>Boosters_And!N94/B94</f>
        <v/>
      </c>
      <c r="S94" s="55" t="n">
        <v>8.474613686534211</v>
      </c>
      <c r="T94" s="59" t="n">
        <v>395</v>
      </c>
      <c r="U94" s="60" t="n">
        <v>892498.596265892</v>
      </c>
      <c r="V94" s="61">
        <f>U94/B94</f>
        <v/>
      </c>
    </row>
    <row r="95" ht="22.5" customHeight="1" s="150">
      <c r="A95" s="34" t="n">
        <v>93</v>
      </c>
      <c r="B95" s="50" t="n">
        <v>1168</v>
      </c>
      <c r="C95" s="50" t="n">
        <v>1168</v>
      </c>
      <c r="D95" s="50" t="n">
        <v>10</v>
      </c>
      <c r="E95" s="50" t="n">
        <v>15</v>
      </c>
      <c r="F95" s="51">
        <f>(C95*100)/B95</f>
        <v/>
      </c>
      <c r="G95" s="51">
        <f>(D95*100)/B95</f>
        <v/>
      </c>
      <c r="H95" s="53">
        <f>((B95-B96)/B95)*100</f>
        <v/>
      </c>
      <c r="I95" s="53">
        <f>((B95-C95)/B95)*100</f>
        <v/>
      </c>
      <c r="J95" s="53">
        <f>((C95-B96)/C95)*100</f>
        <v/>
      </c>
      <c r="K95" s="54" t="n"/>
      <c r="L95" s="55" t="n">
        <v>1.01103752759381</v>
      </c>
      <c r="M95" s="56" t="inlineStr">
        <is>
          <t>Normal</t>
        </is>
      </c>
      <c r="N95" s="55" t="n">
        <v>1.99</v>
      </c>
      <c r="O95" s="57">
        <f>N95/C95</f>
        <v/>
      </c>
      <c r="P95" s="58">
        <f>(Boosters_And!B95*100)/Boosters_And!N95</f>
        <v/>
      </c>
      <c r="Q95" s="58">
        <f>Boosters_And!B95/(C95+D95)</f>
        <v/>
      </c>
      <c r="R95" s="58">
        <f>Boosters_And!N95/B95</f>
        <v/>
      </c>
      <c r="S95" s="55" t="n">
        <v>4.81015452538631</v>
      </c>
      <c r="T95" s="59" t="n">
        <v>271</v>
      </c>
      <c r="U95" s="60" t="n">
        <v>958452.549703205</v>
      </c>
      <c r="V95" s="61">
        <f>U95/B95</f>
        <v/>
      </c>
    </row>
    <row r="96" ht="22.5" customHeight="1" s="150">
      <c r="A96" s="34" t="n">
        <v>94</v>
      </c>
      <c r="B96" s="50" t="n">
        <v>1163</v>
      </c>
      <c r="C96" s="50" t="n">
        <v>1163</v>
      </c>
      <c r="D96" s="50" t="n">
        <v>5</v>
      </c>
      <c r="E96" s="50" t="n">
        <v>8</v>
      </c>
      <c r="F96" s="51">
        <f>(C96*100)/B96</f>
        <v/>
      </c>
      <c r="G96" s="51">
        <f>(D96*100)/B96</f>
        <v/>
      </c>
      <c r="H96" s="53">
        <f>((B96-B97)/B96)*100</f>
        <v/>
      </c>
      <c r="I96" s="53">
        <f>((B96-C96)/B96)*100</f>
        <v/>
      </c>
      <c r="J96" s="53">
        <f>((C96-B97)/C96)*100</f>
        <v/>
      </c>
      <c r="K96" s="54" t="n"/>
      <c r="L96" s="55" t="n">
        <v>1.00442477876106</v>
      </c>
      <c r="M96" s="70" t="inlineStr">
        <is>
          <t>Normal</t>
        </is>
      </c>
      <c r="N96" s="55" t="n">
        <v>9.99</v>
      </c>
      <c r="O96" s="57">
        <f>N96/C96</f>
        <v/>
      </c>
      <c r="P96" s="58">
        <f>(Boosters_And!B96*100)/Boosters_And!N96</f>
        <v/>
      </c>
      <c r="Q96" s="58">
        <f>Boosters_And!B96/(C96+D96)</f>
        <v/>
      </c>
      <c r="R96" s="58">
        <f>Boosters_And!N96/B96</f>
        <v/>
      </c>
      <c r="S96" s="55" t="n">
        <v>4.86061946902654</v>
      </c>
      <c r="T96" s="59" t="n">
        <v>261</v>
      </c>
      <c r="U96" s="60" t="n">
        <v>1015043.46634046</v>
      </c>
      <c r="V96" s="61">
        <f>U96/B96</f>
        <v/>
      </c>
    </row>
    <row r="97" ht="22.5" customHeight="1" s="150">
      <c r="A97" s="77" t="n">
        <v>95</v>
      </c>
      <c r="B97" s="50" t="n">
        <v>1163</v>
      </c>
      <c r="C97" s="50" t="n">
        <v>1021</v>
      </c>
      <c r="D97" s="50" t="n">
        <v>740</v>
      </c>
      <c r="E97" s="50" t="n">
        <v>472</v>
      </c>
      <c r="F97" s="51">
        <f>(C97*100)/B97</f>
        <v/>
      </c>
      <c r="G97" s="51">
        <f>(D97*100)/B97</f>
        <v/>
      </c>
      <c r="H97" s="53">
        <f>((B97-B98)/B97)*100</f>
        <v/>
      </c>
      <c r="I97" s="53">
        <f>((B97-C97)/B97)*100</f>
        <v/>
      </c>
      <c r="J97" s="53">
        <f>((C97-B98)/C97)*100</f>
        <v/>
      </c>
      <c r="K97" s="54" t="n"/>
      <c r="L97" s="55" t="n">
        <v>1.99496221662468</v>
      </c>
      <c r="M97" s="56" t="inlineStr">
        <is>
          <t>Normal</t>
        </is>
      </c>
      <c r="N97" s="55" t="n">
        <v>208.38</v>
      </c>
      <c r="O97" s="57">
        <f>N97/C97</f>
        <v/>
      </c>
      <c r="P97" s="58">
        <f>(Boosters_And!B97*100)/Boosters_And!N97</f>
        <v/>
      </c>
      <c r="Q97" s="58">
        <f>Boosters_And!B97/(C97+D97)</f>
        <v/>
      </c>
      <c r="R97" s="58">
        <f>Boosters_And!N97/B97</f>
        <v/>
      </c>
      <c r="S97" s="55" t="n">
        <v>4.93198992443325</v>
      </c>
      <c r="T97" s="59" t="n">
        <v>622</v>
      </c>
      <c r="U97" s="60" t="n">
        <v>732217.850603215</v>
      </c>
      <c r="V97" s="61">
        <f>U97/B97</f>
        <v/>
      </c>
    </row>
    <row r="98" ht="22.5" customHeight="1" s="150">
      <c r="A98" s="34" t="n">
        <v>96</v>
      </c>
      <c r="B98" s="50" t="n">
        <v>1052</v>
      </c>
      <c r="C98" s="50" t="n">
        <v>1045</v>
      </c>
      <c r="D98" s="50" t="n">
        <v>199</v>
      </c>
      <c r="E98" s="50" t="n">
        <v>181</v>
      </c>
      <c r="F98" s="51">
        <f>(C98*100)/B98</f>
        <v/>
      </c>
      <c r="G98" s="51">
        <f>(D98*100)/B98</f>
        <v/>
      </c>
      <c r="H98" s="53">
        <f>((B98-B99)/B98)*100</f>
        <v/>
      </c>
      <c r="I98" s="53">
        <f>((B98-C98)/B98)*100</f>
        <v/>
      </c>
      <c r="J98" s="53">
        <f>((C98-B99)/C98)*100</f>
        <v/>
      </c>
      <c r="K98" s="54" t="n"/>
      <c r="L98" s="55" t="n">
        <v>1.14778325123152</v>
      </c>
      <c r="M98" s="70" t="inlineStr">
        <is>
          <t>Normal</t>
        </is>
      </c>
      <c r="N98" s="55" t="n">
        <v>13.94</v>
      </c>
      <c r="O98" s="57">
        <f>N98/C98</f>
        <v/>
      </c>
      <c r="P98" s="58">
        <f>(Boosters_And!B98*100)/Boosters_And!N98</f>
        <v/>
      </c>
      <c r="Q98" s="58">
        <f>Boosters_And!B98/(C98+D98)</f>
        <v/>
      </c>
      <c r="R98" s="58">
        <f>Boosters_And!N98/B98</f>
        <v/>
      </c>
      <c r="S98" s="55" t="n">
        <v>4.73891625615763</v>
      </c>
      <c r="T98" s="59" t="n">
        <v>302</v>
      </c>
      <c r="U98" s="60" t="n">
        <v>734706.922369621</v>
      </c>
      <c r="V98" s="61">
        <f>U98/B98</f>
        <v/>
      </c>
    </row>
    <row r="99" ht="22.5" customHeight="1" s="150">
      <c r="A99" s="34" t="n">
        <v>97</v>
      </c>
      <c r="B99" s="50" t="n">
        <v>1068</v>
      </c>
      <c r="C99" s="50" t="n">
        <v>1039</v>
      </c>
      <c r="D99" s="50" t="n">
        <v>495</v>
      </c>
      <c r="E99" s="50" t="n">
        <v>359</v>
      </c>
      <c r="F99" s="51">
        <f>(C99*100)/B99</f>
        <v/>
      </c>
      <c r="G99" s="51">
        <f>(D99*100)/B99</f>
        <v/>
      </c>
      <c r="H99" s="53">
        <f>((B99-B100)/B99)*100</f>
        <v/>
      </c>
      <c r="I99" s="53">
        <f>((B99-C99)/B99)*100</f>
        <v/>
      </c>
      <c r="J99" s="53">
        <f>((C99-B100)/C99)*100</f>
        <v/>
      </c>
      <c r="K99" s="54" t="n"/>
      <c r="L99" s="55" t="n">
        <v>1.44554455445544</v>
      </c>
      <c r="M99" s="56" t="inlineStr">
        <is>
          <t>Normal</t>
        </is>
      </c>
      <c r="N99" s="55" t="n">
        <v>60.41</v>
      </c>
      <c r="O99" s="57">
        <f>N99/C99</f>
        <v/>
      </c>
      <c r="P99" s="58">
        <f>(Boosters_And!B99*100)/Boosters_And!N99</f>
        <v/>
      </c>
      <c r="Q99" s="58">
        <f>Boosters_And!B99/(C99+D99)</f>
        <v/>
      </c>
      <c r="R99" s="58">
        <f>Boosters_And!N99/B99</f>
        <v/>
      </c>
      <c r="S99" s="55" t="n">
        <v>5.69554455445544</v>
      </c>
      <c r="T99" s="59" t="n">
        <v>441</v>
      </c>
      <c r="U99" s="60" t="n">
        <v>605055.945853135</v>
      </c>
      <c r="V99" s="61">
        <f>U99/B99</f>
        <v/>
      </c>
    </row>
    <row r="100" ht="22.5" customHeight="1" s="150">
      <c r="A100" s="34" t="n">
        <v>98</v>
      </c>
      <c r="B100" s="50" t="n">
        <v>1042</v>
      </c>
      <c r="C100" s="50" t="n">
        <v>1045</v>
      </c>
      <c r="D100" s="50" t="n">
        <v>18</v>
      </c>
      <c r="E100" s="50" t="n">
        <v>21</v>
      </c>
      <c r="F100" s="51">
        <f>(C100*100)/B100</f>
        <v/>
      </c>
      <c r="G100" s="51">
        <f>(D100*100)/B100</f>
        <v/>
      </c>
      <c r="H100" s="53">
        <f>((B100-B101)/B100)*100</f>
        <v/>
      </c>
      <c r="I100" s="53">
        <f>((B100-C100)/B100)*100</f>
        <v/>
      </c>
      <c r="J100" s="53">
        <f>((C100-B101)/C100)*100</f>
        <v/>
      </c>
      <c r="K100" s="54" t="n"/>
      <c r="L100" s="55" t="n">
        <v>1.01724137931034</v>
      </c>
      <c r="M100" s="70" t="inlineStr">
        <is>
          <t>Normal</t>
        </is>
      </c>
      <c r="N100" s="55" t="n">
        <v>12.96</v>
      </c>
      <c r="O100" s="57">
        <f>N100/C100</f>
        <v/>
      </c>
      <c r="P100" s="58">
        <f>(Boosters_And!B100*100)/Boosters_And!N100</f>
        <v/>
      </c>
      <c r="Q100" s="58">
        <f>Boosters_And!B100/(C100+D100)</f>
        <v/>
      </c>
      <c r="R100" s="58">
        <f>Boosters_And!N100/B100</f>
        <v/>
      </c>
      <c r="S100" s="55" t="n">
        <v>6.00985221674876</v>
      </c>
      <c r="T100" s="59" t="n">
        <v>248</v>
      </c>
      <c r="U100" s="60" t="n">
        <v>676542.602854118</v>
      </c>
      <c r="V100" s="61">
        <f>U100/B100</f>
        <v/>
      </c>
    </row>
    <row r="101" ht="22.5" customHeight="1" s="150">
      <c r="A101" s="34" t="n">
        <v>99</v>
      </c>
      <c r="B101" s="50" t="n">
        <v>1045</v>
      </c>
      <c r="C101" s="50" t="n">
        <v>1042</v>
      </c>
      <c r="D101" s="50" t="n">
        <v>88</v>
      </c>
      <c r="E101" s="50" t="n">
        <v>70</v>
      </c>
      <c r="F101" s="51">
        <f>(C101*100)/B101</f>
        <v/>
      </c>
      <c r="G101" s="51">
        <f>(D101*100)/B101</f>
        <v/>
      </c>
      <c r="H101" s="53">
        <f>((B101-B102)/B101)*100</f>
        <v/>
      </c>
      <c r="I101" s="53">
        <f>((B101-C101)/B101)*100</f>
        <v/>
      </c>
      <c r="J101" s="53">
        <f>((C101-B102)/C101)*100</f>
        <v/>
      </c>
      <c r="K101" s="54" t="n"/>
      <c r="L101" s="55" t="n">
        <v>1.06172839506172</v>
      </c>
      <c r="M101" s="56" t="inlineStr">
        <is>
          <t>Normal</t>
        </is>
      </c>
      <c r="N101" s="55" t="n">
        <v>15.98</v>
      </c>
      <c r="O101" s="57">
        <f>N101/C101</f>
        <v/>
      </c>
      <c r="P101" s="58">
        <f>(Boosters_And!B101*100)/Boosters_And!N101</f>
        <v/>
      </c>
      <c r="Q101" s="58">
        <f>Boosters_And!B101/(C101+D101)</f>
        <v/>
      </c>
      <c r="R101" s="58">
        <f>Boosters_And!N101/B101</f>
        <v/>
      </c>
      <c r="S101" s="55" t="n">
        <v>4.76296296296296</v>
      </c>
      <c r="T101" s="59" t="n">
        <v>289</v>
      </c>
      <c r="U101" s="60" t="n">
        <v>697783.541710445</v>
      </c>
      <c r="V101" s="61">
        <f>U101/B101</f>
        <v/>
      </c>
    </row>
    <row r="102" ht="22.5" customHeight="1" s="150">
      <c r="A102" s="34" t="n">
        <v>100</v>
      </c>
      <c r="B102" s="50" t="n">
        <v>1042</v>
      </c>
      <c r="C102" s="50" t="n">
        <v>1042</v>
      </c>
      <c r="D102" s="50" t="n">
        <v>5</v>
      </c>
      <c r="E102" s="50" t="n">
        <v>5</v>
      </c>
      <c r="F102" s="51">
        <f>(C102*100)/B102</f>
        <v/>
      </c>
      <c r="G102" s="51">
        <f>(D102*100)/B102</f>
        <v/>
      </c>
      <c r="H102" s="53">
        <f>((B102-B103)/B102)*100</f>
        <v/>
      </c>
      <c r="I102" s="53">
        <f>((B102-C102)/B102)*100</f>
        <v/>
      </c>
      <c r="J102" s="53">
        <f>((C102-B103)/C102)*100</f>
        <v/>
      </c>
      <c r="K102" s="54" t="n"/>
      <c r="L102" s="55" t="n">
        <v>1.00493827160493</v>
      </c>
      <c r="M102" s="70" t="inlineStr">
        <is>
          <t>Normal</t>
        </is>
      </c>
      <c r="N102" s="55" t="n">
        <v>1.99</v>
      </c>
      <c r="O102" s="57">
        <f>N102/C102</f>
        <v/>
      </c>
      <c r="P102" s="58">
        <f>(Boosters_And!B102*100)/Boosters_And!N102</f>
        <v/>
      </c>
      <c r="Q102" s="58">
        <f>Boosters_And!B102/(C102+D102)</f>
        <v/>
      </c>
      <c r="R102" s="58">
        <f>Boosters_And!N102/B102</f>
        <v/>
      </c>
      <c r="S102" s="55" t="n">
        <v>6.42469135802469</v>
      </c>
      <c r="T102" s="59" t="n">
        <v>222</v>
      </c>
      <c r="U102" s="60" t="n">
        <v>754929.018378559</v>
      </c>
      <c r="V102" s="61">
        <f>U102/B102</f>
        <v/>
      </c>
    </row>
    <row r="103" ht="22.5" customHeight="1" s="150">
      <c r="A103" s="34" t="n">
        <v>101</v>
      </c>
      <c r="B103" s="50" t="n">
        <v>1009</v>
      </c>
      <c r="C103" s="50" t="n">
        <v>1009</v>
      </c>
      <c r="D103" s="50" t="n">
        <v>3</v>
      </c>
      <c r="E103" s="50" t="n">
        <v>3</v>
      </c>
      <c r="F103" s="51">
        <f>(C103*100)/B103</f>
        <v/>
      </c>
      <c r="G103" s="51">
        <f>(D103*100)/B103</f>
        <v/>
      </c>
      <c r="H103" s="53">
        <f>((B103-B104)/B103)*100</f>
        <v/>
      </c>
      <c r="I103" s="53">
        <f>((B103-C103)/B103)*100</f>
        <v/>
      </c>
      <c r="J103" s="53">
        <f>((C103-B104)/C103)*100</f>
        <v/>
      </c>
      <c r="K103" s="54" t="n"/>
      <c r="L103" s="55" t="n">
        <v>1.00255102040816</v>
      </c>
      <c r="M103" s="56" t="inlineStr">
        <is>
          <t>Normal</t>
        </is>
      </c>
      <c r="N103" s="55" t="n">
        <v>5.97</v>
      </c>
      <c r="O103" s="57">
        <f>N103/C103</f>
        <v/>
      </c>
      <c r="P103" s="58">
        <f>(Boosters_And!B103*100)/Boosters_And!N103</f>
        <v/>
      </c>
      <c r="Q103" s="58">
        <f>Boosters_And!B103/(C103+D103)</f>
        <v/>
      </c>
      <c r="R103" s="58">
        <f>Boosters_And!N103/B103</f>
        <v/>
      </c>
      <c r="S103" s="55" t="n">
        <v>6.74234693877551</v>
      </c>
      <c r="T103" s="59" t="n">
        <v>242</v>
      </c>
      <c r="U103" s="60" t="n">
        <v>803923.75226756</v>
      </c>
      <c r="V103" s="61">
        <f>U103/B103</f>
        <v/>
      </c>
    </row>
    <row r="104" ht="22.5" customHeight="1" s="150">
      <c r="A104" s="34" t="n">
        <v>102</v>
      </c>
      <c r="B104" s="50" t="n">
        <v>993</v>
      </c>
      <c r="C104" s="50" t="n">
        <v>996</v>
      </c>
      <c r="D104" s="50" t="n">
        <v>41</v>
      </c>
      <c r="E104" s="50" t="n">
        <v>34</v>
      </c>
      <c r="F104" s="51">
        <f>(C104*100)/B104</f>
        <v/>
      </c>
      <c r="G104" s="51">
        <f>(D104*100)/B104</f>
        <v/>
      </c>
      <c r="H104" s="53">
        <f>((B104-B105)/B104)*100</f>
        <v/>
      </c>
      <c r="I104" s="53">
        <f>((B104-C104)/B104)*100</f>
        <v/>
      </c>
      <c r="J104" s="53">
        <f>((C104-B105)/C104)*100</f>
        <v/>
      </c>
      <c r="K104" s="54" t="n"/>
      <c r="L104" s="55" t="n">
        <v>1.03875968992248</v>
      </c>
      <c r="M104" s="70" t="inlineStr">
        <is>
          <t>Normal</t>
        </is>
      </c>
      <c r="N104" s="55" t="n">
        <v>16.96</v>
      </c>
      <c r="O104" s="57">
        <f>N104/C104</f>
        <v/>
      </c>
      <c r="P104" s="58">
        <f>(Boosters_And!B104*100)/Boosters_And!N104</f>
        <v/>
      </c>
      <c r="Q104" s="58">
        <f>Boosters_And!B104/(C104+D104)</f>
        <v/>
      </c>
      <c r="R104" s="58">
        <f>Boosters_And!N104/B104</f>
        <v/>
      </c>
      <c r="S104" s="55" t="n">
        <v>4.24547803617571</v>
      </c>
      <c r="T104" s="59" t="n">
        <v>230</v>
      </c>
      <c r="U104" s="60" t="n">
        <v>861778.549905376</v>
      </c>
      <c r="V104" s="61">
        <f>U104/B104</f>
        <v/>
      </c>
    </row>
    <row r="105" ht="22.5" customHeight="1" s="150">
      <c r="A105" s="34" t="n">
        <v>103</v>
      </c>
      <c r="B105" s="50" t="n">
        <v>978</v>
      </c>
      <c r="C105" s="50" t="n">
        <v>980</v>
      </c>
      <c r="D105" s="50" t="n">
        <v>5</v>
      </c>
      <c r="E105" s="50" t="n">
        <v>5</v>
      </c>
      <c r="F105" s="51">
        <f>(C105*100)/B105</f>
        <v/>
      </c>
      <c r="G105" s="51">
        <f>(D105*100)/B105</f>
        <v/>
      </c>
      <c r="H105" s="53">
        <f>((B105-B106)/B105)*100</f>
        <v/>
      </c>
      <c r="I105" s="53">
        <f>((B105-C105)/B105)*100</f>
        <v/>
      </c>
      <c r="J105" s="53">
        <f>((C105-B106)/C105)*100</f>
        <v/>
      </c>
      <c r="K105" s="54" t="n"/>
      <c r="L105" s="55" t="n">
        <v>1.00524934383202</v>
      </c>
      <c r="M105" s="63" t="inlineStr">
        <is>
          <t>Normal</t>
        </is>
      </c>
      <c r="N105" s="55" t="n">
        <v>16.48</v>
      </c>
      <c r="O105" s="57">
        <f>N105/C105</f>
        <v/>
      </c>
      <c r="P105" s="58">
        <f>(Boosters_And!B105*100)/Boosters_And!N105</f>
        <v/>
      </c>
      <c r="Q105" s="58">
        <f>Boosters_And!B105/(C105+D105)</f>
        <v/>
      </c>
      <c r="R105" s="58">
        <f>Boosters_And!N105/B105</f>
        <v/>
      </c>
      <c r="S105" s="55" t="n">
        <v>5.81102362204724</v>
      </c>
      <c r="T105" s="59" t="n">
        <v>230</v>
      </c>
      <c r="U105" s="60" t="n">
        <v>897476.739798705</v>
      </c>
      <c r="V105" s="61">
        <f>U105/B105</f>
        <v/>
      </c>
    </row>
    <row r="106" ht="22.5" customHeight="1" s="150">
      <c r="A106" s="34" t="n">
        <v>104</v>
      </c>
      <c r="B106" s="50" t="n">
        <v>983</v>
      </c>
      <c r="C106" s="50" t="n">
        <v>967</v>
      </c>
      <c r="D106" s="50" t="n">
        <v>204</v>
      </c>
      <c r="E106" s="50" t="n">
        <v>232</v>
      </c>
      <c r="F106" s="51">
        <f>(C106*100)/B106</f>
        <v/>
      </c>
      <c r="G106" s="51">
        <f>(D106*100)/B106</f>
        <v/>
      </c>
      <c r="H106" s="53">
        <f>((B106-B107)/B106)*100</f>
        <v/>
      </c>
      <c r="I106" s="53">
        <f>((B106-C106)/B106)*100</f>
        <v/>
      </c>
      <c r="J106" s="53">
        <f>((C106-B107)/C106)*100</f>
        <v/>
      </c>
      <c r="K106" s="54" t="n"/>
      <c r="L106" s="55" t="n">
        <v>1.2127659574468</v>
      </c>
      <c r="M106" s="70" t="inlineStr">
        <is>
          <t>Normal</t>
        </is>
      </c>
      <c r="N106" s="55" t="n">
        <v>15.95</v>
      </c>
      <c r="O106" s="57">
        <f>N106/C106</f>
        <v/>
      </c>
      <c r="P106" s="58">
        <f>(Boosters_And!B106*100)/Boosters_And!N106</f>
        <v/>
      </c>
      <c r="Q106" s="58">
        <f>Boosters_And!B106/(C106+D106)</f>
        <v/>
      </c>
      <c r="R106" s="58">
        <f>Boosters_And!N106/B106</f>
        <v/>
      </c>
      <c r="S106" s="55" t="n">
        <v>7.95212765957446</v>
      </c>
      <c r="T106" s="59" t="n">
        <v>263</v>
      </c>
      <c r="U106" s="60" t="n">
        <v>853485.942932323</v>
      </c>
      <c r="V106" s="61">
        <f>U106/B106</f>
        <v/>
      </c>
    </row>
    <row r="107" ht="22.5" customHeight="1" s="150">
      <c r="A107" s="34" t="n">
        <v>105</v>
      </c>
      <c r="B107" s="50" t="n">
        <v>967</v>
      </c>
      <c r="C107" s="50" t="n">
        <v>954</v>
      </c>
      <c r="D107" s="50" t="n">
        <v>353</v>
      </c>
      <c r="E107" s="50" t="n">
        <v>273</v>
      </c>
      <c r="F107" s="51">
        <f>(C107*100)/B107</f>
        <v/>
      </c>
      <c r="G107" s="51">
        <f>(D107*100)/B107</f>
        <v/>
      </c>
      <c r="H107" s="53">
        <f>((B107-B108)/B107)*100</f>
        <v/>
      </c>
      <c r="I107" s="53">
        <f>((B107-C107)/B107)*100</f>
        <v/>
      </c>
      <c r="J107" s="53">
        <f>((C107-B108)/C107)*100</f>
        <v/>
      </c>
      <c r="K107" s="54" t="n"/>
      <c r="L107" s="55" t="n">
        <v>1.42587601078167</v>
      </c>
      <c r="M107" s="56" t="inlineStr">
        <is>
          <t>Normal</t>
        </is>
      </c>
      <c r="N107" s="55" t="n">
        <v>21.43</v>
      </c>
      <c r="O107" s="57">
        <f>N107/C107</f>
        <v/>
      </c>
      <c r="P107" s="58">
        <f>(Boosters_And!B107*100)/Boosters_And!N107</f>
        <v/>
      </c>
      <c r="Q107" s="58">
        <f>Boosters_And!B107/(C107+D107)</f>
        <v/>
      </c>
      <c r="R107" s="58">
        <f>Boosters_And!N107/B107</f>
        <v/>
      </c>
      <c r="S107" s="55" t="n">
        <v>14.3072776280323</v>
      </c>
      <c r="T107" s="59" t="n">
        <v>322</v>
      </c>
      <c r="U107" s="60" t="n">
        <v>680785.631927422</v>
      </c>
      <c r="V107" s="61">
        <f>U107/B107</f>
        <v/>
      </c>
    </row>
    <row r="108" ht="22.5" customHeight="1" s="150">
      <c r="A108" s="34" t="n">
        <v>106</v>
      </c>
      <c r="B108" s="50" t="n">
        <v>965</v>
      </c>
      <c r="C108" s="50" t="n">
        <v>934</v>
      </c>
      <c r="D108" s="50" t="n">
        <v>268</v>
      </c>
      <c r="E108" s="50" t="n">
        <v>261</v>
      </c>
      <c r="F108" s="51">
        <f>(C108*100)/B108</f>
        <v/>
      </c>
      <c r="G108" s="51">
        <f>(D108*100)/B108</f>
        <v/>
      </c>
      <c r="H108" s="53">
        <f>((B108-B109)/B108)*100</f>
        <v/>
      </c>
      <c r="I108" s="53">
        <f>((B108-C108)/B108)*100</f>
        <v/>
      </c>
      <c r="J108" s="53">
        <f>((C108-B109)/C108)*100</f>
        <v/>
      </c>
      <c r="K108" s="54" t="n"/>
      <c r="L108" s="55" t="n">
        <v>1.29201101928374</v>
      </c>
      <c r="M108" s="70" t="inlineStr">
        <is>
          <t>Normal</t>
        </is>
      </c>
      <c r="N108" s="55" t="n">
        <v>11.45</v>
      </c>
      <c r="O108" s="57">
        <f>N108/C108</f>
        <v/>
      </c>
      <c r="P108" s="58">
        <f>(Boosters_And!B108*100)/Boosters_And!N108</f>
        <v/>
      </c>
      <c r="Q108" s="58">
        <f>Boosters_And!B108/(C108+D108)</f>
        <v/>
      </c>
      <c r="R108" s="58">
        <f>Boosters_And!N108/B108</f>
        <v/>
      </c>
      <c r="S108" s="55" t="n">
        <v>6.67217630853994</v>
      </c>
      <c r="T108" s="59" t="n">
        <v>291</v>
      </c>
      <c r="U108" s="60" t="n">
        <v>694456.181525301</v>
      </c>
      <c r="V108" s="61">
        <f>U108/B108</f>
        <v/>
      </c>
    </row>
    <row r="109" ht="22.5" customHeight="1" s="150">
      <c r="A109" s="34" t="n">
        <v>107</v>
      </c>
      <c r="B109" s="50" t="n">
        <v>952</v>
      </c>
      <c r="C109" s="50" t="n">
        <v>941</v>
      </c>
      <c r="D109" s="50" t="n">
        <v>418</v>
      </c>
      <c r="E109" s="50" t="n">
        <v>359</v>
      </c>
      <c r="F109" s="51">
        <f>(C109*100)/B109</f>
        <v/>
      </c>
      <c r="G109" s="51">
        <f>(D109*100)/B109</f>
        <v/>
      </c>
      <c r="H109" s="53">
        <f>((B109-B110)/B109)*100</f>
        <v/>
      </c>
      <c r="I109" s="53">
        <f>((B109-C109)/B109)*100</f>
        <v/>
      </c>
      <c r="J109" s="53">
        <f>((C109-B110)/C109)*100</f>
        <v/>
      </c>
      <c r="K109" s="54" t="n"/>
      <c r="L109" s="55" t="n">
        <v>1.43561643835616</v>
      </c>
      <c r="M109" s="71" t="inlineStr">
        <is>
          <t>Hard</t>
        </is>
      </c>
      <c r="N109" s="55" t="n">
        <v>69.58</v>
      </c>
      <c r="O109" s="57">
        <f>N109/C109</f>
        <v/>
      </c>
      <c r="P109" s="58">
        <f>(Boosters_And!B109*100)/Boosters_And!N109</f>
        <v/>
      </c>
      <c r="Q109" s="58">
        <f>Boosters_And!B109/(C109+D109)</f>
        <v/>
      </c>
      <c r="R109" s="58">
        <f>Boosters_And!N109/B109</f>
        <v/>
      </c>
      <c r="S109" s="55" t="n">
        <v>8.11232876712328</v>
      </c>
      <c r="T109" s="59" t="n">
        <v>397</v>
      </c>
      <c r="U109" s="60" t="n">
        <v>834411.657219811</v>
      </c>
      <c r="V109" s="61">
        <f>U109/B109</f>
        <v/>
      </c>
    </row>
    <row r="110" ht="22.5" customHeight="1" s="150">
      <c r="A110" s="34" t="n">
        <v>108</v>
      </c>
      <c r="B110" s="50" t="n">
        <v>972</v>
      </c>
      <c r="C110" s="50" t="n">
        <v>957</v>
      </c>
      <c r="D110" s="50" t="n">
        <v>279</v>
      </c>
      <c r="E110" s="50" t="n">
        <v>273</v>
      </c>
      <c r="F110" s="51">
        <f>(C110*100)/B110</f>
        <v/>
      </c>
      <c r="G110" s="51">
        <f>(D110*100)/B110</f>
        <v/>
      </c>
      <c r="H110" s="53">
        <f>((B110-B111)/B110)*100</f>
        <v/>
      </c>
      <c r="I110" s="53">
        <f>((B110-C110)/B110)*100</f>
        <v/>
      </c>
      <c r="J110" s="53">
        <f>((C110-B111)/C110)*100</f>
        <v/>
      </c>
      <c r="K110" s="54" t="n"/>
      <c r="L110" s="55" t="n">
        <v>1.47169811320754</v>
      </c>
      <c r="M110" s="70" t="inlineStr">
        <is>
          <t>Normal</t>
        </is>
      </c>
      <c r="N110" s="55" t="n">
        <v>32.91</v>
      </c>
      <c r="O110" s="57">
        <f>N110/C110</f>
        <v/>
      </c>
      <c r="P110" s="58">
        <f>(Boosters_And!B110*100)/Boosters_And!N110</f>
        <v/>
      </c>
      <c r="Q110" s="58">
        <f>Boosters_And!B110/(C110+D110)</f>
        <v/>
      </c>
      <c r="R110" s="58">
        <f>Boosters_And!N110/B110</f>
        <v/>
      </c>
      <c r="S110" s="55" t="n">
        <v>6.73045822102425</v>
      </c>
      <c r="T110" s="59" t="n">
        <v>322</v>
      </c>
      <c r="U110" s="60" t="n">
        <v>845502.857836958</v>
      </c>
      <c r="V110" s="61">
        <f>U110/B110</f>
        <v/>
      </c>
    </row>
    <row r="111" ht="22.5" customHeight="1" s="150">
      <c r="A111" s="34" t="n">
        <v>109</v>
      </c>
      <c r="B111" s="50" t="n">
        <v>965</v>
      </c>
      <c r="C111" s="50" t="n">
        <v>965</v>
      </c>
      <c r="D111" s="50" t="n">
        <v>83</v>
      </c>
      <c r="E111" s="50" t="n">
        <v>98</v>
      </c>
      <c r="F111" s="51">
        <f>(C111*100)/B111</f>
        <v/>
      </c>
      <c r="G111" s="51">
        <f>(D111*100)/B111</f>
        <v/>
      </c>
      <c r="H111" s="53">
        <f>((B111-B112)/B111)*100</f>
        <v/>
      </c>
      <c r="I111" s="53">
        <f>((B111-C111)/B111)*100</f>
        <v/>
      </c>
      <c r="J111" s="53">
        <f>((C111-B112)/C111)*100</f>
        <v/>
      </c>
      <c r="K111" s="54" t="n"/>
      <c r="L111" s="55" t="n">
        <v>1.10962566844919</v>
      </c>
      <c r="M111" s="56" t="inlineStr">
        <is>
          <t>Normal</t>
        </is>
      </c>
      <c r="N111" s="55" t="n">
        <v>9.470000000000001</v>
      </c>
      <c r="O111" s="57">
        <f>N111/C111</f>
        <v/>
      </c>
      <c r="P111" s="58">
        <f>(Boosters_And!B111*100)/Boosters_And!N111</f>
        <v/>
      </c>
      <c r="Q111" s="58">
        <f>Boosters_And!B111/(C111+D111)</f>
        <v/>
      </c>
      <c r="R111" s="58">
        <f>Boosters_And!N111/B111</f>
        <v/>
      </c>
      <c r="S111" s="55" t="n">
        <v>5.23529411764706</v>
      </c>
      <c r="T111" s="59" t="n">
        <v>258</v>
      </c>
      <c r="U111" s="60" t="n">
        <v>901848.736321045</v>
      </c>
      <c r="V111" s="61">
        <f>U111/B111</f>
        <v/>
      </c>
    </row>
    <row r="112" ht="22.5" customHeight="1" s="150">
      <c r="A112" s="34" t="n">
        <v>110</v>
      </c>
      <c r="B112" s="50" t="n">
        <v>975</v>
      </c>
      <c r="C112" s="50" t="n">
        <v>957</v>
      </c>
      <c r="D112" s="50" t="n">
        <v>291</v>
      </c>
      <c r="E112" s="50" t="n">
        <v>188</v>
      </c>
      <c r="F112" s="51">
        <f>(C112*100)/B112</f>
        <v/>
      </c>
      <c r="G112" s="51">
        <f>(D112*100)/B112</f>
        <v/>
      </c>
      <c r="H112" s="53">
        <f>((B112-B113)/B112)*100</f>
        <v/>
      </c>
      <c r="I112" s="53">
        <f>((B112-C112)/B112)*100</f>
        <v/>
      </c>
      <c r="J112" s="53">
        <f>((C112-B113)/C112)*100</f>
        <v/>
      </c>
      <c r="K112" s="54" t="n"/>
      <c r="L112" s="55" t="n">
        <v>1.18598382749326</v>
      </c>
      <c r="M112" s="70" t="inlineStr">
        <is>
          <t>Normal</t>
        </is>
      </c>
      <c r="N112" s="55" t="n">
        <v>19.04</v>
      </c>
      <c r="O112" s="57">
        <f>N112/C112</f>
        <v/>
      </c>
      <c r="P112" s="58">
        <f>(Boosters_And!B112*100)/Boosters_And!N112</f>
        <v/>
      </c>
      <c r="Q112" s="58">
        <f>Boosters_And!B112/(C112+D112)</f>
        <v/>
      </c>
      <c r="R112" s="58">
        <f>Boosters_And!N112/B112</f>
        <v/>
      </c>
      <c r="S112" s="55" t="n">
        <v>5.60916442048517</v>
      </c>
      <c r="T112" s="59" t="n">
        <v>322</v>
      </c>
      <c r="U112" s="60" t="n">
        <v>840357.056620398</v>
      </c>
      <c r="V112" s="61">
        <f>U112/B112</f>
        <v/>
      </c>
    </row>
    <row r="113" ht="22.5" customHeight="1" s="150">
      <c r="A113" s="34" t="n">
        <v>111</v>
      </c>
      <c r="B113" s="50" t="n">
        <v>980</v>
      </c>
      <c r="C113" s="50" t="n">
        <v>965</v>
      </c>
      <c r="D113" s="50" t="n">
        <v>330</v>
      </c>
      <c r="E113" s="50" t="n">
        <v>330</v>
      </c>
      <c r="F113" s="51">
        <f>(C113*100)/B113</f>
        <v/>
      </c>
      <c r="G113" s="51">
        <f>(D113*100)/B113</f>
        <v/>
      </c>
      <c r="H113" s="53">
        <f>((B113-B114)/B113)*100</f>
        <v/>
      </c>
      <c r="I113" s="53">
        <f>((B113-C113)/B113)*100</f>
        <v/>
      </c>
      <c r="J113" s="53">
        <f>((C113-B114)/C113)*100</f>
        <v/>
      </c>
      <c r="K113" s="54" t="n"/>
      <c r="L113" s="55" t="n">
        <v>1.32085561497326</v>
      </c>
      <c r="M113" s="56" t="inlineStr">
        <is>
          <t>Normal</t>
        </is>
      </c>
      <c r="N113" s="55" t="n">
        <v>49.78</v>
      </c>
      <c r="O113" s="57">
        <f>N113/C113</f>
        <v/>
      </c>
      <c r="P113" s="58">
        <f>(Boosters_And!B113*100)/Boosters_And!N113</f>
        <v/>
      </c>
      <c r="Q113" s="58">
        <f>Boosters_And!B113/(C113+D113)</f>
        <v/>
      </c>
      <c r="R113" s="58">
        <f>Boosters_And!N113/B113</f>
        <v/>
      </c>
      <c r="S113" s="55" t="n">
        <v>8.51336898395722</v>
      </c>
      <c r="T113" s="59" t="n">
        <v>346</v>
      </c>
      <c r="U113" s="60" t="n">
        <v>862578.1480894031</v>
      </c>
      <c r="V113" s="61">
        <f>U113/B113</f>
        <v/>
      </c>
    </row>
    <row r="114" ht="22.5" customHeight="1" s="150">
      <c r="A114" s="34" t="n">
        <v>112</v>
      </c>
      <c r="B114" s="50" t="n">
        <v>983</v>
      </c>
      <c r="C114" s="50" t="n">
        <v>931</v>
      </c>
      <c r="D114" s="50" t="n">
        <v>485</v>
      </c>
      <c r="E114" s="50" t="n">
        <v>475</v>
      </c>
      <c r="F114" s="51">
        <f>(C114*100)/B114</f>
        <v/>
      </c>
      <c r="G114" s="51">
        <f>(D114*100)/B114</f>
        <v/>
      </c>
      <c r="H114" s="53">
        <f>((B114-B115)/B114)*100</f>
        <v/>
      </c>
      <c r="I114" s="53">
        <f>((B114-C114)/B114)*100</f>
        <v/>
      </c>
      <c r="J114" s="53">
        <f>((C114-B115)/C114)*100</f>
        <v/>
      </c>
      <c r="K114" s="54" t="n"/>
      <c r="L114" s="55" t="n">
        <v>1.94736842105263</v>
      </c>
      <c r="M114" s="70" t="inlineStr">
        <is>
          <t>Normal</t>
        </is>
      </c>
      <c r="N114" s="55" t="n">
        <v>152.34</v>
      </c>
      <c r="O114" s="57">
        <f>N114/C114</f>
        <v/>
      </c>
      <c r="P114" s="58">
        <f>(Boosters_And!B114*100)/Boosters_And!N114</f>
        <v/>
      </c>
      <c r="Q114" s="58">
        <f>Boosters_And!B114/(C114+D114)</f>
        <v/>
      </c>
      <c r="R114" s="58">
        <f>Boosters_And!N114/B114</f>
        <v/>
      </c>
      <c r="S114" s="55" t="n">
        <v>15.1135734072022</v>
      </c>
      <c r="T114" s="59" t="n">
        <v>405</v>
      </c>
      <c r="U114" s="60" t="n">
        <v>744792.176884283</v>
      </c>
      <c r="V114" s="61">
        <f>U114/B114</f>
        <v/>
      </c>
    </row>
    <row r="115" ht="22.5" customHeight="1" s="150">
      <c r="A115" s="34" t="n">
        <v>113</v>
      </c>
      <c r="B115" s="50" t="n">
        <v>936</v>
      </c>
      <c r="C115" s="50" t="n">
        <v>934</v>
      </c>
      <c r="D115" s="50" t="n">
        <v>5</v>
      </c>
      <c r="E115" s="50" t="n">
        <v>3</v>
      </c>
      <c r="F115" s="51">
        <f>(C115*100)/B115</f>
        <v/>
      </c>
      <c r="G115" s="51">
        <f>(D115*100)/B115</f>
        <v/>
      </c>
      <c r="H115" s="53">
        <f>((B115-B116)/B115)*100</f>
        <v/>
      </c>
      <c r="I115" s="53">
        <f>((B115-C115)/B115)*100</f>
        <v/>
      </c>
      <c r="J115" s="53">
        <f>((C115-B116)/C115)*100</f>
        <v/>
      </c>
      <c r="K115" s="54" t="n"/>
      <c r="L115" s="55" t="n">
        <v>1.00276243093922</v>
      </c>
      <c r="M115" s="56" t="inlineStr">
        <is>
          <t>Normal</t>
        </is>
      </c>
      <c r="N115" s="55" t="n">
        <v>9.99</v>
      </c>
      <c r="O115" s="57">
        <f>N115/C115</f>
        <v/>
      </c>
      <c r="P115" s="58">
        <f>(Boosters_And!B115*100)/Boosters_And!N115</f>
        <v/>
      </c>
      <c r="Q115" s="58">
        <f>Boosters_And!B115/(C115+D115)</f>
        <v/>
      </c>
      <c r="R115" s="58">
        <f>Boosters_And!N115/B115</f>
        <v/>
      </c>
      <c r="S115" s="55" t="n">
        <v>6.23756906077348</v>
      </c>
      <c r="T115" s="59" t="n">
        <v>248</v>
      </c>
      <c r="U115" s="60" t="n">
        <v>817594.301865439</v>
      </c>
      <c r="V115" s="61">
        <f>U115/B115</f>
        <v/>
      </c>
    </row>
    <row r="116" ht="22.5" customHeight="1" s="150">
      <c r="A116" s="34" t="n">
        <v>114</v>
      </c>
      <c r="B116" s="50" t="n">
        <v>934</v>
      </c>
      <c r="C116" s="50" t="n">
        <v>931</v>
      </c>
      <c r="D116" s="50" t="n">
        <v>165</v>
      </c>
      <c r="E116" s="50" t="n">
        <v>119</v>
      </c>
      <c r="F116" s="51">
        <f>(C116*100)/B116</f>
        <v/>
      </c>
      <c r="G116" s="51">
        <f>(D116*100)/B116</f>
        <v/>
      </c>
      <c r="H116" s="53">
        <f>((B116-B117)/B116)*100</f>
        <v/>
      </c>
      <c r="I116" s="53">
        <f>((B116-C116)/B116)*100</f>
        <v/>
      </c>
      <c r="J116" s="53">
        <f>((C116-B117)/C116)*100</f>
        <v/>
      </c>
      <c r="K116" s="54" t="n"/>
      <c r="L116" s="55" t="n">
        <v>1.09141274238227</v>
      </c>
      <c r="M116" s="70" t="inlineStr">
        <is>
          <t>Normal</t>
        </is>
      </c>
      <c r="N116" s="55" t="n">
        <v>10.96</v>
      </c>
      <c r="O116" s="57">
        <f>N116/C116</f>
        <v/>
      </c>
      <c r="P116" s="58">
        <f>(Boosters_And!B116*100)/Boosters_And!N116</f>
        <v/>
      </c>
      <c r="Q116" s="58">
        <f>Boosters_And!B116/(C116+D116)</f>
        <v/>
      </c>
      <c r="R116" s="58">
        <f>Boosters_And!N116/B116</f>
        <v/>
      </c>
      <c r="S116" s="55" t="n">
        <v>6.398891966759</v>
      </c>
      <c r="T116" s="59" t="n">
        <v>304</v>
      </c>
      <c r="U116" s="60" t="n">
        <v>809198.5209331569</v>
      </c>
      <c r="V116" s="61">
        <f>U116/B116</f>
        <v/>
      </c>
    </row>
    <row r="117" ht="22.5" customHeight="1" s="150">
      <c r="A117" s="34" t="n">
        <v>115</v>
      </c>
      <c r="B117" s="50" t="n">
        <v>985</v>
      </c>
      <c r="C117" s="50" t="n">
        <v>921</v>
      </c>
      <c r="D117" s="50" t="n">
        <v>642</v>
      </c>
      <c r="E117" s="50" t="n">
        <v>521</v>
      </c>
      <c r="F117" s="51">
        <f>(C117*100)/B117</f>
        <v/>
      </c>
      <c r="G117" s="51">
        <f>(D117*100)/B117</f>
        <v/>
      </c>
      <c r="H117" s="53">
        <f>((B117-B118)/B117)*100</f>
        <v/>
      </c>
      <c r="I117" s="53">
        <f>((B117-C117)/B117)*100</f>
        <v/>
      </c>
      <c r="J117" s="53">
        <f>((C117-B118)/C117)*100</f>
        <v/>
      </c>
      <c r="K117" s="54" t="n"/>
      <c r="L117" s="55" t="n">
        <v>3.1484593837535</v>
      </c>
      <c r="M117" s="74" t="inlineStr">
        <is>
          <t>Very Hard</t>
        </is>
      </c>
      <c r="N117" s="55" t="n">
        <v>169.42</v>
      </c>
      <c r="O117" s="57">
        <f>N117/C117</f>
        <v/>
      </c>
      <c r="P117" s="58">
        <f>(Boosters_And!B117*100)/Boosters_And!N117</f>
        <v/>
      </c>
      <c r="Q117" s="58">
        <f>Boosters_And!B117/(C117+D117)</f>
        <v/>
      </c>
      <c r="R117" s="58">
        <f>Boosters_And!N117/B117</f>
        <v/>
      </c>
      <c r="S117" s="55" t="n">
        <v>5.58543417366946</v>
      </c>
      <c r="T117" s="59" t="n">
        <v>500</v>
      </c>
      <c r="U117" s="60" t="n">
        <v>634254.176315019</v>
      </c>
      <c r="V117" s="61">
        <f>U117/B117</f>
        <v/>
      </c>
    </row>
    <row r="118" ht="22.5" customHeight="1" s="150">
      <c r="A118" s="34" t="n">
        <v>116</v>
      </c>
      <c r="B118" s="50" t="n">
        <v>921</v>
      </c>
      <c r="C118" s="50" t="n">
        <v>916</v>
      </c>
      <c r="D118" s="50" t="n">
        <v>155</v>
      </c>
      <c r="E118" s="50" t="n">
        <v>124</v>
      </c>
      <c r="F118" s="51">
        <f>(C118*100)/B118</f>
        <v/>
      </c>
      <c r="G118" s="51">
        <f>(D118*100)/B118</f>
        <v/>
      </c>
      <c r="H118" s="53">
        <f>((B118-B119)/B118)*100</f>
        <v/>
      </c>
      <c r="I118" s="53">
        <f>((B118-C118)/B118)*100</f>
        <v/>
      </c>
      <c r="J118" s="53">
        <f>((C118-B119)/C118)*100</f>
        <v/>
      </c>
      <c r="K118" s="54" t="n"/>
      <c r="L118" s="55" t="n">
        <v>1.12394366197183</v>
      </c>
      <c r="M118" s="70" t="inlineStr">
        <is>
          <t>Normal</t>
        </is>
      </c>
      <c r="N118" s="55" t="n">
        <v>2.99</v>
      </c>
      <c r="O118" s="57">
        <f>N118/C118</f>
        <v/>
      </c>
      <c r="P118" s="58">
        <f>(Boosters_And!B118*100)/Boosters_And!N118</f>
        <v/>
      </c>
      <c r="Q118" s="58">
        <f>Boosters_And!B118/(C118+D118)</f>
        <v/>
      </c>
      <c r="R118" s="58">
        <f>Boosters_And!N118/B118</f>
        <v/>
      </c>
      <c r="S118" s="55" t="n">
        <v>5.56056338028169</v>
      </c>
      <c r="T118" s="59" t="n">
        <v>315</v>
      </c>
      <c r="U118" s="60" t="n">
        <v>680953.289611169</v>
      </c>
      <c r="V118" s="61">
        <f>U118/B118</f>
        <v/>
      </c>
    </row>
    <row r="119" ht="22.5" customHeight="1" s="150">
      <c r="A119" s="34" t="n">
        <v>117</v>
      </c>
      <c r="B119" s="50" t="n">
        <v>923</v>
      </c>
      <c r="C119" s="50" t="n">
        <v>911</v>
      </c>
      <c r="D119" s="50" t="n">
        <v>155</v>
      </c>
      <c r="E119" s="50" t="n">
        <v>222</v>
      </c>
      <c r="F119" s="51">
        <f>(C119*100)/B119</f>
        <v/>
      </c>
      <c r="G119" s="51">
        <f>(D119*100)/B119</f>
        <v/>
      </c>
      <c r="H119" s="53">
        <f>((B119-B120)/B119)*100</f>
        <v/>
      </c>
      <c r="I119" s="53">
        <f>((B119-C119)/B119)*100</f>
        <v/>
      </c>
      <c r="J119" s="53">
        <f>((C119-B120)/C119)*100</f>
        <v/>
      </c>
      <c r="K119" s="54" t="n"/>
      <c r="L119" s="55" t="n">
        <v>1.14730878186968</v>
      </c>
      <c r="M119" s="71" t="inlineStr">
        <is>
          <t>Hard</t>
        </is>
      </c>
      <c r="N119" s="55" t="n">
        <v>3.98</v>
      </c>
      <c r="O119" s="57">
        <f>N119/C119</f>
        <v/>
      </c>
      <c r="P119" s="58">
        <f>(Boosters_And!B119*100)/Boosters_And!N119</f>
        <v/>
      </c>
      <c r="Q119" s="58">
        <f>Boosters_And!B119/(C119+D119)</f>
        <v/>
      </c>
      <c r="R119" s="58">
        <f>Boosters_And!N119/B119</f>
        <v/>
      </c>
      <c r="S119" s="55" t="n">
        <v>8.93201133144475</v>
      </c>
      <c r="T119" s="59" t="n">
        <v>286</v>
      </c>
      <c r="U119" s="60" t="n">
        <v>735093.824716731</v>
      </c>
      <c r="V119" s="61">
        <f>U119/B119</f>
        <v/>
      </c>
    </row>
    <row r="120" ht="22.5" customHeight="1" s="150">
      <c r="A120" s="34" t="n">
        <v>118</v>
      </c>
      <c r="B120" s="50" t="n">
        <v>923</v>
      </c>
      <c r="C120" s="50" t="n">
        <v>890</v>
      </c>
      <c r="D120" s="50" t="n">
        <v>242</v>
      </c>
      <c r="E120" s="50" t="n">
        <v>273</v>
      </c>
      <c r="F120" s="51">
        <f>(C120*100)/B120</f>
        <v/>
      </c>
      <c r="G120" s="51">
        <f>(D120*100)/B120</f>
        <v/>
      </c>
      <c r="H120" s="53">
        <f>((B120-B121)/B120)*100</f>
        <v/>
      </c>
      <c r="I120" s="53">
        <f>((B120-C120)/B120)*100</f>
        <v/>
      </c>
      <c r="J120" s="53">
        <f>((C120-B121)/C120)*100</f>
        <v/>
      </c>
      <c r="K120" s="54" t="n"/>
      <c r="L120" s="55" t="n">
        <v>1.33623188405797</v>
      </c>
      <c r="M120" s="70" t="inlineStr">
        <is>
          <t>Normal</t>
        </is>
      </c>
      <c r="N120" s="55" t="n">
        <v>47.38</v>
      </c>
      <c r="O120" s="57">
        <f>N120/C120</f>
        <v/>
      </c>
      <c r="P120" s="58">
        <f>(Boosters_And!B120*100)/Boosters_And!N120</f>
        <v/>
      </c>
      <c r="Q120" s="58">
        <f>Boosters_And!B120/(C120+D120)</f>
        <v/>
      </c>
      <c r="R120" s="58">
        <f>Boosters_And!N120/B120</f>
        <v/>
      </c>
      <c r="S120" s="55" t="n">
        <v>5.46666666666666</v>
      </c>
      <c r="T120" s="59" t="n">
        <v>348</v>
      </c>
      <c r="U120" s="60" t="n">
        <v>718405.436811396</v>
      </c>
      <c r="V120" s="61">
        <f>U120/B120</f>
        <v/>
      </c>
    </row>
    <row r="121" ht="22.5" customHeight="1" s="150">
      <c r="A121" s="34" t="n">
        <v>119</v>
      </c>
      <c r="B121" s="50" t="n">
        <v>892</v>
      </c>
      <c r="C121" s="50" t="n">
        <v>885</v>
      </c>
      <c r="D121" s="50" t="n">
        <v>302</v>
      </c>
      <c r="E121" s="50" t="n">
        <v>276</v>
      </c>
      <c r="F121" s="51">
        <f>(C121*100)/B121</f>
        <v/>
      </c>
      <c r="G121" s="51">
        <f>(D121*100)/B121</f>
        <v/>
      </c>
      <c r="H121" s="53">
        <f>((B121-B122)/B121)*100</f>
        <v/>
      </c>
      <c r="I121" s="53">
        <f>((B121-C121)/B121)*100</f>
        <v/>
      </c>
      <c r="J121" s="53">
        <f>((C121-B122)/C121)*100</f>
        <v/>
      </c>
      <c r="K121" s="54" t="n"/>
      <c r="L121" s="55" t="n">
        <v>1.39650145772594</v>
      </c>
      <c r="M121" s="56" t="inlineStr">
        <is>
          <t>Normal</t>
        </is>
      </c>
      <c r="N121" s="55" t="n">
        <v>29.93</v>
      </c>
      <c r="O121" s="57">
        <f>N121/C121</f>
        <v/>
      </c>
      <c r="P121" s="58">
        <f>(Boosters_And!B121*100)/Boosters_And!N121</f>
        <v/>
      </c>
      <c r="Q121" s="58">
        <f>Boosters_And!B121/(C121+D121)</f>
        <v/>
      </c>
      <c r="R121" s="58">
        <f>Boosters_And!N121/B121</f>
        <v/>
      </c>
      <c r="S121" s="55" t="n">
        <v>6.1603498542274</v>
      </c>
      <c r="T121" s="59" t="n">
        <v>320</v>
      </c>
      <c r="U121" s="60" t="n">
        <v>712202.102512736</v>
      </c>
      <c r="V121" s="61">
        <f>U121/B121</f>
        <v/>
      </c>
    </row>
    <row r="122" ht="22.5" customHeight="1" s="150">
      <c r="A122" s="34" t="n">
        <v>120</v>
      </c>
      <c r="B122" s="50" t="n">
        <v>929</v>
      </c>
      <c r="C122" s="50" t="n">
        <v>838</v>
      </c>
      <c r="D122" s="50" t="n">
        <v>637</v>
      </c>
      <c r="E122" s="50" t="n">
        <v>518</v>
      </c>
      <c r="F122" s="51">
        <f>(C122*100)/B122</f>
        <v/>
      </c>
      <c r="G122" s="51">
        <f>(D122*100)/B122</f>
        <v/>
      </c>
      <c r="H122" s="53">
        <f>((B122-B123)/B122)*100</f>
        <v/>
      </c>
      <c r="I122" s="53">
        <f>((B122-C122)/B122)*100</f>
        <v/>
      </c>
      <c r="J122" s="53">
        <f>((C122-B123)/C122)*100</f>
        <v/>
      </c>
      <c r="K122" s="54" t="n"/>
      <c r="L122" s="55" t="n">
        <v>2.67177914110429</v>
      </c>
      <c r="M122" s="69" t="inlineStr">
        <is>
          <t>Hard</t>
        </is>
      </c>
      <c r="N122" s="55" t="n">
        <v>218.37</v>
      </c>
      <c r="O122" s="57">
        <f>N122/C122</f>
        <v/>
      </c>
      <c r="P122" s="58">
        <f>(Boosters_And!B122*100)/Boosters_And!N122</f>
        <v/>
      </c>
      <c r="Q122" s="58">
        <f>Boosters_And!B122/(C122+D122)</f>
        <v/>
      </c>
      <c r="R122" s="58">
        <f>Boosters_And!N122/B122</f>
        <v/>
      </c>
      <c r="S122" s="55" t="n">
        <v>7.45705521472392</v>
      </c>
      <c r="T122" s="59" t="n">
        <v>531</v>
      </c>
      <c r="U122" s="60" t="n">
        <v>584390.201819511</v>
      </c>
      <c r="V122" s="61">
        <f>U122/B122</f>
        <v/>
      </c>
    </row>
    <row r="123" ht="22.5" customHeight="1" s="150">
      <c r="A123" s="34" t="n">
        <v>121</v>
      </c>
      <c r="B123" s="50" t="n">
        <v>859</v>
      </c>
      <c r="C123" s="50" t="n">
        <v>849</v>
      </c>
      <c r="D123" s="50" t="n">
        <v>273</v>
      </c>
      <c r="E123" s="50" t="n">
        <v>227</v>
      </c>
      <c r="F123" s="51">
        <f>(C123*100)/B123</f>
        <v/>
      </c>
      <c r="G123" s="51">
        <f>(D123*100)/B123</f>
        <v/>
      </c>
      <c r="H123" s="53">
        <f>((B123-B124)/B123)*100</f>
        <v/>
      </c>
      <c r="I123" s="53">
        <f>((B123-C123)/B123)*100</f>
        <v/>
      </c>
      <c r="J123" s="53">
        <f>((C123-B124)/C123)*100</f>
        <v/>
      </c>
      <c r="K123" s="54" t="n"/>
      <c r="L123" s="55" t="n">
        <v>1.44242424242424</v>
      </c>
      <c r="M123" s="56" t="inlineStr">
        <is>
          <t>Normal</t>
        </is>
      </c>
      <c r="N123" s="55" t="n">
        <v>42.88</v>
      </c>
      <c r="O123" s="57">
        <f>N123/C123</f>
        <v/>
      </c>
      <c r="P123" s="58">
        <f>(Boosters_And!B123*100)/Boosters_And!N123</f>
        <v/>
      </c>
      <c r="Q123" s="58">
        <f>Boosters_And!B123/(C123+D123)</f>
        <v/>
      </c>
      <c r="R123" s="58">
        <f>Boosters_And!N123/B123</f>
        <v/>
      </c>
      <c r="S123" s="55" t="n">
        <v>5.63939393939393</v>
      </c>
      <c r="T123" s="59" t="n">
        <v>359</v>
      </c>
      <c r="U123" s="60" t="n">
        <v>668270.6306729109</v>
      </c>
      <c r="V123" s="61">
        <f>U123/B123</f>
        <v/>
      </c>
    </row>
    <row r="124" ht="22.5" customHeight="1" s="150">
      <c r="A124" s="34" t="n">
        <v>122</v>
      </c>
      <c r="B124" s="50" t="n">
        <v>846</v>
      </c>
      <c r="C124" s="50" t="n">
        <v>843</v>
      </c>
      <c r="D124" s="50" t="n">
        <v>13</v>
      </c>
      <c r="E124" s="50" t="n">
        <v>21</v>
      </c>
      <c r="F124" s="51">
        <f>(C124*100)/B124</f>
        <v/>
      </c>
      <c r="G124" s="51">
        <f>(D124*100)/B124</f>
        <v/>
      </c>
      <c r="H124" s="53">
        <f>((B124-B125)/B124)*100</f>
        <v/>
      </c>
      <c r="I124" s="53">
        <f>((B124-C124)/B124)*100</f>
        <v/>
      </c>
      <c r="J124" s="53">
        <f>((C124-B125)/C124)*100</f>
        <v/>
      </c>
      <c r="K124" s="54" t="n"/>
      <c r="L124" s="55" t="n">
        <v>1.0030487804878</v>
      </c>
      <c r="M124" s="69" t="inlineStr">
        <is>
          <t>Hard</t>
        </is>
      </c>
      <c r="N124" s="55" t="n">
        <v>4.99</v>
      </c>
      <c r="O124" s="57">
        <f>N124/C124</f>
        <v/>
      </c>
      <c r="P124" s="58">
        <f>(Boosters_And!B124*100)/Boosters_And!N124</f>
        <v/>
      </c>
      <c r="Q124" s="58">
        <f>Boosters_And!B124/(C124+D124)</f>
        <v/>
      </c>
      <c r="R124" s="58">
        <f>Boosters_And!N124/B124</f>
        <v/>
      </c>
      <c r="S124" s="55" t="n">
        <v>5.94817073170731</v>
      </c>
      <c r="T124" s="59" t="n">
        <v>271</v>
      </c>
      <c r="U124" s="60" t="n">
        <v>744425.909329019</v>
      </c>
      <c r="V124" s="61">
        <f>U124/B124</f>
        <v/>
      </c>
    </row>
    <row r="125" ht="22.5" customHeight="1" s="150">
      <c r="A125" s="34" t="n">
        <v>123</v>
      </c>
      <c r="B125" s="50" t="n">
        <v>846</v>
      </c>
      <c r="C125" s="50" t="n">
        <v>846</v>
      </c>
      <c r="D125" s="50" t="n">
        <v>5</v>
      </c>
      <c r="E125" s="50" t="n">
        <v>3</v>
      </c>
      <c r="F125" s="51">
        <f>(C125*100)/B125</f>
        <v/>
      </c>
      <c r="G125" s="51">
        <f>(D125*100)/B125</f>
        <v/>
      </c>
      <c r="H125" s="53">
        <f>((B125-B126)/B125)*100</f>
        <v/>
      </c>
      <c r="I125" s="53">
        <f>((B125-C125)/B125)*100</f>
        <v/>
      </c>
      <c r="J125" s="53">
        <f>((C125-B126)/C125)*100</f>
        <v/>
      </c>
      <c r="K125" s="54" t="n"/>
      <c r="L125" s="55" t="n">
        <v>1.00303951367781</v>
      </c>
      <c r="M125" s="56" t="inlineStr">
        <is>
          <t>Normal</t>
        </is>
      </c>
      <c r="N125" s="55" t="n">
        <v>0</v>
      </c>
      <c r="O125" s="57">
        <f>N125/C125</f>
        <v/>
      </c>
      <c r="P125" s="58">
        <f>(Boosters_And!B125*100)/Boosters_And!N125</f>
        <v/>
      </c>
      <c r="Q125" s="58">
        <f>Boosters_And!B125/(C125+D125)</f>
        <v/>
      </c>
      <c r="R125" s="58">
        <f>Boosters_And!N125/B125</f>
        <v/>
      </c>
      <c r="S125" s="55" t="n">
        <v>5.49240121580547</v>
      </c>
      <c r="T125" s="59" t="n">
        <v>253</v>
      </c>
      <c r="U125" s="60" t="n">
        <v>781078.458345218</v>
      </c>
      <c r="V125" s="61">
        <f>U125/B125</f>
        <v/>
      </c>
    </row>
    <row r="126" ht="22.5" customHeight="1" s="150">
      <c r="A126" s="34" t="n">
        <v>124</v>
      </c>
      <c r="B126" s="50" t="n">
        <v>869</v>
      </c>
      <c r="C126" s="50" t="n">
        <v>805</v>
      </c>
      <c r="D126" s="50" t="n">
        <v>567</v>
      </c>
      <c r="E126" s="50" t="n">
        <v>449</v>
      </c>
      <c r="F126" s="51">
        <f>(C126*100)/B126</f>
        <v/>
      </c>
      <c r="G126" s="51">
        <f>(D126*100)/B126</f>
        <v/>
      </c>
      <c r="H126" s="53">
        <f>((B126-B127)/B126)*100</f>
        <v/>
      </c>
      <c r="I126" s="53">
        <f>((B126-C126)/B126)*100</f>
        <v/>
      </c>
      <c r="J126" s="53">
        <f>((C126-B127)/C126)*100</f>
        <v/>
      </c>
      <c r="K126" s="54" t="n"/>
      <c r="L126" s="55" t="n">
        <v>1.77316293929712</v>
      </c>
      <c r="M126" s="70" t="inlineStr">
        <is>
          <t>Normal</t>
        </is>
      </c>
      <c r="N126" s="55" t="n">
        <v>136.26</v>
      </c>
      <c r="O126" s="57">
        <f>N126/C126</f>
        <v/>
      </c>
      <c r="P126" s="58">
        <f>(Boosters_And!B126*100)/Boosters_And!N126</f>
        <v/>
      </c>
      <c r="Q126" s="58">
        <f>Boosters_And!B126/(C126+D126)</f>
        <v/>
      </c>
      <c r="R126" s="58">
        <f>Boosters_And!N126/B126</f>
        <v/>
      </c>
      <c r="S126" s="55" t="n">
        <v>12.5495207667731</v>
      </c>
      <c r="T126" s="59" t="n">
        <v>490</v>
      </c>
      <c r="U126" s="60" t="n">
        <v>528869.715009258</v>
      </c>
      <c r="V126" s="61">
        <f>U126/B126</f>
        <v/>
      </c>
    </row>
    <row r="127" ht="22.5" customHeight="1" s="150">
      <c r="A127" s="34" t="n">
        <v>125</v>
      </c>
      <c r="B127" s="50" t="n">
        <v>800</v>
      </c>
      <c r="C127" s="50" t="n">
        <v>800</v>
      </c>
      <c r="D127" s="50" t="n">
        <v>18</v>
      </c>
      <c r="E127" s="50" t="n">
        <v>15</v>
      </c>
      <c r="F127" s="51">
        <f>(C127*100)/B127</f>
        <v/>
      </c>
      <c r="G127" s="51">
        <f>(D127*100)/B127</f>
        <v/>
      </c>
      <c r="H127" s="53">
        <f>((B127-B128)/B127)*100</f>
        <v/>
      </c>
      <c r="I127" s="53">
        <f>((B127-C127)/B127)*100</f>
        <v/>
      </c>
      <c r="J127" s="53">
        <f>((C127-B128)/C127)*100</f>
        <v/>
      </c>
      <c r="K127" s="54" t="n"/>
      <c r="L127" s="55" t="n">
        <v>1.00967741935483</v>
      </c>
      <c r="M127" s="56" t="inlineStr">
        <is>
          <t>Normal</t>
        </is>
      </c>
      <c r="N127" s="55" t="n">
        <v>16.96</v>
      </c>
      <c r="O127" s="57">
        <f>N127/C127</f>
        <v/>
      </c>
      <c r="P127" s="58">
        <f>(Boosters_And!B127*100)/Boosters_And!N127</f>
        <v/>
      </c>
      <c r="Q127" s="58">
        <f>Boosters_And!B127/(C127+D127)</f>
        <v/>
      </c>
      <c r="R127" s="58">
        <f>Boosters_And!N127/B127</f>
        <v/>
      </c>
      <c r="S127" s="55" t="n">
        <v>5.6774193548387</v>
      </c>
      <c r="T127" s="59" t="n">
        <v>235</v>
      </c>
      <c r="U127" s="60" t="n">
        <v>575052.958509262</v>
      </c>
      <c r="V127" s="61">
        <f>U127/B127</f>
        <v/>
      </c>
    </row>
    <row r="128" ht="22.5" customHeight="1" s="150">
      <c r="A128" s="34" t="n">
        <v>126</v>
      </c>
      <c r="B128" s="50" t="n">
        <v>797</v>
      </c>
      <c r="C128" s="50" t="n">
        <v>797</v>
      </c>
      <c r="D128" s="50" t="n">
        <v>3</v>
      </c>
      <c r="E128" s="50" t="n">
        <v>5</v>
      </c>
      <c r="F128" s="51">
        <f>(C128*100)/B128</f>
        <v/>
      </c>
      <c r="G128" s="51">
        <f>(D128*100)/B128</f>
        <v/>
      </c>
      <c r="H128" s="53">
        <f>((B128-B129)/B128)*100</f>
        <v/>
      </c>
      <c r="I128" s="53">
        <f>((B128-C128)/B128)*100</f>
        <v/>
      </c>
      <c r="J128" s="53">
        <f>((C128-B129)/C128)*100</f>
        <v/>
      </c>
      <c r="K128" s="54" t="n"/>
      <c r="L128" s="55" t="n">
        <v>1.00323624595469</v>
      </c>
      <c r="M128" s="70" t="inlineStr">
        <is>
          <t>Normal</t>
        </is>
      </c>
      <c r="N128" s="55" t="n">
        <v>1.99</v>
      </c>
      <c r="O128" s="57">
        <f>N128/C128</f>
        <v/>
      </c>
      <c r="P128" s="58">
        <f>(Boosters_And!B128*100)/Boosters_And!N128</f>
        <v/>
      </c>
      <c r="Q128" s="58">
        <f>Boosters_And!B128/(C128+D128)</f>
        <v/>
      </c>
      <c r="R128" s="58">
        <f>Boosters_And!N128/B128</f>
        <v/>
      </c>
      <c r="S128" s="55" t="n">
        <v>8.26537216828479</v>
      </c>
      <c r="T128" s="59" t="n">
        <v>242</v>
      </c>
      <c r="U128" s="60" t="n">
        <v>646036.642459002</v>
      </c>
      <c r="V128" s="61">
        <f>U128/B128</f>
        <v/>
      </c>
    </row>
    <row r="129" ht="22.5" customHeight="1" s="150">
      <c r="A129" s="34" t="n">
        <v>127</v>
      </c>
      <c r="B129" s="50" t="n">
        <v>805</v>
      </c>
      <c r="C129" s="50" t="n">
        <v>805</v>
      </c>
      <c r="D129" s="50" t="n">
        <v>62</v>
      </c>
      <c r="E129" s="50" t="n">
        <v>57</v>
      </c>
      <c r="F129" s="51">
        <f>(C129*100)/B129</f>
        <v/>
      </c>
      <c r="G129" s="51">
        <f>(D129*100)/B129</f>
        <v/>
      </c>
      <c r="H129" s="53">
        <f>((B129-B130)/B129)*100</f>
        <v/>
      </c>
      <c r="I129" s="53">
        <f>((B129-C129)/B129)*100</f>
        <v/>
      </c>
      <c r="J129" s="53">
        <f>((C129-B130)/C129)*100</f>
        <v/>
      </c>
      <c r="K129" s="54" t="n"/>
      <c r="L129" s="55" t="n">
        <v>1.06410256410256</v>
      </c>
      <c r="M129" s="56" t="inlineStr">
        <is>
          <t>Normal</t>
        </is>
      </c>
      <c r="N129" s="55" t="n">
        <v>19.97</v>
      </c>
      <c r="O129" s="57">
        <f>N129/C129</f>
        <v/>
      </c>
      <c r="P129" s="58">
        <f>(Boosters_And!B129*100)/Boosters_And!N129</f>
        <v/>
      </c>
      <c r="Q129" s="58">
        <f>Boosters_And!B129/(C129+D129)</f>
        <v/>
      </c>
      <c r="R129" s="58">
        <f>Boosters_And!N129/B129</f>
        <v/>
      </c>
      <c r="S129" s="55" t="n">
        <v>8.195512820512819</v>
      </c>
      <c r="T129" s="59" t="n">
        <v>240</v>
      </c>
      <c r="U129" s="60" t="n">
        <v>681876.696546271</v>
      </c>
      <c r="V129" s="61">
        <f>U129/B129</f>
        <v/>
      </c>
    </row>
    <row r="130" ht="22.5" customHeight="1" s="150">
      <c r="A130" s="34" t="n">
        <v>128</v>
      </c>
      <c r="B130" s="50" t="n">
        <v>812</v>
      </c>
      <c r="C130" s="50" t="n">
        <v>787</v>
      </c>
      <c r="D130" s="50" t="n">
        <v>428</v>
      </c>
      <c r="E130" s="50" t="n">
        <v>322</v>
      </c>
      <c r="F130" s="51">
        <f>(C130*100)/B130</f>
        <v/>
      </c>
      <c r="G130" s="51">
        <f>(D130*100)/B130</f>
        <v/>
      </c>
      <c r="H130" s="53">
        <f>((B130-B131)/B130)*100</f>
        <v/>
      </c>
      <c r="I130" s="53">
        <f>((B130-C130)/B130)*100</f>
        <v/>
      </c>
      <c r="J130" s="53">
        <f>((C130-B131)/C130)*100</f>
        <v/>
      </c>
      <c r="K130" s="54" t="n"/>
      <c r="L130" s="55" t="n">
        <v>1.36065573770491</v>
      </c>
      <c r="M130" s="70" t="inlineStr">
        <is>
          <t>Normal</t>
        </is>
      </c>
      <c r="N130" s="55" t="n">
        <v>17.94</v>
      </c>
      <c r="O130" s="57">
        <f>N130/C130</f>
        <v/>
      </c>
      <c r="P130" s="58">
        <f>(Boosters_And!B130*100)/Boosters_And!N130</f>
        <v/>
      </c>
      <c r="Q130" s="58">
        <f>Boosters_And!B130/(C130+D130)</f>
        <v/>
      </c>
      <c r="R130" s="58">
        <f>Boosters_And!N130/B130</f>
        <v/>
      </c>
      <c r="S130" s="55" t="n">
        <v>7.12459016393442</v>
      </c>
      <c r="T130" s="59" t="n">
        <v>377</v>
      </c>
      <c r="U130" s="60" t="n">
        <v>547157.299282647</v>
      </c>
      <c r="V130" s="61">
        <f>U130/B130</f>
        <v/>
      </c>
    </row>
    <row r="131" ht="22.5" customHeight="1" s="150">
      <c r="A131" s="34" t="n">
        <v>129</v>
      </c>
      <c r="B131" s="50" t="n">
        <v>789</v>
      </c>
      <c r="C131" s="50" t="n">
        <v>782</v>
      </c>
      <c r="D131" s="50" t="n">
        <v>224</v>
      </c>
      <c r="E131" s="50" t="n">
        <v>144</v>
      </c>
      <c r="F131" s="51">
        <f>(C131*100)/B131</f>
        <v/>
      </c>
      <c r="G131" s="51">
        <f>(D131*100)/B131</f>
        <v/>
      </c>
      <c r="H131" s="53">
        <f>((B131-B132)/B131)*100</f>
        <v/>
      </c>
      <c r="I131" s="53">
        <f>((B131-C131)/B131)*100</f>
        <v/>
      </c>
      <c r="J131" s="53">
        <f>((C131-B132)/C131)*100</f>
        <v/>
      </c>
      <c r="K131" s="54" t="n"/>
      <c r="L131" s="55" t="n">
        <v>1.15841584158415</v>
      </c>
      <c r="M131" s="56" t="inlineStr">
        <is>
          <t>Normal</t>
        </is>
      </c>
      <c r="N131" s="55" t="n">
        <v>36.07</v>
      </c>
      <c r="O131" s="57">
        <f>N131/C131</f>
        <v/>
      </c>
      <c r="P131" s="58">
        <f>(Boosters_And!B131*100)/Boosters_And!N131</f>
        <v/>
      </c>
      <c r="Q131" s="58">
        <f>Boosters_And!B131/(C131+D131)</f>
        <v/>
      </c>
      <c r="R131" s="58">
        <f>Boosters_And!N131/B131</f>
        <v/>
      </c>
      <c r="S131" s="55" t="n">
        <v>6.15841584158415</v>
      </c>
      <c r="T131" s="59" t="n">
        <v>325</v>
      </c>
      <c r="U131" s="60" t="n">
        <v>534518.489277061</v>
      </c>
      <c r="V131" s="61">
        <f>U131/B131</f>
        <v/>
      </c>
    </row>
    <row r="132" ht="22.5" customHeight="1" s="150">
      <c r="A132" s="34" t="n">
        <v>130</v>
      </c>
      <c r="B132" s="50" t="n">
        <v>789</v>
      </c>
      <c r="C132" s="50" t="n">
        <v>758</v>
      </c>
      <c r="D132" s="50" t="n">
        <v>248</v>
      </c>
      <c r="E132" s="50" t="n">
        <v>124</v>
      </c>
      <c r="F132" s="51">
        <f>(C132*100)/B132</f>
        <v/>
      </c>
      <c r="G132" s="51">
        <f>(D132*100)/B132</f>
        <v/>
      </c>
      <c r="H132" s="53">
        <f>((B132-B133)/B132)*100</f>
        <v/>
      </c>
      <c r="I132" s="53">
        <f>((B132-C132)/B132)*100</f>
        <v/>
      </c>
      <c r="J132" s="53">
        <f>((C132-B133)/C132)*100</f>
        <v/>
      </c>
      <c r="K132" s="54" t="n"/>
      <c r="L132" s="55" t="n">
        <v>1.10544217687074</v>
      </c>
      <c r="M132" s="70" t="inlineStr">
        <is>
          <t>Normal</t>
        </is>
      </c>
      <c r="N132" s="55" t="n">
        <v>32.92</v>
      </c>
      <c r="O132" s="57">
        <f>N132/C132</f>
        <v/>
      </c>
      <c r="P132" s="58">
        <f>(Boosters_And!B132*100)/Boosters_And!N132</f>
        <v/>
      </c>
      <c r="Q132" s="58">
        <f>Boosters_And!B132/(C132+D132)</f>
        <v/>
      </c>
      <c r="R132" s="58">
        <f>Boosters_And!N132/B132</f>
        <v/>
      </c>
      <c r="S132" s="55" t="n">
        <v>7.86054421768707</v>
      </c>
      <c r="T132" s="59" t="n">
        <v>348</v>
      </c>
      <c r="U132" s="60" t="n">
        <v>377242.685176936</v>
      </c>
      <c r="V132" s="61">
        <f>U132/B132</f>
        <v/>
      </c>
    </row>
    <row r="133" ht="22.5" customHeight="1" s="150">
      <c r="A133" s="34" t="n">
        <v>131</v>
      </c>
      <c r="B133" s="50" t="n">
        <v>766</v>
      </c>
      <c r="C133" s="50" t="n">
        <v>763</v>
      </c>
      <c r="D133" s="50" t="n">
        <v>36</v>
      </c>
      <c r="E133" s="50" t="n">
        <v>26</v>
      </c>
      <c r="F133" s="51">
        <f>(C133*100)/B133</f>
        <v/>
      </c>
      <c r="G133" s="51">
        <f>(D133*100)/B133</f>
        <v/>
      </c>
      <c r="H133" s="53">
        <f>((B133-B134)/B133)*100</f>
        <v/>
      </c>
      <c r="I133" s="53">
        <f>((B133-C133)/B133)*100</f>
        <v/>
      </c>
      <c r="J133" s="53">
        <f>((C133-B134)/C133)*100</f>
        <v/>
      </c>
      <c r="K133" s="54" t="n"/>
      <c r="L133" s="55" t="n">
        <v>1.01351351351351</v>
      </c>
      <c r="M133" s="56" t="inlineStr">
        <is>
          <t>Normal</t>
        </is>
      </c>
      <c r="N133" s="55" t="n">
        <v>8.98</v>
      </c>
      <c r="O133" s="57">
        <f>N133/C133</f>
        <v/>
      </c>
      <c r="P133" s="58">
        <f>(Boosters_And!B133*100)/Boosters_And!N133</f>
        <v/>
      </c>
      <c r="Q133" s="58">
        <f>Boosters_And!B133/(C133+D133)</f>
        <v/>
      </c>
      <c r="R133" s="58">
        <f>Boosters_And!N133/B133</f>
        <v/>
      </c>
      <c r="S133" s="55" t="n">
        <v>6.2027027027027</v>
      </c>
      <c r="T133" s="59" t="n">
        <v>271</v>
      </c>
      <c r="U133" s="60" t="n">
        <v>423284.064483</v>
      </c>
      <c r="V133" s="61">
        <f>U133/B133</f>
        <v/>
      </c>
    </row>
    <row r="134" ht="22.5" customHeight="1" s="150">
      <c r="A134" s="34" t="n">
        <v>132</v>
      </c>
      <c r="B134" s="50" t="n">
        <v>774</v>
      </c>
      <c r="C134" s="50" t="n">
        <v>761</v>
      </c>
      <c r="D134" s="50" t="n">
        <v>284</v>
      </c>
      <c r="E134" s="50" t="n">
        <v>150</v>
      </c>
      <c r="F134" s="51">
        <f>(C134*100)/B134</f>
        <v/>
      </c>
      <c r="G134" s="51">
        <f>(D134*100)/B134</f>
        <v/>
      </c>
      <c r="H134" s="53">
        <f>((B134-B135)/B134)*100</f>
        <v/>
      </c>
      <c r="I134" s="53">
        <f>((B134-C134)/B134)*100</f>
        <v/>
      </c>
      <c r="J134" s="53">
        <f>((C134-B135)/C134)*100</f>
        <v/>
      </c>
      <c r="K134" s="54" t="n"/>
      <c r="L134" s="55" t="n">
        <v>1.2</v>
      </c>
      <c r="M134" s="70" t="inlineStr">
        <is>
          <t>Normal</t>
        </is>
      </c>
      <c r="N134" s="55" t="n">
        <v>24.45</v>
      </c>
      <c r="O134" s="57">
        <f>N134/C134</f>
        <v/>
      </c>
      <c r="P134" s="58">
        <f>(Boosters_And!B134*100)/Boosters_And!N134</f>
        <v/>
      </c>
      <c r="Q134" s="58">
        <f>Boosters_And!B134/(C134+D134)</f>
        <v/>
      </c>
      <c r="R134" s="58">
        <f>Boosters_And!N134/B134</f>
        <v/>
      </c>
      <c r="S134" s="55" t="n">
        <v>7.24067796610169</v>
      </c>
      <c r="T134" s="59" t="n">
        <v>361</v>
      </c>
      <c r="U134" s="60" t="n">
        <v>376946.060044152</v>
      </c>
      <c r="V134" s="61">
        <f>U134/B134</f>
        <v/>
      </c>
    </row>
    <row r="135" ht="22.5" customHeight="1" s="150">
      <c r="A135" s="34" t="n">
        <v>133</v>
      </c>
      <c r="B135" s="50" t="n">
        <v>771</v>
      </c>
      <c r="C135" s="50" t="n">
        <v>745</v>
      </c>
      <c r="D135" s="50" t="n">
        <v>361</v>
      </c>
      <c r="E135" s="50" t="n">
        <v>299</v>
      </c>
      <c r="F135" s="51">
        <f>(C135*100)/B135</f>
        <v/>
      </c>
      <c r="G135" s="51">
        <f>(D135*100)/B135</f>
        <v/>
      </c>
      <c r="H135" s="53">
        <f>((B135-B136)/B135)*100</f>
        <v/>
      </c>
      <c r="I135" s="53">
        <f>((B135-C135)/B135)*100</f>
        <v/>
      </c>
      <c r="J135" s="53">
        <f>((C135-B136)/C135)*100</f>
        <v/>
      </c>
      <c r="K135" s="54" t="n"/>
      <c r="L135" s="55" t="n">
        <v>2.16955017301038</v>
      </c>
      <c r="M135" s="71" t="inlineStr">
        <is>
          <t>Hard</t>
        </is>
      </c>
      <c r="N135" s="55" t="n">
        <v>106.66</v>
      </c>
      <c r="O135" s="57">
        <f>N135/C135</f>
        <v/>
      </c>
      <c r="P135" s="58">
        <f>(Boosters_And!B135*100)/Boosters_And!N135</f>
        <v/>
      </c>
      <c r="Q135" s="58">
        <f>Boosters_And!B135/(C135+D135)</f>
        <v/>
      </c>
      <c r="R135" s="58">
        <f>Boosters_And!N135/B135</f>
        <v/>
      </c>
      <c r="S135" s="55" t="n">
        <v>8.98615916955017</v>
      </c>
      <c r="T135" s="59" t="n">
        <v>454</v>
      </c>
      <c r="U135" s="60" t="n">
        <v>341118.902701787</v>
      </c>
      <c r="V135" s="61">
        <f>U135/B135</f>
        <v/>
      </c>
    </row>
    <row r="136" ht="22.5" customHeight="1" s="150">
      <c r="A136" s="34" t="n">
        <v>134</v>
      </c>
      <c r="B136" s="50" t="n">
        <v>753</v>
      </c>
      <c r="C136" s="50" t="n">
        <v>751</v>
      </c>
      <c r="D136" s="50" t="n">
        <v>8</v>
      </c>
      <c r="E136" s="50" t="n">
        <v>5</v>
      </c>
      <c r="F136" s="51">
        <f>(C136*100)/B136</f>
        <v/>
      </c>
      <c r="G136" s="51">
        <f>(D136*100)/B136</f>
        <v/>
      </c>
      <c r="H136" s="53">
        <f>((B136-B137)/B136)*100</f>
        <v/>
      </c>
      <c r="I136" s="53">
        <f>((B136-C136)/B136)*100</f>
        <v/>
      </c>
      <c r="J136" s="53">
        <f>((C136-B137)/C136)*100</f>
        <v/>
      </c>
      <c r="K136" s="54" t="n"/>
      <c r="L136" s="55" t="n">
        <v>1</v>
      </c>
      <c r="M136" s="70" t="inlineStr">
        <is>
          <t>Normal</t>
        </is>
      </c>
      <c r="N136" s="55" t="n">
        <v>6.49</v>
      </c>
      <c r="O136" s="57">
        <f>N136/C136</f>
        <v/>
      </c>
      <c r="P136" s="58">
        <f>(Boosters_And!B136*100)/Boosters_And!N136</f>
        <v/>
      </c>
      <c r="Q136" s="58">
        <f>Boosters_And!B136/(C136+D136)</f>
        <v/>
      </c>
      <c r="R136" s="58">
        <f>Boosters_And!N136/B136</f>
        <v/>
      </c>
      <c r="S136" s="55" t="n">
        <v>4.76288659793814</v>
      </c>
      <c r="T136" s="59" t="n">
        <v>227</v>
      </c>
      <c r="U136" s="60" t="n">
        <v>422045.976972249</v>
      </c>
      <c r="V136" s="61">
        <f>U136/B136</f>
        <v/>
      </c>
    </row>
    <row r="137" ht="22.5" customHeight="1" s="150">
      <c r="A137" s="34" t="n">
        <v>135</v>
      </c>
      <c r="B137" s="50" t="n">
        <v>748</v>
      </c>
      <c r="C137" s="50" t="n">
        <v>725</v>
      </c>
      <c r="D137" s="50" t="n">
        <v>387</v>
      </c>
      <c r="E137" s="50" t="n">
        <v>291</v>
      </c>
      <c r="F137" s="51">
        <f>(C137*100)/B137</f>
        <v/>
      </c>
      <c r="G137" s="51">
        <f>(D137*100)/B137</f>
        <v/>
      </c>
      <c r="H137" s="53">
        <f>((B137-B138)/B137)*100</f>
        <v/>
      </c>
      <c r="I137" s="53">
        <f>((B137-C137)/B137)*100</f>
        <v/>
      </c>
      <c r="J137" s="53">
        <f>((C137-B138)/C137)*100</f>
        <v/>
      </c>
      <c r="K137" s="54" t="n"/>
      <c r="L137" s="55" t="n">
        <v>1.53380782918149</v>
      </c>
      <c r="M137" s="56" t="inlineStr">
        <is>
          <t>Normal</t>
        </is>
      </c>
      <c r="N137" s="55" t="n">
        <v>39.88</v>
      </c>
      <c r="O137" s="57">
        <f>N137/C137</f>
        <v/>
      </c>
      <c r="P137" s="58">
        <f>(Boosters_And!B137*100)/Boosters_And!N137</f>
        <v/>
      </c>
      <c r="Q137" s="58">
        <f>Boosters_And!B137/(C137+D137)</f>
        <v/>
      </c>
      <c r="R137" s="58">
        <f>Boosters_And!N137/B137</f>
        <v/>
      </c>
      <c r="S137" s="55" t="n">
        <v>7.28113879003558</v>
      </c>
      <c r="T137" s="59" t="n">
        <v>353</v>
      </c>
      <c r="U137" s="60" t="n">
        <v>381085.915158227</v>
      </c>
      <c r="V137" s="61">
        <f>U137/B137</f>
        <v/>
      </c>
    </row>
    <row r="138" ht="22.5" customHeight="1" s="150">
      <c r="A138" s="34" t="n">
        <v>136</v>
      </c>
      <c r="B138" s="50" t="n">
        <v>735</v>
      </c>
      <c r="C138" s="50" t="n">
        <v>689</v>
      </c>
      <c r="D138" s="50" t="n">
        <v>438</v>
      </c>
      <c r="E138" s="50" t="n">
        <v>330</v>
      </c>
      <c r="F138" s="51">
        <f>(C138*100)/B138</f>
        <v/>
      </c>
      <c r="G138" s="51">
        <f>(D138*100)/B138</f>
        <v/>
      </c>
      <c r="H138" s="53">
        <f>((B138-B139)/B138)*100</f>
        <v/>
      </c>
      <c r="I138" s="53">
        <f>((B138-C138)/B138)*100</f>
        <v/>
      </c>
      <c r="J138" s="53">
        <f>((C138-B139)/C138)*100</f>
        <v/>
      </c>
      <c r="K138" s="54" t="n"/>
      <c r="L138" s="55" t="n">
        <v>1.80149812734082</v>
      </c>
      <c r="M138" s="69" t="inlineStr">
        <is>
          <t>Hard</t>
        </is>
      </c>
      <c r="N138" s="55" t="n">
        <v>107.8</v>
      </c>
      <c r="O138" s="57">
        <f>N138/C138</f>
        <v/>
      </c>
      <c r="P138" s="58">
        <f>(Boosters_And!B138*100)/Boosters_And!N138</f>
        <v/>
      </c>
      <c r="Q138" s="58">
        <f>Boosters_And!B138/(C138+D138)</f>
        <v/>
      </c>
      <c r="R138" s="58">
        <f>Boosters_And!N138/B138</f>
        <v/>
      </c>
      <c r="S138" s="55" t="n">
        <v>6.33707865168539</v>
      </c>
      <c r="T138" s="59" t="n">
        <v>387</v>
      </c>
      <c r="U138" s="60" t="n">
        <v>326519.787470844</v>
      </c>
      <c r="V138" s="61">
        <f>U138/B138</f>
        <v/>
      </c>
    </row>
    <row r="139" ht="22.5" customHeight="1" s="150">
      <c r="A139" s="34" t="n">
        <v>137</v>
      </c>
      <c r="B139" s="50" t="n">
        <v>707</v>
      </c>
      <c r="C139" s="50" t="n">
        <v>671</v>
      </c>
      <c r="D139" s="50" t="n">
        <v>449</v>
      </c>
      <c r="E139" s="50" t="n">
        <v>281</v>
      </c>
      <c r="F139" s="51">
        <f>(C139*100)/B139</f>
        <v/>
      </c>
      <c r="G139" s="51">
        <f>(D139*100)/B139</f>
        <v/>
      </c>
      <c r="H139" s="53">
        <f>((B139-B140)/B139)*100</f>
        <v/>
      </c>
      <c r="I139" s="53">
        <f>((B139-C139)/B139)*100</f>
        <v/>
      </c>
      <c r="J139" s="53">
        <f>((C139-B140)/C139)*100</f>
        <v/>
      </c>
      <c r="K139" s="54" t="n"/>
      <c r="L139" s="55" t="n">
        <v>1.75384615384615</v>
      </c>
      <c r="M139" s="74" t="inlineStr">
        <is>
          <t>Very Hard</t>
        </is>
      </c>
      <c r="N139" s="55" t="n">
        <v>113.46</v>
      </c>
      <c r="O139" s="57">
        <f>N139/C139</f>
        <v/>
      </c>
      <c r="P139" s="58">
        <f>(Boosters_And!B139*100)/Boosters_And!N139</f>
        <v/>
      </c>
      <c r="Q139" s="58">
        <f>Boosters_And!B139/(C139+D139)</f>
        <v/>
      </c>
      <c r="R139" s="58">
        <f>Boosters_And!N139/B139</f>
        <v/>
      </c>
      <c r="S139" s="55" t="n">
        <v>6.24615384615384</v>
      </c>
      <c r="T139" s="59" t="n">
        <v>428</v>
      </c>
      <c r="U139" s="60" t="n">
        <v>260986.26791739</v>
      </c>
      <c r="V139" s="61">
        <f>U139/B139</f>
        <v/>
      </c>
    </row>
    <row r="140" ht="22.5" customHeight="1" s="150">
      <c r="A140" s="34" t="n">
        <v>138</v>
      </c>
      <c r="B140" s="50" t="n">
        <v>671</v>
      </c>
      <c r="C140" s="50" t="n">
        <v>665</v>
      </c>
      <c r="D140" s="50" t="n">
        <v>10</v>
      </c>
      <c r="E140" s="50" t="n">
        <v>10</v>
      </c>
      <c r="F140" s="51">
        <f>(C140*100)/B140</f>
        <v/>
      </c>
      <c r="G140" s="51">
        <f>(D140*100)/B140</f>
        <v/>
      </c>
      <c r="H140" s="53">
        <f>((B140-B141)/B140)*100</f>
        <v/>
      </c>
      <c r="I140" s="53">
        <f>((B140-C140)/B140)*100</f>
        <v/>
      </c>
      <c r="J140" s="53">
        <f>((C140-B141)/C140)*100</f>
        <v/>
      </c>
      <c r="K140" s="54" t="n"/>
      <c r="L140" s="55" t="n">
        <v>1.00387596899224</v>
      </c>
      <c r="M140" s="70" t="inlineStr">
        <is>
          <t>Normal</t>
        </is>
      </c>
      <c r="N140" s="55" t="n">
        <v>0</v>
      </c>
      <c r="O140" s="57">
        <f>N140/C140</f>
        <v/>
      </c>
      <c r="P140" s="58">
        <f>(Boosters_And!B140*100)/Boosters_And!N140</f>
        <v/>
      </c>
      <c r="Q140" s="58">
        <f>Boosters_And!B140/(C140+D140)</f>
        <v/>
      </c>
      <c r="R140" s="58">
        <f>Boosters_And!N140/B140</f>
        <v/>
      </c>
      <c r="S140" s="55" t="n">
        <v>6.60852713178294</v>
      </c>
      <c r="T140" s="59" t="n">
        <v>224</v>
      </c>
      <c r="U140" s="60" t="n">
        <v>317216.075697345</v>
      </c>
      <c r="V140" s="61">
        <f>U140/B140</f>
        <v/>
      </c>
    </row>
    <row r="141" ht="22.5" customHeight="1" s="150">
      <c r="A141" s="34" t="n">
        <v>139</v>
      </c>
      <c r="B141" s="50" t="n">
        <v>671</v>
      </c>
      <c r="C141" s="50" t="n">
        <v>660</v>
      </c>
      <c r="D141" s="50" t="n">
        <v>168</v>
      </c>
      <c r="E141" s="50" t="n">
        <v>88</v>
      </c>
      <c r="F141" s="51">
        <f>(C141*100)/B141</f>
        <v/>
      </c>
      <c r="G141" s="51">
        <f>(D141*100)/B141</f>
        <v/>
      </c>
      <c r="H141" s="53">
        <f>((B141-B142)/B141)*100</f>
        <v/>
      </c>
      <c r="I141" s="53">
        <f>((B141-C141)/B141)*100</f>
        <v/>
      </c>
      <c r="J141" s="53">
        <f>((C141-B142)/C141)*100</f>
        <v/>
      </c>
      <c r="K141" s="54" t="n"/>
      <c r="L141" s="55" t="n">
        <v>1.0703125</v>
      </c>
      <c r="M141" s="56" t="inlineStr">
        <is>
          <t>Normal</t>
        </is>
      </c>
      <c r="N141" s="55" t="n">
        <v>10.45</v>
      </c>
      <c r="O141" s="57">
        <f>N141/C141</f>
        <v/>
      </c>
      <c r="P141" s="58">
        <f>(Boosters_And!B141*100)/Boosters_And!N141</f>
        <v/>
      </c>
      <c r="Q141" s="58">
        <f>Boosters_And!B141/(C141+D141)</f>
        <v/>
      </c>
      <c r="R141" s="58">
        <f>Boosters_And!N141/B141</f>
        <v/>
      </c>
      <c r="S141" s="55" t="n">
        <v>4.61328125</v>
      </c>
      <c r="T141" s="59" t="n">
        <v>276</v>
      </c>
      <c r="U141" s="60" t="n">
        <v>343615.712515135</v>
      </c>
      <c r="V141" s="61">
        <f>U141/B141</f>
        <v/>
      </c>
    </row>
    <row r="142" ht="22.5" customHeight="1" s="150">
      <c r="A142" s="34" t="n">
        <v>140</v>
      </c>
      <c r="B142" s="50" t="n">
        <v>681</v>
      </c>
      <c r="C142" s="50" t="n">
        <v>665</v>
      </c>
      <c r="D142" s="50" t="n">
        <v>459</v>
      </c>
      <c r="E142" s="50" t="n">
        <v>317</v>
      </c>
      <c r="F142" s="51">
        <f>(C142*100)/B142</f>
        <v/>
      </c>
      <c r="G142" s="51">
        <f>(D142*100)/B142</f>
        <v/>
      </c>
      <c r="H142" s="53">
        <f>((B142-B143)/B142)*100</f>
        <v/>
      </c>
      <c r="I142" s="53">
        <f>((B142-C142)/B142)*100</f>
        <v/>
      </c>
      <c r="J142" s="53">
        <f>((C142-B143)/C142)*100</f>
        <v/>
      </c>
      <c r="K142" s="54" t="n"/>
      <c r="L142" s="55" t="n">
        <v>2.41860465116279</v>
      </c>
      <c r="M142" s="70" t="inlineStr">
        <is>
          <t>Normal</t>
        </is>
      </c>
      <c r="N142" s="55" t="n">
        <v>172.46</v>
      </c>
      <c r="O142" s="57">
        <f>N142/C142</f>
        <v/>
      </c>
      <c r="P142" s="58">
        <f>(Boosters_And!B142*100)/Boosters_And!N142</f>
        <v/>
      </c>
      <c r="Q142" s="58">
        <f>Boosters_And!B142/(C142+D142)</f>
        <v/>
      </c>
      <c r="R142" s="58">
        <f>Boosters_And!N142/B142</f>
        <v/>
      </c>
      <c r="S142" s="55" t="n">
        <v>12.5891472868217</v>
      </c>
      <c r="T142" s="59" t="n">
        <v>446</v>
      </c>
      <c r="U142" s="60" t="n">
        <v>256498.200690917</v>
      </c>
      <c r="V142" s="61">
        <f>U142/B142</f>
        <v/>
      </c>
    </row>
    <row r="143" ht="22.5" customHeight="1" s="150">
      <c r="A143" s="34" t="n">
        <v>141</v>
      </c>
      <c r="B143" s="50" t="n">
        <v>671</v>
      </c>
      <c r="C143" s="50" t="n">
        <v>663</v>
      </c>
      <c r="D143" s="50" t="n">
        <v>212</v>
      </c>
      <c r="E143" s="50" t="n">
        <v>101</v>
      </c>
      <c r="F143" s="51">
        <f>(C143*100)/B143</f>
        <v/>
      </c>
      <c r="G143" s="51">
        <f>(D143*100)/B143</f>
        <v/>
      </c>
      <c r="H143" s="53">
        <f>((B143-B144)/B143)*100</f>
        <v/>
      </c>
      <c r="I143" s="53">
        <f>((B143-C143)/B143)*100</f>
        <v/>
      </c>
      <c r="J143" s="53">
        <f>((C143-B144)/C143)*100</f>
        <v/>
      </c>
      <c r="K143" s="54" t="n"/>
      <c r="L143" s="55" t="n">
        <v>1.10116731517509</v>
      </c>
      <c r="M143" s="56" t="inlineStr">
        <is>
          <t>Normal</t>
        </is>
      </c>
      <c r="N143" s="55" t="n">
        <v>11.47</v>
      </c>
      <c r="O143" s="57">
        <f>N143/C143</f>
        <v/>
      </c>
      <c r="P143" s="58">
        <f>(Boosters_And!B143*100)/Boosters_And!N143</f>
        <v/>
      </c>
      <c r="Q143" s="58">
        <f>Boosters_And!B143/(C143+D143)</f>
        <v/>
      </c>
      <c r="R143" s="58">
        <f>Boosters_And!N143/B143</f>
        <v/>
      </c>
      <c r="S143" s="55" t="n">
        <v>6.70817120622568</v>
      </c>
      <c r="T143" s="59" t="n">
        <v>304</v>
      </c>
      <c r="U143" s="60" t="n">
        <v>291229.134716471</v>
      </c>
      <c r="V143" s="61">
        <f>U143/B143</f>
        <v/>
      </c>
    </row>
    <row r="144" ht="22.5" customHeight="1" s="150">
      <c r="A144" s="34" t="n">
        <v>142</v>
      </c>
      <c r="B144" s="50" t="n">
        <v>668</v>
      </c>
      <c r="C144" s="50" t="n">
        <v>665</v>
      </c>
      <c r="D144" s="50" t="n">
        <v>142</v>
      </c>
      <c r="E144" s="50" t="n">
        <v>62</v>
      </c>
      <c r="F144" s="51">
        <f>(C144*100)/B144</f>
        <v/>
      </c>
      <c r="G144" s="51">
        <f>(D144*100)/B144</f>
        <v/>
      </c>
      <c r="H144" s="53">
        <f>((B144-B145)/B144)*100</f>
        <v/>
      </c>
      <c r="I144" s="53">
        <f>((B144-C144)/B144)*100</f>
        <v/>
      </c>
      <c r="J144" s="53">
        <f>((C144-B145)/C144)*100</f>
        <v/>
      </c>
      <c r="K144" s="54" t="n"/>
      <c r="L144" s="55" t="n">
        <v>1.03100775193798</v>
      </c>
      <c r="M144" s="70" t="inlineStr">
        <is>
          <t>Normal</t>
        </is>
      </c>
      <c r="N144" s="55" t="n">
        <v>13.47</v>
      </c>
      <c r="O144" s="57">
        <f>N144/C144</f>
        <v/>
      </c>
      <c r="P144" s="58">
        <f>(Boosters_And!B144*100)/Boosters_And!N144</f>
        <v/>
      </c>
      <c r="Q144" s="58">
        <f>Boosters_And!B144/(C144+D144)</f>
        <v/>
      </c>
      <c r="R144" s="58">
        <f>Boosters_And!N144/B144</f>
        <v/>
      </c>
      <c r="S144" s="55" t="n">
        <v>8.379844961240311</v>
      </c>
      <c r="T144" s="59" t="n">
        <v>279</v>
      </c>
      <c r="U144" s="60" t="n">
        <v>328965.010304578</v>
      </c>
      <c r="V144" s="61">
        <f>U144/B144</f>
        <v/>
      </c>
    </row>
    <row r="145" ht="22.5" customHeight="1" s="150">
      <c r="A145" s="34" t="n">
        <v>143</v>
      </c>
      <c r="B145" s="50" t="n">
        <v>663</v>
      </c>
      <c r="C145" s="50" t="n">
        <v>663</v>
      </c>
      <c r="D145" s="50" t="n">
        <v>98</v>
      </c>
      <c r="E145" s="50" t="n">
        <v>103</v>
      </c>
      <c r="F145" s="51">
        <f>(C145*100)/B145</f>
        <v/>
      </c>
      <c r="G145" s="51">
        <f>(D145*100)/B145</f>
        <v/>
      </c>
      <c r="H145" s="53">
        <f>((B145-B146)/B145)*100</f>
        <v/>
      </c>
      <c r="I145" s="53">
        <f>((B145-C145)/B145)*100</f>
        <v/>
      </c>
      <c r="J145" s="53">
        <f>((C145-B146)/C145)*100</f>
        <v/>
      </c>
      <c r="K145" s="54" t="n"/>
      <c r="L145" s="55" t="n">
        <v>1.1284046692607</v>
      </c>
      <c r="M145" s="56" t="inlineStr">
        <is>
          <t>Normal</t>
        </is>
      </c>
      <c r="N145" s="55" t="n">
        <v>1.99</v>
      </c>
      <c r="O145" s="57">
        <f>N145/C145</f>
        <v/>
      </c>
      <c r="P145" s="58">
        <f>(Boosters_And!B145*100)/Boosters_And!N145</f>
        <v/>
      </c>
      <c r="Q145" s="58">
        <f>Boosters_And!B145/(C145+D145)</f>
        <v/>
      </c>
      <c r="R145" s="58">
        <f>Boosters_And!N145/B145</f>
        <v/>
      </c>
      <c r="S145" s="55" t="n">
        <v>4.94163424124513</v>
      </c>
      <c r="T145" s="59" t="n">
        <v>245</v>
      </c>
      <c r="U145" s="60" t="n">
        <v>362251.508900923</v>
      </c>
      <c r="V145" s="61">
        <f>U145/B145</f>
        <v/>
      </c>
    </row>
    <row r="146" ht="22.5" customHeight="1" s="150">
      <c r="A146" s="34" t="n">
        <v>144</v>
      </c>
      <c r="B146" s="50" t="n">
        <v>658</v>
      </c>
      <c r="C146" s="50" t="n">
        <v>655</v>
      </c>
      <c r="D146" s="50" t="n">
        <v>0</v>
      </c>
      <c r="E146" s="50" t="n">
        <v>0</v>
      </c>
      <c r="F146" s="51">
        <f>(C146*100)/B146</f>
        <v/>
      </c>
      <c r="G146" s="51">
        <f>(D146*100)/B146</f>
        <v/>
      </c>
      <c r="H146" s="53">
        <f>((B146-B147)/B146)*100</f>
        <v/>
      </c>
      <c r="I146" s="53">
        <f>((B146-C146)/B146)*100</f>
        <v/>
      </c>
      <c r="J146" s="53">
        <f>((C146-B147)/C146)*100</f>
        <v/>
      </c>
      <c r="K146" s="54" t="n"/>
      <c r="L146" s="55" t="n">
        <v>1.00393700787401</v>
      </c>
      <c r="M146" s="70" t="inlineStr">
        <is>
          <t>Normal</t>
        </is>
      </c>
      <c r="N146" s="55" t="n">
        <v>6.49</v>
      </c>
      <c r="O146" s="57">
        <f>N146/C146</f>
        <v/>
      </c>
      <c r="P146" s="58">
        <f>(Boosters_And!B146*100)/Boosters_And!N146</f>
        <v/>
      </c>
      <c r="Q146" s="58">
        <f>Boosters_And!B146/(C146+D146)</f>
        <v/>
      </c>
      <c r="R146" s="58">
        <f>Boosters_And!N146/B146</f>
        <v/>
      </c>
      <c r="S146" s="55" t="n">
        <v>9.460629921259841</v>
      </c>
      <c r="T146" s="59" t="n">
        <v>214</v>
      </c>
      <c r="U146" s="60" t="n">
        <v>412252.18889241</v>
      </c>
      <c r="V146" s="61">
        <f>U146/B146</f>
        <v/>
      </c>
    </row>
    <row r="147" ht="22.5" customHeight="1" s="150">
      <c r="A147" s="34" t="n">
        <v>145</v>
      </c>
      <c r="B147" s="50" t="n">
        <v>658</v>
      </c>
      <c r="C147" s="50" t="n">
        <v>650</v>
      </c>
      <c r="D147" s="50" t="n">
        <v>232</v>
      </c>
      <c r="E147" s="50" t="n">
        <v>116</v>
      </c>
      <c r="F147" s="51">
        <f>(C147*100)/B147</f>
        <v/>
      </c>
      <c r="G147" s="51">
        <f>(D147*100)/B147</f>
        <v/>
      </c>
      <c r="H147" s="53">
        <f>((B147-B148)/B147)*100</f>
        <v/>
      </c>
      <c r="I147" s="53">
        <f>((B147-C147)/B147)*100</f>
        <v/>
      </c>
      <c r="J147" s="53">
        <f>((C147-B148)/C147)*100</f>
        <v/>
      </c>
      <c r="K147" s="54" t="n"/>
      <c r="L147" s="55" t="n">
        <v>1.17460317460317</v>
      </c>
      <c r="M147" s="74" t="inlineStr">
        <is>
          <t>Very Hard</t>
        </is>
      </c>
      <c r="N147" s="55" t="n">
        <v>21.92</v>
      </c>
      <c r="O147" s="57">
        <f>N147/C147</f>
        <v/>
      </c>
      <c r="P147" s="58">
        <f>(Boosters_And!B147*100)/Boosters_And!N147</f>
        <v/>
      </c>
      <c r="Q147" s="58">
        <f>Boosters_And!B147/(C147+D147)</f>
        <v/>
      </c>
      <c r="R147" s="58">
        <f>Boosters_And!N147/B147</f>
        <v/>
      </c>
      <c r="S147" s="55" t="n">
        <v>3.79365079365079</v>
      </c>
      <c r="T147" s="59" t="n">
        <v>299</v>
      </c>
      <c r="U147" s="60" t="n">
        <v>385646.204156161</v>
      </c>
      <c r="V147" s="61">
        <f>U147/B147</f>
        <v/>
      </c>
    </row>
    <row r="148" ht="22.5" customHeight="1" s="150">
      <c r="A148" s="34" t="n">
        <v>146</v>
      </c>
      <c r="B148" s="50" t="n">
        <v>650</v>
      </c>
      <c r="C148" s="50" t="n">
        <v>653</v>
      </c>
      <c r="D148" s="50" t="n">
        <v>0</v>
      </c>
      <c r="E148" s="50" t="n">
        <v>0</v>
      </c>
      <c r="F148" s="51">
        <f>(C148*100)/B148</f>
        <v/>
      </c>
      <c r="G148" s="51">
        <f>(D148*100)/B148</f>
        <v/>
      </c>
      <c r="H148" s="53">
        <f>((B148-B149)/B148)*100</f>
        <v/>
      </c>
      <c r="I148" s="53">
        <f>((B148-C148)/B148)*100</f>
        <v/>
      </c>
      <c r="J148" s="53">
        <f>((C148-B149)/C148)*100</f>
        <v/>
      </c>
      <c r="K148" s="54" t="n"/>
      <c r="L148" s="55" t="n">
        <v>1.02371541501976</v>
      </c>
      <c r="M148" s="70" t="inlineStr">
        <is>
          <t>Normal</t>
        </is>
      </c>
      <c r="N148" s="55" t="n">
        <v>10.98</v>
      </c>
      <c r="O148" s="57">
        <f>N148/C148</f>
        <v/>
      </c>
      <c r="P148" s="58">
        <f>(Boosters_And!B148*100)/Boosters_And!N148</f>
        <v/>
      </c>
      <c r="Q148" s="58">
        <f>Boosters_And!B148/(C148+D148)</f>
        <v/>
      </c>
      <c r="R148" s="58">
        <f>Boosters_And!N148/B148</f>
        <v/>
      </c>
      <c r="S148" s="55" t="n">
        <v>7.11067193675889</v>
      </c>
      <c r="T148" s="59" t="n">
        <v>219</v>
      </c>
      <c r="U148" s="60" t="n">
        <v>441747.044487078</v>
      </c>
      <c r="V148" s="61">
        <f>U148/B148</f>
        <v/>
      </c>
    </row>
    <row r="149" ht="22.5" customHeight="1" s="150">
      <c r="A149" s="34" t="n">
        <v>147</v>
      </c>
      <c r="B149" s="50" t="n">
        <v>665</v>
      </c>
      <c r="C149" s="50" t="n">
        <v>629</v>
      </c>
      <c r="D149" s="50" t="n">
        <v>482</v>
      </c>
      <c r="E149" s="50" t="n">
        <v>333</v>
      </c>
      <c r="F149" s="51">
        <f>(C149*100)/B149</f>
        <v/>
      </c>
      <c r="G149" s="51">
        <f>(D149*100)/B149</f>
        <v/>
      </c>
      <c r="H149" s="53">
        <f>((B149-B150)/B149)*100</f>
        <v/>
      </c>
      <c r="I149" s="53">
        <f>((B149-C149)/B149)*100</f>
        <v/>
      </c>
      <c r="J149" s="53">
        <f>((C149-B150)/C149)*100</f>
        <v/>
      </c>
      <c r="K149" s="54" t="n"/>
      <c r="L149" s="55" t="n">
        <v>2.55327868852459</v>
      </c>
      <c r="M149" s="74" t="inlineStr">
        <is>
          <t>Very Hard</t>
        </is>
      </c>
      <c r="N149" s="55" t="n">
        <v>177.31</v>
      </c>
      <c r="O149" s="57">
        <f>N149/C149</f>
        <v/>
      </c>
      <c r="P149" s="58">
        <f>(Boosters_And!B149*100)/Boosters_And!N149</f>
        <v/>
      </c>
      <c r="Q149" s="58">
        <f>Boosters_And!B149/(C149+D149)</f>
        <v/>
      </c>
      <c r="R149" s="58">
        <f>Boosters_And!N149/B149</f>
        <v/>
      </c>
      <c r="S149" s="55" t="n">
        <v>6.60245901639344</v>
      </c>
      <c r="T149" s="59" t="n">
        <v>431</v>
      </c>
      <c r="U149" s="60" t="n">
        <v>255729.554694659</v>
      </c>
      <c r="V149" s="61">
        <f>U149/B149</f>
        <v/>
      </c>
    </row>
    <row r="150" ht="22.5" customHeight="1" s="150">
      <c r="A150" s="34" t="n">
        <v>148</v>
      </c>
      <c r="B150" s="50" t="n">
        <v>627</v>
      </c>
      <c r="C150" s="50" t="n">
        <v>619</v>
      </c>
      <c r="D150" s="50" t="n">
        <v>39</v>
      </c>
      <c r="E150" s="50" t="n">
        <v>15</v>
      </c>
      <c r="F150" s="51">
        <f>(C150*100)/B150</f>
        <v/>
      </c>
      <c r="G150" s="51">
        <f>(D150*100)/B150</f>
        <v/>
      </c>
      <c r="H150" s="53">
        <f>((B150-B151)/B150)*100</f>
        <v/>
      </c>
      <c r="I150" s="53">
        <f>((B150-C150)/B150)*100</f>
        <v/>
      </c>
      <c r="J150" s="53">
        <f>((C150-B151)/C150)*100</f>
        <v/>
      </c>
      <c r="K150" s="54" t="n"/>
      <c r="L150" s="55" t="n">
        <v>1.02083333333333</v>
      </c>
      <c r="M150" s="70" t="inlineStr">
        <is>
          <t>Normal</t>
        </is>
      </c>
      <c r="N150" s="55" t="n">
        <v>0</v>
      </c>
      <c r="O150" s="57">
        <f>N150/C150</f>
        <v/>
      </c>
      <c r="P150" s="58">
        <f>(Boosters_And!B150*100)/Boosters_And!N150</f>
        <v/>
      </c>
      <c r="Q150" s="58">
        <f>Boosters_And!B150/(C150+D150)</f>
        <v/>
      </c>
      <c r="R150" s="58">
        <f>Boosters_And!N150/B150</f>
        <v/>
      </c>
      <c r="S150" s="55" t="n">
        <v>7.16666666666666</v>
      </c>
      <c r="T150" s="59" t="n">
        <v>227</v>
      </c>
      <c r="U150" s="60" t="n">
        <v>300829.471622755</v>
      </c>
      <c r="V150" s="61">
        <f>U150/B150</f>
        <v/>
      </c>
    </row>
    <row r="151" ht="22.5" customHeight="1" s="150">
      <c r="A151" s="34" t="n">
        <v>149</v>
      </c>
      <c r="B151" s="50" t="n">
        <v>622</v>
      </c>
      <c r="C151" s="50" t="n">
        <v>622</v>
      </c>
      <c r="D151" s="50" t="n">
        <v>77</v>
      </c>
      <c r="E151" s="50" t="n">
        <v>54</v>
      </c>
      <c r="F151" s="51">
        <f>(C151*100)/B151</f>
        <v/>
      </c>
      <c r="G151" s="51">
        <f>(D151*100)/B151</f>
        <v/>
      </c>
      <c r="H151" s="53">
        <f>((B151-B152)/B151)*100</f>
        <v/>
      </c>
      <c r="I151" s="53">
        <f>((B151-C151)/B151)*100</f>
        <v/>
      </c>
      <c r="J151" s="53">
        <f>((C151-B152)/C151)*100</f>
        <v/>
      </c>
      <c r="K151" s="54" t="n"/>
      <c r="L151" s="55" t="n">
        <v>1.06639004149377</v>
      </c>
      <c r="M151" s="56" t="inlineStr">
        <is>
          <t>Normal</t>
        </is>
      </c>
      <c r="N151" s="55" t="n">
        <v>14.46</v>
      </c>
      <c r="O151" s="57">
        <f>N151/C151</f>
        <v/>
      </c>
      <c r="P151" s="58">
        <f>(Boosters_And!B151*100)/Boosters_And!N151</f>
        <v/>
      </c>
      <c r="Q151" s="58">
        <f>Boosters_And!B151/(C151+D151)</f>
        <v/>
      </c>
      <c r="R151" s="58">
        <f>Boosters_And!N151/B151</f>
        <v/>
      </c>
      <c r="S151" s="55" t="n">
        <v>5.13278008298755</v>
      </c>
      <c r="T151" s="59" t="n">
        <v>235</v>
      </c>
      <c r="U151" s="60" t="n">
        <v>328518.782930912</v>
      </c>
      <c r="V151" s="61">
        <f>U151/B151</f>
        <v/>
      </c>
    </row>
    <row r="152" ht="22.5" customHeight="1" s="150">
      <c r="A152" s="34" t="n">
        <v>150</v>
      </c>
      <c r="B152" s="50" t="n">
        <v>619</v>
      </c>
      <c r="C152" s="50" t="n">
        <v>624</v>
      </c>
      <c r="D152" s="50" t="n">
        <v>224</v>
      </c>
      <c r="E152" s="50" t="n">
        <v>88</v>
      </c>
      <c r="F152" s="51">
        <f>(C152*100)/B152</f>
        <v/>
      </c>
      <c r="G152" s="51">
        <f>(D152*100)/B152</f>
        <v/>
      </c>
      <c r="H152" s="53">
        <f>((B152-B153)/B152)*100</f>
        <v/>
      </c>
      <c r="I152" s="53">
        <f>((B152-C152)/B152)*100</f>
        <v/>
      </c>
      <c r="J152" s="53">
        <f>((C152-B153)/C152)*100</f>
        <v/>
      </c>
      <c r="K152" s="54" t="n"/>
      <c r="L152" s="55" t="n">
        <v>1.1198347107438</v>
      </c>
      <c r="M152" s="70" t="inlineStr">
        <is>
          <t>Normal</t>
        </is>
      </c>
      <c r="N152" s="55" t="n">
        <v>25.44</v>
      </c>
      <c r="O152" s="57">
        <f>N152/C152</f>
        <v/>
      </c>
      <c r="P152" s="58">
        <f>(Boosters_And!B152*100)/Boosters_And!N152</f>
        <v/>
      </c>
      <c r="Q152" s="58">
        <f>Boosters_And!B152/(C152+D152)</f>
        <v/>
      </c>
      <c r="R152" s="58">
        <f>Boosters_And!N152/B152</f>
        <v/>
      </c>
      <c r="S152" s="55" t="n">
        <v>5.57438016528925</v>
      </c>
      <c r="T152" s="59" t="n">
        <v>276</v>
      </c>
      <c r="U152" s="60" t="n">
        <v>328621.956890141</v>
      </c>
      <c r="V152" s="61">
        <f>U152/B152</f>
        <v/>
      </c>
    </row>
    <row r="153" ht="22.5" customHeight="1" s="150">
      <c r="A153" s="34" t="n">
        <v>151</v>
      </c>
      <c r="B153" s="50" t="n">
        <v>627</v>
      </c>
      <c r="C153" s="50" t="n">
        <v>619</v>
      </c>
      <c r="D153" s="50" t="n">
        <v>371</v>
      </c>
      <c r="E153" s="50" t="n">
        <v>222</v>
      </c>
      <c r="F153" s="51">
        <f>(C153*100)/B153</f>
        <v/>
      </c>
      <c r="G153" s="51">
        <f>(D153*100)/B153</f>
        <v/>
      </c>
      <c r="H153" s="53">
        <f>((B153-B154)/B153)*100</f>
        <v/>
      </c>
      <c r="I153" s="53">
        <f>((B153-C153)/B153)*100</f>
        <v/>
      </c>
      <c r="J153" s="53">
        <f>((C153-B154)/C153)*100</f>
        <v/>
      </c>
      <c r="K153" s="54" t="n"/>
      <c r="L153" s="55" t="n">
        <v>1.46666666666666</v>
      </c>
      <c r="M153" s="56" t="inlineStr">
        <is>
          <t>Normal</t>
        </is>
      </c>
      <c r="N153" s="55" t="n">
        <v>43.45</v>
      </c>
      <c r="O153" s="57">
        <f>N153/C153</f>
        <v/>
      </c>
      <c r="P153" s="58">
        <f>(Boosters_And!B153*100)/Boosters_And!N153</f>
        <v/>
      </c>
      <c r="Q153" s="58">
        <f>Boosters_And!B153/(C153+D153)</f>
        <v/>
      </c>
      <c r="R153" s="58">
        <f>Boosters_And!N153/B153</f>
        <v/>
      </c>
      <c r="S153" s="55" t="n">
        <v>6.19583333333333</v>
      </c>
      <c r="T153" s="59" t="n">
        <v>374</v>
      </c>
      <c r="U153" s="60" t="n">
        <v>284450.605595108</v>
      </c>
      <c r="V153" s="61">
        <f>U153/B153</f>
        <v/>
      </c>
    </row>
    <row r="154" ht="22.5" customHeight="1" s="150">
      <c r="A154" s="34" t="n">
        <v>152</v>
      </c>
      <c r="B154" s="50" t="n">
        <v>606</v>
      </c>
      <c r="C154" s="50" t="n">
        <v>593</v>
      </c>
      <c r="D154" s="50" t="n">
        <v>134</v>
      </c>
      <c r="E154" s="50" t="n">
        <v>95</v>
      </c>
      <c r="F154" s="51">
        <f>(C154*100)/B154</f>
        <v/>
      </c>
      <c r="G154" s="51">
        <f>(D154*100)/B154</f>
        <v/>
      </c>
      <c r="H154" s="53">
        <f>((B154-B155)/B154)*100</f>
        <v/>
      </c>
      <c r="I154" s="53">
        <f>((B154-C154)/B154)*100</f>
        <v/>
      </c>
      <c r="J154" s="53">
        <f>((C154-B155)/C154)*100</f>
        <v/>
      </c>
      <c r="K154" s="54" t="n"/>
      <c r="L154" s="55" t="n">
        <v>1.1</v>
      </c>
      <c r="M154" s="70" t="inlineStr">
        <is>
          <t>Normal</t>
        </is>
      </c>
      <c r="N154" s="55" t="n">
        <v>11.63</v>
      </c>
      <c r="O154" s="57">
        <f>N154/C154</f>
        <v/>
      </c>
      <c r="P154" s="58">
        <f>(Boosters_And!B154*100)/Boosters_And!N154</f>
        <v/>
      </c>
      <c r="Q154" s="58">
        <f>Boosters_And!B154/(C154+D154)</f>
        <v/>
      </c>
      <c r="R154" s="58">
        <f>Boosters_And!N154/B154</f>
        <v/>
      </c>
      <c r="S154" s="55" t="n">
        <v>6.54782608695652</v>
      </c>
      <c r="T154" s="59" t="n">
        <v>253</v>
      </c>
      <c r="U154" s="60" t="n">
        <v>317543.653017898</v>
      </c>
      <c r="V154" s="61">
        <f>U154/B154</f>
        <v/>
      </c>
    </row>
    <row r="155" ht="22.5" customHeight="1" s="150">
      <c r="A155" s="34" t="n">
        <v>153</v>
      </c>
      <c r="B155" s="50" t="n">
        <v>588</v>
      </c>
      <c r="C155" s="50" t="n">
        <v>588</v>
      </c>
      <c r="D155" s="50" t="n">
        <v>21</v>
      </c>
      <c r="E155" s="50" t="n">
        <v>15</v>
      </c>
      <c r="F155" s="51">
        <f>(C155*100)/B155</f>
        <v/>
      </c>
      <c r="G155" s="51">
        <f>(D155*100)/B155</f>
        <v/>
      </c>
      <c r="H155" s="53">
        <f>((B155-B156)/B155)*100</f>
        <v/>
      </c>
      <c r="I155" s="53">
        <f>((B155-C155)/B155)*100</f>
        <v/>
      </c>
      <c r="J155" s="53">
        <f>((C155-B156)/C155)*100</f>
        <v/>
      </c>
      <c r="K155" s="54" t="n"/>
      <c r="L155" s="55" t="n">
        <v>1.01315789473684</v>
      </c>
      <c r="M155" s="56" t="inlineStr">
        <is>
          <t>Normal</t>
        </is>
      </c>
      <c r="N155" s="55" t="n">
        <v>6.49</v>
      </c>
      <c r="O155" s="57">
        <f>N155/C155</f>
        <v/>
      </c>
      <c r="P155" s="58">
        <f>(Boosters_And!B155*100)/Boosters_And!N155</f>
        <v/>
      </c>
      <c r="Q155" s="58">
        <f>Boosters_And!B155/(C155+D155)</f>
        <v/>
      </c>
      <c r="R155" s="58">
        <f>Boosters_And!N155/B155</f>
        <v/>
      </c>
      <c r="S155" s="55" t="n">
        <v>5.78508771929824</v>
      </c>
      <c r="T155" s="59" t="n">
        <v>214</v>
      </c>
      <c r="U155" s="60" t="n">
        <v>359754.699087574</v>
      </c>
      <c r="V155" s="61">
        <f>U155/B155</f>
        <v/>
      </c>
    </row>
    <row r="156" ht="22.5" customHeight="1" s="150">
      <c r="A156" s="34" t="n">
        <v>154</v>
      </c>
      <c r="B156" s="50" t="n">
        <v>588</v>
      </c>
      <c r="C156" s="50" t="n">
        <v>575</v>
      </c>
      <c r="D156" s="50" t="n">
        <v>294</v>
      </c>
      <c r="E156" s="50" t="n">
        <v>142</v>
      </c>
      <c r="F156" s="51">
        <f>(C156*100)/B156</f>
        <v/>
      </c>
      <c r="G156" s="51">
        <f>(D156*100)/B156</f>
        <v/>
      </c>
      <c r="H156" s="53">
        <f>((B156-B157)/B156)*100</f>
        <v/>
      </c>
      <c r="I156" s="53">
        <f>((B156-C156)/B156)*100</f>
        <v/>
      </c>
      <c r="J156" s="53">
        <f>((C156-B157)/C156)*100</f>
        <v/>
      </c>
      <c r="K156" s="54" t="n"/>
      <c r="L156" s="55" t="n">
        <v>1.47533632286995</v>
      </c>
      <c r="M156" s="69" t="inlineStr">
        <is>
          <t>Hard</t>
        </is>
      </c>
      <c r="N156" s="55" t="n">
        <v>40.93</v>
      </c>
      <c r="O156" s="57">
        <f>N156/C156</f>
        <v/>
      </c>
      <c r="P156" s="58">
        <f>(Boosters_And!B156*100)/Boosters_And!N156</f>
        <v/>
      </c>
      <c r="Q156" s="58">
        <f>Boosters_And!B156/(C156+D156)</f>
        <v/>
      </c>
      <c r="R156" s="58">
        <f>Boosters_And!N156/B156</f>
        <v/>
      </c>
      <c r="S156" s="55" t="n">
        <v>5.8609865470852</v>
      </c>
      <c r="T156" s="59" t="n">
        <v>330</v>
      </c>
      <c r="U156" s="60" t="n">
        <v>318124.006538562</v>
      </c>
      <c r="V156" s="61">
        <f>U156/B156</f>
        <v/>
      </c>
    </row>
    <row r="157" ht="22.5" customHeight="1" s="150">
      <c r="A157" s="34" t="n">
        <v>155</v>
      </c>
      <c r="B157" s="50" t="n">
        <v>583</v>
      </c>
      <c r="C157" s="50" t="n">
        <v>578</v>
      </c>
      <c r="D157" s="50" t="n">
        <v>3</v>
      </c>
      <c r="E157" s="50" t="n">
        <v>5</v>
      </c>
      <c r="F157" s="51">
        <f>(C157*100)/B157</f>
        <v/>
      </c>
      <c r="G157" s="51">
        <f>(D157*100)/B157</f>
        <v/>
      </c>
      <c r="H157" s="53">
        <f>((B157-B158)/B157)*100</f>
        <v/>
      </c>
      <c r="I157" s="53">
        <f>((B157-C157)/B157)*100</f>
        <v/>
      </c>
      <c r="J157" s="53">
        <f>((C157-B158)/C157)*100</f>
        <v/>
      </c>
      <c r="K157" s="54" t="n"/>
      <c r="L157" s="55" t="n">
        <v>1.00446428571428</v>
      </c>
      <c r="M157" s="56" t="inlineStr">
        <is>
          <t>Normal</t>
        </is>
      </c>
      <c r="N157" s="55" t="n">
        <v>0</v>
      </c>
      <c r="O157" s="57">
        <f>N157/C157</f>
        <v/>
      </c>
      <c r="P157" s="58">
        <f>(Boosters_And!B157*100)/Boosters_And!N157</f>
        <v/>
      </c>
      <c r="Q157" s="58">
        <f>Boosters_And!B157/(C157+D157)</f>
        <v/>
      </c>
      <c r="R157" s="58">
        <f>Boosters_And!N157/B157</f>
        <v/>
      </c>
      <c r="S157" s="55" t="n">
        <v>8.508928571428569</v>
      </c>
      <c r="T157" s="59" t="n">
        <v>209</v>
      </c>
      <c r="U157" s="60" t="n">
        <v>377694.071248564</v>
      </c>
      <c r="V157" s="61">
        <f>U157/B157</f>
        <v/>
      </c>
    </row>
    <row r="158" ht="22.5" customHeight="1" s="150">
      <c r="A158" s="34" t="n">
        <v>156</v>
      </c>
      <c r="B158" s="50" t="n">
        <v>573</v>
      </c>
      <c r="C158" s="50" t="n">
        <v>565</v>
      </c>
      <c r="D158" s="50" t="n">
        <v>62</v>
      </c>
      <c r="E158" s="50" t="n">
        <v>21</v>
      </c>
      <c r="F158" s="51">
        <f>(C158*100)/B158</f>
        <v/>
      </c>
      <c r="G158" s="51">
        <f>(D158*100)/B158</f>
        <v/>
      </c>
      <c r="H158" s="53">
        <f>((B158-B159)/B158)*100</f>
        <v/>
      </c>
      <c r="I158" s="53">
        <f>((B158-C158)/B158)*100</f>
        <v/>
      </c>
      <c r="J158" s="53">
        <f>((C158-B159)/C158)*100</f>
        <v/>
      </c>
      <c r="K158" s="54" t="n"/>
      <c r="L158" s="55" t="n">
        <v>1.01826484018264</v>
      </c>
      <c r="M158" s="70" t="inlineStr">
        <is>
          <t>Normal</t>
        </is>
      </c>
      <c r="N158" s="55" t="n">
        <v>6.49</v>
      </c>
      <c r="O158" s="57">
        <f>N158/C158</f>
        <v/>
      </c>
      <c r="P158" s="58">
        <f>(Boosters_And!B158*100)/Boosters_And!N158</f>
        <v/>
      </c>
      <c r="Q158" s="58">
        <f>Boosters_And!B158/(C158+D158)</f>
        <v/>
      </c>
      <c r="R158" s="58">
        <f>Boosters_And!N158/B158</f>
        <v/>
      </c>
      <c r="S158" s="55" t="n">
        <v>5.27397260273972</v>
      </c>
      <c r="T158" s="59" t="n">
        <v>227</v>
      </c>
      <c r="U158" s="60" t="n">
        <v>384129.54695549</v>
      </c>
      <c r="V158" s="61">
        <f>U158/B158</f>
        <v/>
      </c>
    </row>
    <row r="159" ht="22.5" customHeight="1" s="150">
      <c r="A159" s="34" t="n">
        <v>157</v>
      </c>
      <c r="B159" s="50" t="n">
        <v>578</v>
      </c>
      <c r="C159" s="50" t="n">
        <v>567</v>
      </c>
      <c r="D159" s="50" t="n">
        <v>299</v>
      </c>
      <c r="E159" s="50" t="n">
        <v>175</v>
      </c>
      <c r="F159" s="51">
        <f>(C159*100)/B159</f>
        <v/>
      </c>
      <c r="G159" s="51">
        <f>(D159*100)/B159</f>
        <v/>
      </c>
      <c r="H159" s="53">
        <f>((B159-B160)/B159)*100</f>
        <v/>
      </c>
      <c r="I159" s="53">
        <f>((B159-C159)/B159)*100</f>
        <v/>
      </c>
      <c r="J159" s="53">
        <f>((C159-B160)/C159)*100</f>
        <v/>
      </c>
      <c r="K159" s="54" t="n"/>
      <c r="L159" s="55" t="n">
        <v>1.41818181818181</v>
      </c>
      <c r="M159" s="56" t="inlineStr">
        <is>
          <t>Normal</t>
        </is>
      </c>
      <c r="N159" s="55" t="n">
        <v>47.72</v>
      </c>
      <c r="O159" s="57">
        <f>N159/C159</f>
        <v/>
      </c>
      <c r="P159" s="58">
        <f>(Boosters_And!B159*100)/Boosters_And!N159</f>
        <v/>
      </c>
      <c r="Q159" s="58">
        <f>Boosters_And!B159/(C159+D159)</f>
        <v/>
      </c>
      <c r="R159" s="58">
        <f>Boosters_And!N159/B159</f>
        <v/>
      </c>
      <c r="S159" s="55" t="n">
        <v>7.13181818181818</v>
      </c>
      <c r="T159" s="59" t="n">
        <v>307</v>
      </c>
      <c r="U159" s="60" t="n">
        <v>295593.39319187</v>
      </c>
      <c r="V159" s="61">
        <f>U159/B159</f>
        <v/>
      </c>
    </row>
    <row r="160" ht="22.5" customHeight="1" s="150">
      <c r="A160" s="34" t="n">
        <v>158</v>
      </c>
      <c r="B160" s="50" t="n">
        <v>570</v>
      </c>
      <c r="C160" s="50" t="n">
        <v>562</v>
      </c>
      <c r="D160" s="50" t="n">
        <v>126</v>
      </c>
      <c r="E160" s="50" t="n">
        <v>59</v>
      </c>
      <c r="F160" s="51">
        <f>(C160*100)/B160</f>
        <v/>
      </c>
      <c r="G160" s="51">
        <f>(D160*100)/B160</f>
        <v/>
      </c>
      <c r="H160" s="53">
        <f>((B160-B161)/B160)*100</f>
        <v/>
      </c>
      <c r="I160" s="53">
        <f>((B160-C160)/B160)*100</f>
        <v/>
      </c>
      <c r="J160" s="53">
        <f>((C160-B161)/C160)*100</f>
        <v/>
      </c>
      <c r="K160" s="54" t="n"/>
      <c r="L160" s="55" t="n">
        <v>1.08715596330275</v>
      </c>
      <c r="M160" s="70" t="inlineStr">
        <is>
          <t>Normal</t>
        </is>
      </c>
      <c r="N160" s="55" t="n">
        <v>6.98</v>
      </c>
      <c r="O160" s="57">
        <f>N160/C160</f>
        <v/>
      </c>
      <c r="P160" s="58">
        <f>(Boosters_And!B160*100)/Boosters_And!N160</f>
        <v/>
      </c>
      <c r="Q160" s="58">
        <f>Boosters_And!B160/(C160+D160)</f>
        <v/>
      </c>
      <c r="R160" s="58">
        <f>Boosters_And!N160/B160</f>
        <v/>
      </c>
      <c r="S160" s="55" t="n">
        <v>8.30275229357798</v>
      </c>
      <c r="T160" s="59" t="n">
        <v>258</v>
      </c>
      <c r="U160" s="60" t="n">
        <v>308309.583666878</v>
      </c>
      <c r="V160" s="61">
        <f>U160/B160</f>
        <v/>
      </c>
    </row>
    <row r="161" ht="22.5" customHeight="1" s="150">
      <c r="A161" s="34" t="n">
        <v>159</v>
      </c>
      <c r="B161" s="50" t="n">
        <v>586</v>
      </c>
      <c r="C161" s="50" t="n">
        <v>539</v>
      </c>
      <c r="D161" s="50" t="n">
        <v>441</v>
      </c>
      <c r="E161" s="50" t="n">
        <v>328</v>
      </c>
      <c r="F161" s="51">
        <f>(C161*100)/B161</f>
        <v/>
      </c>
      <c r="G161" s="51">
        <f>(D161*100)/B161</f>
        <v/>
      </c>
      <c r="H161" s="53">
        <f>((B161-B162)/B161)*100</f>
        <v/>
      </c>
      <c r="I161" s="53">
        <f>((B161-C161)/B161)*100</f>
        <v/>
      </c>
      <c r="J161" s="53">
        <f>((C161-B162)/C161)*100</f>
        <v/>
      </c>
      <c r="K161" s="54" t="n"/>
      <c r="L161" s="55" t="n">
        <v>2.38277511961722</v>
      </c>
      <c r="M161" s="71" t="inlineStr">
        <is>
          <t>Hard</t>
        </is>
      </c>
      <c r="N161" s="55" t="n">
        <v>205.66</v>
      </c>
      <c r="O161" s="57">
        <f>N161/C161</f>
        <v/>
      </c>
      <c r="P161" s="58">
        <f>(Boosters_And!B161*100)/Boosters_And!N161</f>
        <v/>
      </c>
      <c r="Q161" s="58">
        <f>Boosters_And!B161/(C161+D161)</f>
        <v/>
      </c>
      <c r="R161" s="58">
        <f>Boosters_And!N161/B161</f>
        <v/>
      </c>
      <c r="S161" s="55" t="n">
        <v>7.88038277511961</v>
      </c>
      <c r="T161" s="59" t="n">
        <v>397</v>
      </c>
      <c r="U161" s="60" t="n">
        <v>181856.999886499</v>
      </c>
      <c r="V161" s="61">
        <f>U161/B161</f>
        <v/>
      </c>
    </row>
    <row r="162" ht="22.5" customHeight="1" s="150">
      <c r="A162" s="34" t="n">
        <v>160</v>
      </c>
      <c r="B162" s="50" t="n">
        <v>537</v>
      </c>
      <c r="C162" s="50" t="n">
        <v>537</v>
      </c>
      <c r="D162" s="50" t="n">
        <v>119</v>
      </c>
      <c r="E162" s="50" t="n">
        <v>67</v>
      </c>
      <c r="F162" s="51">
        <f>(C162*100)/B162</f>
        <v/>
      </c>
      <c r="G162" s="51">
        <f>(D162*100)/B162</f>
        <v/>
      </c>
      <c r="H162" s="53">
        <f>((B162-B163)/B162)*100</f>
        <v/>
      </c>
      <c r="I162" s="53">
        <f>((B162-C162)/B162)*100</f>
        <v/>
      </c>
      <c r="J162" s="53">
        <f>((C162-B163)/C162)*100</f>
        <v/>
      </c>
      <c r="K162" s="54" t="n"/>
      <c r="L162" s="55" t="n">
        <v>1.10576923076923</v>
      </c>
      <c r="M162" s="70" t="inlineStr">
        <is>
          <t>Normal</t>
        </is>
      </c>
      <c r="N162" s="55" t="n">
        <v>18</v>
      </c>
      <c r="O162" s="57">
        <f>N162/C162</f>
        <v/>
      </c>
      <c r="P162" s="58">
        <f>(Boosters_And!B162*100)/Boosters_And!N162</f>
        <v/>
      </c>
      <c r="Q162" s="58">
        <f>Boosters_And!B162/(C162+D162)</f>
        <v/>
      </c>
      <c r="R162" s="58">
        <f>Boosters_And!N162/B162</f>
        <v/>
      </c>
      <c r="S162" s="55" t="n">
        <v>7.51923076923077</v>
      </c>
      <c r="T162" s="59" t="n">
        <v>242</v>
      </c>
      <c r="U162" s="60" t="n">
        <v>242639.358617445</v>
      </c>
      <c r="V162" s="61">
        <f>U162/B162</f>
        <v/>
      </c>
    </row>
    <row r="163" ht="22.5" customHeight="1" s="150">
      <c r="A163" s="34" t="n">
        <v>161</v>
      </c>
      <c r="B163" s="50" t="n">
        <v>537</v>
      </c>
      <c r="C163" s="50" t="n">
        <v>537</v>
      </c>
      <c r="D163" s="50" t="n">
        <v>0</v>
      </c>
      <c r="E163" s="50" t="n">
        <v>3</v>
      </c>
      <c r="F163" s="51">
        <f>(C163*100)/B163</f>
        <v/>
      </c>
      <c r="G163" s="51">
        <f>(D163*100)/B163</f>
        <v/>
      </c>
      <c r="H163" s="53">
        <f>((B163-B164)/B163)*100</f>
        <v/>
      </c>
      <c r="I163" s="53">
        <f>((B163-C163)/B163)*100</f>
        <v/>
      </c>
      <c r="J163" s="53">
        <f>((C163-B164)/C163)*100</f>
        <v/>
      </c>
      <c r="K163" s="54" t="n"/>
      <c r="L163" s="55" t="n">
        <v>1</v>
      </c>
      <c r="M163" s="56" t="inlineStr">
        <is>
          <t>Normal</t>
        </is>
      </c>
      <c r="N163" s="55" t="n">
        <v>0</v>
      </c>
      <c r="O163" s="57">
        <f>N163/C163</f>
        <v/>
      </c>
      <c r="P163" s="58">
        <f>(Boosters_And!B163*100)/Boosters_And!N163</f>
        <v/>
      </c>
      <c r="Q163" s="58">
        <f>Boosters_And!B163/(C163+D163)</f>
        <v/>
      </c>
      <c r="R163" s="58">
        <f>Boosters_And!N163/B163</f>
        <v/>
      </c>
      <c r="S163" s="55" t="n">
        <v>9.97596153846154</v>
      </c>
      <c r="T163" s="59" t="n">
        <v>204</v>
      </c>
      <c r="U163" s="60" t="n">
        <v>281342.490073326</v>
      </c>
      <c r="V163" s="61">
        <f>U163/B163</f>
        <v/>
      </c>
    </row>
    <row r="164" ht="22.5" customHeight="1" s="150">
      <c r="A164" s="34" t="n">
        <v>162</v>
      </c>
      <c r="B164" s="50" t="n">
        <v>537</v>
      </c>
      <c r="C164" s="50" t="n">
        <v>537</v>
      </c>
      <c r="D164" s="50" t="n">
        <v>0</v>
      </c>
      <c r="E164" s="50" t="n">
        <v>0</v>
      </c>
      <c r="F164" s="51">
        <f>(C164*100)/B164</f>
        <v/>
      </c>
      <c r="G164" s="51">
        <f>(D164*100)/B164</f>
        <v/>
      </c>
      <c r="H164" s="53">
        <f>((B164-B165)/B164)*100</f>
        <v/>
      </c>
      <c r="I164" s="53">
        <f>((B164-C164)/B164)*100</f>
        <v/>
      </c>
      <c r="J164" s="53">
        <f>((C164-B165)/C164)*100</f>
        <v/>
      </c>
      <c r="K164" s="54" t="n"/>
      <c r="L164" s="55" t="n">
        <v>1</v>
      </c>
      <c r="M164" s="70" t="inlineStr">
        <is>
          <t>Normal</t>
        </is>
      </c>
      <c r="N164" s="55" t="n">
        <v>0</v>
      </c>
      <c r="O164" s="57">
        <f>N164/C164</f>
        <v/>
      </c>
      <c r="P164" s="58">
        <f>(Boosters_And!B164*100)/Boosters_And!N164</f>
        <v/>
      </c>
      <c r="Q164" s="58">
        <f>Boosters_And!B164/(C164+D164)</f>
        <v/>
      </c>
      <c r="R164" s="58">
        <f>Boosters_And!N164/B164</f>
        <v/>
      </c>
      <c r="S164" s="55" t="n">
        <v>5.40384615384615</v>
      </c>
      <c r="T164" s="59" t="n">
        <v>196</v>
      </c>
      <c r="U164" s="60" t="n">
        <v>313261.933709883</v>
      </c>
      <c r="V164" s="61">
        <f>U164/B164</f>
        <v/>
      </c>
    </row>
    <row r="165" ht="22.5" customHeight="1" s="150">
      <c r="A165" s="34" t="n">
        <v>163</v>
      </c>
      <c r="B165" s="50" t="n">
        <v>539</v>
      </c>
      <c r="C165" s="50" t="n">
        <v>539</v>
      </c>
      <c r="D165" s="50" t="n">
        <v>196</v>
      </c>
      <c r="E165" s="50" t="n">
        <v>95</v>
      </c>
      <c r="F165" s="51">
        <f>(C165*100)/B165</f>
        <v/>
      </c>
      <c r="G165" s="51">
        <f>(D165*100)/B165</f>
        <v/>
      </c>
      <c r="H165" s="53">
        <f>((B165-B166)/B165)*100</f>
        <v/>
      </c>
      <c r="I165" s="53">
        <f>((B165-C165)/B165)*100</f>
        <v/>
      </c>
      <c r="J165" s="53">
        <f>((C165-B166)/C165)*100</f>
        <v/>
      </c>
      <c r="K165" s="54" t="n"/>
      <c r="L165" s="55" t="n">
        <v>1.14832535885167</v>
      </c>
      <c r="M165" s="56" t="inlineStr">
        <is>
          <t>Normal</t>
        </is>
      </c>
      <c r="N165" s="55" t="n">
        <v>13.51</v>
      </c>
      <c r="O165" s="57">
        <f>N165/C165</f>
        <v/>
      </c>
      <c r="P165" s="58">
        <f>(Boosters_And!B165*100)/Boosters_And!N165</f>
        <v/>
      </c>
      <c r="Q165" s="58">
        <f>Boosters_And!B165/(C165+D165)</f>
        <v/>
      </c>
      <c r="R165" s="58">
        <f>Boosters_And!N165/B165</f>
        <v/>
      </c>
      <c r="S165" s="55" t="n">
        <v>5.7511961722488</v>
      </c>
      <c r="T165" s="59" t="n">
        <v>291</v>
      </c>
      <c r="U165" s="60" t="n">
        <v>284824.611197314</v>
      </c>
      <c r="V165" s="61">
        <f>U165/B165</f>
        <v/>
      </c>
    </row>
    <row r="166" ht="22.5" customHeight="1" s="150">
      <c r="A166" s="34" t="n">
        <v>164</v>
      </c>
      <c r="B166" s="50" t="n">
        <v>534</v>
      </c>
      <c r="C166" s="50" t="n">
        <v>524</v>
      </c>
      <c r="D166" s="50" t="n">
        <v>178</v>
      </c>
      <c r="E166" s="50" t="n">
        <v>111</v>
      </c>
      <c r="F166" s="51">
        <f>(C166*100)/B166</f>
        <v/>
      </c>
      <c r="G166" s="51">
        <f>(D166*100)/B166</f>
        <v/>
      </c>
      <c r="H166" s="53">
        <f>((B166-B167)/B166)*100</f>
        <v/>
      </c>
      <c r="I166" s="53">
        <f>((B166-C166)/B166)*100</f>
        <v/>
      </c>
      <c r="J166" s="53">
        <f>((C166-B167)/C166)*100</f>
        <v/>
      </c>
      <c r="K166" s="54" t="n"/>
      <c r="L166" s="55" t="n">
        <v>1.15270935960591</v>
      </c>
      <c r="M166" s="70" t="inlineStr">
        <is>
          <t>Normal</t>
        </is>
      </c>
      <c r="N166" s="55" t="n">
        <v>3.98</v>
      </c>
      <c r="O166" s="57">
        <f>N166/C166</f>
        <v/>
      </c>
      <c r="P166" s="58">
        <f>(Boosters_And!B166*100)/Boosters_And!N166</f>
        <v/>
      </c>
      <c r="Q166" s="58">
        <f>Boosters_And!B166/(C166+D166)</f>
        <v/>
      </c>
      <c r="R166" s="58">
        <f>Boosters_And!N166/B166</f>
        <v/>
      </c>
      <c r="S166" s="55" t="n">
        <v>6.38423645320197</v>
      </c>
      <c r="T166" s="59" t="n">
        <v>276</v>
      </c>
      <c r="U166" s="60" t="n">
        <v>285443.65495269</v>
      </c>
      <c r="V166" s="61">
        <f>U166/B166</f>
        <v/>
      </c>
    </row>
    <row r="167" ht="22.5" customHeight="1" s="150">
      <c r="A167" s="34" t="n">
        <v>165</v>
      </c>
      <c r="B167" s="50" t="n">
        <v>526</v>
      </c>
      <c r="C167" s="50" t="n">
        <v>524</v>
      </c>
      <c r="D167" s="50" t="n">
        <v>219</v>
      </c>
      <c r="E167" s="50" t="n">
        <v>139</v>
      </c>
      <c r="F167" s="51">
        <f>(C167*100)/B167</f>
        <v/>
      </c>
      <c r="G167" s="51">
        <f>(D167*100)/B167</f>
        <v/>
      </c>
      <c r="H167" s="53">
        <f>((B167-B168)/B167)*100</f>
        <v/>
      </c>
      <c r="I167" s="53">
        <f>((B167-C167)/B167)*100</f>
        <v/>
      </c>
      <c r="J167" s="53">
        <f>((C167-B168)/C167)*100</f>
        <v/>
      </c>
      <c r="K167" s="54" t="n"/>
      <c r="L167" s="55" t="n">
        <v>1.24137931034482</v>
      </c>
      <c r="M167" s="56" t="inlineStr">
        <is>
          <t>Normal</t>
        </is>
      </c>
      <c r="N167" s="55" t="n">
        <v>26.04</v>
      </c>
      <c r="O167" s="57">
        <f>N167/C167</f>
        <v/>
      </c>
      <c r="P167" s="58">
        <f>(Boosters_And!B167*100)/Boosters_And!N167</f>
        <v/>
      </c>
      <c r="Q167" s="58">
        <f>Boosters_And!B167/(C167+D167)</f>
        <v/>
      </c>
      <c r="R167" s="58">
        <f>Boosters_And!N167/B167</f>
        <v/>
      </c>
      <c r="S167" s="55" t="n">
        <v>5</v>
      </c>
      <c r="T167" s="59" t="n">
        <v>297</v>
      </c>
      <c r="U167" s="60" t="n">
        <v>266498.336689214</v>
      </c>
      <c r="V167" s="61">
        <f>U167/B167</f>
        <v/>
      </c>
    </row>
    <row r="168" ht="22.5" customHeight="1" s="150">
      <c r="A168" s="34" t="n">
        <v>166</v>
      </c>
      <c r="B168" s="50" t="n">
        <v>524</v>
      </c>
      <c r="C168" s="50" t="n">
        <v>516</v>
      </c>
      <c r="D168" s="50" t="n">
        <v>237</v>
      </c>
      <c r="E168" s="50" t="n">
        <v>70</v>
      </c>
      <c r="F168" s="51">
        <f>(C168*100)/B168</f>
        <v/>
      </c>
      <c r="G168" s="51">
        <f>(D168*100)/B168</f>
        <v/>
      </c>
      <c r="H168" s="53">
        <f>((B168-B169)/B168)*100</f>
        <v/>
      </c>
      <c r="I168" s="53">
        <f>((B168-C168)/B168)*100</f>
        <v/>
      </c>
      <c r="J168" s="53">
        <f>((C168-B169)/C168)*100</f>
        <v/>
      </c>
      <c r="K168" s="54" t="n"/>
      <c r="L168" s="55" t="n">
        <v>1.065</v>
      </c>
      <c r="M168" s="70" t="inlineStr">
        <is>
          <t>Normal</t>
        </is>
      </c>
      <c r="N168" s="55" t="n">
        <v>22.47</v>
      </c>
      <c r="O168" s="57">
        <f>N168/C168</f>
        <v/>
      </c>
      <c r="P168" s="58">
        <f>(Boosters_And!B168*100)/Boosters_And!N168</f>
        <v/>
      </c>
      <c r="Q168" s="58">
        <f>Boosters_And!B168/(C168+D168)</f>
        <v/>
      </c>
      <c r="R168" s="58">
        <f>Boosters_And!N168/B168</f>
        <v/>
      </c>
      <c r="S168" s="55" t="n">
        <v>7.02</v>
      </c>
      <c r="T168" s="59" t="n">
        <v>302</v>
      </c>
      <c r="U168" s="60" t="n">
        <v>205948.119366534</v>
      </c>
      <c r="V168" s="61">
        <f>U168/B168</f>
        <v/>
      </c>
    </row>
    <row r="169" ht="22.5" customHeight="1" s="150">
      <c r="A169" s="34" t="n">
        <v>167</v>
      </c>
      <c r="B169" s="50" t="n">
        <v>516</v>
      </c>
      <c r="C169" s="50" t="n">
        <v>513</v>
      </c>
      <c r="D169" s="50" t="n">
        <v>340</v>
      </c>
      <c r="E169" s="50" t="n">
        <v>152</v>
      </c>
      <c r="F169" s="51">
        <f>(C169*100)/B169</f>
        <v/>
      </c>
      <c r="G169" s="51">
        <f>(D169*100)/B169</f>
        <v/>
      </c>
      <c r="H169" s="53">
        <f>((B169-B170)/B169)*100</f>
        <v/>
      </c>
      <c r="I169" s="53">
        <f>((B169-C169)/B169)*100</f>
        <v/>
      </c>
      <c r="J169" s="53">
        <f>((C169-B170)/C169)*100</f>
        <v/>
      </c>
      <c r="K169" s="54" t="n"/>
      <c r="L169" s="55" t="n">
        <v>1.44723618090452</v>
      </c>
      <c r="M169" s="56" t="inlineStr">
        <is>
          <t>Normal</t>
        </is>
      </c>
      <c r="N169" s="55" t="n">
        <v>45.39</v>
      </c>
      <c r="O169" s="57">
        <f>N169/C169</f>
        <v/>
      </c>
      <c r="P169" s="58">
        <f>(Boosters_And!B169*100)/Boosters_And!N169</f>
        <v/>
      </c>
      <c r="Q169" s="58">
        <f>Boosters_And!B169/(C169+D169)</f>
        <v/>
      </c>
      <c r="R169" s="58">
        <f>Boosters_And!N169/B169</f>
        <v/>
      </c>
      <c r="S169" s="55" t="n">
        <v>8.321608040200999</v>
      </c>
      <c r="T169" s="59" t="n">
        <v>322</v>
      </c>
      <c r="U169" s="60" t="n">
        <v>186809.349929504</v>
      </c>
      <c r="V169" s="61">
        <f>U169/B169</f>
        <v/>
      </c>
    </row>
    <row r="170" ht="22.5" customHeight="1" s="150">
      <c r="A170" s="34" t="n">
        <v>168</v>
      </c>
      <c r="B170" s="50" t="n">
        <v>513</v>
      </c>
      <c r="C170" s="50" t="n">
        <v>513</v>
      </c>
      <c r="D170" s="50" t="n">
        <v>168</v>
      </c>
      <c r="E170" s="50" t="n">
        <v>44</v>
      </c>
      <c r="F170" s="51">
        <f>(C170*100)/B170</f>
        <v/>
      </c>
      <c r="G170" s="51">
        <f>(D170*100)/B170</f>
        <v/>
      </c>
      <c r="H170" s="53">
        <f>((B170-B171)/B170)*100</f>
        <v/>
      </c>
      <c r="I170" s="53">
        <f>((B170-C170)/B170)*100</f>
        <v/>
      </c>
      <c r="J170" s="53">
        <f>((C170-B171)/C170)*100</f>
        <v/>
      </c>
      <c r="K170" s="54" t="n"/>
      <c r="L170" s="55" t="n">
        <v>1.0502512562814</v>
      </c>
      <c r="M170" s="70" t="inlineStr">
        <is>
          <t>Normal</t>
        </is>
      </c>
      <c r="N170" s="55" t="n">
        <v>12.99</v>
      </c>
      <c r="O170" s="57">
        <f>N170/C170</f>
        <v/>
      </c>
      <c r="P170" s="58">
        <f>(Boosters_And!B170*100)/Boosters_And!N170</f>
        <v/>
      </c>
      <c r="Q170" s="58">
        <f>Boosters_And!B170/(C170+D170)</f>
        <v/>
      </c>
      <c r="R170" s="58">
        <f>Boosters_And!N170/B170</f>
        <v/>
      </c>
      <c r="S170" s="55" t="n">
        <v>15.0351758793969</v>
      </c>
      <c r="T170" s="59" t="n">
        <v>268</v>
      </c>
      <c r="U170" s="60" t="n">
        <v>188743.861665053</v>
      </c>
      <c r="V170" s="61">
        <f>U170/B170</f>
        <v/>
      </c>
    </row>
    <row r="171" ht="22.5" customHeight="1" s="150">
      <c r="A171" s="34" t="n">
        <v>169</v>
      </c>
      <c r="B171" s="50" t="n">
        <v>524</v>
      </c>
      <c r="C171" s="50" t="n">
        <v>498</v>
      </c>
      <c r="D171" s="50" t="n">
        <v>384</v>
      </c>
      <c r="E171" s="50" t="n">
        <v>268</v>
      </c>
      <c r="F171" s="51">
        <f>(C171*100)/B171</f>
        <v/>
      </c>
      <c r="G171" s="51">
        <f>(D171*100)/B171</f>
        <v/>
      </c>
      <c r="H171" s="52">
        <f>((B171-B172)/B171)*100</f>
        <v/>
      </c>
      <c r="I171" s="53">
        <f>((B171-C171)/B171)*100</f>
        <v/>
      </c>
      <c r="J171" s="53">
        <f>((C171-B172)/C171)*100</f>
        <v/>
      </c>
      <c r="K171" s="54" t="n"/>
      <c r="L171" s="55" t="n">
        <v>2.0621761658031</v>
      </c>
      <c r="M171" s="71" t="inlineStr">
        <is>
          <t>Hard</t>
        </is>
      </c>
      <c r="N171" s="55" t="n">
        <v>128.09</v>
      </c>
      <c r="O171" s="57">
        <f>N171/C171</f>
        <v/>
      </c>
      <c r="P171" s="58">
        <f>(Boosters_And!B171*100)/Boosters_And!N171</f>
        <v/>
      </c>
      <c r="Q171" s="58">
        <f>Boosters_And!B171/(C171+D171)</f>
        <v/>
      </c>
      <c r="R171" s="58">
        <f>Boosters_And!N171/B171</f>
        <v/>
      </c>
      <c r="S171" s="55" t="n">
        <v>9.005181347150261</v>
      </c>
      <c r="T171" s="59" t="n">
        <v>356</v>
      </c>
      <c r="U171" s="60" t="n">
        <v>165400.753389429</v>
      </c>
      <c r="V171" s="61">
        <f>U171/B171</f>
        <v/>
      </c>
    </row>
    <row r="172" ht="22.5" customHeight="1" s="150">
      <c r="A172" s="34" t="n">
        <v>170</v>
      </c>
      <c r="B172" s="50" t="n">
        <v>500</v>
      </c>
      <c r="C172" s="50" t="n">
        <v>498</v>
      </c>
      <c r="D172" s="50" t="n">
        <v>155</v>
      </c>
      <c r="E172" s="50" t="n">
        <v>85</v>
      </c>
      <c r="F172" s="51">
        <f>(C172*100)/B172</f>
        <v/>
      </c>
      <c r="G172" s="51">
        <f>(D172*100)/B172</f>
        <v/>
      </c>
      <c r="H172" s="53">
        <f>((B172-B173)/B172)*100</f>
        <v/>
      </c>
      <c r="I172" s="53">
        <f>((B172-C172)/B172)*100</f>
        <v/>
      </c>
      <c r="J172" s="53">
        <f>((C172-B173)/C172)*100</f>
        <v/>
      </c>
      <c r="K172" s="54" t="n"/>
      <c r="L172" s="55" t="n">
        <v>1.12435233160621</v>
      </c>
      <c r="M172" s="70" t="inlineStr">
        <is>
          <t>Normal</t>
        </is>
      </c>
      <c r="N172" s="55" t="n">
        <v>1.99</v>
      </c>
      <c r="O172" s="57">
        <f>N172/C172</f>
        <v/>
      </c>
      <c r="P172" s="58">
        <f>(Boosters_And!B172*100)/Boosters_And!N172</f>
        <v/>
      </c>
      <c r="Q172" s="58">
        <f>Boosters_And!B172/(C172+D172)</f>
        <v/>
      </c>
      <c r="R172" s="58">
        <f>Boosters_And!N172/B172</f>
        <v/>
      </c>
      <c r="S172" s="55" t="n">
        <v>4.22279792746114</v>
      </c>
      <c r="T172" s="59" t="n">
        <v>248</v>
      </c>
      <c r="U172" s="60" t="n">
        <v>183185.364611576</v>
      </c>
      <c r="V172" s="61">
        <f>U172/B172</f>
        <v/>
      </c>
    </row>
    <row r="173" ht="22.5" customHeight="1" s="150">
      <c r="A173" s="34" t="n">
        <v>171</v>
      </c>
      <c r="B173" s="50" t="n">
        <v>495</v>
      </c>
      <c r="C173" s="50" t="n">
        <v>487</v>
      </c>
      <c r="D173" s="50" t="n">
        <v>253</v>
      </c>
      <c r="E173" s="50" t="n">
        <v>119</v>
      </c>
      <c r="F173" s="51">
        <f>(C173*100)/B173</f>
        <v/>
      </c>
      <c r="G173" s="51">
        <f>(D173*100)/B173</f>
        <v/>
      </c>
      <c r="H173" s="53">
        <f>((B173-B174)/B173)*100</f>
        <v/>
      </c>
      <c r="I173" s="53">
        <f>((B173-C173)/B173)*100</f>
        <v/>
      </c>
      <c r="J173" s="53">
        <f>((C173-B174)/C173)*100</f>
        <v/>
      </c>
      <c r="K173" s="54" t="n"/>
      <c r="L173" s="55" t="n">
        <v>1.31746031746031</v>
      </c>
      <c r="M173" s="56" t="inlineStr">
        <is>
          <t>Normal</t>
        </is>
      </c>
      <c r="N173" s="55" t="n">
        <v>27.13</v>
      </c>
      <c r="O173" s="57">
        <f>N173/C173</f>
        <v/>
      </c>
      <c r="P173" s="58">
        <f>(Boosters_And!B173*100)/Boosters_And!N173</f>
        <v/>
      </c>
      <c r="Q173" s="58">
        <f>Boosters_And!B173/(C173+D173)</f>
        <v/>
      </c>
      <c r="R173" s="58">
        <f>Boosters_And!N173/B173</f>
        <v/>
      </c>
      <c r="S173" s="55" t="n">
        <v>7.74603174603174</v>
      </c>
      <c r="T173" s="59" t="n">
        <v>281</v>
      </c>
      <c r="U173" s="60" t="n">
        <v>174699.306464968</v>
      </c>
      <c r="V173" s="61">
        <f>U173/B173</f>
        <v/>
      </c>
    </row>
    <row r="174" ht="22.5" customHeight="1" s="150">
      <c r="A174" s="34" t="n">
        <v>172</v>
      </c>
      <c r="B174" s="50" t="n">
        <v>498</v>
      </c>
      <c r="C174" s="50" t="n">
        <v>495</v>
      </c>
      <c r="D174" s="50" t="n">
        <v>359</v>
      </c>
      <c r="E174" s="50" t="n">
        <v>165</v>
      </c>
      <c r="F174" s="51">
        <f>(C174*100)/B174</f>
        <v/>
      </c>
      <c r="G174" s="51">
        <f>(D174*100)/B174</f>
        <v/>
      </c>
      <c r="H174" s="53">
        <f>((B174-B175)/B174)*100</f>
        <v/>
      </c>
      <c r="I174" s="53">
        <f>((B174-C174)/B174)*100</f>
        <v/>
      </c>
      <c r="J174" s="53">
        <f>((C174-B175)/C174)*100</f>
        <v/>
      </c>
      <c r="K174" s="54" t="n"/>
      <c r="L174" s="55" t="n">
        <v>1.67708333333333</v>
      </c>
      <c r="M174" s="70" t="inlineStr">
        <is>
          <t>Normal</t>
        </is>
      </c>
      <c r="N174" s="55" t="n">
        <v>41.53</v>
      </c>
      <c r="O174" s="57">
        <f>N174/C174</f>
        <v/>
      </c>
      <c r="P174" s="58">
        <f>(Boosters_And!B174*100)/Boosters_And!N174</f>
        <v/>
      </c>
      <c r="Q174" s="58">
        <f>Boosters_And!B174/(C174+D174)</f>
        <v/>
      </c>
      <c r="R174" s="58">
        <f>Boosters_And!N174/B174</f>
        <v/>
      </c>
      <c r="S174" s="55" t="n">
        <v>6.27083333333333</v>
      </c>
      <c r="T174" s="59" t="n">
        <v>330</v>
      </c>
      <c r="U174" s="60" t="n">
        <v>162511.88253101</v>
      </c>
      <c r="V174" s="61">
        <f>U174/B174</f>
        <v/>
      </c>
    </row>
    <row r="175" ht="22.5" customHeight="1" s="150">
      <c r="A175" s="34" t="n">
        <v>173</v>
      </c>
      <c r="B175" s="50" t="n">
        <v>503</v>
      </c>
      <c r="C175" s="50" t="n">
        <v>498</v>
      </c>
      <c r="D175" s="50" t="n">
        <v>279</v>
      </c>
      <c r="E175" s="50" t="n">
        <v>144</v>
      </c>
      <c r="F175" s="51">
        <f>(C175*100)/B175</f>
        <v/>
      </c>
      <c r="G175" s="51">
        <f>(D175*100)/B175</f>
        <v/>
      </c>
      <c r="H175" s="53">
        <f>((B175-B176)/B175)*100</f>
        <v/>
      </c>
      <c r="I175" s="53">
        <f>((B175-C175)/B175)*100</f>
        <v/>
      </c>
      <c r="J175" s="53">
        <f>((C175-B176)/C175)*100</f>
        <v/>
      </c>
      <c r="K175" s="54" t="n"/>
      <c r="L175" s="55" t="n">
        <v>1.4300518134715</v>
      </c>
      <c r="M175" s="56" t="inlineStr">
        <is>
          <t>Normal</t>
        </is>
      </c>
      <c r="N175" s="55" t="n">
        <v>11.97</v>
      </c>
      <c r="O175" s="57">
        <f>N175/C175</f>
        <v/>
      </c>
      <c r="P175" s="58">
        <f>(Boosters_And!B175*100)/Boosters_And!N175</f>
        <v/>
      </c>
      <c r="Q175" s="58">
        <f>Boosters_And!B175/(C175+D175)</f>
        <v/>
      </c>
      <c r="R175" s="58">
        <f>Boosters_And!N175/B175</f>
        <v/>
      </c>
      <c r="S175" s="55" t="n">
        <v>8.64248704663212</v>
      </c>
      <c r="T175" s="59" t="n">
        <v>304</v>
      </c>
      <c r="U175" s="60" t="n">
        <v>154399.829986608</v>
      </c>
      <c r="V175" s="61">
        <f>U175/B175</f>
        <v/>
      </c>
    </row>
    <row r="176" ht="22.5" customHeight="1" s="150">
      <c r="A176" s="34" t="n">
        <v>174</v>
      </c>
      <c r="B176" s="50" t="n">
        <v>498</v>
      </c>
      <c r="C176" s="50" t="n">
        <v>493</v>
      </c>
      <c r="D176" s="50" t="n">
        <v>103</v>
      </c>
      <c r="E176" s="50" t="n">
        <v>39</v>
      </c>
      <c r="F176" s="51">
        <f>(C176*100)/B176</f>
        <v/>
      </c>
      <c r="G176" s="51">
        <f>(D176*100)/B176</f>
        <v/>
      </c>
      <c r="H176" s="53">
        <f>((B176-B177)/B176)*100</f>
        <v/>
      </c>
      <c r="I176" s="53">
        <f>((B176-C176)/B176)*100</f>
        <v/>
      </c>
      <c r="J176" s="53">
        <f>((C176-B177)/C176)*100</f>
        <v/>
      </c>
      <c r="K176" s="54" t="n"/>
      <c r="L176" s="55" t="n">
        <v>1.04188481675392</v>
      </c>
      <c r="M176" s="70" t="inlineStr">
        <is>
          <t>Normal</t>
        </is>
      </c>
      <c r="N176" s="55" t="n">
        <v>1.99</v>
      </c>
      <c r="O176" s="57">
        <f>N176/C176</f>
        <v/>
      </c>
      <c r="P176" s="58">
        <f>(Boosters_And!B176*100)/Boosters_And!N176</f>
        <v/>
      </c>
      <c r="Q176" s="58">
        <f>Boosters_And!B176/(C176+D176)</f>
        <v/>
      </c>
      <c r="R176" s="58">
        <f>Boosters_And!N176/B176</f>
        <v/>
      </c>
      <c r="S176" s="55" t="n">
        <v>5.90575916230366</v>
      </c>
      <c r="T176" s="59" t="n">
        <v>235</v>
      </c>
      <c r="U176" s="60" t="n">
        <v>179432.411844611</v>
      </c>
      <c r="V176" s="61">
        <f>U176/B176</f>
        <v/>
      </c>
    </row>
    <row r="177" ht="22.5" customHeight="1" s="150">
      <c r="A177" s="34" t="n">
        <v>175</v>
      </c>
      <c r="B177" s="50" t="n">
        <v>493</v>
      </c>
      <c r="C177" s="50" t="n">
        <v>477</v>
      </c>
      <c r="D177" s="50" t="n">
        <v>340</v>
      </c>
      <c r="E177" s="50" t="n">
        <v>196</v>
      </c>
      <c r="F177" s="51">
        <f>(C177*100)/B177</f>
        <v/>
      </c>
      <c r="G177" s="51">
        <f>(D177*100)/B177</f>
        <v/>
      </c>
      <c r="H177" s="53">
        <f>((B177-B178)/B177)*100</f>
        <v/>
      </c>
      <c r="I177" s="53">
        <f>((B177-C177)/B177)*100</f>
        <v/>
      </c>
      <c r="J177" s="53">
        <f>((C177-B178)/C177)*100</f>
        <v/>
      </c>
      <c r="K177" s="54" t="n"/>
      <c r="L177" s="55" t="n">
        <v>1.6054054054054</v>
      </c>
      <c r="M177" s="71" t="inlineStr">
        <is>
          <t>Hard</t>
        </is>
      </c>
      <c r="N177" s="55" t="n">
        <v>34.88</v>
      </c>
      <c r="O177" s="57">
        <f>N177/C177</f>
        <v/>
      </c>
      <c r="P177" s="58">
        <f>(Boosters_And!B177*100)/Boosters_And!N177</f>
        <v/>
      </c>
      <c r="Q177" s="58">
        <f>Boosters_And!B177/(C177+D177)</f>
        <v/>
      </c>
      <c r="R177" s="58">
        <f>Boosters_And!N177/B177</f>
        <v/>
      </c>
      <c r="S177" s="55" t="n">
        <v>9.016216216216209</v>
      </c>
      <c r="T177" s="59" t="n">
        <v>328</v>
      </c>
      <c r="U177" s="60" t="n">
        <v>126091.474923076</v>
      </c>
      <c r="V177" s="61">
        <f>U177/B177</f>
        <v/>
      </c>
    </row>
    <row r="178" ht="22.5" customHeight="1" s="150">
      <c r="A178" s="34" t="n">
        <v>176</v>
      </c>
      <c r="B178" s="50" t="n">
        <v>490</v>
      </c>
      <c r="C178" s="50" t="n">
        <v>464</v>
      </c>
      <c r="D178" s="50" t="n">
        <v>245</v>
      </c>
      <c r="E178" s="50" t="n">
        <v>245</v>
      </c>
      <c r="F178" s="51">
        <f>(C178*100)/B178</f>
        <v/>
      </c>
      <c r="G178" s="51">
        <f>(D178*100)/B178</f>
        <v/>
      </c>
      <c r="H178" s="53">
        <f>((B178-B179)/B178)*100</f>
        <v/>
      </c>
      <c r="I178" s="53">
        <f>((B178-C178)/B178)*100</f>
        <v/>
      </c>
      <c r="J178" s="53">
        <f>((C178-B179)/C178)*100</f>
        <v/>
      </c>
      <c r="K178" s="54" t="n"/>
      <c r="L178" s="55" t="n">
        <v>1.6</v>
      </c>
      <c r="M178" s="69" t="inlineStr">
        <is>
          <t>Hard</t>
        </is>
      </c>
      <c r="N178" s="55" t="n">
        <v>49.82</v>
      </c>
      <c r="O178" s="57">
        <f>N178/C178</f>
        <v/>
      </c>
      <c r="P178" s="58">
        <f>(Boosters_And!B178*100)/Boosters_And!N178</f>
        <v/>
      </c>
      <c r="Q178" s="58">
        <f>Boosters_And!B178/(C178+D178)</f>
        <v/>
      </c>
      <c r="R178" s="58">
        <f>Boosters_And!N178/B178</f>
        <v/>
      </c>
      <c r="S178" s="55" t="n">
        <v>8.733333333333331</v>
      </c>
      <c r="T178" s="59" t="n">
        <v>291</v>
      </c>
      <c r="U178" s="60" t="n">
        <v>164291.633327715</v>
      </c>
      <c r="V178" s="61">
        <f>U178/B178</f>
        <v/>
      </c>
    </row>
    <row r="179" ht="22.5" customHeight="1" s="150">
      <c r="A179" s="34" t="n">
        <v>177</v>
      </c>
      <c r="B179" s="50" t="n">
        <v>480</v>
      </c>
      <c r="C179" s="50" t="n">
        <v>444</v>
      </c>
      <c r="D179" s="50" t="n">
        <v>346</v>
      </c>
      <c r="E179" s="50" t="n">
        <v>268</v>
      </c>
      <c r="F179" s="51">
        <f>(C179*100)/B179</f>
        <v/>
      </c>
      <c r="G179" s="51">
        <f>(D179*100)/B179</f>
        <v/>
      </c>
      <c r="H179" s="53">
        <f>((B179-B180)/B179)*100</f>
        <v/>
      </c>
      <c r="I179" s="53">
        <f>((B179-C179)/B179)*100</f>
        <v/>
      </c>
      <c r="J179" s="53">
        <f>((C179-B180)/C179)*100</f>
        <v/>
      </c>
      <c r="K179" s="54" t="n"/>
      <c r="L179" s="55" t="n">
        <v>1.91279069767441</v>
      </c>
      <c r="M179" s="56" t="inlineStr">
        <is>
          <t>Normal</t>
        </is>
      </c>
      <c r="N179" s="55" t="n">
        <v>124.08</v>
      </c>
      <c r="O179" s="57">
        <f>N179/C179</f>
        <v/>
      </c>
      <c r="P179" s="58">
        <f>(Boosters_And!B179*100)/Boosters_And!N179</f>
        <v/>
      </c>
      <c r="Q179" s="58">
        <f>Boosters_And!B179/(C179+D179)</f>
        <v/>
      </c>
      <c r="R179" s="58">
        <f>Boosters_And!N179/B179</f>
        <v/>
      </c>
      <c r="S179" s="55" t="n">
        <v>11.0116279069767</v>
      </c>
      <c r="T179" s="59" t="n">
        <v>320</v>
      </c>
      <c r="U179" s="60" t="n">
        <v>123692.680370995</v>
      </c>
      <c r="V179" s="61">
        <f>U179/B179</f>
        <v/>
      </c>
    </row>
    <row r="180" ht="22.5" customHeight="1" s="150">
      <c r="A180" s="34" t="n">
        <v>178</v>
      </c>
      <c r="B180" s="50" t="n">
        <v>446</v>
      </c>
      <c r="C180" s="50" t="n">
        <v>433</v>
      </c>
      <c r="D180" s="50" t="n">
        <v>193</v>
      </c>
      <c r="E180" s="50" t="n">
        <v>134</v>
      </c>
      <c r="F180" s="51">
        <f>(C180*100)/B180</f>
        <v/>
      </c>
      <c r="G180" s="51">
        <f>(D180*100)/B180</f>
        <v/>
      </c>
      <c r="H180" s="53">
        <f>((B180-B181)/B180)*100</f>
        <v/>
      </c>
      <c r="I180" s="53">
        <f>((B180-C180)/B180)*100</f>
        <v/>
      </c>
      <c r="J180" s="53">
        <f>((C180-B181)/C180)*100</f>
        <v/>
      </c>
      <c r="K180" s="54" t="n"/>
      <c r="L180" s="55" t="n">
        <v>1.25</v>
      </c>
      <c r="M180" s="70" t="inlineStr">
        <is>
          <t>Normal</t>
        </is>
      </c>
      <c r="N180" s="55" t="n">
        <v>29.93</v>
      </c>
      <c r="O180" s="57">
        <f>N180/C180</f>
        <v/>
      </c>
      <c r="P180" s="58">
        <f>(Boosters_And!B180*100)/Boosters_And!N180</f>
        <v/>
      </c>
      <c r="Q180" s="58">
        <f>Boosters_And!B180/(C180+D180)</f>
        <v/>
      </c>
      <c r="R180" s="58">
        <f>Boosters_And!N180/B180</f>
        <v/>
      </c>
      <c r="S180" s="55" t="n">
        <v>6.93452380952381</v>
      </c>
      <c r="T180" s="59" t="n">
        <v>240</v>
      </c>
      <c r="U180" s="60" t="n">
        <v>131417.830568287</v>
      </c>
      <c r="V180" s="61">
        <f>U180/B180</f>
        <v/>
      </c>
    </row>
    <row r="181" ht="22.5" customHeight="1" s="150">
      <c r="A181" s="34" t="n">
        <v>179</v>
      </c>
      <c r="B181" s="50" t="n">
        <v>436</v>
      </c>
      <c r="C181" s="50" t="n">
        <v>428</v>
      </c>
      <c r="D181" s="50" t="n">
        <v>281</v>
      </c>
      <c r="E181" s="50" t="n">
        <v>150</v>
      </c>
      <c r="F181" s="51">
        <f>(C181*100)/B181</f>
        <v/>
      </c>
      <c r="G181" s="51">
        <f>(D181*100)/B181</f>
        <v/>
      </c>
      <c r="H181" s="53">
        <f>((B181-B182)/B181)*100</f>
        <v/>
      </c>
      <c r="I181" s="53">
        <f>((B181-C181)/B181)*100</f>
        <v/>
      </c>
      <c r="J181" s="53">
        <f>((C181-B182)/C181)*100</f>
        <v/>
      </c>
      <c r="K181" s="54" t="n"/>
      <c r="L181" s="55" t="n">
        <v>1.19879518072289</v>
      </c>
      <c r="M181" s="56" t="inlineStr">
        <is>
          <t>Normal</t>
        </is>
      </c>
      <c r="N181" s="55" t="n">
        <v>77.93000000000001</v>
      </c>
      <c r="O181" s="57">
        <f>N181/C181</f>
        <v/>
      </c>
      <c r="P181" s="58">
        <f>(Boosters_And!B181*100)/Boosters_And!N181</f>
        <v/>
      </c>
      <c r="Q181" s="58">
        <f>Boosters_And!B181/(C181+D181)</f>
        <v/>
      </c>
      <c r="R181" s="58">
        <f>Boosters_And!N181/B181</f>
        <v/>
      </c>
      <c r="S181" s="55" t="n">
        <v>5.71084337349397</v>
      </c>
      <c r="T181" s="59" t="n">
        <v>281</v>
      </c>
      <c r="U181" s="60" t="n">
        <v>153290.709924893</v>
      </c>
      <c r="V181" s="61">
        <f>U181/B181</f>
        <v/>
      </c>
    </row>
    <row r="182" ht="22.5" customHeight="1" s="150">
      <c r="A182" s="34" t="n">
        <v>180</v>
      </c>
      <c r="B182" s="50" t="n">
        <v>423</v>
      </c>
      <c r="C182" s="50" t="n">
        <v>420</v>
      </c>
      <c r="D182" s="50" t="n">
        <v>70</v>
      </c>
      <c r="E182" s="50" t="n">
        <v>18</v>
      </c>
      <c r="F182" s="51">
        <f>(C182*100)/B182</f>
        <v/>
      </c>
      <c r="G182" s="51">
        <f>(D182*100)/B182</f>
        <v/>
      </c>
      <c r="H182" s="53">
        <f>((B182-B183)/B182)*100</f>
        <v/>
      </c>
      <c r="I182" s="53">
        <f>((B182-C182)/B182)*100</f>
        <v/>
      </c>
      <c r="J182" s="53">
        <f>((C182-B183)/C182)*100</f>
        <v/>
      </c>
      <c r="K182" s="54" t="n"/>
      <c r="L182" s="55" t="n">
        <v>1.00613496932515</v>
      </c>
      <c r="M182" s="70" t="inlineStr">
        <is>
          <t>Normal</t>
        </is>
      </c>
      <c r="N182" s="55" t="n">
        <v>14.99</v>
      </c>
      <c r="O182" s="57">
        <f>N182/C182</f>
        <v/>
      </c>
      <c r="P182" s="58">
        <f>(Boosters_And!B182*100)/Boosters_And!N182</f>
        <v/>
      </c>
      <c r="Q182" s="58">
        <f>Boosters_And!B182/(C182+D182)</f>
        <v/>
      </c>
      <c r="R182" s="58">
        <f>Boosters_And!N182/B182</f>
        <v/>
      </c>
      <c r="S182" s="55" t="n">
        <v>9.14723926380368</v>
      </c>
      <c r="T182" s="59" t="n">
        <v>183</v>
      </c>
      <c r="U182" s="60" t="n">
        <v>173113.006841818</v>
      </c>
      <c r="V182" s="61">
        <f>U182/B182</f>
        <v/>
      </c>
    </row>
    <row r="183" ht="22.5" customHeight="1" s="150">
      <c r="A183" s="34" t="n">
        <v>181</v>
      </c>
      <c r="B183" s="50" t="n">
        <v>420</v>
      </c>
      <c r="C183" s="50" t="n">
        <v>413</v>
      </c>
      <c r="D183" s="50" t="n">
        <v>289</v>
      </c>
      <c r="E183" s="50" t="n">
        <v>178</v>
      </c>
      <c r="F183" s="51">
        <f>(C183*100)/B183</f>
        <v/>
      </c>
      <c r="G183" s="51">
        <f>(D183*100)/B183</f>
        <v/>
      </c>
      <c r="H183" s="53">
        <f>((B183-B184)/B183)*100</f>
        <v/>
      </c>
      <c r="I183" s="53">
        <f>((B183-C183)/B183)*100</f>
        <v/>
      </c>
      <c r="J183" s="53">
        <f>((C183-B184)/C183)*100</f>
        <v/>
      </c>
      <c r="K183" s="54" t="n"/>
      <c r="L183" s="55" t="n">
        <v>1.58125</v>
      </c>
      <c r="M183" s="71" t="inlineStr">
        <is>
          <t>Hard</t>
        </is>
      </c>
      <c r="N183" s="55" t="n">
        <v>49.88</v>
      </c>
      <c r="O183" s="57">
        <f>N183/C183</f>
        <v/>
      </c>
      <c r="P183" s="58">
        <f>(Boosters_And!B183*100)/Boosters_And!N183</f>
        <v/>
      </c>
      <c r="Q183" s="58">
        <f>Boosters_And!B183/(C183+D183)</f>
        <v/>
      </c>
      <c r="R183" s="58">
        <f>Boosters_And!N183/B183</f>
        <v/>
      </c>
      <c r="S183" s="55" t="n">
        <v>7.50624999999999</v>
      </c>
      <c r="T183" s="59" t="n">
        <v>263</v>
      </c>
      <c r="U183" s="60" t="n">
        <v>139039.80680635</v>
      </c>
      <c r="V183" s="61">
        <f>U183/B183</f>
        <v/>
      </c>
    </row>
    <row r="184" ht="22.5" customHeight="1" s="150">
      <c r="A184" s="34" t="n">
        <v>182</v>
      </c>
      <c r="B184" s="50" t="n">
        <v>410</v>
      </c>
      <c r="C184" s="50" t="n">
        <v>395</v>
      </c>
      <c r="D184" s="50" t="n">
        <v>273</v>
      </c>
      <c r="E184" s="50" t="n">
        <v>162</v>
      </c>
      <c r="F184" s="51">
        <f>(C184*100)/B184</f>
        <v/>
      </c>
      <c r="G184" s="51">
        <f>(D184*100)/B184</f>
        <v/>
      </c>
      <c r="H184" s="53">
        <f>((B184-B185)/B184)*100</f>
        <v/>
      </c>
      <c r="I184" s="53">
        <f>((B184-C184)/B184)*100</f>
        <v/>
      </c>
      <c r="J184" s="53">
        <f>((C184-B185)/C184)*100</f>
        <v/>
      </c>
      <c r="K184" s="54" t="n"/>
      <c r="L184" s="55" t="n">
        <v>1.39869281045751</v>
      </c>
      <c r="M184" s="69" t="inlineStr">
        <is>
          <t>Hard</t>
        </is>
      </c>
      <c r="N184" s="55" t="n">
        <v>56.84</v>
      </c>
      <c r="O184" s="57">
        <f>N184/C184</f>
        <v/>
      </c>
      <c r="P184" s="58">
        <f>(Boosters_And!B184*100)/Boosters_And!N184</f>
        <v/>
      </c>
      <c r="Q184" s="58">
        <f>Boosters_And!B184/(C184+D184)</f>
        <v/>
      </c>
      <c r="R184" s="58">
        <f>Boosters_And!N184/B184</f>
        <v/>
      </c>
      <c r="S184" s="55" t="n">
        <v>5.48366013071895</v>
      </c>
      <c r="T184" s="59" t="n">
        <v>266</v>
      </c>
      <c r="U184" s="60" t="n">
        <v>121990.310043712</v>
      </c>
      <c r="V184" s="61">
        <f>U184/B184</f>
        <v/>
      </c>
    </row>
    <row r="185" ht="22.5" customHeight="1" s="150">
      <c r="A185" s="34" t="n">
        <v>183</v>
      </c>
      <c r="B185" s="50" t="n">
        <v>392</v>
      </c>
      <c r="C185" s="50" t="n">
        <v>389</v>
      </c>
      <c r="D185" s="50" t="n">
        <v>119</v>
      </c>
      <c r="E185" s="50" t="n">
        <v>62</v>
      </c>
      <c r="F185" s="51">
        <f>(C185*100)/B185</f>
        <v/>
      </c>
      <c r="G185" s="51">
        <f>(D185*100)/B185</f>
        <v/>
      </c>
      <c r="H185" s="53">
        <f>((B185-B186)/B185)*100</f>
        <v/>
      </c>
      <c r="I185" s="53">
        <f>((B185-C185)/B185)*100</f>
        <v/>
      </c>
      <c r="J185" s="53">
        <f>((C185-B186)/C185)*100</f>
        <v/>
      </c>
      <c r="K185" s="54" t="n"/>
      <c r="L185" s="55" t="n">
        <v>1.11258278145695</v>
      </c>
      <c r="M185" s="56" t="inlineStr">
        <is>
          <t>Normal</t>
        </is>
      </c>
      <c r="N185" s="55" t="n">
        <v>7.98</v>
      </c>
      <c r="O185" s="57">
        <f>N185/C185</f>
        <v/>
      </c>
      <c r="P185" s="58">
        <f>(Boosters_And!B185*100)/Boosters_And!N185</f>
        <v/>
      </c>
      <c r="Q185" s="58">
        <f>Boosters_And!B185/(C185+D185)</f>
        <v/>
      </c>
      <c r="R185" s="58">
        <f>Boosters_And!N185/B185</f>
        <v/>
      </c>
      <c r="S185" s="55" t="n">
        <v>8.24503311258278</v>
      </c>
      <c r="T185" s="59" t="n">
        <v>196</v>
      </c>
      <c r="U185" s="60" t="n">
        <v>146055.636033941</v>
      </c>
      <c r="V185" s="61">
        <f>U185/B185</f>
        <v/>
      </c>
    </row>
    <row r="186" ht="22.5" customHeight="1" s="150">
      <c r="A186" s="34" t="n">
        <v>184</v>
      </c>
      <c r="B186" s="50" t="n">
        <v>389</v>
      </c>
      <c r="C186" s="50" t="n">
        <v>389</v>
      </c>
      <c r="D186" s="50" t="n">
        <v>34</v>
      </c>
      <c r="E186" s="50" t="n">
        <v>21</v>
      </c>
      <c r="F186" s="51">
        <f>(C186*100)/B186</f>
        <v/>
      </c>
      <c r="G186" s="51">
        <f>(D186*100)/B186</f>
        <v/>
      </c>
      <c r="H186" s="52">
        <f>((B186-B187)/B186)*100</f>
        <v/>
      </c>
      <c r="I186" s="53">
        <f>((B186-C186)/B186)*100</f>
        <v/>
      </c>
      <c r="J186" s="53">
        <f>((C186-B187)/C186)*100</f>
        <v/>
      </c>
      <c r="K186" s="54" t="n"/>
      <c r="L186" s="55" t="n">
        <v>1</v>
      </c>
      <c r="M186" s="70" t="inlineStr">
        <is>
          <t>Normal</t>
        </is>
      </c>
      <c r="N186" s="55" t="n">
        <v>4.99</v>
      </c>
      <c r="O186" s="57">
        <f>N186/C186</f>
        <v/>
      </c>
      <c r="P186" s="58">
        <f>(Boosters_And!B186*100)/Boosters_And!N186</f>
        <v/>
      </c>
      <c r="Q186" s="58">
        <f>Boosters_And!B186/(C186+D186)</f>
        <v/>
      </c>
      <c r="R186" s="58">
        <f>Boosters_And!N186/B186</f>
        <v/>
      </c>
      <c r="S186" s="55" t="n">
        <v>6.24503311258278</v>
      </c>
      <c r="T186" s="59" t="n">
        <v>157</v>
      </c>
      <c r="U186" s="60" t="n">
        <v>169540.608503504</v>
      </c>
      <c r="V186" s="61">
        <f>U186/B186</f>
        <v/>
      </c>
    </row>
    <row r="187" ht="22.5" customHeight="1" s="150">
      <c r="A187" s="34" t="n">
        <v>185</v>
      </c>
      <c r="B187" s="50" t="n">
        <v>387</v>
      </c>
      <c r="C187" s="50" t="n">
        <v>384</v>
      </c>
      <c r="D187" s="50" t="n">
        <v>80</v>
      </c>
      <c r="E187" s="50" t="n">
        <v>46</v>
      </c>
      <c r="F187" s="51">
        <f>(C187*100)/B187</f>
        <v/>
      </c>
      <c r="G187" s="51">
        <f>(D187*100)/B187</f>
        <v/>
      </c>
      <c r="H187" s="53">
        <f>((B187-B188)/B187)*100</f>
        <v/>
      </c>
      <c r="I187" s="53">
        <f>((B187-C187)/B187)*100</f>
        <v/>
      </c>
      <c r="J187" s="53">
        <f>((C187-B188)/C187)*100</f>
        <v/>
      </c>
      <c r="K187" s="54" t="n"/>
      <c r="L187" s="55" t="n">
        <v>1.08053691275167</v>
      </c>
      <c r="M187" s="56" t="inlineStr">
        <is>
          <t>Normal</t>
        </is>
      </c>
      <c r="N187" s="55" t="n">
        <v>12.47</v>
      </c>
      <c r="O187" s="57">
        <f>N187/C187</f>
        <v/>
      </c>
      <c r="P187" s="58">
        <f>(Boosters_And!B187*100)/Boosters_And!N187</f>
        <v/>
      </c>
      <c r="Q187" s="58">
        <f>Boosters_And!B187/(C187+D187)</f>
        <v/>
      </c>
      <c r="R187" s="58">
        <f>Boosters_And!N187/B187</f>
        <v/>
      </c>
      <c r="S187" s="55" t="n">
        <v>6.04026845637583</v>
      </c>
      <c r="T187" s="59" t="n">
        <v>175</v>
      </c>
      <c r="U187" s="60" t="n">
        <v>173886.811536037</v>
      </c>
      <c r="V187" s="61">
        <f>U187/B187</f>
        <v/>
      </c>
    </row>
    <row r="188" ht="22.5" customHeight="1" s="150">
      <c r="A188" s="34" t="n">
        <v>186</v>
      </c>
      <c r="B188" s="50" t="n">
        <v>384</v>
      </c>
      <c r="C188" s="50" t="n">
        <v>382</v>
      </c>
      <c r="D188" s="50" t="n">
        <v>209</v>
      </c>
      <c r="E188" s="50" t="n">
        <v>83</v>
      </c>
      <c r="F188" s="51">
        <f>(C188*100)/B188</f>
        <v/>
      </c>
      <c r="G188" s="51">
        <f>(D188*100)/B188</f>
        <v/>
      </c>
      <c r="H188" s="53">
        <f>((B188-B189)/B188)*100</f>
        <v/>
      </c>
      <c r="I188" s="53">
        <f>((B188-C188)/B188)*100</f>
        <v/>
      </c>
      <c r="J188" s="53">
        <f>((C188-B189)/C188)*100</f>
        <v/>
      </c>
      <c r="K188" s="54" t="n"/>
      <c r="L188" s="55" t="n">
        <v>1.4527027027027</v>
      </c>
      <c r="M188" s="69" t="inlineStr">
        <is>
          <t>Hard</t>
        </is>
      </c>
      <c r="N188" s="55" t="n">
        <v>46.99</v>
      </c>
      <c r="O188" s="57">
        <f>N188/C188</f>
        <v/>
      </c>
      <c r="P188" s="58">
        <f>(Boosters_And!B188*100)/Boosters_And!N188</f>
        <v/>
      </c>
      <c r="Q188" s="58">
        <f>Boosters_And!B188/(C188+D188)</f>
        <v/>
      </c>
      <c r="R188" s="58">
        <f>Boosters_And!N188/B188</f>
        <v/>
      </c>
      <c r="S188" s="55" t="n">
        <v>8.391891891891889</v>
      </c>
      <c r="T188" s="59" t="n">
        <v>240</v>
      </c>
      <c r="U188" s="60" t="n">
        <v>130914.857517045</v>
      </c>
      <c r="V188" s="61">
        <f>U188/B188</f>
        <v/>
      </c>
    </row>
    <row r="189" ht="22.5" customHeight="1" s="150">
      <c r="A189" s="34" t="n">
        <v>187</v>
      </c>
      <c r="B189" s="50" t="n">
        <v>387</v>
      </c>
      <c r="C189" s="50" t="n">
        <v>361</v>
      </c>
      <c r="D189" s="50" t="n">
        <v>245</v>
      </c>
      <c r="E189" s="50" t="n">
        <v>150</v>
      </c>
      <c r="F189" s="51">
        <f>(C189*100)/B189</f>
        <v/>
      </c>
      <c r="G189" s="51">
        <f>(D189*100)/B189</f>
        <v/>
      </c>
      <c r="H189" s="53">
        <f>((B189-B190)/B189)*100</f>
        <v/>
      </c>
      <c r="I189" s="53">
        <f>((B189-C189)/B189)*100</f>
        <v/>
      </c>
      <c r="J189" s="53">
        <f>((C189-B190)/C189)*100</f>
        <v/>
      </c>
      <c r="K189" s="54" t="n"/>
      <c r="L189" s="55" t="n">
        <v>1.63571428571428</v>
      </c>
      <c r="M189" s="71" t="inlineStr">
        <is>
          <t>Hard</t>
        </is>
      </c>
      <c r="N189" s="55" t="n">
        <v>69.48</v>
      </c>
      <c r="O189" s="57">
        <f>N189/C189</f>
        <v/>
      </c>
      <c r="P189" s="58">
        <f>(Boosters_And!B189*100)/Boosters_And!N189</f>
        <v/>
      </c>
      <c r="Q189" s="58">
        <f>Boosters_And!B189/(C189+D189)</f>
        <v/>
      </c>
      <c r="R189" s="58">
        <f>Boosters_And!N189/B189</f>
        <v/>
      </c>
      <c r="S189" s="55" t="n">
        <v>7.37142857142857</v>
      </c>
      <c r="T189" s="59" t="n">
        <v>250</v>
      </c>
      <c r="U189" s="60" t="n">
        <v>120249.249481718</v>
      </c>
      <c r="V189" s="61">
        <f>U189/B189</f>
        <v/>
      </c>
    </row>
    <row r="190" ht="22.5" customHeight="1" s="150">
      <c r="A190" s="34" t="n">
        <v>188</v>
      </c>
      <c r="B190" s="50" t="n">
        <v>369</v>
      </c>
      <c r="C190" s="50" t="n">
        <v>369</v>
      </c>
      <c r="D190" s="50" t="n">
        <v>18</v>
      </c>
      <c r="E190" s="50" t="n">
        <v>5</v>
      </c>
      <c r="F190" s="51">
        <f>(C190*100)/B190</f>
        <v/>
      </c>
      <c r="G190" s="51">
        <f>(D190*100)/B190</f>
        <v/>
      </c>
      <c r="H190" s="53">
        <f>((B190-B191)/B190)*100</f>
        <v/>
      </c>
      <c r="I190" s="53">
        <f>((B190-C190)/B190)*100</f>
        <v/>
      </c>
      <c r="J190" s="53">
        <f>((C190-B191)/C190)*100</f>
        <v/>
      </c>
      <c r="K190" s="54" t="n"/>
      <c r="L190" s="55" t="n">
        <v>1</v>
      </c>
      <c r="M190" s="70" t="inlineStr">
        <is>
          <t>Normal</t>
        </is>
      </c>
      <c r="N190" s="55" t="n">
        <v>7.67</v>
      </c>
      <c r="O190" s="57">
        <f>N190/C190</f>
        <v/>
      </c>
      <c r="P190" s="58">
        <f>(Boosters_And!B190*100)/Boosters_And!N190</f>
        <v/>
      </c>
      <c r="Q190" s="58">
        <f>Boosters_And!B190/(C190+D190)</f>
        <v/>
      </c>
      <c r="R190" s="58">
        <f>Boosters_And!N190/B190</f>
        <v/>
      </c>
      <c r="S190" s="55" t="n">
        <v>6.06293706293706</v>
      </c>
      <c r="T190" s="59" t="n">
        <v>155</v>
      </c>
      <c r="U190" s="60" t="n">
        <v>148506.017565636</v>
      </c>
      <c r="V190" s="61">
        <f>U190/B190</f>
        <v/>
      </c>
    </row>
    <row r="191" ht="22.5" customHeight="1" s="150">
      <c r="A191" s="34" t="n">
        <v>189</v>
      </c>
      <c r="B191" s="50" t="n">
        <v>377</v>
      </c>
      <c r="C191" s="50" t="n">
        <v>346</v>
      </c>
      <c r="D191" s="50" t="n">
        <v>258</v>
      </c>
      <c r="E191" s="50" t="n">
        <v>188</v>
      </c>
      <c r="F191" s="51">
        <f>(C191*100)/B191</f>
        <v/>
      </c>
      <c r="G191" s="51">
        <f>(D191*100)/B191</f>
        <v/>
      </c>
      <c r="H191" s="53">
        <f>((B191-B192)/B191)*100</f>
        <v/>
      </c>
      <c r="I191" s="53">
        <f>((B191-C191)/B191)*100</f>
        <v/>
      </c>
      <c r="J191" s="53">
        <f>((C191-B192)/C191)*100</f>
        <v/>
      </c>
      <c r="K191" s="54" t="n"/>
      <c r="L191" s="55" t="n">
        <v>1.8955223880597</v>
      </c>
      <c r="M191" s="71" t="inlineStr">
        <is>
          <t>Hard</t>
        </is>
      </c>
      <c r="N191" s="55" t="n">
        <v>164.35</v>
      </c>
      <c r="O191" s="57">
        <f>N191/C191</f>
        <v/>
      </c>
      <c r="P191" s="58">
        <f>(Boosters_And!B191*100)/Boosters_And!N191</f>
        <v/>
      </c>
      <c r="Q191" s="58">
        <f>Boosters_And!B191/(C191+D191)</f>
        <v/>
      </c>
      <c r="R191" s="58">
        <f>Boosters_And!N191/B191</f>
        <v/>
      </c>
      <c r="S191" s="55" t="n">
        <v>10.820895522388</v>
      </c>
      <c r="T191" s="59" t="n">
        <v>261</v>
      </c>
      <c r="U191" s="60" t="n">
        <v>129754.150475715</v>
      </c>
      <c r="V191" s="61">
        <f>U191/B191</f>
        <v/>
      </c>
    </row>
    <row r="192" ht="22.5" customHeight="1" s="150">
      <c r="A192" s="34" t="n">
        <v>190</v>
      </c>
      <c r="B192" s="50" t="n">
        <v>351</v>
      </c>
      <c r="C192" s="50" t="n">
        <v>348</v>
      </c>
      <c r="D192" s="50" t="n">
        <v>193</v>
      </c>
      <c r="E192" s="50" t="n">
        <v>39</v>
      </c>
      <c r="F192" s="51">
        <f>(C192*100)/B192</f>
        <v/>
      </c>
      <c r="G192" s="51">
        <f>(D192*100)/B192</f>
        <v/>
      </c>
      <c r="H192" s="53">
        <f>((B192-B193)/B192)*100</f>
        <v/>
      </c>
      <c r="I192" s="53">
        <f>((B192-C192)/B192)*100</f>
        <v/>
      </c>
      <c r="J192" s="53">
        <f>((C192-B193)/C192)*100</f>
        <v/>
      </c>
      <c r="K192" s="54" t="n"/>
      <c r="L192" s="55" t="n">
        <v>1.06666666666666</v>
      </c>
      <c r="M192" s="70" t="inlineStr">
        <is>
          <t>Normal</t>
        </is>
      </c>
      <c r="N192" s="55" t="n">
        <v>13.47</v>
      </c>
      <c r="O192" s="57">
        <f>N192/C192</f>
        <v/>
      </c>
      <c r="P192" s="58">
        <f>(Boosters_And!B192*100)/Boosters_And!N192</f>
        <v/>
      </c>
      <c r="Q192" s="58">
        <f>Boosters_And!B192/(C192+D192)</f>
        <v/>
      </c>
      <c r="R192" s="58">
        <f>Boosters_And!N192/B192</f>
        <v/>
      </c>
      <c r="S192" s="55" t="n">
        <v>13.7481481481481</v>
      </c>
      <c r="T192" s="59" t="n">
        <v>219</v>
      </c>
      <c r="U192" s="60" t="n">
        <v>115026.067795736</v>
      </c>
      <c r="V192" s="61">
        <f>U192/B192</f>
        <v/>
      </c>
    </row>
    <row r="193" ht="22.5" customHeight="1" s="150">
      <c r="A193" s="34" t="n">
        <v>191</v>
      </c>
      <c r="B193" s="50" t="n">
        <v>351</v>
      </c>
      <c r="C193" s="50" t="n">
        <v>348</v>
      </c>
      <c r="D193" s="50" t="n">
        <v>39</v>
      </c>
      <c r="E193" s="50" t="n">
        <v>26</v>
      </c>
      <c r="F193" s="51">
        <f>(C193*100)/B193</f>
        <v/>
      </c>
      <c r="G193" s="51">
        <f>(D193*100)/B193</f>
        <v/>
      </c>
      <c r="H193" s="53">
        <f>((B193-B194)/B193)*100</f>
        <v/>
      </c>
      <c r="I193" s="53">
        <f>((B193-C193)/B193)*100</f>
        <v/>
      </c>
      <c r="J193" s="53">
        <f>((C193-B194)/C193)*100</f>
        <v/>
      </c>
      <c r="K193" s="54" t="n"/>
      <c r="L193" s="55" t="n">
        <v>1.04444444444444</v>
      </c>
      <c r="M193" s="74" t="inlineStr">
        <is>
          <t>Very Hard</t>
        </is>
      </c>
      <c r="N193" s="55" t="n">
        <v>0</v>
      </c>
      <c r="O193" s="57">
        <f>N193/C193</f>
        <v/>
      </c>
      <c r="P193" s="58">
        <f>(Boosters_And!B193*100)/Boosters_And!N193</f>
        <v/>
      </c>
      <c r="Q193" s="58">
        <f>Boosters_And!B193/(C193+D193)</f>
        <v/>
      </c>
      <c r="R193" s="58">
        <f>Boosters_And!N193/B193</f>
        <v/>
      </c>
      <c r="S193" s="55" t="n">
        <v>8.229629629629629</v>
      </c>
      <c r="T193" s="59" t="n">
        <v>139</v>
      </c>
      <c r="U193" s="60" t="n">
        <v>134435.668875744</v>
      </c>
      <c r="V193" s="61">
        <f>U193/B193</f>
        <v/>
      </c>
    </row>
    <row r="194" ht="22.5" customHeight="1" s="150">
      <c r="A194" s="34" t="n">
        <v>192</v>
      </c>
      <c r="B194" s="50" t="n">
        <v>351</v>
      </c>
      <c r="C194" s="50" t="n">
        <v>351</v>
      </c>
      <c r="D194" s="50" t="n">
        <v>106</v>
      </c>
      <c r="E194" s="50" t="n">
        <v>46</v>
      </c>
      <c r="F194" s="51">
        <f>(C194*100)/B194</f>
        <v/>
      </c>
      <c r="G194" s="51">
        <f>(D194*100)/B194</f>
        <v/>
      </c>
      <c r="H194" s="53">
        <f>((B194-B195)/B194)*100</f>
        <v/>
      </c>
      <c r="I194" s="53">
        <f>((B194-C194)/B194)*100</f>
        <v/>
      </c>
      <c r="J194" s="53">
        <f>((C194-B195)/C194)*100</f>
        <v/>
      </c>
      <c r="K194" s="54" t="n"/>
      <c r="L194" s="55" t="n">
        <v>1.05147058823529</v>
      </c>
      <c r="M194" s="76" t="inlineStr">
        <is>
          <t>Very Hard</t>
        </is>
      </c>
      <c r="N194" s="55" t="n">
        <v>18.11</v>
      </c>
      <c r="O194" s="57">
        <f>N194/C194</f>
        <v/>
      </c>
      <c r="P194" s="58">
        <f>(Boosters_And!B194*100)/Boosters_And!N194</f>
        <v/>
      </c>
      <c r="Q194" s="58">
        <f>Boosters_And!B194/(C194+D194)</f>
        <v/>
      </c>
      <c r="R194" s="58">
        <f>Boosters_And!N194/B194</f>
        <v/>
      </c>
      <c r="S194" s="55" t="n">
        <v>8.22794117647058</v>
      </c>
      <c r="T194" s="59" t="n">
        <v>168</v>
      </c>
      <c r="U194" s="60" t="n">
        <v>142057.645113806</v>
      </c>
      <c r="V194" s="61">
        <f>U194/B194</f>
        <v/>
      </c>
    </row>
    <row r="195" ht="22.5" customHeight="1" s="150">
      <c r="A195" s="34" t="n">
        <v>193</v>
      </c>
      <c r="B195" s="50" t="n">
        <v>351</v>
      </c>
      <c r="C195" s="50" t="n">
        <v>351</v>
      </c>
      <c r="D195" s="50" t="n">
        <v>250</v>
      </c>
      <c r="E195" s="50" t="n">
        <v>85</v>
      </c>
      <c r="F195" s="51">
        <f>(C195*100)/B195</f>
        <v/>
      </c>
      <c r="G195" s="51">
        <f>(D195*100)/B195</f>
        <v/>
      </c>
      <c r="H195" s="53">
        <f>((B195-B196)/B195)*100</f>
        <v/>
      </c>
      <c r="I195" s="53">
        <f>((B195-C195)/B195)*100</f>
        <v/>
      </c>
      <c r="J195" s="53">
        <f>((C195-B196)/C195)*100</f>
        <v/>
      </c>
      <c r="K195" s="54" t="n"/>
      <c r="L195" s="55" t="n">
        <v>1.27941176470588</v>
      </c>
      <c r="M195" s="56" t="inlineStr">
        <is>
          <t>Normal</t>
        </is>
      </c>
      <c r="N195" s="55" t="n">
        <v>29.97</v>
      </c>
      <c r="O195" s="57">
        <f>N195/C195</f>
        <v/>
      </c>
      <c r="P195" s="58">
        <f>(Boosters_And!B195*100)/Boosters_And!N195</f>
        <v/>
      </c>
      <c r="Q195" s="58">
        <f>Boosters_And!B195/(C195+D195)</f>
        <v/>
      </c>
      <c r="R195" s="58">
        <f>Boosters_And!N195/B195</f>
        <v/>
      </c>
      <c r="S195" s="55" t="n">
        <v>8.985294117647051</v>
      </c>
      <c r="T195" s="59" t="n">
        <v>237</v>
      </c>
      <c r="U195" s="60" t="n">
        <v>99524.1804215384</v>
      </c>
      <c r="V195" s="61">
        <f>U195/B195</f>
        <v/>
      </c>
    </row>
    <row r="196" ht="22.5" customHeight="1" s="150">
      <c r="A196" s="34" t="n">
        <v>194</v>
      </c>
      <c r="B196" s="50" t="n">
        <v>353</v>
      </c>
      <c r="C196" s="50" t="n">
        <v>346</v>
      </c>
      <c r="D196" s="50" t="n">
        <v>150</v>
      </c>
      <c r="E196" s="50" t="n">
        <v>67</v>
      </c>
      <c r="F196" s="51">
        <f>(C196*100)/B196</f>
        <v/>
      </c>
      <c r="G196" s="51">
        <f>(D196*100)/B196</f>
        <v/>
      </c>
      <c r="H196" s="53">
        <f>((B196-B197)/B196)*100</f>
        <v/>
      </c>
      <c r="I196" s="53">
        <f>((B196-C196)/B196)*100</f>
        <v/>
      </c>
      <c r="J196" s="53">
        <f>((C196-B197)/C196)*100</f>
        <v/>
      </c>
      <c r="K196" s="54" t="n"/>
      <c r="L196" s="55" t="n">
        <v>1.10447761194029</v>
      </c>
      <c r="M196" s="70" t="inlineStr">
        <is>
          <t>Normal</t>
        </is>
      </c>
      <c r="N196" s="55" t="n">
        <v>43.41</v>
      </c>
      <c r="O196" s="57">
        <f>N196/C196</f>
        <v/>
      </c>
      <c r="P196" s="58">
        <f>(Boosters_And!B196*100)/Boosters_And!N196</f>
        <v/>
      </c>
      <c r="Q196" s="58">
        <f>Boosters_And!B196/(C196+D196)</f>
        <v/>
      </c>
      <c r="R196" s="58">
        <f>Boosters_And!N196/B196</f>
        <v/>
      </c>
      <c r="S196" s="55" t="n">
        <v>10.4402985074626</v>
      </c>
      <c r="T196" s="59" t="n">
        <v>193</v>
      </c>
      <c r="U196" s="60" t="n">
        <v>128799.791352844</v>
      </c>
      <c r="V196" s="61">
        <f>U196/B196</f>
        <v/>
      </c>
    </row>
    <row r="197" ht="22.5" customHeight="1" s="150">
      <c r="A197" s="34" t="n">
        <v>195</v>
      </c>
      <c r="B197" s="50" t="n">
        <v>343</v>
      </c>
      <c r="C197" s="50" t="n">
        <v>340</v>
      </c>
      <c r="D197" s="50" t="n">
        <v>245</v>
      </c>
      <c r="E197" s="50" t="n">
        <v>119</v>
      </c>
      <c r="F197" s="51">
        <f>(C197*100)/B197</f>
        <v/>
      </c>
      <c r="G197" s="51">
        <f>(D197*100)/B197</f>
        <v/>
      </c>
      <c r="H197" s="53">
        <f>((B197-B198)/B197)*100</f>
        <v/>
      </c>
      <c r="I197" s="53">
        <f>((B197-C197)/B197)*100</f>
        <v/>
      </c>
      <c r="J197" s="53">
        <f>((C197-B198)/C197)*100</f>
        <v/>
      </c>
      <c r="K197" s="54" t="n"/>
      <c r="L197" s="55" t="n">
        <v>1.28030303030303</v>
      </c>
      <c r="M197" s="56" t="inlineStr">
        <is>
          <t>Normal</t>
        </is>
      </c>
      <c r="N197" s="55" t="n">
        <v>50.39</v>
      </c>
      <c r="O197" s="57">
        <f>N197/C197</f>
        <v/>
      </c>
      <c r="P197" s="58">
        <f>(Boosters_And!B197*100)/Boosters_And!N197</f>
        <v/>
      </c>
      <c r="Q197" s="58">
        <f>Boosters_And!B197/(C197+D197)</f>
        <v/>
      </c>
      <c r="R197" s="58">
        <f>Boosters_And!N197/B197</f>
        <v/>
      </c>
      <c r="S197" s="55" t="n">
        <v>8.848484848484841</v>
      </c>
      <c r="T197" s="59" t="n">
        <v>224</v>
      </c>
      <c r="U197" s="60" t="n">
        <v>98814.8594518371</v>
      </c>
      <c r="V197" s="61">
        <f>U197/B197</f>
        <v/>
      </c>
    </row>
    <row r="198" ht="22.5" customHeight="1" s="150">
      <c r="A198" s="34" t="n">
        <v>196</v>
      </c>
      <c r="B198" s="50" t="n">
        <v>340</v>
      </c>
      <c r="C198" s="50" t="n">
        <v>335</v>
      </c>
      <c r="D198" s="50" t="n">
        <v>90</v>
      </c>
      <c r="E198" s="50" t="n">
        <v>39</v>
      </c>
      <c r="F198" s="51">
        <f>(C198*100)/B198</f>
        <v/>
      </c>
      <c r="G198" s="51">
        <f>(D198*100)/B198</f>
        <v/>
      </c>
      <c r="H198" s="53">
        <f>((B198-B199)/B198)*100</f>
        <v/>
      </c>
      <c r="I198" s="53">
        <f>((B198-C198)/B198)*100</f>
        <v/>
      </c>
      <c r="J198" s="53">
        <f>((C198-B199)/C198)*100</f>
        <v/>
      </c>
      <c r="K198" s="54" t="n"/>
      <c r="L198" s="55" t="n">
        <v>1.04615384615384</v>
      </c>
      <c r="M198" s="69" t="inlineStr">
        <is>
          <t>Hard</t>
        </is>
      </c>
      <c r="N198" s="55" t="n">
        <v>31.99</v>
      </c>
      <c r="O198" s="57">
        <f>N198/C198</f>
        <v/>
      </c>
      <c r="P198" s="58">
        <f>(Boosters_And!B198*100)/Boosters_And!N198</f>
        <v/>
      </c>
      <c r="Q198" s="58">
        <f>Boosters_And!B198/(C198+D198)</f>
        <v/>
      </c>
      <c r="R198" s="58">
        <f>Boosters_And!N198/B198</f>
        <v/>
      </c>
      <c r="S198" s="55" t="n">
        <v>6.52307692307692</v>
      </c>
      <c r="T198" s="59" t="n">
        <v>160</v>
      </c>
      <c r="U198" s="60" t="n">
        <v>123331.571513693</v>
      </c>
      <c r="V198" s="61">
        <f>U198/B198</f>
        <v/>
      </c>
    </row>
    <row r="199" ht="22.5" customHeight="1" s="150">
      <c r="A199" s="34" t="n">
        <v>197</v>
      </c>
      <c r="B199" s="50" t="n">
        <v>346</v>
      </c>
      <c r="C199" s="50" t="n">
        <v>343</v>
      </c>
      <c r="D199" s="50" t="n">
        <v>199</v>
      </c>
      <c r="E199" s="50" t="n">
        <v>98</v>
      </c>
      <c r="F199" s="51">
        <f>(C199*100)/B199</f>
        <v/>
      </c>
      <c r="G199" s="51">
        <f>(D199*100)/B199</f>
        <v/>
      </c>
      <c r="H199" s="53">
        <f>((B199-B200)/B199)*100</f>
        <v/>
      </c>
      <c r="I199" s="53">
        <f>((B199-C199)/B199)*100</f>
        <v/>
      </c>
      <c r="J199" s="53">
        <f>((C199-B200)/C199)*100</f>
        <v/>
      </c>
      <c r="K199" s="54" t="n"/>
      <c r="L199" s="55" t="n">
        <v>1.21052631578947</v>
      </c>
      <c r="M199" s="71" t="inlineStr">
        <is>
          <t>Hard</t>
        </is>
      </c>
      <c r="N199" s="55" t="n">
        <v>44.93</v>
      </c>
      <c r="O199" s="57">
        <f>N199/C199</f>
        <v/>
      </c>
      <c r="P199" s="58">
        <f>(Boosters_And!B199*100)/Boosters_And!N199</f>
        <v/>
      </c>
      <c r="Q199" s="58">
        <f>Boosters_And!B199/(C199+D199)</f>
        <v/>
      </c>
      <c r="R199" s="58">
        <f>Boosters_And!N199/B199</f>
        <v/>
      </c>
      <c r="S199" s="55" t="n">
        <v>10.0225563909774</v>
      </c>
      <c r="T199" s="59" t="n">
        <v>214</v>
      </c>
      <c r="U199" s="60" t="n">
        <v>118224.460531844</v>
      </c>
      <c r="V199" s="61">
        <f>U199/B199</f>
        <v/>
      </c>
    </row>
    <row r="200" ht="22.5" customHeight="1" s="150">
      <c r="A200" s="34" t="n">
        <v>198</v>
      </c>
      <c r="B200" s="50" t="n">
        <v>343</v>
      </c>
      <c r="C200" s="50" t="n">
        <v>346</v>
      </c>
      <c r="D200" s="50" t="n">
        <v>152</v>
      </c>
      <c r="E200" s="50" t="n">
        <v>80</v>
      </c>
      <c r="F200" s="51">
        <f>(C200*100)/B200</f>
        <v/>
      </c>
      <c r="G200" s="51">
        <f>(D200*100)/B200</f>
        <v/>
      </c>
      <c r="H200" s="53">
        <f>((B200-B201)/B200)*100</f>
        <v/>
      </c>
      <c r="I200" s="53">
        <f>((B200-C200)/B200)*100</f>
        <v/>
      </c>
      <c r="J200" s="53">
        <f>((C200-B201)/C200)*100</f>
        <v/>
      </c>
      <c r="K200" s="54" t="n"/>
      <c r="L200" s="55" t="n">
        <v>1.17910447761194</v>
      </c>
      <c r="M200" s="70" t="inlineStr">
        <is>
          <t>Normal</t>
        </is>
      </c>
      <c r="N200" s="55" t="n">
        <v>12.95</v>
      </c>
      <c r="O200" s="57">
        <f>N200/C200</f>
        <v/>
      </c>
      <c r="P200" s="58">
        <f>(Boosters_And!B200*100)/Boosters_And!N200</f>
        <v/>
      </c>
      <c r="Q200" s="58">
        <f>Boosters_And!B200/(C200+D200)</f>
        <v/>
      </c>
      <c r="R200" s="58">
        <f>Boosters_And!N200/B200</f>
        <v/>
      </c>
      <c r="S200" s="55" t="n">
        <v>7.31343283582089</v>
      </c>
      <c r="T200" s="59" t="n">
        <v>181</v>
      </c>
      <c r="U200" s="60" t="n">
        <v>118546.879154435</v>
      </c>
      <c r="V200" s="61">
        <f>U200/B200</f>
        <v/>
      </c>
    </row>
    <row r="201" ht="22.5" customHeight="1" s="150">
      <c r="A201" s="34" t="n">
        <v>199</v>
      </c>
      <c r="B201" s="50" t="n">
        <v>340</v>
      </c>
      <c r="C201" s="50" t="n">
        <v>340</v>
      </c>
      <c r="D201" s="50" t="n">
        <v>83</v>
      </c>
      <c r="E201" s="50" t="n">
        <v>46</v>
      </c>
      <c r="F201" s="51">
        <f>(C201*100)/B201</f>
        <v/>
      </c>
      <c r="G201" s="51">
        <f>(D201*100)/B201</f>
        <v/>
      </c>
      <c r="H201" s="53">
        <f>((B201-B202)/B201)*100</f>
        <v/>
      </c>
      <c r="I201" s="53">
        <f>((B201-C201)/B201)*100</f>
        <v/>
      </c>
      <c r="J201" s="53">
        <f>((C201-B202)/C201)*100</f>
        <v/>
      </c>
      <c r="K201" s="54" t="n"/>
      <c r="L201" s="55" t="n">
        <v>1.07518796992481</v>
      </c>
      <c r="M201" s="56" t="inlineStr">
        <is>
          <t>Normal</t>
        </is>
      </c>
      <c r="N201" s="55" t="n">
        <v>21.39</v>
      </c>
      <c r="O201" s="57">
        <f>N201/C201</f>
        <v/>
      </c>
      <c r="P201" s="58">
        <f>(Boosters_And!B201*100)/Boosters_And!N201</f>
        <v/>
      </c>
      <c r="Q201" s="58">
        <f>Boosters_And!B201/(C201+D201)</f>
        <v/>
      </c>
      <c r="R201" s="58">
        <f>Boosters_And!N201/B201</f>
        <v/>
      </c>
      <c r="S201" s="55" t="n">
        <v>12.3984962406015</v>
      </c>
      <c r="T201" s="59" t="n">
        <v>165</v>
      </c>
      <c r="U201" s="60" t="n">
        <v>125150.012545109</v>
      </c>
      <c r="V201" s="61">
        <f>U201/B201</f>
        <v/>
      </c>
    </row>
    <row r="202" ht="22.5" customHeight="1" s="150">
      <c r="A202" s="34" t="n">
        <v>200</v>
      </c>
      <c r="B202" s="50" t="n">
        <v>351</v>
      </c>
      <c r="C202" s="50" t="n">
        <v>343</v>
      </c>
      <c r="D202" s="50" t="n">
        <v>237</v>
      </c>
      <c r="E202" s="50" t="n">
        <v>129</v>
      </c>
      <c r="F202" s="51">
        <f>(C202*100)/B202</f>
        <v/>
      </c>
      <c r="G202" s="51">
        <f>(D202*100)/B202</f>
        <v/>
      </c>
      <c r="H202" s="53">
        <f>((B202-B203)/B202)*100</f>
        <v/>
      </c>
      <c r="I202" s="53">
        <f>((B202-C202)/B202)*100</f>
        <v/>
      </c>
      <c r="J202" s="53">
        <f>((C202-B203)/C202)*100</f>
        <v/>
      </c>
      <c r="K202" s="54" t="n"/>
      <c r="L202" s="55" t="n">
        <v>1.66165413533834</v>
      </c>
      <c r="M202" s="70" t="inlineStr">
        <is>
          <t>Normal</t>
        </is>
      </c>
      <c r="N202" s="55" t="n">
        <v>96.15000000000001</v>
      </c>
      <c r="O202" s="57">
        <f>N202/C202</f>
        <v/>
      </c>
      <c r="P202" s="58">
        <f>(Boosters_And!B202*100)/Boosters_And!N202</f>
        <v/>
      </c>
      <c r="Q202" s="58">
        <f>Boosters_And!B202/(C202+D202)</f>
        <v/>
      </c>
      <c r="R202" s="58">
        <f>Boosters_And!N202/B202</f>
        <v/>
      </c>
      <c r="S202" s="55" t="n">
        <v>8.84962406015037</v>
      </c>
      <c r="T202" s="59" t="n">
        <v>232</v>
      </c>
      <c r="U202" s="60" t="n">
        <v>93643.2647454698</v>
      </c>
      <c r="V202" s="61">
        <f>U202/B202</f>
        <v/>
      </c>
    </row>
    <row r="203" ht="22.5" customHeight="1" s="150">
      <c r="A203" s="34" t="n">
        <v>201</v>
      </c>
      <c r="B203" s="50" t="n">
        <v>343</v>
      </c>
      <c r="C203" s="50" t="n">
        <v>343</v>
      </c>
      <c r="D203" s="50" t="n">
        <v>0</v>
      </c>
      <c r="E203" s="50" t="n">
        <v>0</v>
      </c>
      <c r="F203" s="51">
        <f>(C203*100)/B203</f>
        <v/>
      </c>
      <c r="G203" s="51">
        <f>(D203*100)/B203</f>
        <v/>
      </c>
      <c r="H203" s="53">
        <f>((B203-B204)/B203)*100</f>
        <v/>
      </c>
      <c r="I203" s="53">
        <f>((B203-C203)/B203)*100</f>
        <v/>
      </c>
      <c r="J203" s="53">
        <f>((C203-B204)/C203)*100</f>
        <v/>
      </c>
      <c r="K203" s="54" t="n"/>
      <c r="L203" s="55" t="n">
        <v>1</v>
      </c>
      <c r="M203" s="71" t="inlineStr">
        <is>
          <t>Hard</t>
        </is>
      </c>
      <c r="N203" s="55" t="n">
        <v>2.99</v>
      </c>
      <c r="O203" s="57">
        <f>N203/C203</f>
        <v/>
      </c>
      <c r="P203" s="58">
        <f>(Boosters_And!B203*100)/Boosters_And!N203</f>
        <v/>
      </c>
      <c r="Q203" s="58">
        <f>Boosters_And!B203/(C203+D203)</f>
        <v/>
      </c>
      <c r="R203" s="58">
        <f>Boosters_And!N203/B203</f>
        <v/>
      </c>
      <c r="S203" s="55" t="n">
        <v>12.563909774436</v>
      </c>
      <c r="T203" s="59" t="n">
        <v>129</v>
      </c>
      <c r="U203" s="60" t="n">
        <v>136911.843897246</v>
      </c>
      <c r="V203" s="61">
        <f>U203/B203</f>
        <v/>
      </c>
    </row>
    <row r="204" ht="22.5" customHeight="1" s="150">
      <c r="A204" s="34" t="n">
        <v>202</v>
      </c>
      <c r="B204" s="50" t="n">
        <v>333</v>
      </c>
      <c r="C204" s="50" t="n">
        <v>333</v>
      </c>
      <c r="D204" s="50" t="n">
        <v>8</v>
      </c>
      <c r="E204" s="50" t="n">
        <v>5</v>
      </c>
      <c r="F204" s="51">
        <f>(C204*100)/B204</f>
        <v/>
      </c>
      <c r="G204" s="51">
        <f>(D204*100)/B204</f>
        <v/>
      </c>
      <c r="H204" s="53">
        <f>((B204-B205)/B204)*100</f>
        <v/>
      </c>
      <c r="I204" s="53">
        <f>((B204-C204)/B204)*100</f>
        <v/>
      </c>
      <c r="J204" s="53">
        <f>((C204-B205)/C204)*100</f>
        <v/>
      </c>
      <c r="K204" s="54" t="n"/>
      <c r="L204" s="55" t="n">
        <v>1.01550387596899</v>
      </c>
      <c r="M204" s="69" t="inlineStr">
        <is>
          <t>Hard</t>
        </is>
      </c>
      <c r="N204" s="55" t="n">
        <v>7.48</v>
      </c>
      <c r="O204" s="57">
        <f>N204/C204</f>
        <v/>
      </c>
      <c r="P204" s="58">
        <f>(Boosters_And!B204*100)/Boosters_And!N204</f>
        <v/>
      </c>
      <c r="Q204" s="58">
        <f>Boosters_And!B204/(C204+D204)</f>
        <v/>
      </c>
      <c r="R204" s="58">
        <f>Boosters_And!N204/B204</f>
        <v/>
      </c>
      <c r="S204" s="55" t="n">
        <v>4.15503875968992</v>
      </c>
      <c r="T204" s="59" t="n">
        <v>124</v>
      </c>
      <c r="U204" s="60" t="n">
        <v>167928.515390547</v>
      </c>
      <c r="V204" s="61">
        <f>U204/B204</f>
        <v/>
      </c>
    </row>
    <row r="205" ht="22.5" customHeight="1" s="150">
      <c r="A205" s="34" t="n">
        <v>203</v>
      </c>
      <c r="B205" s="50" t="n">
        <v>333</v>
      </c>
      <c r="C205" s="50" t="n">
        <v>315</v>
      </c>
      <c r="D205" s="50" t="n">
        <v>193</v>
      </c>
      <c r="E205" s="50" t="n">
        <v>121</v>
      </c>
      <c r="F205" s="51">
        <f>(C205*100)/B205</f>
        <v/>
      </c>
      <c r="G205" s="51">
        <f>(D205*100)/B205</f>
        <v/>
      </c>
      <c r="H205" s="53">
        <f>((B205-B206)/B205)*100</f>
        <v/>
      </c>
      <c r="I205" s="53">
        <f>((B205-C205)/B205)*100</f>
        <v/>
      </c>
      <c r="J205" s="53">
        <f>((C205-B206)/C205)*100</f>
        <v/>
      </c>
      <c r="K205" s="54" t="n"/>
      <c r="L205" s="55" t="n">
        <v>1.51639344262295</v>
      </c>
      <c r="M205" s="56" t="inlineStr">
        <is>
          <t>Normal</t>
        </is>
      </c>
      <c r="N205" s="55" t="n">
        <v>18.44</v>
      </c>
      <c r="O205" s="57">
        <f>N205/C205</f>
        <v/>
      </c>
      <c r="P205" s="58">
        <f>(Boosters_And!B205*100)/Boosters_And!N205</f>
        <v/>
      </c>
      <c r="Q205" s="58">
        <f>Boosters_And!B205/(C205+D205)</f>
        <v/>
      </c>
      <c r="R205" s="58">
        <f>Boosters_And!N205/B205</f>
        <v/>
      </c>
      <c r="S205" s="55" t="n">
        <v>6.13934426229508</v>
      </c>
      <c r="T205" s="59" t="n">
        <v>201</v>
      </c>
      <c r="U205" s="60" t="n">
        <v>119668.895961054</v>
      </c>
      <c r="V205" s="61">
        <f>U205/B205</f>
        <v/>
      </c>
    </row>
    <row r="206" ht="22.5" customHeight="1" s="150">
      <c r="A206" s="34" t="n">
        <v>204</v>
      </c>
      <c r="B206" s="50" t="n">
        <v>315</v>
      </c>
      <c r="C206" s="50" t="n">
        <v>312</v>
      </c>
      <c r="D206" s="50" t="n">
        <v>144</v>
      </c>
      <c r="E206" s="50" t="n">
        <v>88</v>
      </c>
      <c r="F206" s="51">
        <f>(C206*100)/B206</f>
        <v/>
      </c>
      <c r="G206" s="51">
        <f>(D206*100)/B206</f>
        <v/>
      </c>
      <c r="H206" s="53">
        <f>((B206-B207)/B206)*100</f>
        <v/>
      </c>
      <c r="I206" s="53">
        <f>((B206-C206)/B206)*100</f>
        <v/>
      </c>
      <c r="J206" s="53">
        <f>((C206-B207)/C206)*100</f>
        <v/>
      </c>
      <c r="K206" s="54" t="n"/>
      <c r="L206" s="55" t="n">
        <v>1.25619834710743</v>
      </c>
      <c r="M206" s="70" t="inlineStr">
        <is>
          <t>Normal</t>
        </is>
      </c>
      <c r="N206" s="55" t="n">
        <v>19.94</v>
      </c>
      <c r="O206" s="57">
        <f>N206/C206</f>
        <v/>
      </c>
      <c r="P206" s="58">
        <f>(Boosters_And!B206*100)/Boosters_And!N206</f>
        <v/>
      </c>
      <c r="Q206" s="58">
        <f>Boosters_And!B206/(C206+D206)</f>
        <v/>
      </c>
      <c r="R206" s="58">
        <f>Boosters_And!N206/B206</f>
        <v/>
      </c>
      <c r="S206" s="55" t="n">
        <v>11.0165289256198</v>
      </c>
      <c r="T206" s="59" t="n">
        <v>175</v>
      </c>
      <c r="U206" s="60" t="n">
        <v>103264.236443599</v>
      </c>
      <c r="V206" s="61">
        <f>U206/B206</f>
        <v/>
      </c>
    </row>
    <row r="207" ht="22.5" customHeight="1" s="150">
      <c r="A207" s="34" t="n">
        <v>205</v>
      </c>
      <c r="B207" s="50" t="n">
        <v>312</v>
      </c>
      <c r="C207" s="50" t="n">
        <v>312</v>
      </c>
      <c r="D207" s="50" t="n">
        <v>13</v>
      </c>
      <c r="E207" s="50" t="n">
        <v>10</v>
      </c>
      <c r="F207" s="51">
        <f>(C207*100)/B207</f>
        <v/>
      </c>
      <c r="G207" s="51">
        <f>(D207*100)/B207</f>
        <v/>
      </c>
      <c r="H207" s="53">
        <f>((B207-B208)/B207)*100</f>
        <v/>
      </c>
      <c r="I207" s="53">
        <f>((B207-C207)/B207)*100</f>
        <v/>
      </c>
      <c r="J207" s="53">
        <f>((C207-B208)/C207)*100</f>
        <v/>
      </c>
      <c r="K207" s="54" t="n"/>
      <c r="L207" s="55" t="n">
        <v>0.999999999999999</v>
      </c>
      <c r="M207" s="56" t="inlineStr">
        <is>
          <t>Normal</t>
        </is>
      </c>
      <c r="N207" s="55" t="n">
        <v>4.99</v>
      </c>
      <c r="O207" s="57">
        <f>N207/C207</f>
        <v/>
      </c>
      <c r="P207" s="58">
        <f>(Boosters_And!B207*100)/Boosters_And!N207</f>
        <v/>
      </c>
      <c r="Q207" s="58">
        <f>Boosters_And!B207/(C207+D207)</f>
        <v/>
      </c>
      <c r="R207" s="58">
        <f>Boosters_And!N207/B207</f>
        <v/>
      </c>
      <c r="S207" s="55" t="n">
        <v>7.38842975206611</v>
      </c>
      <c r="T207" s="59" t="n">
        <v>116</v>
      </c>
      <c r="U207" s="60" t="n">
        <v>124105.376207912</v>
      </c>
      <c r="V207" s="61">
        <f>U207/B207</f>
        <v/>
      </c>
    </row>
    <row r="208" ht="22.5" customHeight="1" s="150">
      <c r="A208" s="34" t="n">
        <v>206</v>
      </c>
      <c r="B208" s="50" t="n">
        <v>310</v>
      </c>
      <c r="C208" s="50" t="n">
        <v>307</v>
      </c>
      <c r="D208" s="50" t="n">
        <v>59</v>
      </c>
      <c r="E208" s="50" t="n">
        <v>31</v>
      </c>
      <c r="F208" s="51">
        <f>(C208*100)/B208</f>
        <v/>
      </c>
      <c r="G208" s="51">
        <f>(D208*100)/B208</f>
        <v/>
      </c>
      <c r="H208" s="53">
        <f>((B208-B209)/B208)*100</f>
        <v/>
      </c>
      <c r="I208" s="53">
        <f>((B208-C208)/B208)*100</f>
        <v/>
      </c>
      <c r="J208" s="53">
        <f>((C208-B209)/C208)*100</f>
        <v/>
      </c>
      <c r="K208" s="54" t="n"/>
      <c r="L208" s="55" t="n">
        <v>1.05042016806722</v>
      </c>
      <c r="M208" s="70" t="inlineStr">
        <is>
          <t>Normal</t>
        </is>
      </c>
      <c r="N208" s="55" t="n">
        <v>0.99</v>
      </c>
      <c r="O208" s="57">
        <f>N208/C208</f>
        <v/>
      </c>
      <c r="P208" s="58">
        <f>(Boosters_And!B208*100)/Boosters_And!N208</f>
        <v/>
      </c>
      <c r="Q208" s="58">
        <f>Boosters_And!B208/(C208+D208)</f>
        <v/>
      </c>
      <c r="R208" s="58">
        <f>Boosters_And!N208/B208</f>
        <v/>
      </c>
      <c r="S208" s="55" t="n">
        <v>17.3781512605041</v>
      </c>
      <c r="T208" s="59" t="n">
        <v>142</v>
      </c>
      <c r="U208" s="60" t="n">
        <v>134603.326559491</v>
      </c>
      <c r="V208" s="61">
        <f>U208/B208</f>
        <v/>
      </c>
    </row>
    <row r="209" ht="22.5" customHeight="1" s="150">
      <c r="A209" s="34" t="n">
        <v>207</v>
      </c>
      <c r="B209" s="50" t="n">
        <v>312</v>
      </c>
      <c r="C209" s="50" t="n">
        <v>312</v>
      </c>
      <c r="D209" s="50" t="n">
        <v>134</v>
      </c>
      <c r="E209" s="50" t="n">
        <v>46</v>
      </c>
      <c r="F209" s="51">
        <f>(C209*100)/B209</f>
        <v/>
      </c>
      <c r="G209" s="51">
        <f>(D209*100)/B209</f>
        <v/>
      </c>
      <c r="H209" s="53">
        <f>((B209-B210)/B209)*100</f>
        <v/>
      </c>
      <c r="I209" s="53">
        <f>((B209-C209)/B209)*100</f>
        <v/>
      </c>
      <c r="J209" s="53">
        <f>((C209-B210)/C209)*100</f>
        <v/>
      </c>
      <c r="K209" s="54" t="n"/>
      <c r="L209" s="55" t="n">
        <v>1.14876033057851</v>
      </c>
      <c r="M209" s="56" t="inlineStr">
        <is>
          <t>Normal</t>
        </is>
      </c>
      <c r="N209" s="55" t="n">
        <v>0</v>
      </c>
      <c r="O209" s="57">
        <f>N209/C209</f>
        <v/>
      </c>
      <c r="P209" s="58">
        <f>(Boosters_And!B209*100)/Boosters_And!N209</f>
        <v/>
      </c>
      <c r="Q209" s="58">
        <f>Boosters_And!B209/(C209+D209)</f>
        <v/>
      </c>
      <c r="R209" s="58">
        <f>Boosters_And!N209/B209</f>
        <v/>
      </c>
      <c r="S209" s="55" t="n">
        <v>10.190082644628</v>
      </c>
      <c r="T209" s="59" t="n">
        <v>188</v>
      </c>
      <c r="U209" s="60" t="n">
        <v>118018.112613385</v>
      </c>
      <c r="V209" s="61">
        <f>U209/B209</f>
        <v/>
      </c>
    </row>
    <row r="210" ht="22.5" customHeight="1" s="150">
      <c r="A210" s="34" t="n">
        <v>208</v>
      </c>
      <c r="B210" s="50" t="n">
        <v>312</v>
      </c>
      <c r="C210" s="50" t="n">
        <v>307</v>
      </c>
      <c r="D210" s="50" t="n">
        <v>162</v>
      </c>
      <c r="E210" s="50" t="n">
        <v>85</v>
      </c>
      <c r="F210" s="51">
        <f>(C210*100)/B210</f>
        <v/>
      </c>
      <c r="G210" s="51">
        <f>(D210*100)/B210</f>
        <v/>
      </c>
      <c r="H210" s="53">
        <f>((B210-B211)/B210)*100</f>
        <v/>
      </c>
      <c r="I210" s="53">
        <f>((B210-C210)/B210)*100</f>
        <v/>
      </c>
      <c r="J210" s="53">
        <f>((C210-B211)/C210)*100</f>
        <v/>
      </c>
      <c r="K210" s="54" t="n"/>
      <c r="L210" s="55" t="n">
        <v>1.31092436974789</v>
      </c>
      <c r="M210" s="69" t="inlineStr">
        <is>
          <t>Hard</t>
        </is>
      </c>
      <c r="N210" s="55" t="n">
        <v>27.94</v>
      </c>
      <c r="O210" s="57">
        <f>N210/C210</f>
        <v/>
      </c>
      <c r="P210" s="58">
        <f>(Boosters_And!B210*100)/Boosters_And!N210</f>
        <v/>
      </c>
      <c r="Q210" s="58">
        <f>Boosters_And!B210/(C210+D210)</f>
        <v/>
      </c>
      <c r="R210" s="58">
        <f>Boosters_And!N210/B210</f>
        <v/>
      </c>
      <c r="S210" s="55" t="n">
        <v>6.78991596638655</v>
      </c>
      <c r="T210" s="59" t="n">
        <v>193</v>
      </c>
      <c r="U210" s="60" t="n">
        <v>134242.217702189</v>
      </c>
      <c r="V210" s="61">
        <f>U210/B210</f>
        <v/>
      </c>
    </row>
    <row r="211" ht="22.5" customHeight="1" s="150">
      <c r="A211" s="34" t="n">
        <v>209</v>
      </c>
      <c r="B211" s="50" t="n">
        <v>310</v>
      </c>
      <c r="C211" s="50" t="n">
        <v>307</v>
      </c>
      <c r="D211" s="50" t="n">
        <v>150</v>
      </c>
      <c r="E211" s="50" t="n">
        <v>72</v>
      </c>
      <c r="F211" s="51">
        <f>(C211*100)/B211</f>
        <v/>
      </c>
      <c r="G211" s="51">
        <f>(D211*100)/B211</f>
        <v/>
      </c>
      <c r="H211" s="53">
        <f>((B211-B212)/B211)*100</f>
        <v/>
      </c>
      <c r="I211" s="53">
        <f>((B211-C211)/B211)*100</f>
        <v/>
      </c>
      <c r="J211" s="53">
        <f>((C211-B212)/C211)*100</f>
        <v/>
      </c>
      <c r="K211" s="54" t="n"/>
      <c r="L211" s="55" t="n">
        <v>1.15966386554621</v>
      </c>
      <c r="M211" s="71" t="inlineStr">
        <is>
          <t>Hard</t>
        </is>
      </c>
      <c r="N211" s="55" t="n">
        <v>23.61</v>
      </c>
      <c r="O211" s="57">
        <f>N211/C211</f>
        <v/>
      </c>
      <c r="P211" s="58">
        <f>(Boosters_And!B211*100)/Boosters_And!N211</f>
        <v/>
      </c>
      <c r="Q211" s="58">
        <f>Boosters_And!B211/(C211+D211)</f>
        <v/>
      </c>
      <c r="R211" s="58">
        <f>Boosters_And!N211/B211</f>
        <v/>
      </c>
      <c r="S211" s="55" t="n">
        <v>7.70588235294117</v>
      </c>
      <c r="T211" s="59" t="n">
        <v>183</v>
      </c>
      <c r="U211" s="60" t="n">
        <v>140264.997572198</v>
      </c>
      <c r="V211" s="61">
        <f>U211/B211</f>
        <v/>
      </c>
    </row>
    <row r="212" ht="22.5" customHeight="1" s="150">
      <c r="A212" s="34" t="n">
        <v>210</v>
      </c>
      <c r="B212" s="50" t="n">
        <v>307</v>
      </c>
      <c r="C212" s="50" t="n">
        <v>294</v>
      </c>
      <c r="D212" s="50" t="n">
        <v>188</v>
      </c>
      <c r="E212" s="50" t="n">
        <v>209</v>
      </c>
      <c r="F212" s="51">
        <f>(C212*100)/B212</f>
        <v/>
      </c>
      <c r="G212" s="51">
        <f>(D212*100)/B212</f>
        <v/>
      </c>
      <c r="H212" s="53">
        <f>((B212-B213)/B212)*100</f>
        <v/>
      </c>
      <c r="I212" s="53">
        <f>((B212-C212)/B212)*100</f>
        <v/>
      </c>
      <c r="J212" s="53">
        <f>((C212-B213)/C212)*100</f>
        <v/>
      </c>
      <c r="K212" s="54" t="n"/>
      <c r="L212" s="55" t="n">
        <v>1.42105263157894</v>
      </c>
      <c r="M212" s="70" t="inlineStr">
        <is>
          <t>Normal</t>
        </is>
      </c>
      <c r="N212" s="55" t="n">
        <v>53.81</v>
      </c>
      <c r="O212" s="57">
        <f>N212/C212</f>
        <v/>
      </c>
      <c r="P212" s="58">
        <f>(Boosters_And!B212*100)/Boosters_And!N212</f>
        <v/>
      </c>
      <c r="Q212" s="58">
        <f>Boosters_And!B212/(C212+D212)</f>
        <v/>
      </c>
      <c r="R212" s="58">
        <f>Boosters_And!N212/B212</f>
        <v/>
      </c>
      <c r="S212" s="55" t="n">
        <v>5.67543859649122</v>
      </c>
      <c r="T212" s="59" t="n">
        <v>168</v>
      </c>
      <c r="U212" s="60" t="n">
        <v>156373.031956868</v>
      </c>
      <c r="V212" s="61">
        <f>U212/B212</f>
        <v/>
      </c>
    </row>
    <row r="213" ht="22.5" customHeight="1" s="150">
      <c r="A213" s="34" t="n">
        <v>211</v>
      </c>
      <c r="B213" s="50" t="n">
        <v>302</v>
      </c>
      <c r="C213" s="50" t="n">
        <v>294</v>
      </c>
      <c r="D213" s="50" t="n">
        <v>157</v>
      </c>
      <c r="E213" s="50" t="n">
        <v>57</v>
      </c>
      <c r="F213" s="51">
        <f>(C213*100)/B213</f>
        <v/>
      </c>
      <c r="G213" s="51">
        <f>(D213*100)/B213</f>
        <v/>
      </c>
      <c r="H213" s="53">
        <f>((B213-B214)/B213)*100</f>
        <v/>
      </c>
      <c r="I213" s="53">
        <f>((B213-C213)/B213)*100</f>
        <v/>
      </c>
      <c r="J213" s="53">
        <f>((C213-B214)/C213)*100</f>
        <v/>
      </c>
      <c r="K213" s="54" t="n"/>
      <c r="L213" s="55" t="n">
        <v>1.20175438596491</v>
      </c>
      <c r="M213" s="74" t="inlineStr">
        <is>
          <t>Very Hard</t>
        </is>
      </c>
      <c r="N213" s="55" t="n">
        <v>4.98</v>
      </c>
      <c r="O213" s="57">
        <f>N213/C213</f>
        <v/>
      </c>
      <c r="P213" s="58">
        <f>(Boosters_And!B213*100)/Boosters_And!N213</f>
        <v/>
      </c>
      <c r="Q213" s="58">
        <f>Boosters_And!B213/(C213+D213)</f>
        <v/>
      </c>
      <c r="R213" s="58">
        <f>Boosters_And!N213/B213</f>
        <v/>
      </c>
      <c r="S213" s="55" t="n">
        <v>16.078947368421</v>
      </c>
      <c r="T213" s="59" t="n">
        <v>181</v>
      </c>
      <c r="U213" s="60" t="n">
        <v>131108.308690599</v>
      </c>
      <c r="V213" s="61">
        <f>U213/B213</f>
        <v/>
      </c>
    </row>
    <row r="214" ht="22.5" customHeight="1" s="150">
      <c r="A214" s="34" t="n">
        <v>212</v>
      </c>
      <c r="B214" s="50" t="n">
        <v>297</v>
      </c>
      <c r="C214" s="50" t="n">
        <v>294</v>
      </c>
      <c r="D214" s="50" t="n">
        <v>142</v>
      </c>
      <c r="E214" s="50" t="n">
        <v>93</v>
      </c>
      <c r="F214" s="51">
        <f>(C214*100)/B214</f>
        <v/>
      </c>
      <c r="G214" s="51">
        <f>(D214*100)/B214</f>
        <v/>
      </c>
      <c r="H214" s="53">
        <f>((B214-B215)/B214)*100</f>
        <v/>
      </c>
      <c r="I214" s="53">
        <f>((B214-C214)/B214)*100</f>
        <v/>
      </c>
      <c r="J214" s="53">
        <f>((C214-B215)/C214)*100</f>
        <v/>
      </c>
      <c r="K214" s="54" t="n"/>
      <c r="L214" s="55" t="n">
        <v>1.22807017543859</v>
      </c>
      <c r="M214" s="70" t="inlineStr">
        <is>
          <t>Normal</t>
        </is>
      </c>
      <c r="N214" s="55" t="n">
        <v>7.54</v>
      </c>
      <c r="O214" s="57">
        <f>N214/C214</f>
        <v/>
      </c>
      <c r="P214" s="58">
        <f>(Boosters_And!B214*100)/Boosters_And!N214</f>
        <v/>
      </c>
      <c r="Q214" s="58">
        <f>Boosters_And!B214/(C214+D214)</f>
        <v/>
      </c>
      <c r="R214" s="58">
        <f>Boosters_And!N214/B214</f>
        <v/>
      </c>
      <c r="S214" s="55" t="n">
        <v>11.5</v>
      </c>
      <c r="T214" s="59" t="n">
        <v>173</v>
      </c>
      <c r="U214" s="60" t="n">
        <v>130424.781210705</v>
      </c>
      <c r="V214" s="61">
        <f>U214/B214</f>
        <v/>
      </c>
    </row>
    <row r="215" ht="22.5" customHeight="1" s="150">
      <c r="A215" s="34" t="n">
        <v>213</v>
      </c>
      <c r="B215" s="50" t="n">
        <v>299</v>
      </c>
      <c r="C215" s="50" t="n">
        <v>289</v>
      </c>
      <c r="D215" s="50" t="n">
        <v>137</v>
      </c>
      <c r="E215" s="50" t="n">
        <v>93</v>
      </c>
      <c r="F215" s="51">
        <f>(C215*100)/B215</f>
        <v/>
      </c>
      <c r="G215" s="51">
        <f>(D215*100)/B215</f>
        <v/>
      </c>
      <c r="H215" s="53">
        <f>((B215-B216)/B215)*100</f>
        <v/>
      </c>
      <c r="I215" s="53">
        <f>((B215-C215)/B215)*100</f>
        <v/>
      </c>
      <c r="J215" s="53">
        <f>((C215-B216)/C215)*100</f>
        <v/>
      </c>
      <c r="K215" s="54" t="n"/>
      <c r="L215" s="55" t="n">
        <v>1.4375</v>
      </c>
      <c r="M215" s="56" t="inlineStr">
        <is>
          <t>Normal</t>
        </is>
      </c>
      <c r="N215" s="55" t="n">
        <v>39.57</v>
      </c>
      <c r="O215" s="57">
        <f>N215/C215</f>
        <v/>
      </c>
      <c r="P215" s="58">
        <f>(Boosters_And!B215*100)/Boosters_And!N215</f>
        <v/>
      </c>
      <c r="Q215" s="58">
        <f>Boosters_And!B215/(C215+D215)</f>
        <v/>
      </c>
      <c r="R215" s="58">
        <f>Boosters_And!N215/B215</f>
        <v/>
      </c>
      <c r="S215" s="55" t="n">
        <v>7.81249999999999</v>
      </c>
      <c r="T215" s="59" t="n">
        <v>186</v>
      </c>
      <c r="U215" s="60" t="n">
        <v>129405.938363316</v>
      </c>
      <c r="V215" s="61">
        <f>U215/B215</f>
        <v/>
      </c>
    </row>
    <row r="216" ht="22.5" customHeight="1" s="150">
      <c r="A216" s="34" t="n">
        <v>214</v>
      </c>
      <c r="B216" s="50" t="n">
        <v>299</v>
      </c>
      <c r="C216" s="50" t="n">
        <v>289</v>
      </c>
      <c r="D216" s="50" t="n">
        <v>170</v>
      </c>
      <c r="E216" s="50" t="n">
        <v>108</v>
      </c>
      <c r="F216" s="51">
        <f>(C216*100)/B216</f>
        <v/>
      </c>
      <c r="G216" s="51">
        <f>(D216*100)/B216</f>
        <v/>
      </c>
      <c r="H216" s="53">
        <f>((B216-B217)/B216)*100</f>
        <v/>
      </c>
      <c r="I216" s="53">
        <f>((B216-C216)/B216)*100</f>
        <v/>
      </c>
      <c r="J216" s="53">
        <f>((C216-B217)/C216)*100</f>
        <v/>
      </c>
      <c r="K216" s="54" t="n"/>
      <c r="L216" s="55" t="n">
        <v>1.44642857142857</v>
      </c>
      <c r="M216" s="69" t="inlineStr">
        <is>
          <t>Hard</t>
        </is>
      </c>
      <c r="N216" s="55" t="n">
        <v>20.47</v>
      </c>
      <c r="O216" s="57">
        <f>N216/C216</f>
        <v/>
      </c>
      <c r="P216" s="58">
        <f>(Boosters_And!B216*100)/Boosters_And!N216</f>
        <v/>
      </c>
      <c r="Q216" s="58">
        <f>Boosters_And!B216/(C216+D216)</f>
        <v/>
      </c>
      <c r="R216" s="58">
        <f>Boosters_And!N216/B216</f>
        <v/>
      </c>
      <c r="S216" s="55" t="n">
        <v>8.11607142857142</v>
      </c>
      <c r="T216" s="59" t="n">
        <v>178</v>
      </c>
      <c r="U216" s="60" t="n">
        <v>120545.874614503</v>
      </c>
      <c r="V216" s="61">
        <f>U216/B216</f>
        <v/>
      </c>
    </row>
    <row r="217" ht="22.5" customHeight="1" s="150">
      <c r="A217" s="34" t="n">
        <v>215</v>
      </c>
      <c r="B217" s="50" t="n">
        <v>297</v>
      </c>
      <c r="C217" s="50" t="n">
        <v>294</v>
      </c>
      <c r="D217" s="50" t="n">
        <v>183</v>
      </c>
      <c r="E217" s="50" t="n">
        <v>67</v>
      </c>
      <c r="F217" s="51">
        <f>(C217*100)/B217</f>
        <v/>
      </c>
      <c r="G217" s="51">
        <f>(D217*100)/B217</f>
        <v/>
      </c>
      <c r="H217" s="53">
        <f>((B217-B218)/B217)*100</f>
        <v/>
      </c>
      <c r="I217" s="53">
        <f>((B217-C217)/B217)*100</f>
        <v/>
      </c>
      <c r="J217" s="53">
        <f>((C217-B218)/C217)*100</f>
        <v/>
      </c>
      <c r="K217" s="54" t="n"/>
      <c r="L217" s="55" t="n">
        <v>1.26315789473684</v>
      </c>
      <c r="M217" s="56" t="inlineStr">
        <is>
          <t>Normal</t>
        </is>
      </c>
      <c r="N217" s="55" t="n">
        <v>41.92</v>
      </c>
      <c r="O217" s="57">
        <f>N217/C217</f>
        <v/>
      </c>
      <c r="P217" s="58">
        <f>(Boosters_And!B217*100)/Boosters_And!N217</f>
        <v/>
      </c>
      <c r="Q217" s="58">
        <f>Boosters_And!B217/(C217+D217)</f>
        <v/>
      </c>
      <c r="R217" s="58">
        <f>Boosters_And!N217/B217</f>
        <v/>
      </c>
      <c r="S217" s="55" t="n">
        <v>6.19298245614035</v>
      </c>
      <c r="T217" s="59" t="n">
        <v>186</v>
      </c>
      <c r="U217" s="60" t="n">
        <v>113065.76257038</v>
      </c>
      <c r="V217" s="61">
        <f>U217/B217</f>
        <v/>
      </c>
    </row>
    <row r="218" ht="22.5" customHeight="1" s="150">
      <c r="A218" s="34" t="n">
        <v>216</v>
      </c>
      <c r="B218" s="50" t="n">
        <v>299</v>
      </c>
      <c r="C218" s="50" t="n">
        <v>299</v>
      </c>
      <c r="D218" s="50" t="n">
        <v>90</v>
      </c>
      <c r="E218" s="50" t="n">
        <v>26</v>
      </c>
      <c r="F218" s="51">
        <f>(C218*100)/B218</f>
        <v/>
      </c>
      <c r="G218" s="51">
        <f>(D218*100)/B218</f>
        <v/>
      </c>
      <c r="H218" s="53">
        <f>((B218-B219)/B218)*100</f>
        <v/>
      </c>
      <c r="I218" s="53">
        <f>((B218-C218)/B218)*100</f>
        <v/>
      </c>
      <c r="J218" s="53">
        <f>((C218-B219)/C218)*100</f>
        <v/>
      </c>
      <c r="K218" s="54" t="n"/>
      <c r="L218" s="55" t="n">
        <v>1.03448275862068</v>
      </c>
      <c r="M218" s="70" t="inlineStr">
        <is>
          <t>Normal</t>
        </is>
      </c>
      <c r="N218" s="55" t="n">
        <v>0</v>
      </c>
      <c r="O218" s="57">
        <f>N218/C218</f>
        <v/>
      </c>
      <c r="P218" s="58">
        <f>(Boosters_And!B218*100)/Boosters_And!N218</f>
        <v/>
      </c>
      <c r="Q218" s="58">
        <f>Boosters_And!B218/(C218+D218)</f>
        <v/>
      </c>
      <c r="R218" s="58">
        <f>Boosters_And!N218/B218</f>
        <v/>
      </c>
      <c r="S218" s="55" t="n">
        <v>14.6465517241379</v>
      </c>
      <c r="T218" s="59" t="n">
        <v>147</v>
      </c>
      <c r="U218" s="60" t="n">
        <v>120442.700655273</v>
      </c>
      <c r="V218" s="61">
        <f>U218/B218</f>
        <v/>
      </c>
    </row>
    <row r="219" ht="22.5" customHeight="1" s="150">
      <c r="A219" s="34" t="n">
        <v>217</v>
      </c>
      <c r="B219" s="50" t="n">
        <v>297</v>
      </c>
      <c r="C219" s="50" t="n">
        <v>302</v>
      </c>
      <c r="D219" s="50" t="n">
        <v>196</v>
      </c>
      <c r="E219" s="50" t="n">
        <v>101</v>
      </c>
      <c r="F219" s="51">
        <f>(C219*100)/B219</f>
        <v/>
      </c>
      <c r="G219" s="51">
        <f>(D219*100)/B219</f>
        <v/>
      </c>
      <c r="H219" s="53">
        <f>((B219-B220)/B219)*100</f>
        <v/>
      </c>
      <c r="I219" s="53">
        <f>((B219-C219)/B219)*100</f>
        <v/>
      </c>
      <c r="J219" s="53">
        <f>((C219-B220)/C219)*100</f>
        <v/>
      </c>
      <c r="K219" s="54" t="n"/>
      <c r="L219" s="55" t="n">
        <v>1.52136752136752</v>
      </c>
      <c r="M219" s="71" t="inlineStr">
        <is>
          <t>Hard</t>
        </is>
      </c>
      <c r="N219" s="55" t="n">
        <v>18.96</v>
      </c>
      <c r="O219" s="57">
        <f>N219/C219</f>
        <v/>
      </c>
      <c r="P219" s="58">
        <f>(Boosters_And!B219*100)/Boosters_And!N219</f>
        <v/>
      </c>
      <c r="Q219" s="58">
        <f>Boosters_And!B219/(C219+D219)</f>
        <v/>
      </c>
      <c r="R219" s="58">
        <f>Boosters_And!N219/B219</f>
        <v/>
      </c>
      <c r="S219" s="55" t="n">
        <v>7.82051282051281</v>
      </c>
      <c r="T219" s="59" t="n">
        <v>196</v>
      </c>
      <c r="U219" s="60" t="n">
        <v>107184.846894312</v>
      </c>
      <c r="V219" s="61">
        <f>U219/B219</f>
        <v/>
      </c>
    </row>
    <row r="220" ht="22.5" customHeight="1" s="150">
      <c r="A220" s="34" t="n">
        <v>218</v>
      </c>
      <c r="B220" s="50" t="n">
        <v>304</v>
      </c>
      <c r="C220" s="50" t="n">
        <v>291</v>
      </c>
      <c r="D220" s="50" t="n">
        <v>178</v>
      </c>
      <c r="E220" s="50" t="n">
        <v>111</v>
      </c>
      <c r="F220" s="51">
        <f>(C220*100)/B220</f>
        <v/>
      </c>
      <c r="G220" s="51">
        <f>(D220*100)/B220</f>
        <v/>
      </c>
      <c r="H220" s="53">
        <f>((B220-B221)/B220)*100</f>
        <v/>
      </c>
      <c r="I220" s="53">
        <f>((B220-C220)/B220)*100</f>
        <v/>
      </c>
      <c r="J220" s="53">
        <f>((C220-B221)/C220)*100</f>
        <v/>
      </c>
      <c r="K220" s="54" t="n"/>
      <c r="L220" s="55" t="n">
        <v>1.40707964601769</v>
      </c>
      <c r="M220" s="70" t="inlineStr">
        <is>
          <t>Normal</t>
        </is>
      </c>
      <c r="N220" s="55" t="n">
        <v>67.79000000000001</v>
      </c>
      <c r="O220" s="57">
        <f>N220/C220</f>
        <v/>
      </c>
      <c r="P220" s="58">
        <f>(Boosters_And!B220*100)/Boosters_And!N220</f>
        <v/>
      </c>
      <c r="Q220" s="58">
        <f>Boosters_And!B220/(C220+D220)</f>
        <v/>
      </c>
      <c r="R220" s="58">
        <f>Boosters_And!N220/B220</f>
        <v/>
      </c>
      <c r="S220" s="55" t="n">
        <v>7.68141592920353</v>
      </c>
      <c r="T220" s="59" t="n">
        <v>186</v>
      </c>
      <c r="U220" s="60" t="n">
        <v>108539.005109196</v>
      </c>
      <c r="V220" s="61">
        <f>U220/B220</f>
        <v/>
      </c>
    </row>
    <row r="221" ht="22.5" customHeight="1" s="150">
      <c r="A221" s="34" t="n">
        <v>219</v>
      </c>
      <c r="B221" s="50" t="n">
        <v>297</v>
      </c>
      <c r="C221" s="50" t="n">
        <v>297</v>
      </c>
      <c r="D221" s="50" t="n">
        <v>39</v>
      </c>
      <c r="E221" s="50" t="n">
        <v>13</v>
      </c>
      <c r="F221" s="51">
        <f>(C221*100)/B221</f>
        <v/>
      </c>
      <c r="G221" s="51">
        <f>(D221*100)/B221</f>
        <v/>
      </c>
      <c r="H221" s="53">
        <f>((B221-B222)/B221)*100</f>
        <v/>
      </c>
      <c r="I221" s="53">
        <f>((B221-C221)/B221)*100</f>
        <v/>
      </c>
      <c r="J221" s="53">
        <f>((C221-B222)/C221)*100</f>
        <v/>
      </c>
      <c r="K221" s="54" t="n"/>
      <c r="L221" s="55" t="n">
        <v>1.02608695652173</v>
      </c>
      <c r="M221" s="56" t="inlineStr">
        <is>
          <t>Normal</t>
        </is>
      </c>
      <c r="N221" s="55" t="n">
        <v>0</v>
      </c>
      <c r="O221" s="57">
        <f>N221/C221</f>
        <v/>
      </c>
      <c r="P221" s="58">
        <f>(Boosters_And!B221*100)/Boosters_And!N221</f>
        <v/>
      </c>
      <c r="Q221" s="58">
        <f>Boosters_And!B221/(C221+D221)</f>
        <v/>
      </c>
      <c r="R221" s="58">
        <f>Boosters_And!N221/B221</f>
        <v/>
      </c>
      <c r="S221" s="55" t="n">
        <v>9.59130434782608</v>
      </c>
      <c r="T221" s="59" t="n">
        <v>134</v>
      </c>
      <c r="U221" s="60" t="n">
        <v>122157.96772746</v>
      </c>
      <c r="V221" s="61">
        <f>U221/B221</f>
        <v/>
      </c>
    </row>
    <row r="222" ht="22.5" customHeight="1" s="150">
      <c r="A222" s="34" t="n">
        <v>220</v>
      </c>
      <c r="B222" s="50" t="n">
        <v>302</v>
      </c>
      <c r="C222" s="50" t="n">
        <v>299</v>
      </c>
      <c r="D222" s="50" t="n">
        <v>162</v>
      </c>
      <c r="E222" s="50" t="n">
        <v>77</v>
      </c>
      <c r="F222" s="51">
        <f>(C222*100)/B222</f>
        <v/>
      </c>
      <c r="G222" s="51">
        <f>(D222*100)/B222</f>
        <v/>
      </c>
      <c r="H222" s="53">
        <f>((B222-B223)/B222)*100</f>
        <v/>
      </c>
      <c r="I222" s="53">
        <f>((B222-C222)/B222)*100</f>
        <v/>
      </c>
      <c r="J222" s="53">
        <f>((C222-B223)/C222)*100</f>
        <v/>
      </c>
      <c r="K222" s="54" t="n"/>
      <c r="L222" s="55" t="n">
        <v>1.16379310344827</v>
      </c>
      <c r="M222" s="69" t="inlineStr">
        <is>
          <t>Hard</t>
        </is>
      </c>
      <c r="N222" s="55" t="n">
        <v>30.96</v>
      </c>
      <c r="O222" s="57">
        <f>N222/C222</f>
        <v/>
      </c>
      <c r="P222" s="58">
        <f>(Boosters_And!B222*100)/Boosters_And!N222</f>
        <v/>
      </c>
      <c r="Q222" s="58">
        <f>Boosters_And!B222/(C222+D222)</f>
        <v/>
      </c>
      <c r="R222" s="58">
        <f>Boosters_And!N222/B222</f>
        <v/>
      </c>
      <c r="S222" s="55" t="n">
        <v>21.2586206896551</v>
      </c>
      <c r="T222" s="59" t="n">
        <v>188</v>
      </c>
      <c r="U222" s="60" t="n">
        <v>134525.946090069</v>
      </c>
      <c r="V222" s="61">
        <f>U222/B222</f>
        <v/>
      </c>
    </row>
    <row r="223" ht="22.5" customHeight="1" s="150">
      <c r="A223" s="34" t="n">
        <v>221</v>
      </c>
      <c r="B223" s="50" t="n">
        <v>297</v>
      </c>
      <c r="C223" s="50" t="n">
        <v>291</v>
      </c>
      <c r="D223" s="50" t="n">
        <v>93</v>
      </c>
      <c r="E223" s="50" t="n">
        <v>36</v>
      </c>
      <c r="F223" s="51">
        <f>(C223*100)/B223</f>
        <v/>
      </c>
      <c r="G223" s="51">
        <f>(D223*100)/B223</f>
        <v/>
      </c>
      <c r="H223" s="53">
        <f>((B223-B224)/B223)*100</f>
        <v/>
      </c>
      <c r="I223" s="53">
        <f>((B223-C223)/B223)*100</f>
        <v/>
      </c>
      <c r="J223" s="53">
        <f>((C223-B224)/C223)*100</f>
        <v/>
      </c>
      <c r="K223" s="54" t="n"/>
      <c r="L223" s="55" t="n">
        <v>1.06194690265486</v>
      </c>
      <c r="M223" s="71" t="inlineStr">
        <is>
          <t>Hard</t>
        </is>
      </c>
      <c r="N223" s="55" t="n">
        <v>6.49</v>
      </c>
      <c r="O223" s="57">
        <f>N223/C223</f>
        <v/>
      </c>
      <c r="P223" s="58">
        <f>(Boosters_And!B223*100)/Boosters_And!N223</f>
        <v/>
      </c>
      <c r="Q223" s="58">
        <f>Boosters_And!B223/(C223+D223)</f>
        <v/>
      </c>
      <c r="R223" s="58">
        <f>Boosters_And!N223/B223</f>
        <v/>
      </c>
      <c r="S223" s="55" t="n">
        <v>10.5663716814159</v>
      </c>
      <c r="T223" s="59" t="n">
        <v>162</v>
      </c>
      <c r="U223" s="60" t="n">
        <v>136524.941550136</v>
      </c>
      <c r="V223" s="61">
        <f>U223/B223</f>
        <v/>
      </c>
    </row>
    <row r="224" ht="22.5" customHeight="1" s="150">
      <c r="A224" s="34" t="n">
        <v>222</v>
      </c>
      <c r="B224" s="50" t="n">
        <v>299</v>
      </c>
      <c r="C224" s="50" t="n">
        <v>291</v>
      </c>
      <c r="D224" s="50" t="n">
        <v>222</v>
      </c>
      <c r="E224" s="50" t="n">
        <v>144</v>
      </c>
      <c r="F224" s="51">
        <f>(C224*100)/B224</f>
        <v/>
      </c>
      <c r="G224" s="51">
        <f>(D224*100)/B224</f>
        <v/>
      </c>
      <c r="H224" s="53">
        <f>((B224-B225)/B224)*100</f>
        <v/>
      </c>
      <c r="I224" s="53">
        <f>((B224-C224)/B224)*100</f>
        <v/>
      </c>
      <c r="J224" s="53">
        <f>((C224-B225)/C224)*100</f>
        <v/>
      </c>
      <c r="K224" s="54" t="n"/>
      <c r="L224" s="55" t="n">
        <v>1.53982300884955</v>
      </c>
      <c r="M224" s="70" t="inlineStr">
        <is>
          <t>Normal</t>
        </is>
      </c>
      <c r="N224" s="55" t="n">
        <v>36.94</v>
      </c>
      <c r="O224" s="57">
        <f>N224/C224</f>
        <v/>
      </c>
      <c r="P224" s="58">
        <f>(Boosters_And!B224*100)/Boosters_And!N224</f>
        <v/>
      </c>
      <c r="Q224" s="58">
        <f>Boosters_And!B224/(C224+D224)</f>
        <v/>
      </c>
      <c r="R224" s="58">
        <f>Boosters_And!N224/B224</f>
        <v/>
      </c>
      <c r="S224" s="55" t="n">
        <v>10.1504424778761</v>
      </c>
      <c r="T224" s="59" t="n">
        <v>209</v>
      </c>
      <c r="U224" s="60" t="n">
        <v>111917.952273954</v>
      </c>
      <c r="V224" s="61">
        <f>U224/B224</f>
        <v/>
      </c>
    </row>
    <row r="225" ht="22.5" customHeight="1" s="150">
      <c r="A225" s="34" t="n">
        <v>223</v>
      </c>
      <c r="B225" s="50" t="n">
        <v>291</v>
      </c>
      <c r="C225" s="50" t="n">
        <v>286</v>
      </c>
      <c r="D225" s="50" t="n">
        <v>219</v>
      </c>
      <c r="E225" s="50" t="n">
        <v>95</v>
      </c>
      <c r="F225" s="51">
        <f>(C225*100)/B225</f>
        <v/>
      </c>
      <c r="G225" s="51">
        <f>(D225*100)/B225</f>
        <v/>
      </c>
      <c r="H225" s="53">
        <f>((B225-B226)/B225)*100</f>
        <v/>
      </c>
      <c r="I225" s="53">
        <f>((B225-C225)/B225)*100</f>
        <v/>
      </c>
      <c r="J225" s="53">
        <f>((C225-B226)/C225)*100</f>
        <v/>
      </c>
      <c r="K225" s="54" t="n"/>
      <c r="L225" s="55" t="n">
        <v>1.56756756756756</v>
      </c>
      <c r="M225" s="56" t="inlineStr">
        <is>
          <t>Normal</t>
        </is>
      </c>
      <c r="N225" s="55" t="n">
        <v>32.44</v>
      </c>
      <c r="O225" s="57">
        <f>N225/C225</f>
        <v/>
      </c>
      <c r="P225" s="58">
        <f>(Boosters_And!B225*100)/Boosters_And!N225</f>
        <v/>
      </c>
      <c r="Q225" s="58">
        <f>Boosters_And!B225/(C225+D225)</f>
        <v/>
      </c>
      <c r="R225" s="58">
        <f>Boosters_And!N225/B225</f>
        <v/>
      </c>
      <c r="S225" s="55" t="n">
        <v>8.83783783783783</v>
      </c>
      <c r="T225" s="59" t="n">
        <v>206</v>
      </c>
      <c r="U225" s="60" t="n">
        <v>91425.02462204039</v>
      </c>
      <c r="V225" s="61">
        <f>U225/B225</f>
        <v/>
      </c>
    </row>
    <row r="226" ht="22.5" customHeight="1" s="150">
      <c r="A226" s="34" t="n">
        <v>224</v>
      </c>
      <c r="B226" s="50" t="n">
        <v>286</v>
      </c>
      <c r="C226" s="50" t="n">
        <v>284</v>
      </c>
      <c r="D226" s="50" t="n">
        <v>126</v>
      </c>
      <c r="E226" s="50" t="n">
        <v>57</v>
      </c>
      <c r="F226" s="51">
        <f>(C226*100)/B226</f>
        <v/>
      </c>
      <c r="G226" s="51">
        <f>(D226*100)/B226</f>
        <v/>
      </c>
      <c r="H226" s="53">
        <f>((B226-B227)/B226)*100</f>
        <v/>
      </c>
      <c r="I226" s="53">
        <f>((B226-C226)/B226)*100</f>
        <v/>
      </c>
      <c r="J226" s="53">
        <f>((C226-B227)/C226)*100</f>
        <v/>
      </c>
      <c r="K226" s="54" t="n"/>
      <c r="L226" s="55" t="n">
        <v>1.1090909090909</v>
      </c>
      <c r="M226" s="70" t="inlineStr">
        <is>
          <t>Normal</t>
        </is>
      </c>
      <c r="N226" s="55" t="n">
        <v>28</v>
      </c>
      <c r="O226" s="57">
        <f>N226/C226</f>
        <v/>
      </c>
      <c r="P226" s="58">
        <f>(Boosters_And!B226*100)/Boosters_And!N226</f>
        <v/>
      </c>
      <c r="Q226" s="58">
        <f>Boosters_And!B226/(C226+D226)</f>
        <v/>
      </c>
      <c r="R226" s="58">
        <f>Boosters_And!N226/B226</f>
        <v/>
      </c>
      <c r="S226" s="55" t="n">
        <v>15.6181818181818</v>
      </c>
      <c r="T226" s="59" t="n">
        <v>188</v>
      </c>
      <c r="U226" s="60" t="n">
        <v>111814.778314725</v>
      </c>
      <c r="V226" s="61">
        <f>U226/B226</f>
        <v/>
      </c>
    </row>
    <row r="227" ht="22.5" customHeight="1" s="150">
      <c r="A227" s="34" t="n">
        <v>225</v>
      </c>
      <c r="B227" s="50" t="n">
        <v>286</v>
      </c>
      <c r="C227" s="50" t="n">
        <v>268</v>
      </c>
      <c r="D227" s="50" t="n">
        <v>214</v>
      </c>
      <c r="E227" s="50" t="n">
        <v>152</v>
      </c>
      <c r="F227" s="51">
        <f>(C227*100)/B227</f>
        <v/>
      </c>
      <c r="G227" s="51">
        <f>(D227*100)/B227</f>
        <v/>
      </c>
      <c r="H227" s="53">
        <f>((B227-B228)/B227)*100</f>
        <v/>
      </c>
      <c r="I227" s="53">
        <f>((B227-C227)/B227)*100</f>
        <v/>
      </c>
      <c r="J227" s="53">
        <f>((C227-B228)/C227)*100</f>
        <v/>
      </c>
      <c r="K227" s="54" t="n"/>
      <c r="L227" s="55" t="n">
        <v>1.625</v>
      </c>
      <c r="M227" s="56" t="inlineStr">
        <is>
          <t>Normal</t>
        </is>
      </c>
      <c r="N227" s="55" t="n">
        <v>34</v>
      </c>
      <c r="O227" s="57">
        <f>N227/C227</f>
        <v/>
      </c>
      <c r="P227" s="58">
        <f>(Boosters_And!B227*100)/Boosters_And!N227</f>
        <v/>
      </c>
      <c r="Q227" s="58">
        <f>Boosters_And!B227/(C227+D227)</f>
        <v/>
      </c>
      <c r="R227" s="58">
        <f>Boosters_And!N227/B227</f>
        <v/>
      </c>
      <c r="S227" s="55" t="n">
        <v>10.4038461538461</v>
      </c>
      <c r="T227" s="59" t="n">
        <v>209</v>
      </c>
      <c r="U227" s="60" t="n">
        <v>69281.3136224574</v>
      </c>
      <c r="V227" s="61">
        <f>U227/B227</f>
        <v/>
      </c>
    </row>
    <row r="228" ht="22.5" customHeight="1" s="150">
      <c r="A228" s="34" t="n">
        <v>226</v>
      </c>
      <c r="B228" s="50" t="n">
        <v>271</v>
      </c>
      <c r="C228" s="50" t="n">
        <v>263</v>
      </c>
      <c r="D228" s="50" t="n">
        <v>119</v>
      </c>
      <c r="E228" s="50" t="n">
        <v>57</v>
      </c>
      <c r="F228" s="51">
        <f>(C228*100)/B228</f>
        <v/>
      </c>
      <c r="G228" s="51">
        <f>(D228*100)/B228</f>
        <v/>
      </c>
      <c r="H228" s="53">
        <f>((B228-B229)/B228)*100</f>
        <v/>
      </c>
      <c r="I228" s="53">
        <f>((B228-C228)/B228)*100</f>
        <v/>
      </c>
      <c r="J228" s="53">
        <f>((C228-B229)/C228)*100</f>
        <v/>
      </c>
      <c r="K228" s="54" t="n"/>
      <c r="L228" s="55" t="n">
        <v>1.20588235294117</v>
      </c>
      <c r="M228" s="69" t="inlineStr">
        <is>
          <t>Hard</t>
        </is>
      </c>
      <c r="N228" s="55" t="n">
        <v>0</v>
      </c>
      <c r="O228" s="57">
        <f>N228/C228</f>
        <v/>
      </c>
      <c r="P228" s="58">
        <f>(Boosters_And!B228*100)/Boosters_And!N228</f>
        <v/>
      </c>
      <c r="Q228" s="58">
        <f>Boosters_And!B228/(C228+D228)</f>
        <v/>
      </c>
      <c r="R228" s="58">
        <f>Boosters_And!N228/B228</f>
        <v/>
      </c>
      <c r="S228" s="55" t="n">
        <v>16.7254901960784</v>
      </c>
      <c r="T228" s="59" t="n">
        <v>160</v>
      </c>
      <c r="U228" s="60" t="n">
        <v>81765.3626891996</v>
      </c>
      <c r="V228" s="61">
        <f>U228/B228</f>
        <v/>
      </c>
    </row>
    <row r="229" ht="22.5" customHeight="1" s="150">
      <c r="A229" s="34" t="n">
        <v>227</v>
      </c>
      <c r="B229" s="50" t="n">
        <v>266</v>
      </c>
      <c r="C229" s="50" t="n">
        <v>261</v>
      </c>
      <c r="D229" s="50" t="n">
        <v>119</v>
      </c>
      <c r="E229" s="50" t="n">
        <v>36</v>
      </c>
      <c r="F229" s="51">
        <f>(C229*100)/B229</f>
        <v/>
      </c>
      <c r="G229" s="51">
        <f>(D229*100)/B229</f>
        <v/>
      </c>
      <c r="H229" s="53">
        <f>((B229-B230)/B229)*100</f>
        <v/>
      </c>
      <c r="I229" s="53">
        <f>((B229-C229)/B229)*100</f>
        <v/>
      </c>
      <c r="J229" s="53">
        <f>((C229-B230)/C229)*100</f>
        <v/>
      </c>
      <c r="K229" s="54" t="n"/>
      <c r="L229" s="55" t="n">
        <v>1.01980198019801</v>
      </c>
      <c r="M229" s="71" t="inlineStr">
        <is>
          <t>Hard</t>
        </is>
      </c>
      <c r="N229" s="55" t="n">
        <v>0</v>
      </c>
      <c r="O229" s="57">
        <f>N229/C229</f>
        <v/>
      </c>
      <c r="P229" s="58">
        <f>(Boosters_And!B229*100)/Boosters_And!N229</f>
        <v/>
      </c>
      <c r="Q229" s="58">
        <f>Boosters_And!B229/(C229+D229)</f>
        <v/>
      </c>
      <c r="R229" s="58">
        <f>Boosters_And!N229/B229</f>
        <v/>
      </c>
      <c r="S229" s="55" t="n">
        <v>12.4455445544554</v>
      </c>
      <c r="T229" s="59" t="n">
        <v>155</v>
      </c>
      <c r="U229" s="60" t="n">
        <v>86898.267160856</v>
      </c>
      <c r="V229" s="61">
        <f>U229/B229</f>
        <v/>
      </c>
    </row>
    <row r="230" ht="22.5" customHeight="1" s="150">
      <c r="A230" s="34" t="n">
        <v>228</v>
      </c>
      <c r="B230" s="50" t="n">
        <v>261</v>
      </c>
      <c r="C230" s="50" t="n">
        <v>261</v>
      </c>
      <c r="D230" s="50" t="n">
        <v>0</v>
      </c>
      <c r="E230" s="50" t="n">
        <v>0</v>
      </c>
      <c r="F230" s="51">
        <f>(C230*100)/B230</f>
        <v/>
      </c>
      <c r="G230" s="51">
        <f>(D230*100)/B230</f>
        <v/>
      </c>
      <c r="H230" s="53">
        <f>((B230-B231)/B230)*100</f>
        <v/>
      </c>
      <c r="I230" s="53">
        <f>((B230-C230)/B230)*100</f>
        <v/>
      </c>
      <c r="J230" s="53">
        <f>((C230-B231)/C230)*100</f>
        <v/>
      </c>
      <c r="K230" s="54" t="n"/>
      <c r="L230" s="55" t="n">
        <v>1</v>
      </c>
      <c r="M230" s="70" t="inlineStr">
        <is>
          <t>Normal</t>
        </is>
      </c>
      <c r="N230" s="55" t="n">
        <v>6.49</v>
      </c>
      <c r="O230" s="57">
        <f>N230/C230</f>
        <v/>
      </c>
      <c r="P230" s="58">
        <f>(Boosters_And!B230*100)/Boosters_And!N230</f>
        <v/>
      </c>
      <c r="Q230" s="58">
        <f>Boosters_And!B230/(C230+D230)</f>
        <v/>
      </c>
      <c r="R230" s="58">
        <f>Boosters_And!N230/B230</f>
        <v/>
      </c>
      <c r="S230" s="55" t="n">
        <v>6.51485148514851</v>
      </c>
      <c r="T230" s="59" t="n">
        <v>101</v>
      </c>
      <c r="U230" s="60" t="n">
        <v>120636.151828828</v>
      </c>
      <c r="V230" s="61">
        <f>U230/B230</f>
        <v/>
      </c>
    </row>
    <row r="231" ht="22.5" customHeight="1" s="150">
      <c r="A231" s="34" t="n">
        <v>229</v>
      </c>
      <c r="B231" s="50" t="n">
        <v>261</v>
      </c>
      <c r="C231" s="50" t="n">
        <v>261</v>
      </c>
      <c r="D231" s="50" t="n">
        <v>113</v>
      </c>
      <c r="E231" s="50" t="n">
        <v>31</v>
      </c>
      <c r="F231" s="51">
        <f>(C231*100)/B231</f>
        <v/>
      </c>
      <c r="G231" s="51">
        <f>(D231*100)/B231</f>
        <v/>
      </c>
      <c r="H231" s="53">
        <f>((B231-B232)/B231)*100</f>
        <v/>
      </c>
      <c r="I231" s="53">
        <f>((B231-C231)/B231)*100</f>
        <v/>
      </c>
      <c r="J231" s="53">
        <f>((C231-B232)/C231)*100</f>
        <v/>
      </c>
      <c r="K231" s="54" t="n"/>
      <c r="L231" s="55" t="n">
        <v>1.15841584158415</v>
      </c>
      <c r="M231" s="74" t="inlineStr">
        <is>
          <t>Very Hard</t>
        </is>
      </c>
      <c r="N231" s="55" t="n">
        <v>12.02</v>
      </c>
      <c r="O231" s="57">
        <f>N231/C231</f>
        <v/>
      </c>
      <c r="P231" s="58">
        <f>(Boosters_And!B231*100)/Boosters_And!N231</f>
        <v/>
      </c>
      <c r="Q231" s="58">
        <f>Boosters_And!B231/(C231+D231)</f>
        <v/>
      </c>
      <c r="R231" s="58">
        <f>Boosters_And!N231/B231</f>
        <v/>
      </c>
      <c r="S231" s="55" t="n">
        <v>5.52475247524752</v>
      </c>
      <c r="T231" s="59" t="n">
        <v>155</v>
      </c>
      <c r="U231" s="60" t="n">
        <v>114200.676121902</v>
      </c>
      <c r="V231" s="61">
        <f>U231/B231</f>
        <v/>
      </c>
    </row>
    <row r="232" ht="22.5" customHeight="1" s="150">
      <c r="A232" s="34" t="n">
        <v>230</v>
      </c>
      <c r="B232" s="50" t="n">
        <v>258</v>
      </c>
      <c r="C232" s="50" t="n">
        <v>253</v>
      </c>
      <c r="D232" s="50" t="n">
        <v>150</v>
      </c>
      <c r="E232" s="50" t="n">
        <v>49</v>
      </c>
      <c r="F232" s="51">
        <f>(C232*100)/B232</f>
        <v/>
      </c>
      <c r="G232" s="51">
        <f>(D232*100)/B232</f>
        <v/>
      </c>
      <c r="H232" s="53">
        <f>((B232-B233)/B232)*100</f>
        <v/>
      </c>
      <c r="I232" s="53">
        <f>((B232-C232)/B232)*100</f>
        <v/>
      </c>
      <c r="J232" s="53">
        <f>((C232-B233)/C232)*100</f>
        <v/>
      </c>
      <c r="K232" s="54" t="n"/>
      <c r="L232" s="55" t="n">
        <v>1.16326530612244</v>
      </c>
      <c r="M232" s="70" t="inlineStr">
        <is>
          <t>Normal</t>
        </is>
      </c>
      <c r="N232" s="55" t="n">
        <v>26.42</v>
      </c>
      <c r="O232" s="57">
        <f>N232/C232</f>
        <v/>
      </c>
      <c r="P232" s="58">
        <f>(Boosters_And!B232*100)/Boosters_And!N232</f>
        <v/>
      </c>
      <c r="Q232" s="58">
        <f>Boosters_And!B232/(C232+D232)</f>
        <v/>
      </c>
      <c r="R232" s="58">
        <f>Boosters_And!N232/B232</f>
        <v/>
      </c>
      <c r="S232" s="55" t="n">
        <v>9.26530612244898</v>
      </c>
      <c r="T232" s="59" t="n">
        <v>168</v>
      </c>
      <c r="U232" s="60" t="n">
        <v>87684.9685999792</v>
      </c>
      <c r="V232" s="61">
        <f>U232/B232</f>
        <v/>
      </c>
    </row>
    <row r="233" ht="22.5" customHeight="1" s="150">
      <c r="A233" s="34" t="n">
        <v>231</v>
      </c>
      <c r="B233" s="50" t="n">
        <v>253</v>
      </c>
      <c r="C233" s="50" t="n">
        <v>245</v>
      </c>
      <c r="D233" s="50" t="n">
        <v>173</v>
      </c>
      <c r="E233" s="50" t="n">
        <v>62</v>
      </c>
      <c r="F233" s="51">
        <f>(C233*100)/B233</f>
        <v/>
      </c>
      <c r="G233" s="51">
        <f>(D233*100)/B233</f>
        <v/>
      </c>
      <c r="H233" s="53">
        <f>((B233-B234)/B233)*100</f>
        <v/>
      </c>
      <c r="I233" s="53">
        <f>((B233-C233)/B233)*100</f>
        <v/>
      </c>
      <c r="J233" s="53">
        <f>((C233-B234)/C233)*100</f>
        <v/>
      </c>
      <c r="K233" s="54" t="n"/>
      <c r="L233" s="55" t="n">
        <v>1.16842105263157</v>
      </c>
      <c r="M233" s="71" t="inlineStr">
        <is>
          <t>Hard</t>
        </is>
      </c>
      <c r="N233" s="55" t="n">
        <v>28.89</v>
      </c>
      <c r="O233" s="57">
        <f>N233/C233</f>
        <v/>
      </c>
      <c r="P233" s="58">
        <f>(Boosters_And!B233*100)/Boosters_And!N233</f>
        <v/>
      </c>
      <c r="Q233" s="58">
        <f>Boosters_And!B233/(C233+D233)</f>
        <v/>
      </c>
      <c r="R233" s="58">
        <f>Boosters_And!N233/B233</f>
        <v/>
      </c>
      <c r="S233" s="55" t="n">
        <v>8.642105263157889</v>
      </c>
      <c r="T233" s="59" t="n">
        <v>173</v>
      </c>
      <c r="U233" s="60" t="n">
        <v>75123.5390638151</v>
      </c>
      <c r="V233" s="61">
        <f>U233/B233</f>
        <v/>
      </c>
    </row>
    <row r="234" ht="22.5" customHeight="1" s="150">
      <c r="A234" s="34" t="n">
        <v>232</v>
      </c>
      <c r="B234" s="50" t="n">
        <v>253</v>
      </c>
      <c r="C234" s="50" t="n">
        <v>250</v>
      </c>
      <c r="D234" s="50" t="n">
        <v>116</v>
      </c>
      <c r="E234" s="50" t="n">
        <v>26</v>
      </c>
      <c r="F234" s="51">
        <f>(C234*100)/B234</f>
        <v/>
      </c>
      <c r="G234" s="51">
        <f>(D234*100)/B234</f>
        <v/>
      </c>
      <c r="H234" s="53">
        <f>((B234-B235)/B234)*100</f>
        <v/>
      </c>
      <c r="I234" s="53">
        <f>((B234-C234)/B234)*100</f>
        <v/>
      </c>
      <c r="J234" s="53">
        <f>((C234-B235)/C234)*100</f>
        <v/>
      </c>
      <c r="K234" s="54" t="n"/>
      <c r="L234" s="55" t="n">
        <v>1.10309278350515</v>
      </c>
      <c r="M234" s="70" t="inlineStr">
        <is>
          <t>Normal</t>
        </is>
      </c>
      <c r="N234" s="55" t="n">
        <v>10.96</v>
      </c>
      <c r="O234" s="57">
        <f>N234/C234</f>
        <v/>
      </c>
      <c r="P234" s="58">
        <f>(Boosters_And!B234*100)/Boosters_And!N234</f>
        <v/>
      </c>
      <c r="Q234" s="58">
        <f>Boosters_And!B234/(C234+D234)</f>
        <v/>
      </c>
      <c r="R234" s="58">
        <f>Boosters_And!N234/B234</f>
        <v/>
      </c>
      <c r="S234" s="55" t="n">
        <v>7.4020618556701</v>
      </c>
      <c r="T234" s="59" t="n">
        <v>168</v>
      </c>
      <c r="U234" s="60" t="n">
        <v>99640.2511256713</v>
      </c>
      <c r="V234" s="61">
        <f>U234/B234</f>
        <v/>
      </c>
    </row>
    <row r="235" ht="22.5" customHeight="1" s="150">
      <c r="A235" s="34" t="n">
        <v>233</v>
      </c>
      <c r="B235" s="50" t="n">
        <v>253</v>
      </c>
      <c r="C235" s="50" t="n">
        <v>248</v>
      </c>
      <c r="D235" s="50" t="n">
        <v>98</v>
      </c>
      <c r="E235" s="50" t="n">
        <v>46</v>
      </c>
      <c r="F235" s="51">
        <f>(C235*100)/B235</f>
        <v/>
      </c>
      <c r="G235" s="51">
        <f>(D235*100)/B235</f>
        <v/>
      </c>
      <c r="H235" s="53">
        <f>((B235-B236)/B235)*100</f>
        <v/>
      </c>
      <c r="I235" s="53">
        <f>((B235-C235)/B235)*100</f>
        <v/>
      </c>
      <c r="J235" s="53">
        <f>((C235-B236)/C235)*100</f>
        <v/>
      </c>
      <c r="K235" s="54" t="n"/>
      <c r="L235" s="55" t="n">
        <v>1.09375</v>
      </c>
      <c r="M235" s="56" t="inlineStr">
        <is>
          <t>Normal</t>
        </is>
      </c>
      <c r="N235" s="55" t="n">
        <v>2.49</v>
      </c>
      <c r="O235" s="57">
        <f>N235/C235</f>
        <v/>
      </c>
      <c r="P235" s="58">
        <f>(Boosters_And!B235*100)/Boosters_And!N235</f>
        <v/>
      </c>
      <c r="Q235" s="58">
        <f>Boosters_And!B235/(C235+D235)</f>
        <v/>
      </c>
      <c r="R235" s="58">
        <f>Boosters_And!N235/B235</f>
        <v/>
      </c>
      <c r="S235" s="55" t="n">
        <v>10.53125</v>
      </c>
      <c r="T235" s="59" t="n">
        <v>147</v>
      </c>
      <c r="U235" s="60" t="n">
        <v>90548.0459685916</v>
      </c>
      <c r="V235" s="61">
        <f>U235/B235</f>
        <v/>
      </c>
    </row>
    <row r="236" ht="22.5" customHeight="1" s="150">
      <c r="A236" s="34" t="n">
        <v>234</v>
      </c>
      <c r="B236" s="50" t="n">
        <v>250</v>
      </c>
      <c r="C236" s="50" t="n">
        <v>250</v>
      </c>
      <c r="D236" s="50" t="n">
        <v>85</v>
      </c>
      <c r="E236" s="50" t="n">
        <v>23</v>
      </c>
      <c r="F236" s="51">
        <f>(C236*100)/B236</f>
        <v/>
      </c>
      <c r="G236" s="51">
        <f>(D236*100)/B236</f>
        <v/>
      </c>
      <c r="H236" s="53">
        <f>((B236-B237)/B236)*100</f>
        <v/>
      </c>
      <c r="I236" s="53">
        <f>((B236-C236)/B236)*100</f>
        <v/>
      </c>
      <c r="J236" s="53">
        <f>((C236-B237)/C236)*100</f>
        <v/>
      </c>
      <c r="K236" s="54" t="n"/>
      <c r="L236" s="55" t="n">
        <v>1.01030927835051</v>
      </c>
      <c r="M236" s="69" t="inlineStr">
        <is>
          <t>Hard</t>
        </is>
      </c>
      <c r="N236" s="55" t="n">
        <v>9.48</v>
      </c>
      <c r="O236" s="57">
        <f>N236/C236</f>
        <v/>
      </c>
      <c r="P236" s="58">
        <f>(Boosters_And!B236*100)/Boosters_And!N236</f>
        <v/>
      </c>
      <c r="Q236" s="58">
        <f>Boosters_And!B236/(C236+D236)</f>
        <v/>
      </c>
      <c r="R236" s="58">
        <f>Boosters_And!N236/B236</f>
        <v/>
      </c>
      <c r="S236" s="55" t="n">
        <v>9.309278350515459</v>
      </c>
      <c r="T236" s="59" t="n">
        <v>142</v>
      </c>
      <c r="U236" s="60" t="n">
        <v>104321.769525699</v>
      </c>
      <c r="V236" s="61">
        <f>U236/B236</f>
        <v/>
      </c>
    </row>
    <row r="237" ht="22.5" customHeight="1" s="150">
      <c r="A237" s="34" t="n">
        <v>235</v>
      </c>
      <c r="B237" s="50" t="n">
        <v>250</v>
      </c>
      <c r="C237" s="50" t="n">
        <v>250</v>
      </c>
      <c r="D237" s="50" t="n">
        <v>8</v>
      </c>
      <c r="E237" s="50" t="n">
        <v>3</v>
      </c>
      <c r="F237" s="51">
        <f>(C237*100)/B237</f>
        <v/>
      </c>
      <c r="G237" s="51">
        <f>(D237*100)/B237</f>
        <v/>
      </c>
      <c r="H237" s="53">
        <f>((B237-B238)/B237)*100</f>
        <v/>
      </c>
      <c r="I237" s="53">
        <f>((B237-C237)/B237)*100</f>
        <v/>
      </c>
      <c r="J237" s="53">
        <f>((C237-B238)/C237)*100</f>
        <v/>
      </c>
      <c r="K237" s="54" t="n"/>
      <c r="L237" s="55" t="n">
        <v>1</v>
      </c>
      <c r="M237" s="56" t="inlineStr">
        <is>
          <t>Normal</t>
        </is>
      </c>
      <c r="N237" s="55" t="n">
        <v>0</v>
      </c>
      <c r="O237" s="57">
        <f>N237/C237</f>
        <v/>
      </c>
      <c r="P237" s="58">
        <f>(Boosters_And!B237*100)/Boosters_And!N237</f>
        <v/>
      </c>
      <c r="Q237" s="58">
        <f>Boosters_And!B237/(C237+D237)</f>
        <v/>
      </c>
      <c r="R237" s="58">
        <f>Boosters_And!N237/B237</f>
        <v/>
      </c>
      <c r="S237" s="55" t="n">
        <v>14.1237113402061</v>
      </c>
      <c r="T237" s="59" t="n">
        <v>106</v>
      </c>
      <c r="U237" s="60" t="n">
        <v>126658.931698837</v>
      </c>
      <c r="V237" s="61">
        <f>U237/B237</f>
        <v/>
      </c>
    </row>
    <row r="238" ht="22.5" customHeight="1" s="150">
      <c r="A238" s="34" t="n">
        <v>236</v>
      </c>
      <c r="B238" s="50" t="n">
        <v>255</v>
      </c>
      <c r="C238" s="50" t="n">
        <v>250</v>
      </c>
      <c r="D238" s="50" t="n">
        <v>152</v>
      </c>
      <c r="E238" s="50" t="n">
        <v>46</v>
      </c>
      <c r="F238" s="51">
        <f>(C238*100)/B238</f>
        <v/>
      </c>
      <c r="G238" s="51">
        <f>(D238*100)/B238</f>
        <v/>
      </c>
      <c r="H238" s="53">
        <f>((B238-B239)/B238)*100</f>
        <v/>
      </c>
      <c r="I238" s="53">
        <f>((B238-C238)/B238)*100</f>
        <v/>
      </c>
      <c r="J238" s="53">
        <f>((C238-B239)/C238)*100</f>
        <v/>
      </c>
      <c r="K238" s="54" t="n"/>
      <c r="L238" s="55" t="n">
        <v>1.39175257731958</v>
      </c>
      <c r="M238" s="70" t="inlineStr">
        <is>
          <t>Normal</t>
        </is>
      </c>
      <c r="N238" s="55" t="n">
        <v>18.43</v>
      </c>
      <c r="O238" s="57">
        <f>N238/C238</f>
        <v/>
      </c>
      <c r="P238" s="58">
        <f>(Boosters_And!B238*100)/Boosters_And!N238</f>
        <v/>
      </c>
      <c r="Q238" s="58">
        <f>Boosters_And!B238/(C238+D238)</f>
        <v/>
      </c>
      <c r="R238" s="58">
        <f>Boosters_And!N238/B238</f>
        <v/>
      </c>
      <c r="S238" s="55" t="n">
        <v>11.1030927835051</v>
      </c>
      <c r="T238" s="59" t="n">
        <v>175</v>
      </c>
      <c r="U238" s="60" t="n">
        <v>94326.79222536369</v>
      </c>
      <c r="V238" s="61">
        <f>U238/B238</f>
        <v/>
      </c>
    </row>
    <row r="239" ht="22.5" customHeight="1" s="150">
      <c r="A239" s="34" t="n">
        <v>237</v>
      </c>
      <c r="B239" s="50" t="n">
        <v>250</v>
      </c>
      <c r="C239" s="50" t="n">
        <v>250</v>
      </c>
      <c r="D239" s="50" t="n">
        <v>108</v>
      </c>
      <c r="E239" s="50" t="n">
        <v>62</v>
      </c>
      <c r="F239" s="51">
        <f>(C239*100)/B239</f>
        <v/>
      </c>
      <c r="G239" s="51">
        <f>(D239*100)/B239</f>
        <v/>
      </c>
      <c r="H239" s="53">
        <f>((B239-B240)/B239)*100</f>
        <v/>
      </c>
      <c r="I239" s="53">
        <f>((B239-C239)/B239)*100</f>
        <v/>
      </c>
      <c r="J239" s="53">
        <f>((C239-B240)/C239)*100</f>
        <v/>
      </c>
      <c r="K239" s="54" t="n"/>
      <c r="L239" s="55" t="n">
        <v>1.31958762886597</v>
      </c>
      <c r="M239" s="56" t="inlineStr">
        <is>
          <t>Normal</t>
        </is>
      </c>
      <c r="N239" s="55" t="n">
        <v>24.45</v>
      </c>
      <c r="O239" s="57">
        <f>N239/C239</f>
        <v/>
      </c>
      <c r="P239" s="58">
        <f>(Boosters_And!B239*100)/Boosters_And!N239</f>
        <v/>
      </c>
      <c r="Q239" s="58">
        <f>Boosters_And!B239/(C239+D239)</f>
        <v/>
      </c>
      <c r="R239" s="58">
        <f>Boosters_And!N239/B239</f>
        <v/>
      </c>
      <c r="S239" s="55" t="n">
        <v>10.2164948453608</v>
      </c>
      <c r="T239" s="59" t="n">
        <v>155</v>
      </c>
      <c r="U239" s="60" t="n">
        <v>97641.2556656041</v>
      </c>
      <c r="V239" s="61">
        <f>U239/B239</f>
        <v/>
      </c>
    </row>
    <row r="240" ht="22.5" customHeight="1" s="150">
      <c r="A240" s="34" t="n">
        <v>238</v>
      </c>
      <c r="B240" s="50" t="n">
        <v>250</v>
      </c>
      <c r="C240" s="50" t="n">
        <v>245</v>
      </c>
      <c r="D240" s="50" t="n">
        <v>142</v>
      </c>
      <c r="E240" s="50" t="n">
        <v>80</v>
      </c>
      <c r="F240" s="51">
        <f>(C240*100)/B240</f>
        <v/>
      </c>
      <c r="G240" s="51">
        <f>(D240*100)/B240</f>
        <v/>
      </c>
      <c r="H240" s="53">
        <f>((B240-B241)/B240)*100</f>
        <v/>
      </c>
      <c r="I240" s="53">
        <f>((B240-C240)/B240)*100</f>
        <v/>
      </c>
      <c r="J240" s="53">
        <f>((C240-B241)/C240)*100</f>
        <v/>
      </c>
      <c r="K240" s="54" t="n"/>
      <c r="L240" s="55" t="n">
        <v>1.52631578947368</v>
      </c>
      <c r="M240" s="70" t="inlineStr">
        <is>
          <t>Normal</t>
        </is>
      </c>
      <c r="N240" s="55" t="n">
        <v>24.43</v>
      </c>
      <c r="O240" s="57">
        <f>N240/C240</f>
        <v/>
      </c>
      <c r="P240" s="58">
        <f>(Boosters_And!B240*100)/Boosters_And!N240</f>
        <v/>
      </c>
      <c r="Q240" s="58">
        <f>Boosters_And!B240/(C240+D240)</f>
        <v/>
      </c>
      <c r="R240" s="58">
        <f>Boosters_And!N240/B240</f>
        <v/>
      </c>
      <c r="S240" s="55" t="n">
        <v>11.2631578947368</v>
      </c>
      <c r="T240" s="59" t="n">
        <v>168</v>
      </c>
      <c r="U240" s="60" t="n">
        <v>108551.901854099</v>
      </c>
      <c r="V240" s="61">
        <f>U240/B240</f>
        <v/>
      </c>
    </row>
    <row r="241" ht="22.5" customHeight="1" s="150">
      <c r="A241" s="34" t="n">
        <v>239</v>
      </c>
      <c r="B241" s="50" t="n">
        <v>245</v>
      </c>
      <c r="C241" s="50" t="n">
        <v>245</v>
      </c>
      <c r="D241" s="50" t="n">
        <v>160</v>
      </c>
      <c r="E241" s="50" t="n">
        <v>52</v>
      </c>
      <c r="F241" s="51">
        <f>(C241*100)/B241</f>
        <v/>
      </c>
      <c r="G241" s="51">
        <f>(D241*100)/B241</f>
        <v/>
      </c>
      <c r="H241" s="53">
        <f>((B241-B242)/B241)*100</f>
        <v/>
      </c>
      <c r="I241" s="53">
        <f>((B241-C241)/B241)*100</f>
        <v/>
      </c>
      <c r="J241" s="53">
        <f>((C241-B242)/C241)*100</f>
        <v/>
      </c>
      <c r="K241" s="54" t="n"/>
      <c r="L241" s="55" t="n">
        <v>1.16842105263157</v>
      </c>
      <c r="M241" s="56" t="inlineStr">
        <is>
          <t>Normal</t>
        </is>
      </c>
      <c r="N241" s="55" t="n">
        <v>1.99</v>
      </c>
      <c r="O241" s="57">
        <f>N241/C241</f>
        <v/>
      </c>
      <c r="P241" s="58">
        <f>(Boosters_And!B241*100)/Boosters_And!N241</f>
        <v/>
      </c>
      <c r="Q241" s="58">
        <f>Boosters_And!B241/(C241+D241)</f>
        <v/>
      </c>
      <c r="R241" s="58">
        <f>Boosters_And!N241/B241</f>
        <v/>
      </c>
      <c r="S241" s="55" t="n">
        <v>8.610526315789469</v>
      </c>
      <c r="T241" s="59" t="n">
        <v>170</v>
      </c>
      <c r="U241" s="60" t="n">
        <v>87285.16950796579</v>
      </c>
      <c r="V241" s="61">
        <f>U241/B241</f>
        <v/>
      </c>
    </row>
    <row r="242" ht="22.5" customHeight="1" s="150">
      <c r="A242" s="34" t="n">
        <v>240</v>
      </c>
      <c r="B242" s="50" t="n">
        <v>245</v>
      </c>
      <c r="C242" s="50" t="n">
        <v>242</v>
      </c>
      <c r="D242" s="50" t="n">
        <v>111</v>
      </c>
      <c r="E242" s="50" t="n">
        <v>39</v>
      </c>
      <c r="F242" s="51">
        <f>(C242*100)/B242</f>
        <v/>
      </c>
      <c r="G242" s="51">
        <f>(D242*100)/B242</f>
        <v/>
      </c>
      <c r="H242" s="53">
        <f>((B242-B243)/B242)*100</f>
        <v/>
      </c>
      <c r="I242" s="53">
        <f>((B242-C242)/B242)*100</f>
        <v/>
      </c>
      <c r="J242" s="53">
        <f>((C242-B243)/C242)*100</f>
        <v/>
      </c>
      <c r="K242" s="54" t="n"/>
      <c r="L242" s="55" t="n">
        <v>1.1595744680851</v>
      </c>
      <c r="M242" s="69" t="inlineStr">
        <is>
          <t>Hard</t>
        </is>
      </c>
      <c r="N242" s="55" t="n">
        <v>1.99</v>
      </c>
      <c r="O242" s="57">
        <f>N242/C242</f>
        <v/>
      </c>
      <c r="P242" s="58">
        <f>(Boosters_And!B242*100)/Boosters_And!N242</f>
        <v/>
      </c>
      <c r="Q242" s="58">
        <f>Boosters_And!B242/(C242+D242)</f>
        <v/>
      </c>
      <c r="R242" s="58">
        <f>Boosters_And!N242/B242</f>
        <v/>
      </c>
      <c r="S242" s="55" t="n">
        <v>9.74468085106383</v>
      </c>
      <c r="T242" s="59" t="n">
        <v>142</v>
      </c>
      <c r="U242" s="60" t="n">
        <v>92250.4162958746</v>
      </c>
      <c r="V242" s="61">
        <f>U242/B242</f>
        <v/>
      </c>
    </row>
    <row r="243" ht="22.5" customHeight="1" s="150">
      <c r="A243" s="34" t="n">
        <v>241</v>
      </c>
      <c r="B243" s="50" t="n">
        <v>245</v>
      </c>
      <c r="C243" s="50" t="n">
        <v>237</v>
      </c>
      <c r="D243" s="50" t="n">
        <v>170</v>
      </c>
      <c r="E243" s="50" t="n">
        <v>57</v>
      </c>
      <c r="F243" s="51">
        <f>(C243*100)/B243</f>
        <v/>
      </c>
      <c r="G243" s="51">
        <f>(D243*100)/B243</f>
        <v/>
      </c>
      <c r="H243" s="53">
        <f>((B243-B244)/B243)*100</f>
        <v/>
      </c>
      <c r="I243" s="53">
        <f>((B243-C243)/B243)*100</f>
        <v/>
      </c>
      <c r="J243" s="53">
        <f>((C243-B244)/C243)*100</f>
        <v/>
      </c>
      <c r="K243" s="54" t="n"/>
      <c r="L243" s="55" t="n">
        <v>1.28260869565217</v>
      </c>
      <c r="M243" s="71" t="inlineStr">
        <is>
          <t>Hard</t>
        </is>
      </c>
      <c r="N243" s="55" t="n">
        <v>35.54</v>
      </c>
      <c r="O243" s="57">
        <f>N243/C243</f>
        <v/>
      </c>
      <c r="P243" s="58">
        <f>(Boosters_And!B243*100)/Boosters_And!N243</f>
        <v/>
      </c>
      <c r="Q243" s="58">
        <f>Boosters_And!B243/(C243+D243)</f>
        <v/>
      </c>
      <c r="R243" s="58">
        <f>Boosters_And!N243/B243</f>
        <v/>
      </c>
      <c r="S243" s="55" t="n">
        <v>4.33695652173913</v>
      </c>
      <c r="T243" s="59" t="n">
        <v>173</v>
      </c>
      <c r="U243" s="60" t="n">
        <v>68791.23731611839</v>
      </c>
      <c r="V243" s="61">
        <f>U243/B243</f>
        <v/>
      </c>
    </row>
    <row r="244" ht="22.5" customHeight="1" s="150">
      <c r="A244" s="34" t="n">
        <v>242</v>
      </c>
      <c r="B244" s="50" t="n">
        <v>242</v>
      </c>
      <c r="C244" s="50" t="n">
        <v>237</v>
      </c>
      <c r="D244" s="50" t="n">
        <v>147</v>
      </c>
      <c r="E244" s="50" t="n">
        <v>72</v>
      </c>
      <c r="F244" s="51">
        <f>(C244*100)/B244</f>
        <v/>
      </c>
      <c r="G244" s="51">
        <f>(D244*100)/B244</f>
        <v/>
      </c>
      <c r="H244" s="53">
        <f>((B244-B245)/B244)*100</f>
        <v/>
      </c>
      <c r="I244" s="53">
        <f>((B244-C244)/B244)*100</f>
        <v/>
      </c>
      <c r="J244" s="53">
        <f>((C244-B245)/C244)*100</f>
        <v/>
      </c>
      <c r="K244" s="54" t="n"/>
      <c r="L244" s="55" t="n">
        <v>1.30434782608695</v>
      </c>
      <c r="M244" s="69" t="inlineStr">
        <is>
          <t>Hard</t>
        </is>
      </c>
      <c r="N244" s="55" t="n">
        <v>32.39</v>
      </c>
      <c r="O244" s="57">
        <f>N244/C244</f>
        <v/>
      </c>
      <c r="P244" s="58">
        <f>(Boosters_And!B244*100)/Boosters_And!N244</f>
        <v/>
      </c>
      <c r="Q244" s="58">
        <f>Boosters_And!B244/(C244+D244)</f>
        <v/>
      </c>
      <c r="R244" s="58">
        <f>Boosters_And!N244/B244</f>
        <v/>
      </c>
      <c r="S244" s="55" t="n">
        <v>12.4347826086956</v>
      </c>
      <c r="T244" s="59" t="n">
        <v>168</v>
      </c>
      <c r="U244" s="60" t="n">
        <v>93926.9931333503</v>
      </c>
      <c r="V244" s="61">
        <f>U244/B244</f>
        <v/>
      </c>
    </row>
    <row r="245" ht="22.5" customHeight="1" s="150">
      <c r="A245" s="34" t="n">
        <v>243</v>
      </c>
      <c r="B245" s="50" t="n">
        <v>240</v>
      </c>
      <c r="C245" s="50" t="n">
        <v>209</v>
      </c>
      <c r="D245" s="50" t="n">
        <v>181</v>
      </c>
      <c r="E245" s="50" t="n">
        <v>113</v>
      </c>
      <c r="F245" s="51">
        <f>(C245*100)/B245</f>
        <v/>
      </c>
      <c r="G245" s="51">
        <f>(D245*100)/B245</f>
        <v/>
      </c>
      <c r="H245" s="53">
        <f>((B245-B246)/B245)*100</f>
        <v/>
      </c>
      <c r="I245" s="53">
        <f>((B245-C245)/B245)*100</f>
        <v/>
      </c>
      <c r="J245" s="53">
        <f>((C245-B246)/C245)*100</f>
        <v/>
      </c>
      <c r="K245" s="54" t="n"/>
      <c r="L245" s="55" t="n">
        <v>1.7037037037037</v>
      </c>
      <c r="M245" s="56" t="inlineStr">
        <is>
          <t>Normal</t>
        </is>
      </c>
      <c r="N245" s="55" t="n">
        <v>104.62</v>
      </c>
      <c r="O245" s="57">
        <f>N245/C245</f>
        <v/>
      </c>
      <c r="P245" s="58">
        <f>(Boosters_And!B245*100)/Boosters_And!N245</f>
        <v/>
      </c>
      <c r="Q245" s="58">
        <f>Boosters_And!B245/(C245+D245)</f>
        <v/>
      </c>
      <c r="R245" s="58">
        <f>Boosters_And!N245/B245</f>
        <v/>
      </c>
      <c r="S245" s="55" t="n">
        <v>11.8024691358024</v>
      </c>
      <c r="T245" s="59" t="n">
        <v>181</v>
      </c>
      <c r="U245" s="60" t="n">
        <v>80256.4435354715</v>
      </c>
      <c r="V245" s="61">
        <f>U245/B245</f>
        <v/>
      </c>
    </row>
    <row r="246" ht="22.5" customHeight="1" s="150">
      <c r="A246" s="34" t="n">
        <v>244</v>
      </c>
      <c r="B246" s="50" t="n">
        <v>219</v>
      </c>
      <c r="C246" s="50" t="n">
        <v>217</v>
      </c>
      <c r="D246" s="50" t="n">
        <v>85</v>
      </c>
      <c r="E246" s="50" t="n">
        <v>31</v>
      </c>
      <c r="F246" s="51">
        <f>(C246*100)/B246</f>
        <v/>
      </c>
      <c r="G246" s="51">
        <f>(D246*100)/B246</f>
        <v/>
      </c>
      <c r="H246" s="53">
        <f>((B246-B247)/B246)*100</f>
        <v/>
      </c>
      <c r="I246" s="53">
        <f>((B246-C246)/B246)*100</f>
        <v/>
      </c>
      <c r="J246" s="53">
        <f>((C246-B247)/C246)*100</f>
        <v/>
      </c>
      <c r="K246" s="54" t="n"/>
      <c r="L246" s="55" t="n">
        <v>1.09523809523809</v>
      </c>
      <c r="M246" s="69" t="inlineStr">
        <is>
          <t>Hard</t>
        </is>
      </c>
      <c r="N246" s="55" t="n">
        <v>6.49</v>
      </c>
      <c r="O246" s="57">
        <f>N246/C246</f>
        <v/>
      </c>
      <c r="P246" s="58">
        <f>(Boosters_And!B246*100)/Boosters_And!N246</f>
        <v/>
      </c>
      <c r="Q246" s="58">
        <f>Boosters_And!B246/(C246+D246)</f>
        <v/>
      </c>
      <c r="R246" s="58">
        <f>Boosters_And!N246/B246</f>
        <v/>
      </c>
      <c r="S246" s="55" t="n">
        <v>9.357142857142851</v>
      </c>
      <c r="T246" s="59" t="n">
        <v>111</v>
      </c>
      <c r="U246" s="60" t="n">
        <v>92160.139081549</v>
      </c>
      <c r="V246" s="61">
        <f>U246/B246</f>
        <v/>
      </c>
    </row>
    <row r="247" ht="22.5" customHeight="1" s="150">
      <c r="A247" s="34" t="n">
        <v>245</v>
      </c>
      <c r="B247" s="50" t="n">
        <v>217</v>
      </c>
      <c r="C247" s="50" t="n">
        <v>217</v>
      </c>
      <c r="D247" s="50" t="n">
        <v>108</v>
      </c>
      <c r="E247" s="50" t="n">
        <v>26</v>
      </c>
      <c r="F247" s="51">
        <f>(C247*100)/B247</f>
        <v/>
      </c>
      <c r="G247" s="51">
        <f>(D247*100)/B247</f>
        <v/>
      </c>
      <c r="H247" s="53">
        <f>((B247-B248)/B247)*100</f>
        <v/>
      </c>
      <c r="I247" s="53">
        <f>((B247-C247)/B247)*100</f>
        <v/>
      </c>
      <c r="J247" s="53">
        <f>((C247-B248)/C247)*100</f>
        <v/>
      </c>
      <c r="K247" s="54" t="n"/>
      <c r="L247" s="55" t="n">
        <v>1.1547619047619</v>
      </c>
      <c r="M247" s="56" t="inlineStr">
        <is>
          <t>Normal</t>
        </is>
      </c>
      <c r="N247" s="55" t="n">
        <v>24.19</v>
      </c>
      <c r="O247" s="57">
        <f>N247/C247</f>
        <v/>
      </c>
      <c r="P247" s="58">
        <f>(Boosters_And!B247*100)/Boosters_And!N247</f>
        <v/>
      </c>
      <c r="Q247" s="58">
        <f>Boosters_And!B247/(C247+D247)</f>
        <v/>
      </c>
      <c r="R247" s="58">
        <f>Boosters_And!N247/B247</f>
        <v/>
      </c>
      <c r="S247" s="55" t="n">
        <v>8.071428571428569</v>
      </c>
      <c r="T247" s="59" t="n">
        <v>144</v>
      </c>
      <c r="U247" s="60" t="n">
        <v>82487.5804038045</v>
      </c>
      <c r="V247" s="61">
        <f>U247/B247</f>
        <v/>
      </c>
    </row>
    <row r="248" ht="22.5" customHeight="1" s="150">
      <c r="A248" s="34" t="n">
        <v>246</v>
      </c>
      <c r="B248" s="50" t="n">
        <v>214</v>
      </c>
      <c r="C248" s="50" t="n">
        <v>214</v>
      </c>
      <c r="D248" s="50" t="n">
        <v>90</v>
      </c>
      <c r="E248" s="50" t="n">
        <v>23</v>
      </c>
      <c r="F248" s="51">
        <f>(C248*100)/B248</f>
        <v/>
      </c>
      <c r="G248" s="51">
        <f>(D248*100)/B248</f>
        <v/>
      </c>
      <c r="H248" s="53">
        <f>((B248-B249)/B248)*100</f>
        <v/>
      </c>
      <c r="I248" s="53">
        <f>((B248-C248)/B248)*100</f>
        <v/>
      </c>
      <c r="J248" s="53">
        <f>((C248-B249)/C248)*100</f>
        <v/>
      </c>
      <c r="K248" s="54" t="n"/>
      <c r="L248" s="55" t="n">
        <v>1.02409638554216</v>
      </c>
      <c r="M248" s="69" t="inlineStr">
        <is>
          <t>Hard</t>
        </is>
      </c>
      <c r="N248" s="55" t="n">
        <v>10.48</v>
      </c>
      <c r="O248" s="57">
        <f>N248/C248</f>
        <v/>
      </c>
      <c r="P248" s="58">
        <f>(Boosters_And!B248*100)/Boosters_And!N248</f>
        <v/>
      </c>
      <c r="Q248" s="58">
        <f>Boosters_And!B248/(C248+D248)</f>
        <v/>
      </c>
      <c r="R248" s="58">
        <f>Boosters_And!N248/B248</f>
        <v/>
      </c>
      <c r="S248" s="55" t="n">
        <v>10.8313253012048</v>
      </c>
      <c r="T248" s="59" t="n">
        <v>139</v>
      </c>
      <c r="U248" s="60" t="n">
        <v>79405.25837183</v>
      </c>
      <c r="V248" s="61">
        <f>U248/B248</f>
        <v/>
      </c>
    </row>
    <row r="249" ht="22.5" customHeight="1" s="150">
      <c r="A249" s="34" t="n">
        <v>247</v>
      </c>
      <c r="B249" s="50" t="n">
        <v>214</v>
      </c>
      <c r="C249" s="50" t="n">
        <v>214</v>
      </c>
      <c r="D249" s="50" t="n">
        <v>103</v>
      </c>
      <c r="E249" s="50" t="n">
        <v>31</v>
      </c>
      <c r="F249" s="51">
        <f>(C249*100)/B249</f>
        <v/>
      </c>
      <c r="G249" s="51">
        <f>(D249*100)/B249</f>
        <v/>
      </c>
      <c r="H249" s="53">
        <f>((B249-B250)/B249)*100</f>
        <v/>
      </c>
      <c r="I249" s="53">
        <f>((B249-C249)/B249)*100</f>
        <v/>
      </c>
      <c r="J249" s="53">
        <f>((C249-B250)/C249)*100</f>
        <v/>
      </c>
      <c r="K249" s="54" t="n"/>
      <c r="L249" s="55" t="n">
        <v>1.13253012048192</v>
      </c>
      <c r="M249" s="56" t="inlineStr">
        <is>
          <t>Normal</t>
        </is>
      </c>
      <c r="N249" s="55" t="n">
        <v>1.99</v>
      </c>
      <c r="O249" s="57">
        <f>N249/C249</f>
        <v/>
      </c>
      <c r="P249" s="58">
        <f>(Boosters_And!B249*100)/Boosters_And!N249</f>
        <v/>
      </c>
      <c r="Q249" s="58">
        <f>Boosters_And!B249/(C249+D249)</f>
        <v/>
      </c>
      <c r="R249" s="58">
        <f>Boosters_And!N249/B249</f>
        <v/>
      </c>
      <c r="S249" s="55" t="n">
        <v>9.42168674698795</v>
      </c>
      <c r="T249" s="59" t="n">
        <v>124</v>
      </c>
      <c r="U249" s="60" t="n">
        <v>75639.40885996151</v>
      </c>
      <c r="V249" s="61">
        <f>U249/B249</f>
        <v/>
      </c>
    </row>
    <row r="250" ht="22.5" customHeight="1" s="150">
      <c r="A250" s="34" t="n">
        <v>248</v>
      </c>
      <c r="B250" s="50" t="n">
        <v>217</v>
      </c>
      <c r="C250" s="50" t="n">
        <v>214</v>
      </c>
      <c r="D250" s="50" t="n">
        <v>121</v>
      </c>
      <c r="E250" s="50" t="n">
        <v>34</v>
      </c>
      <c r="F250" s="51">
        <f>(C250*100)/B250</f>
        <v/>
      </c>
      <c r="G250" s="51">
        <f>(D250*100)/B250</f>
        <v/>
      </c>
      <c r="H250" s="53">
        <f>((B250-B251)/B250)*100</f>
        <v/>
      </c>
      <c r="I250" s="53">
        <f>((B250-C250)/B250)*100</f>
        <v/>
      </c>
      <c r="J250" s="53">
        <f>((C250-B251)/C250)*100</f>
        <v/>
      </c>
      <c r="K250" s="54" t="n"/>
      <c r="L250" s="55" t="n">
        <v>1.0722891566265</v>
      </c>
      <c r="M250" s="70" t="inlineStr">
        <is>
          <t>Normal</t>
        </is>
      </c>
      <c r="N250" s="55" t="n">
        <v>16.01</v>
      </c>
      <c r="O250" s="57">
        <f>N250/C250</f>
        <v/>
      </c>
      <c r="P250" s="58">
        <f>(Boosters_And!B250*100)/Boosters_And!N250</f>
        <v/>
      </c>
      <c r="Q250" s="58">
        <f>Boosters_And!B250/(C250+D250)</f>
        <v/>
      </c>
      <c r="R250" s="58">
        <f>Boosters_And!N250/B250</f>
        <v/>
      </c>
      <c r="S250" s="55" t="n">
        <v>10.7710843373493</v>
      </c>
      <c r="T250" s="59" t="n">
        <v>139</v>
      </c>
      <c r="U250" s="60" t="n">
        <v>70816.0262659929</v>
      </c>
      <c r="V250" s="61">
        <f>U250/B250</f>
        <v/>
      </c>
    </row>
    <row r="251" ht="22.5" customHeight="1" s="150">
      <c r="A251" s="34" t="n">
        <v>249</v>
      </c>
      <c r="B251" s="50" t="n">
        <v>217</v>
      </c>
      <c r="C251" s="50" t="n">
        <v>217</v>
      </c>
      <c r="D251" s="50" t="n">
        <v>77</v>
      </c>
      <c r="E251" s="50" t="n">
        <v>23</v>
      </c>
      <c r="F251" s="51">
        <f>(C251*100)/B251</f>
        <v/>
      </c>
      <c r="G251" s="51">
        <f>(D251*100)/B251</f>
        <v/>
      </c>
      <c r="H251" s="53">
        <f>((B251-B252)/B251)*100</f>
        <v/>
      </c>
      <c r="I251" s="53">
        <f>((B251-C251)/B251)*100</f>
        <v/>
      </c>
      <c r="J251" s="53">
        <f>((C251-B252)/C251)*100</f>
        <v/>
      </c>
      <c r="K251" s="54" t="n"/>
      <c r="L251" s="55" t="n">
        <v>1.0595238095238</v>
      </c>
      <c r="M251" s="56" t="inlineStr">
        <is>
          <t>Normal</t>
        </is>
      </c>
      <c r="N251" s="55" t="n">
        <v>7.48</v>
      </c>
      <c r="O251" s="57">
        <f>N251/C251</f>
        <v/>
      </c>
      <c r="P251" s="58">
        <f>(Boosters_And!B251*100)/Boosters_And!N251</f>
        <v/>
      </c>
      <c r="Q251" s="58">
        <f>Boosters_And!B251/(C251+D251)</f>
        <v/>
      </c>
      <c r="R251" s="58">
        <f>Boosters_And!N251/B251</f>
        <v/>
      </c>
      <c r="S251" s="55" t="n">
        <v>8.52380952380952</v>
      </c>
      <c r="T251" s="59" t="n">
        <v>126</v>
      </c>
      <c r="U251" s="60" t="n">
        <v>68984.6884896733</v>
      </c>
      <c r="V251" s="61">
        <f>U251/B251</f>
        <v/>
      </c>
    </row>
    <row r="252" ht="22.5" customHeight="1" s="150">
      <c r="A252" s="34" t="n">
        <v>250</v>
      </c>
      <c r="B252" s="50" t="n">
        <v>217</v>
      </c>
      <c r="C252" s="50" t="n">
        <v>217</v>
      </c>
      <c r="D252" s="50" t="n">
        <v>119</v>
      </c>
      <c r="E252" s="50" t="n">
        <v>31</v>
      </c>
      <c r="F252" s="51">
        <f>(C252*100)/B252</f>
        <v/>
      </c>
      <c r="G252" s="51">
        <f>(D252*100)/B252</f>
        <v/>
      </c>
      <c r="H252" s="53">
        <f>((B252-B253)/B252)*100</f>
        <v/>
      </c>
      <c r="I252" s="53">
        <f>((B252-C252)/B252)*100</f>
        <v/>
      </c>
      <c r="J252" s="53">
        <f>((C252-B253)/C252)*100</f>
        <v/>
      </c>
      <c r="K252" s="54" t="n"/>
      <c r="L252" s="55" t="n">
        <v>1.13095238095238</v>
      </c>
      <c r="M252" s="69" t="inlineStr">
        <is>
          <t>Hard</t>
        </is>
      </c>
      <c r="N252" s="55" t="n">
        <v>7.98</v>
      </c>
      <c r="O252" s="57">
        <f>N252/C252</f>
        <v/>
      </c>
      <c r="P252" s="58">
        <f>(Boosters_And!B252*100)/Boosters_And!N252</f>
        <v/>
      </c>
      <c r="Q252" s="58">
        <f>Boosters_And!B252/(C252+D252)</f>
        <v/>
      </c>
      <c r="R252" s="58">
        <f>Boosters_And!N252/B252</f>
        <v/>
      </c>
      <c r="S252" s="55" t="n">
        <v>4.96428571428571</v>
      </c>
      <c r="T252" s="59" t="n">
        <v>137</v>
      </c>
      <c r="U252" s="60" t="n">
        <v>72041.2170318405</v>
      </c>
      <c r="V252" s="61">
        <f>U252/B252</f>
        <v/>
      </c>
    </row>
    <row r="253" ht="22.5" customHeight="1" s="150">
      <c r="A253" s="34" t="n">
        <v>251</v>
      </c>
      <c r="B253" s="50" t="n">
        <v>204</v>
      </c>
      <c r="C253" s="50" t="n">
        <v>204</v>
      </c>
      <c r="D253" s="50" t="n">
        <v>0</v>
      </c>
      <c r="E253" s="50" t="n">
        <v>0</v>
      </c>
      <c r="F253" s="51">
        <f>(C253*100)/B253</f>
        <v/>
      </c>
      <c r="G253" s="51">
        <f>(D253*100)/B253</f>
        <v/>
      </c>
      <c r="H253" s="53">
        <f>((B253-B254)/B253)*100</f>
        <v/>
      </c>
      <c r="I253" s="53">
        <f>((B253-C253)/B253)*100</f>
        <v/>
      </c>
      <c r="J253" s="53">
        <f>((C253-B254)/C253)*100</f>
        <v/>
      </c>
      <c r="K253" s="54" t="n"/>
      <c r="L253" s="55" t="n">
        <v>0.999999999999999</v>
      </c>
      <c r="M253" s="71" t="inlineStr">
        <is>
          <t>Hard</t>
        </is>
      </c>
      <c r="N253" s="55" t="n">
        <v>4.99</v>
      </c>
      <c r="O253" s="57">
        <f>N253/C253</f>
        <v/>
      </c>
      <c r="P253" s="58">
        <f>(Boosters_And!B253*100)/Boosters_And!N253</f>
        <v/>
      </c>
      <c r="Q253" s="58">
        <f>Boosters_And!B253/(C253+D253)</f>
        <v/>
      </c>
      <c r="R253" s="58">
        <f>Boosters_And!N253/B253</f>
        <v/>
      </c>
      <c r="S253" s="55" t="n">
        <v>6.64556962025316</v>
      </c>
      <c r="T253" s="59" t="n">
        <v>83</v>
      </c>
      <c r="U253" s="60" t="n">
        <v>89838.72499889031</v>
      </c>
      <c r="V253" s="61">
        <f>U253/B253</f>
        <v/>
      </c>
    </row>
    <row r="254" ht="22.5" customHeight="1" s="150">
      <c r="A254" s="34" t="n">
        <v>252</v>
      </c>
      <c r="B254" s="50" t="n">
        <v>201</v>
      </c>
      <c r="C254" s="50" t="n">
        <v>201</v>
      </c>
      <c r="D254" s="50" t="n">
        <v>0</v>
      </c>
      <c r="E254" s="50" t="n">
        <v>0</v>
      </c>
      <c r="F254" s="51">
        <f>(C254*100)/B254</f>
        <v/>
      </c>
      <c r="G254" s="51">
        <f>(D254*100)/B254</f>
        <v/>
      </c>
      <c r="H254" s="53">
        <f>((B254-B255)/B254)*100</f>
        <v/>
      </c>
      <c r="I254" s="53">
        <f>((B254-C254)/B254)*100</f>
        <v/>
      </c>
      <c r="J254" s="53">
        <f>((C254-B255)/C254)*100</f>
        <v/>
      </c>
      <c r="K254" s="54" t="n"/>
      <c r="L254" s="55" t="n">
        <v>0.999999999999999</v>
      </c>
      <c r="M254" s="70" t="inlineStr">
        <is>
          <t>Normal</t>
        </is>
      </c>
      <c r="N254" s="55" t="n">
        <v>0</v>
      </c>
      <c r="O254" s="57">
        <f>N254/C254</f>
        <v/>
      </c>
      <c r="P254" s="58">
        <f>(Boosters_And!B254*100)/Boosters_And!N254</f>
        <v/>
      </c>
      <c r="Q254" s="58">
        <f>Boosters_And!B254/(C254+D254)</f>
        <v/>
      </c>
      <c r="R254" s="58">
        <f>Boosters_And!N254/B254</f>
        <v/>
      </c>
      <c r="S254" s="55" t="n">
        <v>4.58974358974358</v>
      </c>
      <c r="T254" s="59" t="n">
        <v>77</v>
      </c>
      <c r="U254" s="60" t="n">
        <v>117218.514429358</v>
      </c>
      <c r="V254" s="61">
        <f>U254/B254</f>
        <v/>
      </c>
    </row>
    <row r="255" ht="22.5" customHeight="1" s="150">
      <c r="A255" s="34" t="n">
        <v>253</v>
      </c>
      <c r="B255" s="50" t="n">
        <v>193</v>
      </c>
      <c r="C255" s="50" t="n">
        <v>186</v>
      </c>
      <c r="D255" s="50" t="n">
        <v>111</v>
      </c>
      <c r="E255" s="50" t="n">
        <v>52</v>
      </c>
      <c r="F255" s="51">
        <f>(C255*100)/B255</f>
        <v/>
      </c>
      <c r="G255" s="51">
        <f>(D255*100)/B255</f>
        <v/>
      </c>
      <c r="H255" s="53">
        <f>((B255-B256)/B255)*100</f>
        <v/>
      </c>
      <c r="I255" s="53">
        <f>((B255-C255)/B255)*100</f>
        <v/>
      </c>
      <c r="J255" s="53">
        <f>((C255-B256)/C255)*100</f>
        <v/>
      </c>
      <c r="K255" s="54" t="n"/>
      <c r="L255" s="55" t="n">
        <v>1.30555555555555</v>
      </c>
      <c r="M255" s="56" t="inlineStr">
        <is>
          <t>Normal</t>
        </is>
      </c>
      <c r="N255" s="55" t="n">
        <v>27.96</v>
      </c>
      <c r="O255" s="57">
        <f>N255/C255</f>
        <v/>
      </c>
      <c r="P255" s="58">
        <f>(Boosters_And!B255*100)/Boosters_And!N255</f>
        <v/>
      </c>
      <c r="Q255" s="58">
        <f>Boosters_And!B255/(C255+D255)</f>
        <v/>
      </c>
      <c r="R255" s="58">
        <f>Boosters_And!N255/B255</f>
        <v/>
      </c>
      <c r="S255" s="55" t="n">
        <v>5.81944444444444</v>
      </c>
      <c r="T255" s="59" t="n">
        <v>119</v>
      </c>
      <c r="U255" s="60" t="n">
        <v>74530.28879824679</v>
      </c>
      <c r="V255" s="61">
        <f>U255/B255</f>
        <v/>
      </c>
    </row>
    <row r="256" ht="22.5" customHeight="1" s="150">
      <c r="A256" s="34" t="n">
        <v>254</v>
      </c>
      <c r="B256" s="50" t="n">
        <v>188</v>
      </c>
      <c r="C256" s="50" t="n">
        <v>183</v>
      </c>
      <c r="D256" s="50" t="n">
        <v>83</v>
      </c>
      <c r="E256" s="50" t="n">
        <v>28</v>
      </c>
      <c r="F256" s="51">
        <f>(C256*100)/B256</f>
        <v/>
      </c>
      <c r="G256" s="51">
        <f>(D256*100)/B256</f>
        <v/>
      </c>
      <c r="H256" s="53">
        <f>((B256-B257)/B256)*100</f>
        <v/>
      </c>
      <c r="I256" s="53">
        <f>((B256-C256)/B256)*100</f>
        <v/>
      </c>
      <c r="J256" s="53">
        <f>((C256-B257)/C256)*100</f>
        <v/>
      </c>
      <c r="K256" s="54" t="n"/>
      <c r="L256" s="55" t="n">
        <v>1.12676056338028</v>
      </c>
      <c r="M256" s="70" t="inlineStr">
        <is>
          <t>Normal</t>
        </is>
      </c>
      <c r="N256" s="55" t="n">
        <v>11.47</v>
      </c>
      <c r="O256" s="57">
        <f>N256/C256</f>
        <v/>
      </c>
      <c r="P256" s="58">
        <f>(Boosters_And!B256*100)/Boosters_And!N256</f>
        <v/>
      </c>
      <c r="Q256" s="58">
        <f>Boosters_And!B256/(C256+D256)</f>
        <v/>
      </c>
      <c r="R256" s="58">
        <f>Boosters_And!N256/B256</f>
        <v/>
      </c>
      <c r="S256" s="55" t="n">
        <v>7.15492957746478</v>
      </c>
      <c r="T256" s="59" t="n">
        <v>116</v>
      </c>
      <c r="U256" s="60" t="n">
        <v>76103.6916764932</v>
      </c>
      <c r="V256" s="61">
        <f>U256/B256</f>
        <v/>
      </c>
    </row>
    <row r="257" ht="22.5" customHeight="1" s="150">
      <c r="A257" s="34" t="n">
        <v>255</v>
      </c>
      <c r="B257" s="50" t="n">
        <v>186</v>
      </c>
      <c r="C257" s="50" t="n">
        <v>181</v>
      </c>
      <c r="D257" s="50" t="n">
        <v>98</v>
      </c>
      <c r="E257" s="50" t="n">
        <v>41</v>
      </c>
      <c r="F257" s="51">
        <f>(C257*100)/B257</f>
        <v/>
      </c>
      <c r="G257" s="51">
        <f>(D257*100)/B257</f>
        <v/>
      </c>
      <c r="H257" s="53">
        <f>((B257-B258)/B257)*100</f>
        <v/>
      </c>
      <c r="I257" s="53">
        <f>((B257-C257)/B257)*100</f>
        <v/>
      </c>
      <c r="J257" s="53">
        <f>((C257-B258)/C257)*100</f>
        <v/>
      </c>
      <c r="K257" s="54" t="n"/>
      <c r="L257" s="55" t="n">
        <v>1.08571428571428</v>
      </c>
      <c r="M257" s="56" t="inlineStr">
        <is>
          <t>Normal</t>
        </is>
      </c>
      <c r="N257" s="55" t="n">
        <v>7.32</v>
      </c>
      <c r="O257" s="57">
        <f>N257/C257</f>
        <v/>
      </c>
      <c r="P257" s="58">
        <f>(Boosters_And!B257*100)/Boosters_And!N257</f>
        <v/>
      </c>
      <c r="Q257" s="58">
        <f>Boosters_And!B257/(C257+D257)</f>
        <v/>
      </c>
      <c r="R257" s="58">
        <f>Boosters_And!N257/B257</f>
        <v/>
      </c>
      <c r="S257" s="55" t="n">
        <v>5.02857142857142</v>
      </c>
      <c r="T257" s="59" t="n">
        <v>116</v>
      </c>
      <c r="U257" s="60" t="n">
        <v>61491.6797006473</v>
      </c>
      <c r="V257" s="61">
        <f>U257/B257</f>
        <v/>
      </c>
    </row>
    <row r="258" ht="22.5" customHeight="1" s="150">
      <c r="A258" s="34" t="n">
        <v>256</v>
      </c>
      <c r="B258" s="50" t="n">
        <v>183</v>
      </c>
      <c r="C258" s="50" t="n">
        <v>186</v>
      </c>
      <c r="D258" s="50" t="n">
        <v>72</v>
      </c>
      <c r="E258" s="50" t="n">
        <v>31</v>
      </c>
      <c r="F258" s="51">
        <f>(C258*100)/B258</f>
        <v/>
      </c>
      <c r="G258" s="51">
        <f>(D258*100)/B258</f>
        <v/>
      </c>
      <c r="H258" s="53">
        <f>((B258-B259)/B258)*100</f>
        <v/>
      </c>
      <c r="I258" s="53">
        <f>((B258-C258)/B258)*100</f>
        <v/>
      </c>
      <c r="J258" s="53">
        <f>((C258-B259)/C258)*100</f>
        <v/>
      </c>
      <c r="K258" s="54" t="n"/>
      <c r="L258" s="55" t="n">
        <v>1.11111111111111</v>
      </c>
      <c r="M258" s="70" t="inlineStr">
        <is>
          <t>Normal</t>
        </is>
      </c>
      <c r="N258" s="55" t="n">
        <v>0</v>
      </c>
      <c r="O258" s="57">
        <f>N258/C258</f>
        <v/>
      </c>
      <c r="P258" s="58">
        <f>(Boosters_And!B258*100)/Boosters_And!N258</f>
        <v/>
      </c>
      <c r="Q258" s="58">
        <f>Boosters_And!B258/(C258+D258)</f>
        <v/>
      </c>
      <c r="R258" s="58">
        <f>Boosters_And!N258/B258</f>
        <v/>
      </c>
      <c r="S258" s="55" t="n">
        <v>10.4861111111111</v>
      </c>
      <c r="T258" s="59" t="n">
        <v>101</v>
      </c>
      <c r="U258" s="60" t="n">
        <v>70764.4392863783</v>
      </c>
      <c r="V258" s="61">
        <f>U258/B258</f>
        <v/>
      </c>
    </row>
    <row r="259" ht="22.5" customHeight="1" s="150">
      <c r="A259" s="34" t="n">
        <v>257</v>
      </c>
      <c r="B259" s="50" t="n">
        <v>188</v>
      </c>
      <c r="C259" s="50" t="n">
        <v>181</v>
      </c>
      <c r="D259" s="50" t="n">
        <v>134</v>
      </c>
      <c r="E259" s="50" t="n">
        <v>64</v>
      </c>
      <c r="F259" s="51">
        <f>(C259*100)/B259</f>
        <v/>
      </c>
      <c r="G259" s="51">
        <f>(D259*100)/B259</f>
        <v/>
      </c>
      <c r="H259" s="53">
        <f>((B259-B260)/B259)*100</f>
        <v/>
      </c>
      <c r="I259" s="53">
        <f>((B259-C259)/B259)*100</f>
        <v/>
      </c>
      <c r="J259" s="53">
        <f>((C259-B260)/C259)*100</f>
        <v/>
      </c>
      <c r="K259" s="54" t="n"/>
      <c r="L259" s="55" t="n">
        <v>1.52857142857142</v>
      </c>
      <c r="M259" s="71" t="inlineStr">
        <is>
          <t>Hard</t>
        </is>
      </c>
      <c r="N259" s="55" t="n">
        <v>47.04</v>
      </c>
      <c r="O259" s="57">
        <f>N259/C259</f>
        <v/>
      </c>
      <c r="P259" s="58">
        <f>(Boosters_And!B259*100)/Boosters_And!N259</f>
        <v/>
      </c>
      <c r="Q259" s="58">
        <f>Boosters_And!B259/(C259+D259)</f>
        <v/>
      </c>
      <c r="R259" s="58">
        <f>Boosters_And!N259/B259</f>
        <v/>
      </c>
      <c r="S259" s="55" t="n">
        <v>6.98571428571428</v>
      </c>
      <c r="T259" s="59" t="n">
        <v>132</v>
      </c>
      <c r="U259" s="60" t="n">
        <v>55223.8616774689</v>
      </c>
      <c r="V259" s="61">
        <f>U259/B259</f>
        <v/>
      </c>
    </row>
    <row r="260" ht="22.5" customHeight="1" s="150">
      <c r="A260" s="34" t="n">
        <v>258</v>
      </c>
      <c r="B260" s="50" t="n">
        <v>173</v>
      </c>
      <c r="C260" s="50" t="n">
        <v>173</v>
      </c>
      <c r="D260" s="50" t="n">
        <v>80</v>
      </c>
      <c r="E260" s="50" t="n">
        <v>26</v>
      </c>
      <c r="F260" s="51">
        <f>(C260*100)/B260</f>
        <v/>
      </c>
      <c r="G260" s="51">
        <f>(D260*100)/B260</f>
        <v/>
      </c>
      <c r="H260" s="53">
        <f>((B260-B261)/B260)*100</f>
        <v/>
      </c>
      <c r="I260" s="53">
        <f>((B260-C260)/B260)*100</f>
        <v/>
      </c>
      <c r="J260" s="53">
        <f>((C260-B261)/C260)*100</f>
        <v/>
      </c>
      <c r="K260" s="54" t="n"/>
      <c r="L260" s="55" t="n">
        <v>1.04477611940298</v>
      </c>
      <c r="M260" s="69" t="inlineStr">
        <is>
          <t>Hard</t>
        </is>
      </c>
      <c r="N260" s="55" t="n">
        <v>13.45</v>
      </c>
      <c r="O260" s="57">
        <f>N260/C260</f>
        <v/>
      </c>
      <c r="P260" s="58">
        <f>(Boosters_And!B260*100)/Boosters_And!N260</f>
        <v/>
      </c>
      <c r="Q260" s="58">
        <f>Boosters_And!B260/(C260+D260)</f>
        <v/>
      </c>
      <c r="R260" s="58">
        <f>Boosters_And!N260/B260</f>
        <v/>
      </c>
      <c r="S260" s="55" t="n">
        <v>12.2238805970149</v>
      </c>
      <c r="T260" s="59" t="n">
        <v>106</v>
      </c>
      <c r="U260" s="60" t="n">
        <v>65889.46971279509</v>
      </c>
      <c r="V260" s="61">
        <f>U260/B260</f>
        <v/>
      </c>
    </row>
    <row r="261" ht="22.5" customHeight="1" s="150">
      <c r="A261" s="34" t="n">
        <v>259</v>
      </c>
      <c r="B261" s="50" t="n">
        <v>173</v>
      </c>
      <c r="C261" s="50" t="n">
        <v>173</v>
      </c>
      <c r="D261" s="50" t="n">
        <v>21</v>
      </c>
      <c r="E261" s="50" t="n">
        <v>10</v>
      </c>
      <c r="F261" s="51">
        <f>(C261*100)/B261</f>
        <v/>
      </c>
      <c r="G261" s="51">
        <f>(D261*100)/B261</f>
        <v/>
      </c>
      <c r="H261" s="53">
        <f>((B261-B262)/B261)*100</f>
        <v/>
      </c>
      <c r="I261" s="53">
        <f>((B261-C261)/B261)*100</f>
        <v/>
      </c>
      <c r="J261" s="53">
        <f>((C261-B262)/C261)*100</f>
        <v/>
      </c>
      <c r="K261" s="54" t="n"/>
      <c r="L261" s="55" t="n">
        <v>1.02985074626865</v>
      </c>
      <c r="M261" s="56" t="inlineStr">
        <is>
          <t>Normal</t>
        </is>
      </c>
      <c r="N261" s="55" t="n">
        <v>1.99</v>
      </c>
      <c r="O261" s="57">
        <f>N261/C261</f>
        <v/>
      </c>
      <c r="P261" s="58">
        <f>(Boosters_And!B261*100)/Boosters_And!N261</f>
        <v/>
      </c>
      <c r="Q261" s="58">
        <f>Boosters_And!B261/(C261+D261)</f>
        <v/>
      </c>
      <c r="R261" s="58">
        <f>Boosters_And!N261/B261</f>
        <v/>
      </c>
      <c r="S261" s="55" t="n">
        <v>11.2388059701492</v>
      </c>
      <c r="T261" s="59" t="n">
        <v>70</v>
      </c>
      <c r="U261" s="60" t="n">
        <v>76555.0777481213</v>
      </c>
      <c r="V261" s="61">
        <f>U261/B261</f>
        <v/>
      </c>
    </row>
    <row r="262" ht="22.5" customHeight="1" s="150">
      <c r="A262" s="34" t="n">
        <v>260</v>
      </c>
      <c r="B262" s="50" t="n">
        <v>173</v>
      </c>
      <c r="C262" s="50" t="n">
        <v>170</v>
      </c>
      <c r="D262" s="50" t="n">
        <v>93</v>
      </c>
      <c r="E262" s="50" t="n">
        <v>26</v>
      </c>
      <c r="F262" s="51">
        <f>(C262*100)/B262</f>
        <v/>
      </c>
      <c r="G262" s="51">
        <f>(D262*100)/B262</f>
        <v/>
      </c>
      <c r="H262" s="53">
        <f>((B262-B263)/B262)*100</f>
        <v/>
      </c>
      <c r="I262" s="53">
        <f>((B262-C262)/B262)*100</f>
        <v/>
      </c>
      <c r="J262" s="53">
        <f>((C262-B263)/C262)*100</f>
        <v/>
      </c>
      <c r="K262" s="54" t="n"/>
      <c r="L262" s="55" t="n">
        <v>1.12121212121212</v>
      </c>
      <c r="M262" s="70" t="inlineStr">
        <is>
          <t>Normal</t>
        </is>
      </c>
      <c r="N262" s="55" t="n">
        <v>1.99</v>
      </c>
      <c r="O262" s="57">
        <f>N262/C262</f>
        <v/>
      </c>
      <c r="P262" s="58">
        <f>(Boosters_And!B262*100)/Boosters_And!N262</f>
        <v/>
      </c>
      <c r="Q262" s="58">
        <f>Boosters_And!B262/(C262+D262)</f>
        <v/>
      </c>
      <c r="R262" s="58">
        <f>Boosters_And!N262/B262</f>
        <v/>
      </c>
      <c r="S262" s="55" t="n">
        <v>5.69696969696969</v>
      </c>
      <c r="T262" s="59" t="n">
        <v>101</v>
      </c>
      <c r="U262" s="60" t="n">
        <v>62291.2778846741</v>
      </c>
      <c r="V262" s="61">
        <f>U262/B262</f>
        <v/>
      </c>
    </row>
    <row r="263" ht="22.5" customHeight="1" s="150">
      <c r="A263" s="34" t="n">
        <v>261</v>
      </c>
      <c r="B263" s="50" t="n">
        <v>170</v>
      </c>
      <c r="C263" s="50" t="n">
        <v>170</v>
      </c>
      <c r="D263" s="50" t="n">
        <v>62</v>
      </c>
      <c r="E263" s="50" t="n">
        <v>15</v>
      </c>
      <c r="F263" s="51">
        <f>(C263*100)/B263</f>
        <v/>
      </c>
      <c r="G263" s="51">
        <f>(D263*100)/B263</f>
        <v/>
      </c>
      <c r="H263" s="53">
        <f>((B263-B264)/B263)*100</f>
        <v/>
      </c>
      <c r="I263" s="53">
        <f>((B263-C263)/B263)*100</f>
        <v/>
      </c>
      <c r="J263" s="53">
        <f>((C263-B264)/C263)*100</f>
        <v/>
      </c>
      <c r="K263" s="54" t="n"/>
      <c r="L263" s="55" t="n">
        <v>1.01515151515151</v>
      </c>
      <c r="M263" s="56" t="inlineStr">
        <is>
          <t>Normal</t>
        </is>
      </c>
      <c r="N263" s="55" t="n">
        <v>1.99</v>
      </c>
      <c r="O263" s="57">
        <f>N263/C263</f>
        <v/>
      </c>
      <c r="P263" s="58">
        <f>(Boosters_And!B263*100)/Boosters_And!N263</f>
        <v/>
      </c>
      <c r="Q263" s="58">
        <f>Boosters_And!B263/(C263+D263)</f>
        <v/>
      </c>
      <c r="R263" s="58">
        <f>Boosters_And!N263/B263</f>
        <v/>
      </c>
      <c r="S263" s="55" t="n">
        <v>8.060606060606061</v>
      </c>
      <c r="T263" s="59" t="n">
        <v>93</v>
      </c>
      <c r="U263" s="60" t="n">
        <v>59183.1623628923</v>
      </c>
      <c r="V263" s="61">
        <f>U263/B263</f>
        <v/>
      </c>
    </row>
    <row r="264" ht="22.5" customHeight="1" s="150">
      <c r="A264" s="34" t="n">
        <v>262</v>
      </c>
      <c r="B264" s="50" t="n">
        <v>173</v>
      </c>
      <c r="C264" s="50" t="n">
        <v>173</v>
      </c>
      <c r="D264" s="50" t="n">
        <v>75</v>
      </c>
      <c r="E264" s="50" t="n">
        <v>21</v>
      </c>
      <c r="F264" s="51">
        <f>(C264*100)/B264</f>
        <v/>
      </c>
      <c r="G264" s="51">
        <f>(D264*100)/B264</f>
        <v/>
      </c>
      <c r="H264" s="53">
        <f>((B264-B265)/B264)*100</f>
        <v/>
      </c>
      <c r="I264" s="53">
        <f>((B264-C264)/B264)*100</f>
        <v/>
      </c>
      <c r="J264" s="53">
        <f>((C264-B265)/C264)*100</f>
        <v/>
      </c>
      <c r="K264" s="54" t="n"/>
      <c r="L264" s="55" t="n">
        <v>1.04477611940298</v>
      </c>
      <c r="M264" s="70" t="inlineStr">
        <is>
          <t>Normal</t>
        </is>
      </c>
      <c r="N264" s="55" t="n">
        <v>13.46</v>
      </c>
      <c r="O264" s="57">
        <f>N264/C264</f>
        <v/>
      </c>
      <c r="P264" s="58">
        <f>(Boosters_And!B264*100)/Boosters_And!N264</f>
        <v/>
      </c>
      <c r="Q264" s="58">
        <f>Boosters_And!B264/(C264+D264)</f>
        <v/>
      </c>
      <c r="R264" s="58">
        <f>Boosters_And!N264/B264</f>
        <v/>
      </c>
      <c r="S264" s="55" t="n">
        <v>6.61194029850746</v>
      </c>
      <c r="T264" s="59" t="n">
        <v>93</v>
      </c>
      <c r="U264" s="60" t="n">
        <v>53186.1759826907</v>
      </c>
      <c r="V264" s="61">
        <f>U264/B264</f>
        <v/>
      </c>
    </row>
    <row r="265" ht="22.5" customHeight="1" s="150">
      <c r="A265" s="34" t="n">
        <v>263</v>
      </c>
      <c r="B265" s="50" t="n">
        <v>173</v>
      </c>
      <c r="C265" s="50" t="n">
        <v>170</v>
      </c>
      <c r="D265" s="50" t="n">
        <v>62</v>
      </c>
      <c r="E265" s="50" t="n">
        <v>28</v>
      </c>
      <c r="F265" s="51">
        <f>(C265*100)/B265</f>
        <v/>
      </c>
      <c r="G265" s="51">
        <f>(D265*100)/B265</f>
        <v/>
      </c>
      <c r="H265" s="53">
        <f>((B265-B266)/B265)*100</f>
        <v/>
      </c>
      <c r="I265" s="53">
        <f>((B265-C265)/B265)*100</f>
        <v/>
      </c>
      <c r="J265" s="53">
        <f>((C265-B266)/C265)*100</f>
        <v/>
      </c>
      <c r="K265" s="54" t="n"/>
      <c r="L265" s="55" t="n">
        <v>1.09090909090909</v>
      </c>
      <c r="M265" s="56" t="inlineStr">
        <is>
          <t>Normal</t>
        </is>
      </c>
      <c r="N265" s="55" t="n">
        <v>9.470000000000001</v>
      </c>
      <c r="O265" s="57">
        <f>N265/C265</f>
        <v/>
      </c>
      <c r="P265" s="58">
        <f>(Boosters_And!B265*100)/Boosters_And!N265</f>
        <v/>
      </c>
      <c r="Q265" s="58">
        <f>Boosters_And!B265/(C265+D265)</f>
        <v/>
      </c>
      <c r="R265" s="58">
        <f>Boosters_And!N265/B265</f>
        <v/>
      </c>
      <c r="S265" s="55" t="n">
        <v>21.8636363636363</v>
      </c>
      <c r="T265" s="59" t="n">
        <v>93</v>
      </c>
      <c r="U265" s="60" t="n">
        <v>61246.6415474777</v>
      </c>
      <c r="V265" s="61">
        <f>U265/B265</f>
        <v/>
      </c>
    </row>
    <row r="266" ht="22.5" customHeight="1" s="150">
      <c r="A266" s="34" t="n">
        <v>264</v>
      </c>
      <c r="B266" s="50" t="n">
        <v>168</v>
      </c>
      <c r="C266" s="50" t="n">
        <v>168</v>
      </c>
      <c r="D266" s="50" t="n">
        <v>44</v>
      </c>
      <c r="E266" s="50" t="n">
        <v>28</v>
      </c>
      <c r="F266" s="51">
        <f>(C266*100)/B266</f>
        <v/>
      </c>
      <c r="G266" s="51">
        <f>(D266*100)/B266</f>
        <v/>
      </c>
      <c r="H266" s="53">
        <f>((B266-B267)/B266)*100</f>
        <v/>
      </c>
      <c r="I266" s="53">
        <f>((B266-C266)/B266)*100</f>
        <v/>
      </c>
      <c r="J266" s="53">
        <f>((C266-B267)/C266)*100</f>
        <v/>
      </c>
      <c r="K266" s="54" t="n"/>
      <c r="L266" s="55" t="n">
        <v>1.06153846153846</v>
      </c>
      <c r="M266" s="70" t="inlineStr">
        <is>
          <t>Normal</t>
        </is>
      </c>
      <c r="N266" s="55" t="n">
        <v>4.99</v>
      </c>
      <c r="O266" s="57">
        <f>N266/C266</f>
        <v/>
      </c>
      <c r="P266" s="58">
        <f>(Boosters_And!B266*100)/Boosters_And!N266</f>
        <v/>
      </c>
      <c r="Q266" s="58">
        <f>Boosters_And!B266/(C266+D266)</f>
        <v/>
      </c>
      <c r="R266" s="58">
        <f>Boosters_And!N266/B266</f>
        <v/>
      </c>
      <c r="S266" s="55" t="n">
        <v>5.64615384615384</v>
      </c>
      <c r="T266" s="59" t="n">
        <v>90</v>
      </c>
      <c r="U266" s="60" t="n">
        <v>65992.64367202429</v>
      </c>
      <c r="V266" s="61">
        <f>U266/B266</f>
        <v/>
      </c>
    </row>
    <row r="267" ht="22.5" customHeight="1" s="150">
      <c r="A267" s="34" t="n">
        <v>265</v>
      </c>
      <c r="B267" s="50" t="n">
        <v>168</v>
      </c>
      <c r="C267" s="50" t="n">
        <v>168</v>
      </c>
      <c r="D267" s="50" t="n">
        <v>119</v>
      </c>
      <c r="E267" s="50" t="n">
        <v>46</v>
      </c>
      <c r="F267" s="51">
        <f>(C267*100)/B267</f>
        <v/>
      </c>
      <c r="G267" s="51">
        <f>(D267*100)/B267</f>
        <v/>
      </c>
      <c r="H267" s="53">
        <f>((B267-B268)/B267)*100</f>
        <v/>
      </c>
      <c r="I267" s="53">
        <f>((B267-C267)/B267)*100</f>
        <v/>
      </c>
      <c r="J267" s="53">
        <f>((C267-B268)/C267)*100</f>
        <v/>
      </c>
      <c r="K267" s="54" t="n"/>
      <c r="L267" s="55" t="n">
        <v>1.75384615384615</v>
      </c>
      <c r="M267" s="71" t="inlineStr">
        <is>
          <t>Hard</t>
        </is>
      </c>
      <c r="N267" s="55" t="n">
        <v>74.44</v>
      </c>
      <c r="O267" s="57">
        <f>N267/C267</f>
        <v/>
      </c>
      <c r="P267" s="58">
        <f>(Boosters_And!B267*100)/Boosters_And!N267</f>
        <v/>
      </c>
      <c r="Q267" s="58">
        <f>Boosters_And!B267/(C267+D267)</f>
        <v/>
      </c>
      <c r="R267" s="58">
        <f>Boosters_And!N267/B267</f>
        <v/>
      </c>
      <c r="S267" s="55" t="n">
        <v>8.38461538461538</v>
      </c>
      <c r="T267" s="59" t="n">
        <v>111</v>
      </c>
      <c r="U267" s="60" t="n">
        <v>43565.2042845609</v>
      </c>
      <c r="V267" s="61">
        <f>U267/B267</f>
        <v/>
      </c>
    </row>
    <row r="268" ht="22.5" customHeight="1" s="150">
      <c r="A268" s="34" t="n">
        <v>266</v>
      </c>
      <c r="B268" s="50" t="n">
        <v>168</v>
      </c>
      <c r="C268" s="50" t="n">
        <v>168</v>
      </c>
      <c r="D268" s="50" t="n">
        <v>46</v>
      </c>
      <c r="E268" s="50" t="n">
        <v>21</v>
      </c>
      <c r="F268" s="51">
        <f>(C268*100)/B268</f>
        <v/>
      </c>
      <c r="G268" s="51">
        <f>(D268*100)/B268</f>
        <v/>
      </c>
      <c r="H268" s="53">
        <f>((B268-B269)/B268)*100</f>
        <v/>
      </c>
      <c r="I268" s="53">
        <f>((B268-C268)/B268)*100</f>
        <v/>
      </c>
      <c r="J268" s="53">
        <f>((C268-B269)/C268)*100</f>
        <v/>
      </c>
      <c r="K268" s="54" t="n"/>
      <c r="L268" s="55" t="n">
        <v>1.04615384615384</v>
      </c>
      <c r="M268" s="70" t="inlineStr">
        <is>
          <t>Normal</t>
        </is>
      </c>
      <c r="N268" s="55" t="n">
        <v>2.49</v>
      </c>
      <c r="O268" s="57">
        <f>N268/C268</f>
        <v/>
      </c>
      <c r="P268" s="58">
        <f>(Boosters_And!B268*100)/Boosters_And!N268</f>
        <v/>
      </c>
      <c r="Q268" s="58">
        <f>Boosters_And!B268/(C268+D268)</f>
        <v/>
      </c>
      <c r="R268" s="58">
        <f>Boosters_And!N268/B268</f>
        <v/>
      </c>
      <c r="S268" s="55" t="n">
        <v>6.04615384615384</v>
      </c>
      <c r="T268" s="59" t="n">
        <v>72</v>
      </c>
      <c r="U268" s="60" t="n">
        <v>53598.8718196078</v>
      </c>
      <c r="V268" s="61">
        <f>U268/B268</f>
        <v/>
      </c>
    </row>
    <row r="269" ht="22.5" customHeight="1" s="150">
      <c r="A269" s="34" t="n">
        <v>267</v>
      </c>
      <c r="B269" s="50" t="n">
        <v>165</v>
      </c>
      <c r="C269" s="50" t="n">
        <v>160</v>
      </c>
      <c r="D269" s="50" t="n">
        <v>108</v>
      </c>
      <c r="E269" s="50" t="n">
        <v>44</v>
      </c>
      <c r="F269" s="51">
        <f>(C269*100)/B269</f>
        <v/>
      </c>
      <c r="G269" s="51">
        <f>(D269*100)/B269</f>
        <v/>
      </c>
      <c r="H269" s="53">
        <f>((B269-B270)/B269)*100</f>
        <v/>
      </c>
      <c r="I269" s="53">
        <f>((B269-C269)/B269)*100</f>
        <v/>
      </c>
      <c r="J269" s="53">
        <f>((C269-B270)/C269)*100</f>
        <v/>
      </c>
      <c r="K269" s="54" t="n"/>
      <c r="L269" s="55" t="n">
        <v>1.48387096774193</v>
      </c>
      <c r="M269" s="56" t="inlineStr">
        <is>
          <t>Normal</t>
        </is>
      </c>
      <c r="N269" s="55" t="n">
        <v>28.58</v>
      </c>
      <c r="O269" s="57">
        <f>N269/C269</f>
        <v/>
      </c>
      <c r="P269" s="58">
        <f>(Boosters_And!B269*100)/Boosters_And!N269</f>
        <v/>
      </c>
      <c r="Q269" s="58">
        <f>Boosters_And!B269/(C269+D269)</f>
        <v/>
      </c>
      <c r="R269" s="58">
        <f>Boosters_And!N269/B269</f>
        <v/>
      </c>
      <c r="S269" s="55" t="n">
        <v>8.32258064516129</v>
      </c>
      <c r="T269" s="59" t="n">
        <v>103</v>
      </c>
      <c r="U269" s="60" t="n">
        <v>61311.125271996</v>
      </c>
      <c r="V269" s="61">
        <f>U269/B269</f>
        <v/>
      </c>
    </row>
    <row r="270" ht="22.5" customHeight="1" s="150">
      <c r="A270" s="34" t="n">
        <v>268</v>
      </c>
      <c r="B270" s="50" t="n">
        <v>162</v>
      </c>
      <c r="C270" s="50" t="n">
        <v>162</v>
      </c>
      <c r="D270" s="50" t="n">
        <v>57</v>
      </c>
      <c r="E270" s="50" t="n">
        <v>28</v>
      </c>
      <c r="F270" s="51">
        <f>(C270*100)/B270</f>
        <v/>
      </c>
      <c r="G270" s="51">
        <f>(D270*100)/B270</f>
        <v/>
      </c>
      <c r="H270" s="53">
        <f>((B270-B271)/B270)*100</f>
        <v/>
      </c>
      <c r="I270" s="53">
        <f>((B270-C270)/B270)*100</f>
        <v/>
      </c>
      <c r="J270" s="53">
        <f>((C270-B271)/C270)*100</f>
        <v/>
      </c>
      <c r="K270" s="54" t="n"/>
      <c r="L270" s="55" t="n">
        <v>1.14285714285714</v>
      </c>
      <c r="M270" s="69" t="inlineStr">
        <is>
          <t>Hard</t>
        </is>
      </c>
      <c r="N270" s="55" t="n">
        <v>4.99</v>
      </c>
      <c r="O270" s="57">
        <f>N270/C270</f>
        <v/>
      </c>
      <c r="P270" s="58">
        <f>(Boosters_And!B270*100)/Boosters_And!N270</f>
        <v/>
      </c>
      <c r="Q270" s="58">
        <f>Boosters_And!B270/(C270+D270)</f>
        <v/>
      </c>
      <c r="R270" s="58">
        <f>Boosters_And!N270/B270</f>
        <v/>
      </c>
      <c r="S270" s="55" t="n">
        <v>19.2698412698412</v>
      </c>
      <c r="T270" s="59" t="n">
        <v>85</v>
      </c>
      <c r="U270" s="60" t="n">
        <v>61117.6740984411</v>
      </c>
      <c r="V270" s="61">
        <f>U270/B270</f>
        <v/>
      </c>
    </row>
    <row r="271" ht="22.5" customHeight="1" s="150">
      <c r="A271" s="34" t="n">
        <v>269</v>
      </c>
      <c r="B271" s="50" t="n">
        <v>162</v>
      </c>
      <c r="C271" s="50" t="n">
        <v>157</v>
      </c>
      <c r="D271" s="50" t="n">
        <v>93</v>
      </c>
      <c r="E271" s="50" t="n">
        <v>44</v>
      </c>
      <c r="F271" s="51">
        <f>(C271*100)/B271</f>
        <v/>
      </c>
      <c r="G271" s="51">
        <f>(D271*100)/B271</f>
        <v/>
      </c>
      <c r="H271" s="53">
        <f>((B271-B272)/B271)*100</f>
        <v/>
      </c>
      <c r="I271" s="53">
        <f>((B271-C271)/B271)*100</f>
        <v/>
      </c>
      <c r="J271" s="53">
        <f>((C271-B272)/C271)*100</f>
        <v/>
      </c>
      <c r="K271" s="54" t="n"/>
      <c r="L271" s="55" t="n">
        <v>1.1967213114754</v>
      </c>
      <c r="M271" s="56" t="inlineStr">
        <is>
          <t>Normal</t>
        </is>
      </c>
      <c r="N271" s="55" t="n">
        <v>19.17</v>
      </c>
      <c r="O271" s="57">
        <f>N271/C271</f>
        <v/>
      </c>
      <c r="P271" s="58">
        <f>(Boosters_And!B271*100)/Boosters_And!N271</f>
        <v/>
      </c>
      <c r="Q271" s="58">
        <f>Boosters_And!B271/(C271+D271)</f>
        <v/>
      </c>
      <c r="R271" s="58">
        <f>Boosters_And!N271/B271</f>
        <v/>
      </c>
      <c r="S271" s="55" t="n">
        <v>10.9016393442622</v>
      </c>
      <c r="T271" s="59" t="n">
        <v>103</v>
      </c>
      <c r="U271" s="60" t="n">
        <v>56977.8189843665</v>
      </c>
      <c r="V271" s="61">
        <f>U271/B271</f>
        <v/>
      </c>
    </row>
    <row r="272" ht="22.5" customHeight="1" s="150">
      <c r="A272" s="34" t="n">
        <v>270</v>
      </c>
      <c r="B272" s="50" t="n">
        <v>162</v>
      </c>
      <c r="C272" s="50" t="n">
        <v>162</v>
      </c>
      <c r="D272" s="50" t="n">
        <v>18</v>
      </c>
      <c r="E272" s="50" t="n">
        <v>3</v>
      </c>
      <c r="F272" s="51">
        <f>(C272*100)/B272</f>
        <v/>
      </c>
      <c r="G272" s="51">
        <f>(D272*100)/B272</f>
        <v/>
      </c>
      <c r="H272" s="53">
        <f>((B272-B273)/B272)*100</f>
        <v/>
      </c>
      <c r="I272" s="53">
        <f>((B272-C272)/B272)*100</f>
        <v/>
      </c>
      <c r="J272" s="53">
        <f>((C272-B273)/C272)*100</f>
        <v/>
      </c>
      <c r="K272" s="54" t="n"/>
      <c r="L272" s="55" t="n">
        <v>1</v>
      </c>
      <c r="M272" s="70" t="inlineStr">
        <is>
          <t>Normal</t>
        </is>
      </c>
      <c r="N272" s="55" t="n">
        <v>4.99</v>
      </c>
      <c r="O272" s="57">
        <f>N272/C272</f>
        <v/>
      </c>
      <c r="P272" s="58">
        <f>(Boosters_And!B272*100)/Boosters_And!N272</f>
        <v/>
      </c>
      <c r="Q272" s="58">
        <f>Boosters_And!B272/(C272+D272)</f>
        <v/>
      </c>
      <c r="R272" s="58">
        <f>Boosters_And!N272/B272</f>
        <v/>
      </c>
      <c r="S272" s="55" t="n">
        <v>19.7936507936507</v>
      </c>
      <c r="T272" s="59" t="n">
        <v>72</v>
      </c>
      <c r="U272" s="60" t="n">
        <v>67965.8456422842</v>
      </c>
      <c r="V272" s="61">
        <f>U272/B272</f>
        <v/>
      </c>
    </row>
    <row r="273" ht="22.5" customHeight="1" s="150">
      <c r="A273" s="34" t="n">
        <v>271</v>
      </c>
      <c r="B273" s="50" t="n">
        <v>162</v>
      </c>
      <c r="C273" s="50" t="n">
        <v>157</v>
      </c>
      <c r="D273" s="50" t="n">
        <v>59</v>
      </c>
      <c r="E273" s="50" t="n">
        <v>49</v>
      </c>
      <c r="F273" s="51">
        <f>(C273*100)/B273</f>
        <v/>
      </c>
      <c r="G273" s="51">
        <f>(D273*100)/B273</f>
        <v/>
      </c>
      <c r="H273" s="53">
        <f>((B273-B274)/B273)*100</f>
        <v/>
      </c>
      <c r="I273" s="53">
        <f>((B273-C273)/B273)*100</f>
        <v/>
      </c>
      <c r="J273" s="53">
        <f>((C273-B274)/C273)*100</f>
        <v/>
      </c>
      <c r="K273" s="54" t="n"/>
      <c r="L273" s="55" t="n">
        <v>1.0983606557377</v>
      </c>
      <c r="M273" s="71" t="inlineStr">
        <is>
          <t>Hard</t>
        </is>
      </c>
      <c r="N273" s="55" t="n">
        <v>16.46</v>
      </c>
      <c r="O273" s="57">
        <f>N273/C273</f>
        <v/>
      </c>
      <c r="P273" s="58">
        <f>(Boosters_And!B273*100)/Boosters_And!N273</f>
        <v/>
      </c>
      <c r="Q273" s="58">
        <f>Boosters_And!B273/(C273+D273)</f>
        <v/>
      </c>
      <c r="R273" s="58">
        <f>Boosters_And!N273/B273</f>
        <v/>
      </c>
      <c r="S273" s="55" t="n">
        <v>8.639344262295079</v>
      </c>
      <c r="T273" s="59" t="n">
        <v>95</v>
      </c>
      <c r="U273" s="60" t="n">
        <v>62858.7346604351</v>
      </c>
      <c r="V273" s="61">
        <f>U273/B273</f>
        <v/>
      </c>
    </row>
    <row r="274" ht="22.5" customHeight="1" s="150">
      <c r="A274" s="34" t="n">
        <v>272</v>
      </c>
      <c r="B274" s="50" t="n">
        <v>160</v>
      </c>
      <c r="C274" s="50" t="n">
        <v>157</v>
      </c>
      <c r="D274" s="50" t="n">
        <v>59</v>
      </c>
      <c r="E274" s="50" t="n">
        <v>18</v>
      </c>
      <c r="F274" s="51">
        <f>(C274*100)/B274</f>
        <v/>
      </c>
      <c r="G274" s="51">
        <f>(D274*100)/B274</f>
        <v/>
      </c>
      <c r="H274" s="53">
        <f>((B274-B275)/B274)*100</f>
        <v/>
      </c>
      <c r="I274" s="53">
        <f>((B274-C274)/B274)*100</f>
        <v/>
      </c>
      <c r="J274" s="53">
        <f>((C274-B275)/C274)*100</f>
        <v/>
      </c>
      <c r="K274" s="54" t="n"/>
      <c r="L274" s="55" t="n">
        <v>1.0983606557377</v>
      </c>
      <c r="M274" s="70" t="inlineStr">
        <is>
          <t>Normal</t>
        </is>
      </c>
      <c r="N274" s="55" t="n">
        <v>6.98</v>
      </c>
      <c r="O274" s="57">
        <f>N274/C274</f>
        <v/>
      </c>
      <c r="P274" s="58">
        <f>(Boosters_And!B274*100)/Boosters_And!N274</f>
        <v/>
      </c>
      <c r="Q274" s="58">
        <f>Boosters_And!B274/(C274+D274)</f>
        <v/>
      </c>
      <c r="R274" s="58">
        <f>Boosters_And!N274/B274</f>
        <v/>
      </c>
      <c r="S274" s="55" t="n">
        <v>6.49180327868852</v>
      </c>
      <c r="T274" s="59" t="n">
        <v>90</v>
      </c>
      <c r="U274" s="60" t="n">
        <v>60950.0164146936</v>
      </c>
      <c r="V274" s="61">
        <f>U274/B274</f>
        <v/>
      </c>
    </row>
    <row r="275" ht="22.5" customHeight="1" s="150">
      <c r="A275" s="34" t="n">
        <v>273</v>
      </c>
      <c r="B275" s="50" t="n">
        <v>160</v>
      </c>
      <c r="C275" s="50" t="n">
        <v>157</v>
      </c>
      <c r="D275" s="50" t="n">
        <v>116</v>
      </c>
      <c r="E275" s="50" t="n">
        <v>57</v>
      </c>
      <c r="F275" s="51">
        <f>(C275*100)/B275</f>
        <v/>
      </c>
      <c r="G275" s="51">
        <f>(D275*100)/B275</f>
        <v/>
      </c>
      <c r="H275" s="53">
        <f>((B275-B276)/B275)*100</f>
        <v/>
      </c>
      <c r="I275" s="53">
        <f>((B275-C275)/B275)*100</f>
        <v/>
      </c>
      <c r="J275" s="53">
        <f>((C275-B276)/C275)*100</f>
        <v/>
      </c>
      <c r="K275" s="54" t="n"/>
      <c r="L275" s="55" t="n">
        <v>1.37704918032786</v>
      </c>
      <c r="M275" s="71" t="inlineStr">
        <is>
          <t>Hard</t>
        </is>
      </c>
      <c r="N275" s="55" t="n">
        <v>33.41</v>
      </c>
      <c r="O275" s="57">
        <f>N275/C275</f>
        <v/>
      </c>
      <c r="P275" s="58">
        <f>(Boosters_And!B275*100)/Boosters_And!N275</f>
        <v/>
      </c>
      <c r="Q275" s="58">
        <f>Boosters_And!B275/(C275+D275)</f>
        <v/>
      </c>
      <c r="R275" s="58">
        <f>Boosters_And!N275/B275</f>
        <v/>
      </c>
      <c r="S275" s="55" t="n">
        <v>31.8360655737704</v>
      </c>
      <c r="T275" s="59" t="n">
        <v>108</v>
      </c>
      <c r="U275" s="60" t="n">
        <v>43242.7856619694</v>
      </c>
      <c r="V275" s="61">
        <f>U275/B275</f>
        <v/>
      </c>
    </row>
    <row r="276" ht="22.5" customHeight="1" s="150">
      <c r="A276" s="34" t="n">
        <v>274</v>
      </c>
      <c r="B276" s="50" t="n">
        <v>157</v>
      </c>
      <c r="C276" s="50" t="n">
        <v>155</v>
      </c>
      <c r="D276" s="50" t="n">
        <v>103</v>
      </c>
      <c r="E276" s="50" t="n">
        <v>28</v>
      </c>
      <c r="F276" s="51">
        <f>(C276*100)/B276</f>
        <v/>
      </c>
      <c r="G276" s="51">
        <f>(D276*100)/B276</f>
        <v/>
      </c>
      <c r="H276" s="53">
        <f>((B276-B277)/B276)*100</f>
        <v/>
      </c>
      <c r="I276" s="53">
        <f>((B276-C276)/B276)*100</f>
        <v/>
      </c>
      <c r="J276" s="53">
        <f>((C276-B277)/C276)*100</f>
        <v/>
      </c>
      <c r="K276" s="54" t="n"/>
      <c r="L276" s="55" t="n">
        <v>1.11666666666666</v>
      </c>
      <c r="M276" s="70" t="inlineStr">
        <is>
          <t>Normal</t>
        </is>
      </c>
      <c r="N276" s="55" t="n">
        <v>8.48</v>
      </c>
      <c r="O276" s="57">
        <f>N276/C276</f>
        <v/>
      </c>
      <c r="P276" s="58">
        <f>(Boosters_And!B276*100)/Boosters_And!N276</f>
        <v/>
      </c>
      <c r="Q276" s="58">
        <f>Boosters_And!B276/(C276+D276)</f>
        <v/>
      </c>
      <c r="R276" s="58">
        <f>Boosters_And!N276/B276</f>
        <v/>
      </c>
      <c r="S276" s="55" t="n">
        <v>6.33333333333333</v>
      </c>
      <c r="T276" s="59" t="n">
        <v>103</v>
      </c>
      <c r="U276" s="60" t="n">
        <v>53057.2085336541</v>
      </c>
      <c r="V276" s="61">
        <f>U276/B276</f>
        <v/>
      </c>
    </row>
    <row r="277" ht="22.5" customHeight="1" s="150">
      <c r="A277" s="34" t="n">
        <v>275</v>
      </c>
      <c r="B277" s="50" t="n">
        <v>152</v>
      </c>
      <c r="C277" s="50" t="n">
        <v>142</v>
      </c>
      <c r="D277" s="50" t="n">
        <v>106</v>
      </c>
      <c r="E277" s="50" t="n">
        <v>49</v>
      </c>
      <c r="F277" s="51">
        <f>(C277*100)/B277</f>
        <v/>
      </c>
      <c r="G277" s="51">
        <f>(D277*100)/B277</f>
        <v/>
      </c>
      <c r="H277" s="53">
        <f>((B277-B278)/B277)*100</f>
        <v/>
      </c>
      <c r="I277" s="53">
        <f>((B277-C277)/B277)*100</f>
        <v/>
      </c>
      <c r="J277" s="53">
        <f>((C277-B278)/C277)*100</f>
        <v/>
      </c>
      <c r="K277" s="54" t="n"/>
      <c r="L277" s="55" t="n">
        <v>1.36363636363636</v>
      </c>
      <c r="M277" s="74" t="inlineStr">
        <is>
          <t>Very Hard</t>
        </is>
      </c>
      <c r="N277" s="55" t="n">
        <v>43.55</v>
      </c>
      <c r="O277" s="57">
        <f>N277/C277</f>
        <v/>
      </c>
      <c r="P277" s="58">
        <f>(Boosters_And!B277*100)/Boosters_And!N277</f>
        <v/>
      </c>
      <c r="Q277" s="58">
        <f>Boosters_And!B277/(C277+D277)</f>
        <v/>
      </c>
      <c r="R277" s="58">
        <f>Boosters_And!N277/B277</f>
        <v/>
      </c>
      <c r="S277" s="55" t="n">
        <v>5.2</v>
      </c>
      <c r="T277" s="59" t="n">
        <v>108</v>
      </c>
      <c r="U277" s="60" t="n">
        <v>46905.4612146086</v>
      </c>
      <c r="V277" s="61">
        <f>U277/B277</f>
        <v/>
      </c>
    </row>
    <row r="278" ht="22.5" customHeight="1" s="150">
      <c r="A278" s="34" t="n">
        <v>276</v>
      </c>
      <c r="B278" s="50" t="n">
        <v>147</v>
      </c>
      <c r="C278" s="50" t="n">
        <v>144</v>
      </c>
      <c r="D278" s="50" t="n">
        <v>83</v>
      </c>
      <c r="E278" s="50" t="n">
        <v>54</v>
      </c>
      <c r="F278" s="51">
        <f>(C278*100)/B278</f>
        <v/>
      </c>
      <c r="G278" s="51">
        <f>(D278*100)/B278</f>
        <v/>
      </c>
      <c r="H278" s="53">
        <f>((B278-B279)/B278)*100</f>
        <v/>
      </c>
      <c r="I278" s="53">
        <f>((B278-C278)/B278)*100</f>
        <v/>
      </c>
      <c r="J278" s="53">
        <f>((C278-B279)/C278)*100</f>
        <v/>
      </c>
      <c r="K278" s="54" t="n"/>
      <c r="L278" s="55" t="n">
        <v>1.125</v>
      </c>
      <c r="M278" s="69" t="inlineStr">
        <is>
          <t>Hard</t>
        </is>
      </c>
      <c r="N278" s="55" t="n">
        <v>20.99</v>
      </c>
      <c r="O278" s="57">
        <f>N278/C278</f>
        <v/>
      </c>
      <c r="P278" s="58">
        <f>(Boosters_And!B278*100)/Boosters_And!N278</f>
        <v/>
      </c>
      <c r="Q278" s="58">
        <f>Boosters_And!B278/(C278+D278)</f>
        <v/>
      </c>
      <c r="R278" s="58">
        <f>Boosters_And!N278/B278</f>
        <v/>
      </c>
      <c r="S278" s="55" t="n">
        <v>8.107142857142851</v>
      </c>
      <c r="T278" s="59" t="n">
        <v>93</v>
      </c>
      <c r="U278" s="60" t="n">
        <v>54579.0244322859</v>
      </c>
      <c r="V278" s="61">
        <f>U278/B278</f>
        <v/>
      </c>
    </row>
    <row r="279" ht="22.5" customHeight="1" s="150">
      <c r="A279" s="34" t="n">
        <v>277</v>
      </c>
      <c r="B279" s="50" t="n">
        <v>142</v>
      </c>
      <c r="C279" s="50" t="n">
        <v>139</v>
      </c>
      <c r="D279" s="50" t="n">
        <v>77</v>
      </c>
      <c r="E279" s="50" t="n">
        <v>41</v>
      </c>
      <c r="F279" s="51">
        <f>(C279*100)/B279</f>
        <v/>
      </c>
      <c r="G279" s="51">
        <f>(D279*100)/B279</f>
        <v/>
      </c>
      <c r="H279" s="53">
        <f>((B279-B280)/B279)*100</f>
        <v/>
      </c>
      <c r="I279" s="53">
        <f>((B279-C279)/B279)*100</f>
        <v/>
      </c>
      <c r="J279" s="53">
        <f>((C279-B280)/C279)*100</f>
        <v/>
      </c>
      <c r="K279" s="54" t="n"/>
      <c r="L279" s="55" t="n">
        <v>1.29629629629629</v>
      </c>
      <c r="M279" s="71" t="inlineStr">
        <is>
          <t>Hard</t>
        </is>
      </c>
      <c r="N279" s="55" t="n">
        <v>2.49</v>
      </c>
      <c r="O279" s="57">
        <f>N279/C279</f>
        <v/>
      </c>
      <c r="P279" s="58">
        <f>(Boosters_And!B279*100)/Boosters_And!N279</f>
        <v/>
      </c>
      <c r="Q279" s="58">
        <f>Boosters_And!B279/(C279+D279)</f>
        <v/>
      </c>
      <c r="R279" s="58">
        <f>Boosters_And!N279/B279</f>
        <v/>
      </c>
      <c r="S279" s="55" t="n">
        <v>7.35185185185185</v>
      </c>
      <c r="T279" s="59" t="n">
        <v>88</v>
      </c>
      <c r="U279" s="60" t="n">
        <v>41837.0404674706</v>
      </c>
      <c r="V279" s="61">
        <f>U279/B279</f>
        <v/>
      </c>
    </row>
    <row r="280" ht="22.5" customHeight="1" s="150">
      <c r="A280" s="34" t="n">
        <v>278</v>
      </c>
      <c r="B280" s="50" t="n">
        <v>142</v>
      </c>
      <c r="C280" s="50" t="n">
        <v>142</v>
      </c>
      <c r="D280" s="50" t="n">
        <v>75</v>
      </c>
      <c r="E280" s="50" t="n">
        <v>10</v>
      </c>
      <c r="F280" s="51">
        <f>(C280*100)/B280</f>
        <v/>
      </c>
      <c r="G280" s="51">
        <f>(D280*100)/B280</f>
        <v/>
      </c>
      <c r="H280" s="53">
        <f>((B280-B281)/B280)*100</f>
        <v/>
      </c>
      <c r="I280" s="53">
        <f>((B280-C280)/B280)*100</f>
        <v/>
      </c>
      <c r="J280" s="53">
        <f>((C280-B281)/C280)*100</f>
        <v/>
      </c>
      <c r="K280" s="54" t="n"/>
      <c r="L280" s="55" t="n">
        <v>1.01818181818181</v>
      </c>
      <c r="M280" s="70" t="inlineStr">
        <is>
          <t>Normal</t>
        </is>
      </c>
      <c r="N280" s="55" t="n">
        <v>4.99</v>
      </c>
      <c r="O280" s="57">
        <f>N280/C280</f>
        <v/>
      </c>
      <c r="P280" s="58">
        <f>(Boosters_And!B280*100)/Boosters_And!N280</f>
        <v/>
      </c>
      <c r="Q280" s="58">
        <f>Boosters_And!B280/(C280+D280)</f>
        <v/>
      </c>
      <c r="R280" s="58">
        <f>Boosters_And!N280/B280</f>
        <v/>
      </c>
      <c r="S280" s="55" t="n">
        <v>15.4727272727272</v>
      </c>
      <c r="T280" s="59" t="n">
        <v>80</v>
      </c>
      <c r="U280" s="60" t="n">
        <v>30462.1114624431</v>
      </c>
      <c r="V280" s="61">
        <f>U280/B280</f>
        <v/>
      </c>
    </row>
    <row r="281" ht="22.5" customHeight="1" s="150">
      <c r="A281" s="34" t="n">
        <v>279</v>
      </c>
      <c r="B281" s="50" t="n">
        <v>142</v>
      </c>
      <c r="C281" s="50" t="n">
        <v>142</v>
      </c>
      <c r="D281" s="50" t="n">
        <v>95</v>
      </c>
      <c r="E281" s="50" t="n">
        <v>83</v>
      </c>
      <c r="F281" s="51">
        <f>(C281*100)/B281</f>
        <v/>
      </c>
      <c r="G281" s="51">
        <f>(D281*100)/B281</f>
        <v/>
      </c>
      <c r="H281" s="53">
        <f>((B281-B282)/B281)*100</f>
        <v/>
      </c>
      <c r="I281" s="53">
        <f>((B281-C281)/B281)*100</f>
        <v/>
      </c>
      <c r="J281" s="53">
        <f>((C281-B282)/C281)*100</f>
        <v/>
      </c>
      <c r="K281" s="54" t="n"/>
      <c r="L281" s="55" t="n">
        <v>1.36363636363636</v>
      </c>
      <c r="M281" s="56" t="inlineStr">
        <is>
          <t>Normal</t>
        </is>
      </c>
      <c r="N281" s="55" t="n">
        <v>29.47</v>
      </c>
      <c r="O281" s="57">
        <f>N281/C281</f>
        <v/>
      </c>
      <c r="P281" s="58">
        <f>(Boosters_And!B281*100)/Boosters_And!N281</f>
        <v/>
      </c>
      <c r="Q281" s="58">
        <f>Boosters_And!B281/(C281+D281)</f>
        <v/>
      </c>
      <c r="R281" s="58">
        <f>Boosters_And!N281/B281</f>
        <v/>
      </c>
      <c r="S281" s="55" t="n">
        <v>5.65454545454545</v>
      </c>
      <c r="T281" s="59" t="n">
        <v>90</v>
      </c>
      <c r="U281" s="60" t="n">
        <v>39605.9035991375</v>
      </c>
      <c r="V281" s="61">
        <f>U281/B281</f>
        <v/>
      </c>
    </row>
    <row r="282" ht="22.5" customHeight="1" s="150">
      <c r="A282" s="34" t="n">
        <v>280</v>
      </c>
      <c r="B282" s="50" t="n">
        <v>144</v>
      </c>
      <c r="C282" s="50" t="n">
        <v>144</v>
      </c>
      <c r="D282" s="50" t="n">
        <v>90</v>
      </c>
      <c r="E282" s="50" t="n">
        <v>34</v>
      </c>
      <c r="F282" s="51">
        <f>(C282*100)/B282</f>
        <v/>
      </c>
      <c r="G282" s="51">
        <f>(D282*100)/B282</f>
        <v/>
      </c>
      <c r="H282" s="53">
        <f>((B282-B283)/B282)*100</f>
        <v/>
      </c>
      <c r="I282" s="53">
        <f>((B282-C282)/B282)*100</f>
        <v/>
      </c>
      <c r="J282" s="53">
        <f>((C282-B283)/C282)*100</f>
        <v/>
      </c>
      <c r="K282" s="54" t="n"/>
      <c r="L282" s="55" t="n">
        <v>1.19642857142857</v>
      </c>
      <c r="M282" s="70" t="inlineStr">
        <is>
          <t>Normal</t>
        </is>
      </c>
      <c r="N282" s="55" t="n">
        <v>16.47</v>
      </c>
      <c r="O282" s="57">
        <f>N282/C282</f>
        <v/>
      </c>
      <c r="P282" s="58">
        <f>(Boosters_And!B282*100)/Boosters_And!N282</f>
        <v/>
      </c>
      <c r="Q282" s="58">
        <f>Boosters_And!B282/(C282+D282)</f>
        <v/>
      </c>
      <c r="R282" s="58">
        <f>Boosters_And!N282/B282</f>
        <v/>
      </c>
      <c r="S282" s="55" t="n">
        <v>6.48214285714285</v>
      </c>
      <c r="T282" s="59" t="n">
        <v>80</v>
      </c>
      <c r="U282" s="60" t="n">
        <v>43487.8238151389</v>
      </c>
      <c r="V282" s="61">
        <f>U282/B282</f>
        <v/>
      </c>
    </row>
    <row r="283" ht="22.5" customHeight="1" s="150">
      <c r="A283" s="34" t="n">
        <v>281</v>
      </c>
      <c r="B283" s="50" t="n">
        <v>144</v>
      </c>
      <c r="C283" s="50" t="n">
        <v>139</v>
      </c>
      <c r="D283" s="50" t="n">
        <v>95</v>
      </c>
      <c r="E283" s="50" t="n">
        <v>39</v>
      </c>
      <c r="F283" s="51">
        <f>(C283*100)/B283</f>
        <v/>
      </c>
      <c r="G283" s="51">
        <f>(D283*100)/B283</f>
        <v/>
      </c>
      <c r="H283" s="53">
        <f>((B283-B284)/B283)*100</f>
        <v/>
      </c>
      <c r="I283" s="53">
        <f>((B283-C283)/B283)*100</f>
        <v/>
      </c>
      <c r="J283" s="53">
        <f>((C283-B284)/C283)*100</f>
        <v/>
      </c>
      <c r="K283" s="54" t="n"/>
      <c r="L283" s="55" t="n">
        <v>1.14814814814814</v>
      </c>
      <c r="M283" s="74" t="inlineStr">
        <is>
          <t>Very Hard</t>
        </is>
      </c>
      <c r="N283" s="55" t="n">
        <v>11.48</v>
      </c>
      <c r="O283" s="57">
        <f>N283/C283</f>
        <v/>
      </c>
      <c r="P283" s="58">
        <f>(Boosters_And!B283*100)/Boosters_And!N283</f>
        <v/>
      </c>
      <c r="Q283" s="58">
        <f>Boosters_And!B283/(C283+D283)</f>
        <v/>
      </c>
      <c r="R283" s="58">
        <f>Boosters_And!N283/B283</f>
        <v/>
      </c>
      <c r="S283" s="55" t="n">
        <v>11.2037037037037</v>
      </c>
      <c r="T283" s="59" t="n">
        <v>90</v>
      </c>
      <c r="U283" s="60" t="n">
        <v>48672.31526641</v>
      </c>
      <c r="V283" s="61">
        <f>U283/B283</f>
        <v/>
      </c>
    </row>
    <row r="284" ht="22.5" customHeight="1" s="150">
      <c r="A284" s="34" t="n">
        <v>282</v>
      </c>
      <c r="B284" s="50" t="n">
        <v>139</v>
      </c>
      <c r="C284" s="50" t="n">
        <v>139</v>
      </c>
      <c r="D284" s="50" t="n">
        <v>70</v>
      </c>
      <c r="E284" s="50" t="n">
        <v>31</v>
      </c>
      <c r="F284" s="51">
        <f>(C284*100)/B284</f>
        <v/>
      </c>
      <c r="G284" s="51">
        <f>(D284*100)/B284</f>
        <v/>
      </c>
      <c r="H284" s="53">
        <f>((B284-B285)/B284)*100</f>
        <v/>
      </c>
      <c r="I284" s="53">
        <f>((B284-C284)/B284)*100</f>
        <v/>
      </c>
      <c r="J284" s="53">
        <f>((C284-B285)/C284)*100</f>
        <v/>
      </c>
      <c r="K284" s="54" t="n"/>
      <c r="L284" s="55" t="n">
        <v>1.03703703703703</v>
      </c>
      <c r="M284" s="70" t="inlineStr">
        <is>
          <t>Normal</t>
        </is>
      </c>
      <c r="N284" s="55" t="n">
        <v>9.34</v>
      </c>
      <c r="O284" s="57">
        <f>N284/C284</f>
        <v/>
      </c>
      <c r="P284" s="58">
        <f>(Boosters_And!B284*100)/Boosters_And!N284</f>
        <v/>
      </c>
      <c r="Q284" s="58">
        <f>Boosters_And!B284/(C284+D284)</f>
        <v/>
      </c>
      <c r="R284" s="58">
        <f>Boosters_And!N284/B284</f>
        <v/>
      </c>
      <c r="S284" s="55" t="n">
        <v>4.64814814814814</v>
      </c>
      <c r="T284" s="59" t="n">
        <v>75</v>
      </c>
      <c r="U284" s="60" t="n">
        <v>56384.5687187982</v>
      </c>
      <c r="V284" s="61">
        <f>U284/B284</f>
        <v/>
      </c>
    </row>
    <row r="285" ht="22.5" customHeight="1" s="150">
      <c r="A285" s="34" t="n">
        <v>283</v>
      </c>
      <c r="B285" s="50" t="n">
        <v>137</v>
      </c>
      <c r="C285" s="50" t="n">
        <v>134</v>
      </c>
      <c r="D285" s="50" t="n">
        <v>67</v>
      </c>
      <c r="E285" s="50" t="n">
        <v>31</v>
      </c>
      <c r="F285" s="51">
        <f>(C285*100)/B285</f>
        <v/>
      </c>
      <c r="G285" s="51">
        <f>(D285*100)/B285</f>
        <v/>
      </c>
      <c r="H285" s="53">
        <f>((B285-B286)/B285)*100</f>
        <v/>
      </c>
      <c r="I285" s="53">
        <f>((B285-C285)/B285)*100</f>
        <v/>
      </c>
      <c r="J285" s="53">
        <f>((C285-B286)/C285)*100</f>
        <v/>
      </c>
      <c r="K285" s="54" t="n"/>
      <c r="L285" s="55" t="n">
        <v>1.26923076923076</v>
      </c>
      <c r="M285" s="71" t="inlineStr">
        <is>
          <t>Hard</t>
        </is>
      </c>
      <c r="N285" s="55" t="n">
        <v>55.37</v>
      </c>
      <c r="O285" s="57">
        <f>N285/C285</f>
        <v/>
      </c>
      <c r="P285" s="58">
        <f>(Boosters_And!B285*100)/Boosters_And!N285</f>
        <v/>
      </c>
      <c r="Q285" s="58">
        <f>Boosters_And!B285/(C285+D285)</f>
        <v/>
      </c>
      <c r="R285" s="58">
        <f>Boosters_And!N285/B285</f>
        <v/>
      </c>
      <c r="S285" s="55" t="n">
        <v>4.28846153846153</v>
      </c>
      <c r="T285" s="59" t="n">
        <v>83</v>
      </c>
      <c r="U285" s="60" t="n">
        <v>65463.8771309743</v>
      </c>
      <c r="V285" s="61">
        <f>U285/B285</f>
        <v/>
      </c>
    </row>
    <row r="286" ht="22.5" customHeight="1" s="150">
      <c r="A286" s="34" t="n">
        <v>284</v>
      </c>
      <c r="B286" s="50" t="n">
        <v>134</v>
      </c>
      <c r="C286" s="50" t="n">
        <v>134</v>
      </c>
      <c r="D286" s="50" t="n">
        <v>8</v>
      </c>
      <c r="E286" s="50" t="n">
        <v>0</v>
      </c>
      <c r="F286" s="51">
        <f>(C286*100)/B286</f>
        <v/>
      </c>
      <c r="G286" s="51">
        <f>(D286*100)/B286</f>
        <v/>
      </c>
      <c r="H286" s="53">
        <f>((B286-B287)/B286)*100</f>
        <v/>
      </c>
      <c r="I286" s="53">
        <f>((B286-C286)/B286)*100</f>
        <v/>
      </c>
      <c r="J286" s="53">
        <f>((C286-B287)/C286)*100</f>
        <v/>
      </c>
      <c r="K286" s="54" t="n"/>
      <c r="L286" s="55" t="n">
        <v>1</v>
      </c>
      <c r="M286" s="69" t="inlineStr">
        <is>
          <t>Hard</t>
        </is>
      </c>
      <c r="N286" s="55" t="n">
        <v>0</v>
      </c>
      <c r="O286" s="57">
        <f>N286/C286</f>
        <v/>
      </c>
      <c r="P286" s="58">
        <f>(Boosters_And!B286*100)/Boosters_And!N286</f>
        <v/>
      </c>
      <c r="Q286" s="58">
        <f>Boosters_And!B286/(C286+D286)</f>
        <v/>
      </c>
      <c r="R286" s="58">
        <f>Boosters_And!N286/B286</f>
        <v/>
      </c>
      <c r="S286" s="55" t="n">
        <v>4.28846153846153</v>
      </c>
      <c r="T286" s="59" t="n">
        <v>57</v>
      </c>
      <c r="U286" s="60" t="n">
        <v>72028.3202869369</v>
      </c>
      <c r="V286" s="61">
        <f>U286/B286</f>
        <v/>
      </c>
    </row>
    <row r="287" ht="22.5" customHeight="1" s="150">
      <c r="A287" s="34" t="n">
        <v>285</v>
      </c>
      <c r="B287" s="50" t="n">
        <v>134</v>
      </c>
      <c r="C287" s="50" t="n">
        <v>132</v>
      </c>
      <c r="D287" s="50" t="n">
        <v>90</v>
      </c>
      <c r="E287" s="50" t="n">
        <v>77</v>
      </c>
      <c r="F287" s="51">
        <f>(C287*100)/B287</f>
        <v/>
      </c>
      <c r="G287" s="51">
        <f>(D287*100)/B287</f>
        <v/>
      </c>
      <c r="H287" s="53">
        <f>((B287-B288)/B287)*100</f>
        <v/>
      </c>
      <c r="I287" s="53">
        <f>((B287-C287)/B287)*100</f>
        <v/>
      </c>
      <c r="J287" s="53">
        <f>((C287-B288)/C287)*100</f>
        <v/>
      </c>
      <c r="K287" s="54" t="n"/>
      <c r="L287" s="55" t="n">
        <v>1.47058823529411</v>
      </c>
      <c r="M287" s="56" t="inlineStr">
        <is>
          <t>Normal</t>
        </is>
      </c>
      <c r="N287" s="55" t="n">
        <v>28.56</v>
      </c>
      <c r="O287" s="57">
        <f>N287/C287</f>
        <v/>
      </c>
      <c r="P287" s="58">
        <f>(Boosters_And!B287*100)/Boosters_And!N287</f>
        <v/>
      </c>
      <c r="Q287" s="58">
        <f>Boosters_And!B287/(C287+D287)</f>
        <v/>
      </c>
      <c r="R287" s="58">
        <f>Boosters_And!N287/B287</f>
        <v/>
      </c>
      <c r="S287" s="55" t="n">
        <v>10.156862745098</v>
      </c>
      <c r="T287" s="59" t="n">
        <v>77</v>
      </c>
      <c r="U287" s="60" t="n">
        <v>56255.6012697616</v>
      </c>
      <c r="V287" s="61">
        <f>U287/B287</f>
        <v/>
      </c>
    </row>
    <row r="288" ht="22.5" customHeight="1" s="150">
      <c r="A288" s="34" t="n">
        <v>286</v>
      </c>
      <c r="B288" s="50" t="n">
        <v>129</v>
      </c>
      <c r="C288" s="50" t="n">
        <v>129</v>
      </c>
      <c r="D288" s="50" t="n">
        <v>75</v>
      </c>
      <c r="E288" s="50" t="n">
        <v>41</v>
      </c>
      <c r="F288" s="51">
        <f>(C288*100)/B288</f>
        <v/>
      </c>
      <c r="G288" s="51">
        <f>(D288*100)/B288</f>
        <v/>
      </c>
      <c r="H288" s="53">
        <f>((B288-B289)/B288)*100</f>
        <v/>
      </c>
      <c r="I288" s="53">
        <f>((B288-C288)/B288)*100</f>
        <v/>
      </c>
      <c r="J288" s="53">
        <f>((C288-B289)/C288)*100</f>
        <v/>
      </c>
      <c r="K288" s="54" t="n"/>
      <c r="L288" s="55" t="n">
        <v>1.24</v>
      </c>
      <c r="M288" s="76" t="inlineStr">
        <is>
          <t>Very Hard</t>
        </is>
      </c>
      <c r="N288" s="55" t="n">
        <v>18.96</v>
      </c>
      <c r="O288" s="57">
        <f>N288/C288</f>
        <v/>
      </c>
      <c r="P288" s="58">
        <f>(Boosters_And!B288*100)/Boosters_And!N288</f>
        <v/>
      </c>
      <c r="Q288" s="58">
        <f>Boosters_And!B288/(C288+D288)</f>
        <v/>
      </c>
      <c r="R288" s="58">
        <f>Boosters_And!N288/B288</f>
        <v/>
      </c>
      <c r="S288" s="55" t="n">
        <v>14.06</v>
      </c>
      <c r="T288" s="59" t="n">
        <v>83</v>
      </c>
      <c r="U288" s="60" t="n">
        <v>67798.1879585366</v>
      </c>
      <c r="V288" s="61">
        <f>U288/B288</f>
        <v/>
      </c>
    </row>
    <row r="289" ht="22.5" customHeight="1" s="150">
      <c r="A289" s="34" t="n">
        <v>287</v>
      </c>
      <c r="B289" s="50" t="n">
        <v>132</v>
      </c>
      <c r="C289" s="50" t="n">
        <v>126</v>
      </c>
      <c r="D289" s="50" t="n">
        <v>85</v>
      </c>
      <c r="E289" s="50" t="n">
        <v>57</v>
      </c>
      <c r="F289" s="51">
        <f>(C289*100)/B289</f>
        <v/>
      </c>
      <c r="G289" s="51">
        <f>(D289*100)/B289</f>
        <v/>
      </c>
      <c r="H289" s="53">
        <f>((B289-B290)/B289)*100</f>
        <v/>
      </c>
      <c r="I289" s="53">
        <f>((B289-C289)/B289)*100</f>
        <v/>
      </c>
      <c r="J289" s="53">
        <f>((C289-B290)/C289)*100</f>
        <v/>
      </c>
      <c r="K289" s="54" t="n"/>
      <c r="L289" s="55" t="n">
        <v>1.36734693877551</v>
      </c>
      <c r="M289" s="56" t="inlineStr">
        <is>
          <t>Normal</t>
        </is>
      </c>
      <c r="N289" s="55" t="n">
        <v>79.39</v>
      </c>
      <c r="O289" s="57">
        <f>N289/C289</f>
        <v/>
      </c>
      <c r="P289" s="58">
        <f>(Boosters_And!B289*100)/Boosters_And!N289</f>
        <v/>
      </c>
      <c r="Q289" s="58">
        <f>Boosters_And!B289/(C289+D289)</f>
        <v/>
      </c>
      <c r="R289" s="58">
        <f>Boosters_And!N289/B289</f>
        <v/>
      </c>
      <c r="S289" s="55" t="n">
        <v>7.59183673469387</v>
      </c>
      <c r="T289" s="59" t="n">
        <v>75</v>
      </c>
      <c r="U289" s="60" t="n">
        <v>86253.429915673</v>
      </c>
      <c r="V289" s="61">
        <f>U289/B289</f>
        <v/>
      </c>
    </row>
    <row r="290" ht="22.5" customHeight="1" s="150">
      <c r="A290" s="34" t="n">
        <v>288</v>
      </c>
      <c r="B290" s="50" t="n">
        <v>129</v>
      </c>
      <c r="C290" s="50" t="n">
        <v>129</v>
      </c>
      <c r="D290" s="50" t="n">
        <v>75</v>
      </c>
      <c r="E290" s="50" t="n">
        <v>28</v>
      </c>
      <c r="F290" s="51">
        <f>(C290*100)/B290</f>
        <v/>
      </c>
      <c r="G290" s="51">
        <f>(D290*100)/B290</f>
        <v/>
      </c>
      <c r="H290" s="53">
        <f>((B290-B291)/B290)*100</f>
        <v/>
      </c>
      <c r="I290" s="53">
        <f>((B290-C290)/B290)*100</f>
        <v/>
      </c>
      <c r="J290" s="53">
        <f>((C290-B291)/C290)*100</f>
        <v/>
      </c>
      <c r="K290" s="54" t="n"/>
      <c r="L290" s="55" t="n">
        <v>1.1</v>
      </c>
      <c r="M290" s="70" t="inlineStr">
        <is>
          <t>Normal</t>
        </is>
      </c>
      <c r="N290" s="55" t="n">
        <v>31.85</v>
      </c>
      <c r="O290" s="57">
        <f>N290/C290</f>
        <v/>
      </c>
      <c r="P290" s="58">
        <f>(Boosters_And!B290*100)/Boosters_And!N290</f>
        <v/>
      </c>
      <c r="Q290" s="58">
        <f>Boosters_And!B290/(C290+D290)</f>
        <v/>
      </c>
      <c r="R290" s="58">
        <f>Boosters_And!N290/B290</f>
        <v/>
      </c>
      <c r="S290" s="55" t="n">
        <v>6.86</v>
      </c>
      <c r="T290" s="59" t="n">
        <v>70</v>
      </c>
      <c r="U290" s="60" t="n">
        <v>78979.6657900092</v>
      </c>
      <c r="V290" s="61">
        <f>U290/B290</f>
        <v/>
      </c>
    </row>
    <row r="291" ht="22.5" customHeight="1" s="150">
      <c r="A291" s="34" t="n">
        <v>289</v>
      </c>
      <c r="B291" s="50" t="n">
        <v>129</v>
      </c>
      <c r="C291" s="50" t="n">
        <v>129</v>
      </c>
      <c r="D291" s="50" t="n">
        <v>34</v>
      </c>
      <c r="E291" s="50" t="n">
        <v>10</v>
      </c>
      <c r="F291" s="51">
        <f>(C291*100)/B291</f>
        <v/>
      </c>
      <c r="G291" s="51">
        <f>(D291*100)/B291</f>
        <v/>
      </c>
      <c r="H291" s="53">
        <f>((B291-B292)/B291)*100</f>
        <v/>
      </c>
      <c r="I291" s="53">
        <f>((B291-C291)/B291)*100</f>
        <v/>
      </c>
      <c r="J291" s="53">
        <f>((C291-B292)/C291)*100</f>
        <v/>
      </c>
      <c r="K291" s="54" t="n"/>
      <c r="L291" s="55" t="n">
        <v>1.02</v>
      </c>
      <c r="M291" s="71" t="inlineStr">
        <is>
          <t>Hard</t>
        </is>
      </c>
      <c r="N291" s="55" t="n">
        <v>5.99</v>
      </c>
      <c r="O291" s="57">
        <f>N291/C291</f>
        <v/>
      </c>
      <c r="P291" s="58">
        <f>(Boosters_And!B291*100)/Boosters_And!N291</f>
        <v/>
      </c>
      <c r="Q291" s="58">
        <f>Boosters_And!B291/(C291+D291)</f>
        <v/>
      </c>
      <c r="R291" s="58">
        <f>Boosters_And!N291/B291</f>
        <v/>
      </c>
      <c r="S291" s="55" t="n">
        <v>9.279999999999999</v>
      </c>
      <c r="T291" s="59" t="n">
        <v>64</v>
      </c>
      <c r="U291" s="60" t="n">
        <v>82990.55345504719</v>
      </c>
      <c r="V291" s="61">
        <f>U291/B291</f>
        <v/>
      </c>
    </row>
    <row r="292" ht="22.5" customHeight="1" s="150">
      <c r="A292" s="34" t="n">
        <v>290</v>
      </c>
      <c r="B292" s="50" t="n">
        <v>129</v>
      </c>
      <c r="C292" s="50" t="n">
        <v>119</v>
      </c>
      <c r="D292" s="50" t="n">
        <v>88</v>
      </c>
      <c r="E292" s="50" t="n">
        <v>46</v>
      </c>
      <c r="F292" s="51">
        <f>(C292*100)/B292</f>
        <v/>
      </c>
      <c r="G292" s="51">
        <f>(D292*100)/B292</f>
        <v/>
      </c>
      <c r="H292" s="53">
        <f>((B292-B293)/B292)*100</f>
        <v/>
      </c>
      <c r="I292" s="53">
        <f>((B292-C292)/B292)*100</f>
        <v/>
      </c>
      <c r="J292" s="53">
        <f>((C292-B293)/C292)*100</f>
        <v/>
      </c>
      <c r="K292" s="54" t="n"/>
      <c r="L292" s="55" t="n">
        <v>1.19565217391304</v>
      </c>
      <c r="M292" s="69" t="inlineStr">
        <is>
          <t>Hard</t>
        </is>
      </c>
      <c r="N292" s="55" t="n">
        <v>14.32</v>
      </c>
      <c r="O292" s="57">
        <f>N292/C292</f>
        <v/>
      </c>
      <c r="P292" s="58">
        <f>(Boosters_And!B292*100)/Boosters_And!N292</f>
        <v/>
      </c>
      <c r="Q292" s="58">
        <f>Boosters_And!B292/(C292+D292)</f>
        <v/>
      </c>
      <c r="R292" s="58">
        <f>Boosters_And!N292/B292</f>
        <v/>
      </c>
      <c r="S292" s="55" t="n">
        <v>7.06521739130434</v>
      </c>
      <c r="T292" s="59" t="n">
        <v>88</v>
      </c>
      <c r="U292" s="60" t="n">
        <v>64651.3822020438</v>
      </c>
      <c r="V292" s="61">
        <f>U292/B292</f>
        <v/>
      </c>
    </row>
    <row r="293" ht="22.5" customHeight="1" s="150">
      <c r="A293" s="34" t="n">
        <v>291</v>
      </c>
      <c r="B293" s="50" t="n">
        <v>121</v>
      </c>
      <c r="C293" s="50" t="n">
        <v>121</v>
      </c>
      <c r="D293" s="50" t="n">
        <v>13</v>
      </c>
      <c r="E293" s="50" t="n">
        <v>0</v>
      </c>
      <c r="F293" s="51">
        <f>(C293*100)/B293</f>
        <v/>
      </c>
      <c r="G293" s="51">
        <f>(D293*100)/B293</f>
        <v/>
      </c>
      <c r="H293" s="53">
        <f>((B293-B294)/B293)*100</f>
        <v/>
      </c>
      <c r="I293" s="53">
        <f>((B293-C293)/B293)*100</f>
        <v/>
      </c>
      <c r="J293" s="53">
        <f>((C293-B294)/C293)*100</f>
        <v/>
      </c>
      <c r="K293" s="54" t="n"/>
      <c r="L293" s="55" t="n">
        <v>1</v>
      </c>
      <c r="M293" s="56" t="inlineStr">
        <is>
          <t>Normal</t>
        </is>
      </c>
      <c r="N293" s="55" t="n">
        <v>0</v>
      </c>
      <c r="O293" s="57">
        <f>N293/C293</f>
        <v/>
      </c>
      <c r="P293" s="58">
        <f>(Boosters_And!B293*100)/Boosters_And!N293</f>
        <v/>
      </c>
      <c r="Q293" s="58">
        <f>Boosters_And!B293/(C293+D293)</f>
        <v/>
      </c>
      <c r="R293" s="58">
        <f>Boosters_And!N293/B293</f>
        <v/>
      </c>
      <c r="S293" s="55" t="n">
        <v>8.021276595744681</v>
      </c>
      <c r="T293" s="59" t="n">
        <v>59</v>
      </c>
      <c r="U293" s="60" t="n">
        <v>68817.03080592569</v>
      </c>
      <c r="V293" s="61">
        <f>U293/B293</f>
        <v/>
      </c>
    </row>
    <row r="294" ht="22.5" customHeight="1" s="150">
      <c r="A294" s="34" t="n">
        <v>292</v>
      </c>
      <c r="B294" s="50" t="n">
        <v>124</v>
      </c>
      <c r="C294" s="50" t="n">
        <v>124</v>
      </c>
      <c r="D294" s="50" t="n">
        <v>83</v>
      </c>
      <c r="E294" s="50" t="n">
        <v>41</v>
      </c>
      <c r="F294" s="51">
        <f>(C294*100)/B294</f>
        <v/>
      </c>
      <c r="G294" s="51">
        <f>(D294*100)/B294</f>
        <v/>
      </c>
      <c r="H294" s="53">
        <f>((B294-B295)/B294)*100</f>
        <v/>
      </c>
      <c r="I294" s="53">
        <f>((B294-C294)/B294)*100</f>
        <v/>
      </c>
      <c r="J294" s="53">
        <f>((C294-B295)/C294)*100</f>
        <v/>
      </c>
      <c r="K294" s="54" t="n"/>
      <c r="L294" s="55" t="n">
        <v>1.22916666666666</v>
      </c>
      <c r="M294" s="69" t="inlineStr">
        <is>
          <t>Hard</t>
        </is>
      </c>
      <c r="N294" s="55" t="n">
        <v>8.49</v>
      </c>
      <c r="O294" s="57">
        <f>N294/C294</f>
        <v/>
      </c>
      <c r="P294" s="58">
        <f>(Boosters_And!B294*100)/Boosters_And!N294</f>
        <v/>
      </c>
      <c r="Q294" s="58">
        <f>Boosters_And!B294/(C294+D294)</f>
        <v/>
      </c>
      <c r="R294" s="58">
        <f>Boosters_And!N294/B294</f>
        <v/>
      </c>
      <c r="S294" s="55" t="n">
        <v>6.39583333333333</v>
      </c>
      <c r="T294" s="59" t="n">
        <v>83</v>
      </c>
      <c r="U294" s="60" t="n">
        <v>80527.2751784483</v>
      </c>
      <c r="V294" s="61">
        <f>U294/B294</f>
        <v/>
      </c>
    </row>
    <row r="295" ht="22.5" customHeight="1" s="150">
      <c r="A295" s="34" t="n">
        <v>293</v>
      </c>
      <c r="B295" s="50" t="n">
        <v>124</v>
      </c>
      <c r="C295" s="50" t="n">
        <v>124</v>
      </c>
      <c r="D295" s="50" t="n">
        <v>75</v>
      </c>
      <c r="E295" s="50" t="n">
        <v>46</v>
      </c>
      <c r="F295" s="51">
        <f>(C295*100)/B295</f>
        <v/>
      </c>
      <c r="G295" s="51">
        <f>(D295*100)/B295</f>
        <v/>
      </c>
      <c r="H295" s="53">
        <f>((B295-B296)/B295)*100</f>
        <v/>
      </c>
      <c r="I295" s="53">
        <f>((B295-C295)/B295)*100</f>
        <v/>
      </c>
      <c r="J295" s="53">
        <f>((C295-B296)/C295)*100</f>
        <v/>
      </c>
      <c r="K295" s="54" t="n"/>
      <c r="L295" s="55" t="n">
        <v>1.25</v>
      </c>
      <c r="M295" s="74" t="inlineStr">
        <is>
          <t>Very Hard</t>
        </is>
      </c>
      <c r="N295" s="55" t="n">
        <v>22.51</v>
      </c>
      <c r="O295" s="57">
        <f>N295/C295</f>
        <v/>
      </c>
      <c r="P295" s="58">
        <f>(Boosters_And!B295*100)/Boosters_And!N295</f>
        <v/>
      </c>
      <c r="Q295" s="58">
        <f>Boosters_And!B295/(C295+D295)</f>
        <v/>
      </c>
      <c r="R295" s="58">
        <f>Boosters_And!N295/B295</f>
        <v/>
      </c>
      <c r="S295" s="55" t="n">
        <v>8.0625</v>
      </c>
      <c r="T295" s="59" t="n">
        <v>85</v>
      </c>
      <c r="U295" s="60" t="n">
        <v>64793.246395984</v>
      </c>
      <c r="V295" s="61">
        <f>U295/B295</f>
        <v/>
      </c>
    </row>
    <row r="296" ht="22.5" customHeight="1" s="150">
      <c r="A296" s="34" t="n">
        <v>294</v>
      </c>
      <c r="B296" s="50" t="n">
        <v>126</v>
      </c>
      <c r="C296" s="50" t="n">
        <v>121</v>
      </c>
      <c r="D296" s="50" t="n">
        <v>90</v>
      </c>
      <c r="E296" s="50" t="n">
        <v>59</v>
      </c>
      <c r="F296" s="51">
        <f>(C296*100)/B296</f>
        <v/>
      </c>
      <c r="G296" s="51">
        <f>(D296*100)/B296</f>
        <v/>
      </c>
      <c r="H296" s="53">
        <f>((B296-B297)/B296)*100</f>
        <v/>
      </c>
      <c r="I296" s="53">
        <f>((B296-C296)/B296)*100</f>
        <v/>
      </c>
      <c r="J296" s="53">
        <f>((C296-B297)/C296)*100</f>
        <v/>
      </c>
      <c r="K296" s="54" t="n"/>
      <c r="L296" s="55" t="n">
        <v>1.5531914893617</v>
      </c>
      <c r="M296" s="69" t="inlineStr">
        <is>
          <t>Hard</t>
        </is>
      </c>
      <c r="N296" s="55" t="n">
        <v>42.44</v>
      </c>
      <c r="O296" s="57">
        <f>N296/C296</f>
        <v/>
      </c>
      <c r="P296" s="58">
        <f>(Boosters_And!B296*100)/Boosters_And!N296</f>
        <v/>
      </c>
      <c r="Q296" s="58">
        <f>Boosters_And!B296/(C296+D296)</f>
        <v/>
      </c>
      <c r="R296" s="58">
        <f>Boosters_And!N296/B296</f>
        <v/>
      </c>
      <c r="S296" s="55" t="n">
        <v>2.97872340425531</v>
      </c>
      <c r="T296" s="59" t="n">
        <v>75</v>
      </c>
      <c r="U296" s="60" t="n">
        <v>65180.1487430938</v>
      </c>
      <c r="V296" s="61">
        <f>U296/B296</f>
        <v/>
      </c>
    </row>
    <row r="297" ht="22.5" customHeight="1" s="150">
      <c r="A297" s="34" t="n">
        <v>295</v>
      </c>
      <c r="B297" s="50" t="n">
        <v>124</v>
      </c>
      <c r="C297" s="50" t="n">
        <v>121</v>
      </c>
      <c r="D297" s="50" t="n">
        <v>77</v>
      </c>
      <c r="E297" s="50" t="n">
        <v>31</v>
      </c>
      <c r="F297" s="51">
        <f>(C297*100)/B297</f>
        <v/>
      </c>
      <c r="G297" s="51">
        <f>(D297*100)/B297</f>
        <v/>
      </c>
      <c r="H297" s="53">
        <f>((B297-B298)/B297)*100</f>
        <v/>
      </c>
      <c r="I297" s="53">
        <f>((B297-C297)/B297)*100</f>
        <v/>
      </c>
      <c r="J297" s="53">
        <f>((C297-B298)/C297)*100</f>
        <v/>
      </c>
      <c r="K297" s="54" t="n"/>
      <c r="L297" s="55" t="n">
        <v>1.14893617021276</v>
      </c>
      <c r="M297" s="71" t="inlineStr">
        <is>
          <t>Hard</t>
        </is>
      </c>
      <c r="N297" s="55" t="n">
        <v>36.79</v>
      </c>
      <c r="O297" s="57">
        <f>N297/C297</f>
        <v/>
      </c>
      <c r="P297" s="58">
        <f>(Boosters_And!B297*100)/Boosters_And!N297</f>
        <v/>
      </c>
      <c r="Q297" s="58">
        <f>Boosters_And!B297/(C297+D297)</f>
        <v/>
      </c>
      <c r="R297" s="58">
        <f>Boosters_And!N297/B297</f>
        <v/>
      </c>
      <c r="S297" s="55" t="n">
        <v>11.2765957446808</v>
      </c>
      <c r="T297" s="59" t="n">
        <v>83</v>
      </c>
      <c r="U297" s="60" t="n">
        <v>63606.7458648474</v>
      </c>
      <c r="V297" s="61">
        <f>U297/B297</f>
        <v/>
      </c>
    </row>
    <row r="298" ht="22.5" customHeight="1" s="150">
      <c r="A298" s="34" t="n">
        <v>296</v>
      </c>
      <c r="B298" s="50" t="n">
        <v>124</v>
      </c>
      <c r="C298" s="50" t="n">
        <v>124</v>
      </c>
      <c r="D298" s="50" t="n">
        <v>90</v>
      </c>
      <c r="E298" s="50" t="n">
        <v>23</v>
      </c>
      <c r="F298" s="51">
        <f>(C298*100)/B298</f>
        <v/>
      </c>
      <c r="G298" s="51">
        <f>(D298*100)/B298</f>
        <v/>
      </c>
      <c r="H298" s="53">
        <f>((B298-B299)/B298)*100</f>
        <v/>
      </c>
      <c r="I298" s="53">
        <f>((B298-C298)/B298)*100</f>
        <v/>
      </c>
      <c r="J298" s="53">
        <f>((C298-B299)/C298)*100</f>
        <v/>
      </c>
      <c r="K298" s="54" t="n"/>
      <c r="L298" s="55" t="n">
        <v>1.10416666666666</v>
      </c>
      <c r="M298" s="69" t="inlineStr">
        <is>
          <t>Hard</t>
        </is>
      </c>
      <c r="N298" s="55" t="n">
        <v>14.59</v>
      </c>
      <c r="O298" s="57">
        <f>N298/C298</f>
        <v/>
      </c>
      <c r="P298" s="58">
        <f>(Boosters_And!B298*100)/Boosters_And!N298</f>
        <v/>
      </c>
      <c r="Q298" s="58">
        <f>Boosters_And!B298/(C298+D298)</f>
        <v/>
      </c>
      <c r="R298" s="58">
        <f>Boosters_And!N298/B298</f>
        <v/>
      </c>
      <c r="S298" s="55" t="n">
        <v>9.33333333333333</v>
      </c>
      <c r="T298" s="59" t="n">
        <v>85</v>
      </c>
      <c r="U298" s="60" t="n">
        <v>46595.9393369208</v>
      </c>
      <c r="V298" s="61">
        <f>U298/B298</f>
        <v/>
      </c>
    </row>
    <row r="299" ht="22.5" customHeight="1" s="150">
      <c r="A299" s="34" t="n">
        <v>297</v>
      </c>
      <c r="B299" s="50" t="n">
        <v>124</v>
      </c>
      <c r="C299" s="50" t="n">
        <v>124</v>
      </c>
      <c r="D299" s="50" t="n">
        <v>70</v>
      </c>
      <c r="E299" s="50" t="n">
        <v>28</v>
      </c>
      <c r="F299" s="51">
        <f>(C299*100)/B299</f>
        <v/>
      </c>
      <c r="G299" s="51">
        <f>(D299*100)/B299</f>
        <v/>
      </c>
      <c r="H299" s="53">
        <f>((B299-B300)/B299)*100</f>
        <v/>
      </c>
      <c r="I299" s="53">
        <f>((B299-C299)/B299)*100</f>
        <v/>
      </c>
      <c r="J299" s="53">
        <f>((C299-B300)/C299)*100</f>
        <v/>
      </c>
      <c r="K299" s="54" t="n"/>
      <c r="L299" s="55" t="n">
        <v>1.1875</v>
      </c>
      <c r="M299" s="56" t="inlineStr">
        <is>
          <t>Normal</t>
        </is>
      </c>
      <c r="N299" s="55" t="n">
        <v>18.59</v>
      </c>
      <c r="O299" s="57">
        <f>N299/C299</f>
        <v/>
      </c>
      <c r="P299" s="58">
        <f>(Boosters_And!B299*100)/Boosters_And!N299</f>
        <v/>
      </c>
      <c r="Q299" s="58">
        <f>Boosters_And!B299/(C299+D299)</f>
        <v/>
      </c>
      <c r="R299" s="58">
        <f>Boosters_And!N299/B299</f>
        <v/>
      </c>
      <c r="S299" s="55" t="n">
        <v>6.56249999999999</v>
      </c>
      <c r="T299" s="59" t="n">
        <v>83</v>
      </c>
      <c r="U299" s="60" t="n">
        <v>54888.5463099737</v>
      </c>
      <c r="V299" s="61">
        <f>U299/B299</f>
        <v/>
      </c>
    </row>
    <row r="300" ht="22.5" customHeight="1" s="150">
      <c r="A300" s="34" t="n">
        <v>298</v>
      </c>
      <c r="B300" s="50" t="n">
        <v>126</v>
      </c>
      <c r="C300" s="50" t="n">
        <v>126</v>
      </c>
      <c r="D300" s="50" t="n">
        <v>88</v>
      </c>
      <c r="E300" s="50" t="n">
        <v>62</v>
      </c>
      <c r="F300" s="51">
        <f>(C300*100)/B300</f>
        <v/>
      </c>
      <c r="G300" s="51">
        <f>(D300*100)/B300</f>
        <v/>
      </c>
      <c r="H300" s="53">
        <f>((B300-B301)/B300)*100</f>
        <v/>
      </c>
      <c r="I300" s="53">
        <f>((B300-C300)/B300)*100</f>
        <v/>
      </c>
      <c r="J300" s="53">
        <f>((C300-B301)/C300)*100</f>
        <v/>
      </c>
      <c r="K300" s="54" t="n"/>
      <c r="L300" s="55" t="n">
        <v>1.06122448979591</v>
      </c>
      <c r="M300" s="69" t="inlineStr">
        <is>
          <t>Hard</t>
        </is>
      </c>
      <c r="N300" s="55" t="n">
        <v>6.49</v>
      </c>
      <c r="O300" s="57">
        <f>N300/C300</f>
        <v/>
      </c>
      <c r="P300" s="58">
        <f>(Boosters_And!B300*100)/Boosters_And!N300</f>
        <v/>
      </c>
      <c r="Q300" s="58">
        <f>Boosters_And!B300/(C300+D300)</f>
        <v/>
      </c>
      <c r="R300" s="58">
        <f>Boosters_And!N300/B300</f>
        <v/>
      </c>
      <c r="S300" s="55" t="n">
        <v>6.32653061224489</v>
      </c>
      <c r="T300" s="59" t="n">
        <v>88</v>
      </c>
      <c r="U300" s="60" t="n">
        <v>45847.9281325086</v>
      </c>
      <c r="V300" s="61">
        <f>U300/B300</f>
        <v/>
      </c>
    </row>
    <row r="301" ht="22.5" customHeight="1" s="150">
      <c r="A301" s="34" t="n">
        <v>299</v>
      </c>
      <c r="B301" s="50" t="n">
        <v>126</v>
      </c>
      <c r="C301" s="50" t="n">
        <v>124</v>
      </c>
      <c r="D301" s="50" t="n">
        <v>95</v>
      </c>
      <c r="E301" s="50" t="n">
        <v>64</v>
      </c>
      <c r="F301" s="51">
        <f>(C301*100)/B301</f>
        <v/>
      </c>
      <c r="G301" s="51">
        <f>(D301*100)/B301</f>
        <v/>
      </c>
      <c r="H301" s="53">
        <f>((B301-B302)/B301)*100</f>
        <v/>
      </c>
      <c r="I301" s="53">
        <f>((B301-C301)/B301)*100</f>
        <v/>
      </c>
      <c r="J301" s="53">
        <f>((C301-B302)/C301)*100</f>
        <v/>
      </c>
      <c r="K301" s="54" t="n"/>
      <c r="L301" s="55" t="n">
        <v>1.22916666666666</v>
      </c>
      <c r="M301" s="74" t="inlineStr">
        <is>
          <t>Very Hard</t>
        </is>
      </c>
      <c r="N301" s="55" t="n">
        <v>17.48</v>
      </c>
      <c r="O301" s="57">
        <f>N301/C301</f>
        <v/>
      </c>
      <c r="P301" s="58">
        <f>(Boosters_And!B301*100)/Boosters_And!N301</f>
        <v/>
      </c>
      <c r="Q301" s="58">
        <f>Boosters_And!B301/(C301+D301)</f>
        <v/>
      </c>
      <c r="R301" s="58">
        <f>Boosters_And!N301/B301</f>
        <v/>
      </c>
      <c r="S301" s="55" t="n">
        <v>8.02083333333333</v>
      </c>
      <c r="T301" s="59" t="n">
        <v>88</v>
      </c>
      <c r="U301" s="60" t="n">
        <v>30436.3179726358</v>
      </c>
      <c r="V301" s="61">
        <f>U301/B301</f>
        <v/>
      </c>
    </row>
    <row r="302" ht="22.5" customHeight="1" s="150">
      <c r="A302" s="34" t="n">
        <v>300</v>
      </c>
      <c r="B302" s="50" t="n">
        <v>124</v>
      </c>
      <c r="C302" s="50" t="n">
        <v>121</v>
      </c>
      <c r="D302" s="50" t="n">
        <v>70</v>
      </c>
      <c r="E302" s="50" t="n">
        <v>23</v>
      </c>
      <c r="F302" s="51">
        <f>(C302*100)/B302</f>
        <v/>
      </c>
      <c r="G302" s="51">
        <f>(D302*100)/B302</f>
        <v/>
      </c>
      <c r="H302" s="53">
        <f>((B302-B303)/B302)*100</f>
        <v/>
      </c>
      <c r="I302" s="53">
        <f>((B302-C302)/B302)*100</f>
        <v/>
      </c>
      <c r="J302" s="53">
        <f>((C302-B303)/C302)*100</f>
        <v/>
      </c>
      <c r="K302" s="54" t="n"/>
      <c r="L302" s="55" t="n">
        <v>1.12765957446808</v>
      </c>
      <c r="M302" s="69" t="inlineStr">
        <is>
          <t>Hard</t>
        </is>
      </c>
      <c r="N302" s="55" t="n">
        <v>11.01</v>
      </c>
      <c r="O302" s="57">
        <f>N302/C302</f>
        <v/>
      </c>
      <c r="P302" s="58">
        <f>(Boosters_And!B302*100)/Boosters_And!N302</f>
        <v/>
      </c>
      <c r="Q302" s="58">
        <f>Boosters_And!B302/(C302+D302)</f>
        <v/>
      </c>
      <c r="R302" s="58">
        <f>Boosters_And!N302/B302</f>
        <v/>
      </c>
      <c r="S302" s="55" t="n">
        <v>18.3191489361702</v>
      </c>
      <c r="T302" s="59" t="n">
        <v>83</v>
      </c>
      <c r="U302" s="60" t="n">
        <v>28669.4639208345</v>
      </c>
      <c r="V302" s="61">
        <f>U302/B302</f>
        <v/>
      </c>
    </row>
    <row r="303" ht="22.5" customHeight="1" s="150">
      <c r="A303" s="34" t="n">
        <v>301</v>
      </c>
      <c r="B303" s="50" t="n"/>
      <c r="C303" s="50" t="n"/>
      <c r="D303" s="50" t="n"/>
      <c r="E303" s="50" t="n"/>
      <c r="F303" s="51" t="n"/>
      <c r="G303" s="51" t="n"/>
      <c r="H303" s="53" t="n"/>
      <c r="I303" s="53" t="n"/>
      <c r="J303" s="53" t="n"/>
      <c r="K303" s="111" t="n"/>
      <c r="L303" s="55" t="n"/>
      <c r="M303" s="80" t="inlineStr">
        <is>
          <t>Normal</t>
        </is>
      </c>
      <c r="N303" s="55" t="n"/>
      <c r="O303" s="57">
        <f>N303/C303</f>
        <v/>
      </c>
      <c r="P303" s="58">
        <f>(Boosters_And!B303*100)/Boosters_And!N303</f>
        <v/>
      </c>
      <c r="Q303" s="58">
        <f>Boosters_And!B303/(C303+D303)</f>
        <v/>
      </c>
      <c r="R303" s="58">
        <f>Boosters_And!N303/B303</f>
        <v/>
      </c>
      <c r="S303" s="55" t="n"/>
      <c r="T303" s="59" t="n"/>
      <c r="U303" s="60" t="n"/>
      <c r="V303" s="61">
        <f>U303/B303</f>
        <v/>
      </c>
    </row>
    <row r="304" ht="22.5" customHeight="1" s="150">
      <c r="A304" s="34" t="n">
        <v>302</v>
      </c>
      <c r="B304" s="50" t="n"/>
      <c r="C304" s="50" t="n"/>
      <c r="D304" s="50" t="n"/>
      <c r="E304" s="50" t="n"/>
      <c r="F304" s="51" t="n"/>
      <c r="G304" s="51" t="n"/>
      <c r="H304" s="53" t="n"/>
      <c r="I304" s="53" t="n"/>
      <c r="J304" s="53" t="n"/>
      <c r="K304" s="111" t="n"/>
      <c r="L304" s="55" t="n"/>
      <c r="M304" s="81" t="inlineStr">
        <is>
          <t>Normal</t>
        </is>
      </c>
      <c r="N304" s="55" t="n"/>
      <c r="O304" s="57">
        <f>N304/C304</f>
        <v/>
      </c>
      <c r="P304" s="58">
        <f>(Boosters_And!B304*100)/Boosters_And!N304</f>
        <v/>
      </c>
      <c r="Q304" s="58">
        <f>Boosters_And!B304/(C304+D304)</f>
        <v/>
      </c>
      <c r="R304" s="58">
        <f>Boosters_And!N304/B304</f>
        <v/>
      </c>
      <c r="S304" s="55" t="n"/>
      <c r="T304" s="59" t="n"/>
      <c r="U304" s="60" t="n"/>
      <c r="V304" s="61">
        <f>U304/B304</f>
        <v/>
      </c>
    </row>
    <row r="305" ht="22.5" customHeight="1" s="150">
      <c r="A305" s="34" t="n">
        <v>303</v>
      </c>
      <c r="B305" s="50" t="n"/>
      <c r="C305" s="50" t="n"/>
      <c r="D305" s="50" t="n"/>
      <c r="E305" s="50" t="n"/>
      <c r="F305" s="51" t="n"/>
      <c r="G305" s="51" t="n"/>
      <c r="H305" s="53" t="n"/>
      <c r="I305" s="53" t="n"/>
      <c r="J305" s="53" t="n"/>
      <c r="K305" s="111" t="n"/>
      <c r="L305" s="55" t="n"/>
      <c r="M305" s="82" t="inlineStr">
        <is>
          <t>Hard</t>
        </is>
      </c>
      <c r="N305" s="55" t="n"/>
      <c r="O305" s="57">
        <f>N305/C305</f>
        <v/>
      </c>
      <c r="P305" s="58">
        <f>(Boosters_And!B305*100)/Boosters_And!N305</f>
        <v/>
      </c>
      <c r="Q305" s="58">
        <f>Boosters_And!B305/(C305+D305)</f>
        <v/>
      </c>
      <c r="R305" s="58">
        <f>Boosters_And!N305/B305</f>
        <v/>
      </c>
      <c r="S305" s="55" t="n"/>
      <c r="T305" s="59" t="n"/>
      <c r="U305" s="60" t="n"/>
      <c r="V305" s="61">
        <f>U305/B305</f>
        <v/>
      </c>
    </row>
    <row r="306" ht="22.5" customHeight="1" s="150">
      <c r="A306" s="34" t="n">
        <v>304</v>
      </c>
      <c r="B306" s="50" t="n"/>
      <c r="C306" s="50" t="n"/>
      <c r="D306" s="50" t="n"/>
      <c r="E306" s="50" t="n"/>
      <c r="F306" s="51" t="n"/>
      <c r="G306" s="51" t="n"/>
      <c r="H306" s="53" t="n"/>
      <c r="I306" s="53" t="n"/>
      <c r="J306" s="53" t="n"/>
      <c r="K306" s="111" t="n"/>
      <c r="L306" s="55" t="n"/>
      <c r="M306" s="83" t="inlineStr">
        <is>
          <t>Hard</t>
        </is>
      </c>
      <c r="N306" s="55" t="n"/>
      <c r="O306" s="57">
        <f>N306/C306</f>
        <v/>
      </c>
      <c r="P306" s="58">
        <f>(Boosters_And!B306*100)/Boosters_And!N306</f>
        <v/>
      </c>
      <c r="Q306" s="58">
        <f>Boosters_And!B306/(C306+D306)</f>
        <v/>
      </c>
      <c r="R306" s="58">
        <f>Boosters_And!N306/B306</f>
        <v/>
      </c>
      <c r="S306" s="55" t="n"/>
      <c r="T306" s="59" t="n"/>
      <c r="U306" s="60" t="n"/>
      <c r="V306" s="61">
        <f>U306/B306</f>
        <v/>
      </c>
    </row>
    <row r="307" ht="22.5" customHeight="1" s="150">
      <c r="A307" s="34" t="n">
        <v>305</v>
      </c>
      <c r="B307" s="50" t="n"/>
      <c r="C307" s="50" t="n"/>
      <c r="D307" s="50" t="n"/>
      <c r="E307" s="50" t="n"/>
      <c r="F307" s="51" t="n"/>
      <c r="G307" s="51" t="n"/>
      <c r="H307" s="53" t="n"/>
      <c r="I307" s="53" t="n"/>
      <c r="J307" s="53" t="n"/>
      <c r="K307" s="111" t="n"/>
      <c r="L307" s="55" t="n"/>
      <c r="M307" s="82" t="inlineStr">
        <is>
          <t>Hard</t>
        </is>
      </c>
      <c r="N307" s="55" t="n"/>
      <c r="O307" s="57">
        <f>N307/C307</f>
        <v/>
      </c>
      <c r="P307" s="58">
        <f>(Boosters_And!B307*100)/Boosters_And!N307</f>
        <v/>
      </c>
      <c r="Q307" s="58">
        <f>Boosters_And!B307/(C307+D307)</f>
        <v/>
      </c>
      <c r="R307" s="58">
        <f>Boosters_And!N307/B307</f>
        <v/>
      </c>
      <c r="S307" s="55" t="n"/>
      <c r="T307" s="59" t="n"/>
      <c r="U307" s="60" t="n"/>
      <c r="V307" s="61">
        <f>U307/B307</f>
        <v/>
      </c>
    </row>
    <row r="308" ht="22.5" customHeight="1" s="150">
      <c r="A308" s="34" t="n">
        <v>306</v>
      </c>
      <c r="B308" s="50" t="n"/>
      <c r="C308" s="50" t="n"/>
      <c r="D308" s="50" t="n"/>
      <c r="E308" s="50" t="n"/>
      <c r="F308" s="51" t="n"/>
      <c r="G308" s="51" t="n"/>
      <c r="H308" s="53" t="n"/>
      <c r="I308" s="53" t="n"/>
      <c r="J308" s="53" t="n"/>
      <c r="K308" s="111" t="n"/>
      <c r="L308" s="55" t="n"/>
      <c r="M308" s="81" t="inlineStr">
        <is>
          <t>Normal</t>
        </is>
      </c>
      <c r="N308" s="55" t="n"/>
      <c r="O308" s="57">
        <f>N308/C308</f>
        <v/>
      </c>
      <c r="P308" s="58">
        <f>(Boosters_And!B308*100)/Boosters_And!N308</f>
        <v/>
      </c>
      <c r="Q308" s="58">
        <f>Boosters_And!B308/(C308+D308)</f>
        <v/>
      </c>
      <c r="R308" s="58">
        <f>Boosters_And!N308/B308</f>
        <v/>
      </c>
      <c r="S308" s="55" t="n"/>
      <c r="T308" s="59" t="n"/>
      <c r="U308" s="60" t="n"/>
      <c r="V308" s="61">
        <f>U308/B308</f>
        <v/>
      </c>
    </row>
    <row r="309" ht="22.5" customHeight="1" s="150">
      <c r="A309" s="34" t="n">
        <v>307</v>
      </c>
      <c r="B309" s="50" t="n"/>
      <c r="C309" s="50" t="n"/>
      <c r="D309" s="50" t="n"/>
      <c r="E309" s="50" t="n"/>
      <c r="F309" s="51" t="n"/>
      <c r="G309" s="51" t="n"/>
      <c r="H309" s="53" t="n"/>
      <c r="I309" s="53" t="n"/>
      <c r="J309" s="53" t="n"/>
      <c r="K309" s="111" t="n"/>
      <c r="L309" s="55" t="n"/>
      <c r="M309" s="82" t="inlineStr">
        <is>
          <t>Hard</t>
        </is>
      </c>
      <c r="N309" s="55" t="n"/>
      <c r="O309" s="57">
        <f>N309/C309</f>
        <v/>
      </c>
      <c r="P309" s="58">
        <f>(Boosters_And!B309*100)/Boosters_And!N309</f>
        <v/>
      </c>
      <c r="Q309" s="58">
        <f>Boosters_And!B309/(C309+D309)</f>
        <v/>
      </c>
      <c r="R309" s="58">
        <f>Boosters_And!N309/B309</f>
        <v/>
      </c>
      <c r="S309" s="55" t="n"/>
      <c r="T309" s="59" t="n"/>
      <c r="U309" s="60" t="n"/>
      <c r="V309" s="61">
        <f>U309/B309</f>
        <v/>
      </c>
    </row>
    <row r="310" ht="22.5" customHeight="1" s="150">
      <c r="A310" s="34" t="n">
        <v>308</v>
      </c>
      <c r="B310" s="50" t="n"/>
      <c r="C310" s="50" t="n"/>
      <c r="D310" s="50" t="n"/>
      <c r="E310" s="50" t="n"/>
      <c r="F310" s="51" t="n"/>
      <c r="G310" s="51" t="n"/>
      <c r="H310" s="53" t="n"/>
      <c r="I310" s="53" t="n"/>
      <c r="J310" s="53" t="n"/>
      <c r="K310" s="111" t="n"/>
      <c r="L310" s="55" t="n"/>
      <c r="M310" s="81" t="inlineStr">
        <is>
          <t>Normal</t>
        </is>
      </c>
      <c r="N310" s="55" t="n"/>
      <c r="O310" s="57">
        <f>N310/C310</f>
        <v/>
      </c>
      <c r="P310" s="58">
        <f>(Boosters_And!B310*100)/Boosters_And!N310</f>
        <v/>
      </c>
      <c r="Q310" s="58">
        <f>Boosters_And!B310/(C310+D310)</f>
        <v/>
      </c>
      <c r="R310" s="58">
        <f>Boosters_And!N310/B310</f>
        <v/>
      </c>
      <c r="S310" s="55" t="n"/>
      <c r="T310" s="59" t="n"/>
      <c r="U310" s="60" t="n"/>
      <c r="V310" s="61">
        <f>U310/B310</f>
        <v/>
      </c>
    </row>
    <row r="311" ht="22.5" customHeight="1" s="150">
      <c r="A311" s="34" t="n">
        <v>309</v>
      </c>
      <c r="B311" s="50" t="n"/>
      <c r="C311" s="50" t="n"/>
      <c r="D311" s="50" t="n"/>
      <c r="E311" s="50" t="n"/>
      <c r="F311" s="51" t="n"/>
      <c r="G311" s="51" t="n"/>
      <c r="H311" s="53" t="n"/>
      <c r="I311" s="53" t="n"/>
      <c r="J311" s="53" t="n"/>
      <c r="K311" s="111" t="n"/>
      <c r="L311" s="55" t="n"/>
      <c r="M311" s="82" t="inlineStr">
        <is>
          <t>Hard</t>
        </is>
      </c>
      <c r="N311" s="55" t="n"/>
      <c r="O311" s="57">
        <f>N311/C311</f>
        <v/>
      </c>
      <c r="P311" s="58">
        <f>(Boosters_And!B311*100)/Boosters_And!N311</f>
        <v/>
      </c>
      <c r="Q311" s="58">
        <f>Boosters_And!B311/(C311+D311)</f>
        <v/>
      </c>
      <c r="R311" s="58">
        <f>Boosters_And!N311/B311</f>
        <v/>
      </c>
      <c r="S311" s="55" t="n"/>
      <c r="T311" s="59" t="n"/>
      <c r="U311" s="60" t="n"/>
      <c r="V311" s="61">
        <f>U311/B311</f>
        <v/>
      </c>
    </row>
    <row r="312" ht="22.5" customHeight="1" s="150">
      <c r="A312" s="34" t="n">
        <v>310</v>
      </c>
      <c r="B312" s="50" t="n"/>
      <c r="C312" s="50" t="n"/>
      <c r="D312" s="50" t="n"/>
      <c r="E312" s="50" t="n"/>
      <c r="F312" s="51" t="n"/>
      <c r="G312" s="51" t="n"/>
      <c r="H312" s="53" t="n"/>
      <c r="I312" s="53" t="n"/>
      <c r="J312" s="53" t="n"/>
      <c r="K312" s="111" t="n"/>
      <c r="L312" s="55" t="n"/>
      <c r="M312" s="81" t="inlineStr">
        <is>
          <t>Normal</t>
        </is>
      </c>
      <c r="N312" s="55" t="n"/>
      <c r="O312" s="57">
        <f>N312/C312</f>
        <v/>
      </c>
      <c r="P312" s="58">
        <f>(Boosters_And!B312*100)/Boosters_And!N312</f>
        <v/>
      </c>
      <c r="Q312" s="58">
        <f>Boosters_And!B312/(C312+D312)</f>
        <v/>
      </c>
      <c r="R312" s="58">
        <f>Boosters_And!N312/B312</f>
        <v/>
      </c>
      <c r="S312" s="55" t="n"/>
      <c r="T312" s="59" t="n"/>
      <c r="U312" s="60" t="n"/>
      <c r="V312" s="61">
        <f>U312/B312</f>
        <v/>
      </c>
    </row>
    <row r="313" ht="22.5" customHeight="1" s="150">
      <c r="A313" s="34" t="n">
        <v>311</v>
      </c>
      <c r="B313" s="50" t="n"/>
      <c r="C313" s="50" t="n"/>
      <c r="D313" s="50" t="n"/>
      <c r="E313" s="50" t="n"/>
      <c r="F313" s="51" t="n"/>
      <c r="G313" s="51" t="n"/>
      <c r="H313" s="53" t="n"/>
      <c r="I313" s="53" t="n"/>
      <c r="J313" s="53" t="n"/>
      <c r="K313" s="111" t="n"/>
      <c r="L313" s="55" t="n"/>
      <c r="M313" s="80" t="inlineStr">
        <is>
          <t>Normal</t>
        </is>
      </c>
      <c r="N313" s="55" t="n"/>
      <c r="O313" s="57">
        <f>N313/C313</f>
        <v/>
      </c>
      <c r="P313" s="58">
        <f>(Boosters_And!B313*100)/Boosters_And!N313</f>
        <v/>
      </c>
      <c r="Q313" s="58">
        <f>Boosters_And!B313/(C313+D313)</f>
        <v/>
      </c>
      <c r="R313" s="58">
        <f>Boosters_And!N313/B313</f>
        <v/>
      </c>
      <c r="S313" s="55" t="n"/>
      <c r="T313" s="59" t="n"/>
      <c r="U313" s="60" t="n"/>
      <c r="V313" s="61">
        <f>U313/B313</f>
        <v/>
      </c>
    </row>
    <row r="314" ht="22.5" customHeight="1" s="150">
      <c r="A314" s="34" t="n">
        <v>312</v>
      </c>
      <c r="B314" s="50" t="n"/>
      <c r="C314" s="50" t="n"/>
      <c r="D314" s="50" t="n"/>
      <c r="E314" s="50" t="n"/>
      <c r="F314" s="51" t="n"/>
      <c r="G314" s="51" t="n"/>
      <c r="H314" s="53" t="n"/>
      <c r="I314" s="53" t="n"/>
      <c r="J314" s="53" t="n"/>
      <c r="K314" s="111" t="n"/>
      <c r="L314" s="55" t="n"/>
      <c r="M314" s="81" t="inlineStr">
        <is>
          <t>Normal</t>
        </is>
      </c>
      <c r="N314" s="55" t="n"/>
      <c r="O314" s="57">
        <f>N314/C314</f>
        <v/>
      </c>
      <c r="P314" s="58">
        <f>(Boosters_And!B314*100)/Boosters_And!N314</f>
        <v/>
      </c>
      <c r="Q314" s="58">
        <f>Boosters_And!B314/(C314+D314)</f>
        <v/>
      </c>
      <c r="R314" s="58">
        <f>Boosters_And!N314/B314</f>
        <v/>
      </c>
      <c r="S314" s="55" t="n"/>
      <c r="T314" s="59" t="n"/>
      <c r="U314" s="60" t="n"/>
      <c r="V314" s="61">
        <f>U314/B314</f>
        <v/>
      </c>
    </row>
    <row r="315" ht="22.5" customHeight="1" s="150">
      <c r="A315" s="34" t="n">
        <v>313</v>
      </c>
      <c r="B315" s="50" t="n"/>
      <c r="C315" s="50" t="n"/>
      <c r="D315" s="50" t="n"/>
      <c r="E315" s="50" t="n"/>
      <c r="F315" s="51" t="n"/>
      <c r="G315" s="51" t="n"/>
      <c r="H315" s="53" t="n"/>
      <c r="I315" s="53" t="n"/>
      <c r="J315" s="53" t="n"/>
      <c r="K315" s="111" t="n"/>
      <c r="L315" s="55" t="n"/>
      <c r="M315" s="82" t="inlineStr">
        <is>
          <t>Hard</t>
        </is>
      </c>
      <c r="N315" s="55" t="n"/>
      <c r="O315" s="57">
        <f>N315/C315</f>
        <v/>
      </c>
      <c r="P315" s="58">
        <f>(Boosters_And!B315*100)/Boosters_And!N315</f>
        <v/>
      </c>
      <c r="Q315" s="58">
        <f>Boosters_And!B315/(C315+D315)</f>
        <v/>
      </c>
      <c r="R315" s="58">
        <f>Boosters_And!N315/B315</f>
        <v/>
      </c>
      <c r="S315" s="55" t="n"/>
      <c r="T315" s="59" t="n"/>
      <c r="U315" s="60" t="n"/>
      <c r="V315" s="61">
        <f>U315/B315</f>
        <v/>
      </c>
    </row>
    <row r="316" ht="22.5" customHeight="1" s="150">
      <c r="A316" s="34" t="n">
        <v>314</v>
      </c>
      <c r="B316" s="50" t="n"/>
      <c r="C316" s="50" t="n"/>
      <c r="D316" s="50" t="n"/>
      <c r="E316" s="50" t="n"/>
      <c r="F316" s="51" t="n"/>
      <c r="G316" s="51" t="n"/>
      <c r="H316" s="53" t="n"/>
      <c r="I316" s="53" t="n"/>
      <c r="J316" s="53" t="n"/>
      <c r="K316" s="111" t="n"/>
      <c r="L316" s="55" t="n"/>
      <c r="M316" s="83" t="inlineStr">
        <is>
          <t>Hard</t>
        </is>
      </c>
      <c r="N316" s="55" t="n"/>
      <c r="O316" s="57">
        <f>N316/C316</f>
        <v/>
      </c>
      <c r="P316" s="58">
        <f>(Boosters_And!B316*100)/Boosters_And!N316</f>
        <v/>
      </c>
      <c r="Q316" s="58">
        <f>Boosters_And!B316/(C316+D316)</f>
        <v/>
      </c>
      <c r="R316" s="58">
        <f>Boosters_And!N316/B316</f>
        <v/>
      </c>
      <c r="S316" s="55" t="n"/>
      <c r="T316" s="59" t="n"/>
      <c r="U316" s="60" t="n"/>
      <c r="V316" s="61">
        <f>U316/B316</f>
        <v/>
      </c>
    </row>
    <row r="317" ht="22.5" customHeight="1" s="150">
      <c r="A317" s="34" t="n">
        <v>315</v>
      </c>
      <c r="B317" s="50" t="n"/>
      <c r="C317" s="50" t="n"/>
      <c r="D317" s="50" t="n"/>
      <c r="E317" s="50" t="n"/>
      <c r="F317" s="51" t="n"/>
      <c r="G317" s="51" t="n"/>
      <c r="H317" s="53" t="n"/>
      <c r="I317" s="53" t="n"/>
      <c r="J317" s="53" t="n"/>
      <c r="K317" s="111" t="n"/>
      <c r="L317" s="55" t="n"/>
      <c r="M317" s="84" t="inlineStr">
        <is>
          <t>Very Hard</t>
        </is>
      </c>
      <c r="N317" s="55" t="n"/>
      <c r="O317" s="57">
        <f>N317/C317</f>
        <v/>
      </c>
      <c r="P317" s="58">
        <f>(Boosters_And!B317*100)/Boosters_And!N317</f>
        <v/>
      </c>
      <c r="Q317" s="58">
        <f>Boosters_And!B317/(C317+D317)</f>
        <v/>
      </c>
      <c r="R317" s="58">
        <f>Boosters_And!N317/B317</f>
        <v/>
      </c>
      <c r="S317" s="55" t="n"/>
      <c r="T317" s="59" t="n"/>
      <c r="U317" s="60" t="n"/>
      <c r="V317" s="61">
        <f>U317/B317</f>
        <v/>
      </c>
    </row>
    <row r="318" ht="22.5" customHeight="1" s="150">
      <c r="A318" s="34" t="n">
        <v>316</v>
      </c>
      <c r="B318" s="50" t="n"/>
      <c r="C318" s="50" t="n"/>
      <c r="D318" s="50" t="n"/>
      <c r="E318" s="50" t="n"/>
      <c r="F318" s="51" t="n"/>
      <c r="G318" s="51" t="n"/>
      <c r="H318" s="53" t="n"/>
      <c r="I318" s="53" t="n"/>
      <c r="J318" s="53" t="n"/>
      <c r="K318" s="111" t="n"/>
      <c r="L318" s="55" t="n"/>
      <c r="M318" s="81" t="inlineStr">
        <is>
          <t>Normal</t>
        </is>
      </c>
      <c r="N318" s="55" t="n"/>
      <c r="O318" s="57">
        <f>N318/C318</f>
        <v/>
      </c>
      <c r="P318" s="58">
        <f>(Boosters_And!B318*100)/Boosters_And!N318</f>
        <v/>
      </c>
      <c r="Q318" s="58">
        <f>Boosters_And!B318/(C318+D318)</f>
        <v/>
      </c>
      <c r="R318" s="58">
        <f>Boosters_And!N318/B318</f>
        <v/>
      </c>
      <c r="S318" s="55" t="n"/>
      <c r="T318" s="59" t="n"/>
      <c r="U318" s="60" t="n"/>
      <c r="V318" s="61">
        <f>U318/B318</f>
        <v/>
      </c>
    </row>
    <row r="319" ht="22.5" customHeight="1" s="150">
      <c r="A319" s="34" t="n">
        <v>317</v>
      </c>
      <c r="B319" s="50" t="n"/>
      <c r="C319" s="50" t="n"/>
      <c r="D319" s="50" t="n"/>
      <c r="E319" s="50" t="n"/>
      <c r="F319" s="51" t="n"/>
      <c r="G319" s="51" t="n"/>
      <c r="H319" s="53" t="n"/>
      <c r="I319" s="53" t="n"/>
      <c r="J319" s="53" t="n"/>
      <c r="K319" s="111" t="n"/>
      <c r="L319" s="55" t="n"/>
      <c r="M319" s="80" t="inlineStr">
        <is>
          <t>Normal</t>
        </is>
      </c>
      <c r="N319" s="55" t="n"/>
      <c r="O319" s="57">
        <f>N319/C319</f>
        <v/>
      </c>
      <c r="P319" s="58">
        <f>(Boosters_And!B319*100)/Boosters_And!N319</f>
        <v/>
      </c>
      <c r="Q319" s="58">
        <f>Boosters_And!B319/(C319+D319)</f>
        <v/>
      </c>
      <c r="R319" s="58">
        <f>Boosters_And!N319/B319</f>
        <v/>
      </c>
      <c r="S319" s="55" t="n"/>
      <c r="T319" s="59" t="n"/>
      <c r="U319" s="60" t="n"/>
      <c r="V319" s="61">
        <f>U319/B319</f>
        <v/>
      </c>
    </row>
    <row r="320" ht="22.5" customHeight="1" s="150">
      <c r="A320" s="34" t="n">
        <v>318</v>
      </c>
      <c r="B320" s="50" t="n"/>
      <c r="C320" s="50" t="n"/>
      <c r="D320" s="50" t="n"/>
      <c r="E320" s="50" t="n"/>
      <c r="F320" s="51" t="n"/>
      <c r="G320" s="51" t="n"/>
      <c r="H320" s="53" t="n"/>
      <c r="I320" s="53" t="n"/>
      <c r="J320" s="53" t="n"/>
      <c r="K320" s="111" t="n"/>
      <c r="L320" s="55" t="n"/>
      <c r="M320" s="83" t="inlineStr">
        <is>
          <t>Hard</t>
        </is>
      </c>
      <c r="N320" s="55" t="n"/>
      <c r="O320" s="57">
        <f>N320/C320</f>
        <v/>
      </c>
      <c r="P320" s="58">
        <f>(Boosters_And!B320*100)/Boosters_And!N320</f>
        <v/>
      </c>
      <c r="Q320" s="58">
        <f>Boosters_And!B320/(C320+D320)</f>
        <v/>
      </c>
      <c r="R320" s="58">
        <f>Boosters_And!N320/B320</f>
        <v/>
      </c>
      <c r="S320" s="55" t="n"/>
      <c r="T320" s="59" t="n"/>
      <c r="U320" s="60" t="n"/>
      <c r="V320" s="61">
        <f>U320/B320</f>
        <v/>
      </c>
    </row>
    <row r="321" ht="22.5" customHeight="1" s="150">
      <c r="A321" s="34" t="n">
        <v>319</v>
      </c>
      <c r="B321" s="50" t="n"/>
      <c r="C321" s="50" t="n"/>
      <c r="D321" s="50" t="n"/>
      <c r="E321" s="50" t="n"/>
      <c r="F321" s="51" t="n"/>
      <c r="G321" s="51" t="n"/>
      <c r="H321" s="53" t="n"/>
      <c r="I321" s="53" t="n"/>
      <c r="J321" s="53" t="n"/>
      <c r="K321" s="111" t="n"/>
      <c r="L321" s="55" t="n"/>
      <c r="M321" s="80" t="inlineStr">
        <is>
          <t>Normal</t>
        </is>
      </c>
      <c r="N321" s="55" t="n"/>
      <c r="O321" s="57">
        <f>N321/C321</f>
        <v/>
      </c>
      <c r="P321" s="58">
        <f>(Boosters_And!B321*100)/Boosters_And!N321</f>
        <v/>
      </c>
      <c r="Q321" s="58">
        <f>Boosters_And!B321/(C321+D321)</f>
        <v/>
      </c>
      <c r="R321" s="58">
        <f>Boosters_And!N321/B321</f>
        <v/>
      </c>
      <c r="S321" s="55" t="n"/>
      <c r="T321" s="59" t="n"/>
      <c r="U321" s="60" t="n"/>
      <c r="V321" s="61">
        <f>U321/B321</f>
        <v/>
      </c>
    </row>
    <row r="322" ht="22.5" customHeight="1" s="150">
      <c r="A322" s="34" t="n">
        <v>320</v>
      </c>
      <c r="B322" s="50" t="n"/>
      <c r="C322" s="50" t="n"/>
      <c r="D322" s="50" t="n"/>
      <c r="E322" s="50" t="n"/>
      <c r="F322" s="51" t="n"/>
      <c r="G322" s="51" t="n"/>
      <c r="H322" s="53" t="n"/>
      <c r="I322" s="53" t="n"/>
      <c r="J322" s="53" t="n"/>
      <c r="K322" s="111" t="n"/>
      <c r="L322" s="55" t="n"/>
      <c r="M322" s="81" t="inlineStr">
        <is>
          <t>Normal</t>
        </is>
      </c>
      <c r="N322" s="55" t="n"/>
      <c r="O322" s="57">
        <f>N322/C322</f>
        <v/>
      </c>
      <c r="P322" s="58">
        <f>(Boosters_And!B322*100)/Boosters_And!N322</f>
        <v/>
      </c>
      <c r="Q322" s="58">
        <f>Boosters_And!B322/(C322+D322)</f>
        <v/>
      </c>
      <c r="R322" s="58">
        <f>Boosters_And!N322/B322</f>
        <v/>
      </c>
      <c r="S322" s="55" t="n"/>
      <c r="T322" s="59" t="n"/>
      <c r="U322" s="60" t="n"/>
      <c r="V322" s="61">
        <f>U322/B322</f>
        <v/>
      </c>
    </row>
    <row r="323" ht="22.5" customHeight="1" s="150">
      <c r="A323" s="34" t="n">
        <v>321</v>
      </c>
      <c r="B323" s="50" t="n"/>
      <c r="C323" s="50" t="n"/>
      <c r="D323" s="50" t="n"/>
      <c r="E323" s="50" t="n"/>
      <c r="F323" s="51" t="n"/>
      <c r="G323" s="51" t="n"/>
      <c r="H323" s="53" t="n"/>
      <c r="I323" s="53" t="n"/>
      <c r="J323" s="53" t="n"/>
      <c r="K323" s="111" t="n"/>
      <c r="L323" s="55" t="n"/>
      <c r="M323" s="82" t="inlineStr">
        <is>
          <t>Hard</t>
        </is>
      </c>
      <c r="N323" s="55" t="n"/>
      <c r="O323" s="57">
        <f>N323/C323</f>
        <v/>
      </c>
      <c r="P323" s="58">
        <f>(Boosters_And!B323*100)/Boosters_And!N323</f>
        <v/>
      </c>
      <c r="Q323" s="58">
        <f>Boosters_And!B323/(C323+D323)</f>
        <v/>
      </c>
      <c r="R323" s="58">
        <f>Boosters_And!N323/B323</f>
        <v/>
      </c>
      <c r="S323" s="55" t="n"/>
      <c r="T323" s="59" t="n"/>
      <c r="U323" s="60" t="n"/>
      <c r="V323" s="61">
        <f>U323/B323</f>
        <v/>
      </c>
    </row>
    <row r="324" ht="22.5" customHeight="1" s="150">
      <c r="A324" s="34" t="n">
        <v>322</v>
      </c>
      <c r="B324" s="50" t="n"/>
      <c r="C324" s="50" t="n"/>
      <c r="D324" s="50" t="n"/>
      <c r="E324" s="50" t="n"/>
      <c r="F324" s="51" t="n"/>
      <c r="G324" s="51" t="n"/>
      <c r="H324" s="53" t="n"/>
      <c r="I324" s="53" t="n"/>
      <c r="J324" s="53" t="n"/>
      <c r="K324" s="111" t="n"/>
      <c r="L324" s="55" t="n"/>
      <c r="M324" s="85" t="inlineStr">
        <is>
          <t>Very Hard</t>
        </is>
      </c>
      <c r="N324" s="55" t="n"/>
      <c r="O324" s="57">
        <f>N324/C324</f>
        <v/>
      </c>
      <c r="P324" s="58">
        <f>(Boosters_And!B324*100)/Boosters_And!N324</f>
        <v/>
      </c>
      <c r="Q324" s="58">
        <f>Boosters_And!B324/(C324+D324)</f>
        <v/>
      </c>
      <c r="R324" s="58">
        <f>Boosters_And!N324/B324</f>
        <v/>
      </c>
      <c r="S324" s="55" t="n"/>
      <c r="T324" s="59" t="n"/>
      <c r="U324" s="60" t="n"/>
      <c r="V324" s="61">
        <f>U324/B324</f>
        <v/>
      </c>
    </row>
    <row r="325" ht="22.5" customHeight="1" s="150">
      <c r="A325" s="34" t="n">
        <v>323</v>
      </c>
      <c r="B325" s="50" t="n"/>
      <c r="C325" s="50" t="n"/>
      <c r="D325" s="50" t="n"/>
      <c r="E325" s="50" t="n"/>
      <c r="F325" s="51" t="n"/>
      <c r="G325" s="51" t="n"/>
      <c r="H325" s="53" t="n"/>
      <c r="I325" s="53" t="n"/>
      <c r="J325" s="53" t="n"/>
      <c r="K325" s="111" t="n"/>
      <c r="L325" s="55" t="n"/>
      <c r="M325" s="80" t="inlineStr">
        <is>
          <t>Normal</t>
        </is>
      </c>
      <c r="N325" s="55" t="n"/>
      <c r="O325" s="57">
        <f>N325/C325</f>
        <v/>
      </c>
      <c r="P325" s="58">
        <f>(Boosters_And!B325*100)/Boosters_And!N325</f>
        <v/>
      </c>
      <c r="Q325" s="58">
        <f>Boosters_And!B325/(C325+D325)</f>
        <v/>
      </c>
      <c r="R325" s="58">
        <f>Boosters_And!N325/B325</f>
        <v/>
      </c>
      <c r="S325" s="55" t="n"/>
      <c r="T325" s="59" t="n"/>
      <c r="U325" s="60" t="n"/>
      <c r="V325" s="61">
        <f>U325/B325</f>
        <v/>
      </c>
    </row>
    <row r="326" ht="22.5" customHeight="1" s="150">
      <c r="A326" s="34" t="n">
        <v>324</v>
      </c>
      <c r="B326" s="50" t="n"/>
      <c r="C326" s="50" t="n"/>
      <c r="D326" s="50" t="n"/>
      <c r="E326" s="50" t="n"/>
      <c r="F326" s="51" t="n"/>
      <c r="G326" s="51" t="n"/>
      <c r="H326" s="53" t="n"/>
      <c r="I326" s="53" t="n"/>
      <c r="J326" s="53" t="n"/>
      <c r="K326" s="111" t="n"/>
      <c r="L326" s="55" t="n"/>
      <c r="M326" s="81" t="inlineStr">
        <is>
          <t>Normal</t>
        </is>
      </c>
      <c r="N326" s="55" t="n"/>
      <c r="O326" s="57">
        <f>N326/C326</f>
        <v/>
      </c>
      <c r="P326" s="58">
        <f>(Boosters_And!B326*100)/Boosters_And!N326</f>
        <v/>
      </c>
      <c r="Q326" s="58">
        <f>Boosters_And!B326/(C326+D326)</f>
        <v/>
      </c>
      <c r="R326" s="58">
        <f>Boosters_And!N326/B326</f>
        <v/>
      </c>
      <c r="S326" s="55" t="n"/>
      <c r="T326" s="59" t="n"/>
      <c r="U326" s="60" t="n"/>
      <c r="V326" s="61">
        <f>U326/B326</f>
        <v/>
      </c>
    </row>
    <row r="327" ht="22.5" customHeight="1" s="150">
      <c r="A327" s="34" t="n">
        <v>325</v>
      </c>
      <c r="B327" s="50" t="n"/>
      <c r="C327" s="50" t="n"/>
      <c r="D327" s="50" t="n"/>
      <c r="E327" s="50" t="n"/>
      <c r="F327" s="51" t="n"/>
      <c r="G327" s="51" t="n"/>
      <c r="H327" s="53" t="n"/>
      <c r="I327" s="53" t="n"/>
      <c r="J327" s="53" t="n"/>
      <c r="K327" s="111" t="n"/>
      <c r="L327" s="55" t="n"/>
      <c r="M327" s="80" t="inlineStr">
        <is>
          <t>Normal</t>
        </is>
      </c>
      <c r="N327" s="55" t="n"/>
      <c r="O327" s="57">
        <f>N327/C327</f>
        <v/>
      </c>
      <c r="P327" s="58">
        <f>(Boosters_And!B327*100)/Boosters_And!N327</f>
        <v/>
      </c>
      <c r="Q327" s="58">
        <f>Boosters_And!B327/(C327+D327)</f>
        <v/>
      </c>
      <c r="R327" s="58">
        <f>Boosters_And!N327/B327</f>
        <v/>
      </c>
      <c r="S327" s="55" t="n"/>
      <c r="T327" s="59" t="n"/>
      <c r="U327" s="60" t="n"/>
      <c r="V327" s="61">
        <f>U327/B327</f>
        <v/>
      </c>
    </row>
    <row r="328" ht="22.5" customHeight="1" s="150">
      <c r="A328" s="34" t="n">
        <v>326</v>
      </c>
      <c r="B328" s="50" t="n"/>
      <c r="C328" s="50" t="n"/>
      <c r="D328" s="50" t="n"/>
      <c r="E328" s="50" t="n"/>
      <c r="F328" s="51" t="n"/>
      <c r="G328" s="51" t="n"/>
      <c r="H328" s="53" t="n"/>
      <c r="I328" s="53" t="n"/>
      <c r="J328" s="53" t="n"/>
      <c r="K328" s="111" t="n"/>
      <c r="L328" s="55" t="n"/>
      <c r="M328" s="81" t="inlineStr">
        <is>
          <t>Normal</t>
        </is>
      </c>
      <c r="N328" s="55" t="n"/>
      <c r="O328" s="57">
        <f>N328/C328</f>
        <v/>
      </c>
      <c r="P328" s="58">
        <f>(Boosters_And!B328*100)/Boosters_And!N328</f>
        <v/>
      </c>
      <c r="Q328" s="58">
        <f>Boosters_And!B328/(C328+D328)</f>
        <v/>
      </c>
      <c r="R328" s="58">
        <f>Boosters_And!N328/B328</f>
        <v/>
      </c>
      <c r="S328" s="55" t="n"/>
      <c r="T328" s="59" t="n"/>
      <c r="U328" s="60" t="n"/>
      <c r="V328" s="61">
        <f>U328/B328</f>
        <v/>
      </c>
    </row>
    <row r="329" ht="22.5" customHeight="1" s="150">
      <c r="A329" s="34" t="n">
        <v>327</v>
      </c>
      <c r="B329" s="50" t="n"/>
      <c r="C329" s="50" t="n"/>
      <c r="D329" s="50" t="n"/>
      <c r="E329" s="50" t="n"/>
      <c r="F329" s="51" t="n"/>
      <c r="G329" s="51" t="n"/>
      <c r="H329" s="53" t="n"/>
      <c r="I329" s="53" t="n"/>
      <c r="J329" s="53" t="n"/>
      <c r="K329" s="111" t="n"/>
      <c r="L329" s="55" t="n"/>
      <c r="M329" s="82" t="inlineStr">
        <is>
          <t>Hard</t>
        </is>
      </c>
      <c r="N329" s="55" t="n"/>
      <c r="O329" s="57">
        <f>N329/C329</f>
        <v/>
      </c>
      <c r="P329" s="58">
        <f>(Boosters_And!B329*100)/Boosters_And!N329</f>
        <v/>
      </c>
      <c r="Q329" s="58">
        <f>Boosters_And!B329/(C329+D329)</f>
        <v/>
      </c>
      <c r="R329" s="58">
        <f>Boosters_And!N329/B329</f>
        <v/>
      </c>
      <c r="S329" s="55" t="n"/>
      <c r="T329" s="59" t="n"/>
      <c r="U329" s="60" t="n"/>
      <c r="V329" s="61">
        <f>U329/B329</f>
        <v/>
      </c>
    </row>
    <row r="330" ht="22.5" customHeight="1" s="150">
      <c r="A330" s="34" t="n">
        <v>328</v>
      </c>
      <c r="B330" s="50" t="n"/>
      <c r="C330" s="50" t="n"/>
      <c r="D330" s="50" t="n"/>
      <c r="E330" s="50" t="n"/>
      <c r="F330" s="51" t="n"/>
      <c r="G330" s="51" t="n"/>
      <c r="H330" s="53" t="n"/>
      <c r="I330" s="53" t="n"/>
      <c r="J330" s="53" t="n"/>
      <c r="K330" s="111" t="n"/>
      <c r="L330" s="55" t="n"/>
      <c r="M330" s="81" t="inlineStr">
        <is>
          <t>Normal</t>
        </is>
      </c>
      <c r="N330" s="55" t="n"/>
      <c r="O330" s="57">
        <f>N330/C330</f>
        <v/>
      </c>
      <c r="P330" s="58">
        <f>(Boosters_And!B330*100)/Boosters_And!N330</f>
        <v/>
      </c>
      <c r="Q330" s="58">
        <f>Boosters_And!B330/(C330+D330)</f>
        <v/>
      </c>
      <c r="R330" s="58">
        <f>Boosters_And!N330/B330</f>
        <v/>
      </c>
      <c r="S330" s="55" t="n"/>
      <c r="T330" s="59" t="n"/>
      <c r="U330" s="60" t="n"/>
      <c r="V330" s="61">
        <f>U330/B330</f>
        <v/>
      </c>
    </row>
    <row r="331" ht="22.5" customHeight="1" s="150">
      <c r="A331" s="34" t="n">
        <v>329</v>
      </c>
      <c r="B331" s="50" t="n"/>
      <c r="C331" s="50" t="n"/>
      <c r="D331" s="50" t="n"/>
      <c r="E331" s="50" t="n"/>
      <c r="F331" s="51" t="n"/>
      <c r="G331" s="51" t="n"/>
      <c r="H331" s="53" t="n"/>
      <c r="I331" s="53" t="n"/>
      <c r="J331" s="53" t="n"/>
      <c r="K331" s="111" t="n"/>
      <c r="L331" s="55" t="n"/>
      <c r="M331" s="82" t="inlineStr">
        <is>
          <t>Hard</t>
        </is>
      </c>
      <c r="N331" s="55" t="n"/>
      <c r="O331" s="57">
        <f>N331/C331</f>
        <v/>
      </c>
      <c r="P331" s="58">
        <f>(Boosters_And!B331*100)/Boosters_And!N331</f>
        <v/>
      </c>
      <c r="Q331" s="58">
        <f>Boosters_And!B331/(C331+D331)</f>
        <v/>
      </c>
      <c r="R331" s="58">
        <f>Boosters_And!N331/B331</f>
        <v/>
      </c>
      <c r="S331" s="55" t="n"/>
      <c r="T331" s="59" t="n"/>
      <c r="U331" s="60" t="n"/>
      <c r="V331" s="61">
        <f>U331/B331</f>
        <v/>
      </c>
    </row>
    <row r="332" ht="22.5" customHeight="1" s="150">
      <c r="A332" s="34" t="n">
        <v>330</v>
      </c>
      <c r="B332" s="50" t="n"/>
      <c r="C332" s="50" t="n"/>
      <c r="D332" s="50" t="n"/>
      <c r="E332" s="50" t="n"/>
      <c r="F332" s="51" t="n"/>
      <c r="G332" s="51" t="n"/>
      <c r="H332" s="53" t="n"/>
      <c r="I332" s="53" t="n"/>
      <c r="J332" s="53" t="n"/>
      <c r="K332" s="111" t="n"/>
      <c r="L332" s="55" t="n"/>
      <c r="M332" s="83" t="inlineStr">
        <is>
          <t>Hard</t>
        </is>
      </c>
      <c r="N332" s="55" t="n"/>
      <c r="O332" s="57">
        <f>N332/C332</f>
        <v/>
      </c>
      <c r="P332" s="58">
        <f>(Boosters_And!B332*100)/Boosters_And!N332</f>
        <v/>
      </c>
      <c r="Q332" s="58">
        <f>Boosters_And!B332/(C332+D332)</f>
        <v/>
      </c>
      <c r="R332" s="58">
        <f>Boosters_And!N332/B332</f>
        <v/>
      </c>
      <c r="S332" s="55" t="n"/>
      <c r="T332" s="59" t="n"/>
      <c r="U332" s="60" t="n"/>
      <c r="V332" s="61">
        <f>U332/B332</f>
        <v/>
      </c>
    </row>
    <row r="333" ht="22.5" customHeight="1" s="150">
      <c r="A333" s="34" t="n">
        <v>331</v>
      </c>
      <c r="B333" s="50" t="n"/>
      <c r="C333" s="50" t="n"/>
      <c r="D333" s="50" t="n"/>
      <c r="E333" s="50" t="n"/>
      <c r="F333" s="51" t="n"/>
      <c r="G333" s="51" t="n"/>
      <c r="H333" s="53" t="n"/>
      <c r="I333" s="53" t="n"/>
      <c r="J333" s="53" t="n"/>
      <c r="K333" s="111" t="n"/>
      <c r="L333" s="55" t="n"/>
      <c r="M333" s="84" t="inlineStr">
        <is>
          <t>Very Hard</t>
        </is>
      </c>
      <c r="N333" s="55" t="n"/>
      <c r="O333" s="57">
        <f>N333/C333</f>
        <v/>
      </c>
      <c r="P333" s="58">
        <f>(Boosters_And!B333*100)/Boosters_And!N333</f>
        <v/>
      </c>
      <c r="Q333" s="58">
        <f>Boosters_And!B333/(C333+D333)</f>
        <v/>
      </c>
      <c r="R333" s="58">
        <f>Boosters_And!N333/B333</f>
        <v/>
      </c>
      <c r="S333" s="55" t="n"/>
      <c r="T333" s="59" t="n"/>
      <c r="U333" s="60" t="n"/>
      <c r="V333" s="61">
        <f>U333/B333</f>
        <v/>
      </c>
    </row>
    <row r="334" ht="22.5" customHeight="1" s="150">
      <c r="A334" s="34" t="n">
        <v>332</v>
      </c>
      <c r="B334" s="50" t="n"/>
      <c r="C334" s="50" t="n"/>
      <c r="D334" s="50" t="n"/>
      <c r="E334" s="50" t="n"/>
      <c r="F334" s="51" t="n"/>
      <c r="G334" s="51" t="n"/>
      <c r="H334" s="53" t="n"/>
      <c r="I334" s="53" t="n"/>
      <c r="J334" s="53" t="n"/>
      <c r="K334" s="111" t="n"/>
      <c r="L334" s="55" t="n"/>
      <c r="M334" s="83" t="inlineStr">
        <is>
          <t>Hard</t>
        </is>
      </c>
      <c r="N334" s="55" t="n"/>
      <c r="O334" s="57">
        <f>N334/C334</f>
        <v/>
      </c>
      <c r="P334" s="58">
        <f>(Boosters_And!B334*100)/Boosters_And!N334</f>
        <v/>
      </c>
      <c r="Q334" s="58">
        <f>Boosters_And!B334/(C334+D334)</f>
        <v/>
      </c>
      <c r="R334" s="58">
        <f>Boosters_And!N334/B334</f>
        <v/>
      </c>
      <c r="S334" s="55" t="n"/>
      <c r="T334" s="59" t="n"/>
      <c r="U334" s="60" t="n"/>
      <c r="V334" s="61">
        <f>U334/B334</f>
        <v/>
      </c>
    </row>
    <row r="335" ht="22.5" customHeight="1" s="150">
      <c r="A335" s="34" t="n">
        <v>333</v>
      </c>
      <c r="B335" s="50" t="n"/>
      <c r="C335" s="50" t="n"/>
      <c r="D335" s="50" t="n"/>
      <c r="E335" s="50" t="n"/>
      <c r="F335" s="51" t="n"/>
      <c r="G335" s="51" t="n"/>
      <c r="H335" s="53" t="n"/>
      <c r="I335" s="53" t="n"/>
      <c r="J335" s="53" t="n"/>
      <c r="K335" s="111" t="n"/>
      <c r="L335" s="55" t="n"/>
      <c r="M335" s="80" t="inlineStr">
        <is>
          <t>Normal</t>
        </is>
      </c>
      <c r="N335" s="55" t="n"/>
      <c r="O335" s="57">
        <f>N335/C335</f>
        <v/>
      </c>
      <c r="P335" s="58">
        <f>(Boosters_And!B335*100)/Boosters_And!N335</f>
        <v/>
      </c>
      <c r="Q335" s="58">
        <f>Boosters_And!B335/(C335+D335)</f>
        <v/>
      </c>
      <c r="R335" s="58">
        <f>Boosters_And!N335/B335</f>
        <v/>
      </c>
      <c r="S335" s="55" t="n"/>
      <c r="T335" s="59" t="n"/>
      <c r="U335" s="60" t="n"/>
      <c r="V335" s="61">
        <f>U335/B335</f>
        <v/>
      </c>
    </row>
    <row r="336" ht="22.5" customHeight="1" s="150">
      <c r="A336" s="34" t="n">
        <v>334</v>
      </c>
      <c r="B336" s="50" t="n"/>
      <c r="C336" s="50" t="n"/>
      <c r="D336" s="50" t="n"/>
      <c r="E336" s="50" t="n"/>
      <c r="F336" s="51" t="n"/>
      <c r="G336" s="51" t="n"/>
      <c r="H336" s="53" t="n"/>
      <c r="I336" s="53" t="n"/>
      <c r="J336" s="53" t="n"/>
      <c r="K336" s="111" t="n"/>
      <c r="L336" s="55" t="n"/>
      <c r="M336" s="81" t="inlineStr">
        <is>
          <t>Normal</t>
        </is>
      </c>
      <c r="N336" s="55" t="n"/>
      <c r="O336" s="57">
        <f>N336/C336</f>
        <v/>
      </c>
      <c r="P336" s="58">
        <f>(Boosters_And!B336*100)/Boosters_And!N336</f>
        <v/>
      </c>
      <c r="Q336" s="58">
        <f>Boosters_And!B336/(C336+D336)</f>
        <v/>
      </c>
      <c r="R336" s="58">
        <f>Boosters_And!N336/B336</f>
        <v/>
      </c>
      <c r="S336" s="55" t="n"/>
      <c r="T336" s="59" t="n"/>
      <c r="U336" s="60" t="n"/>
      <c r="V336" s="61">
        <f>U336/B336</f>
        <v/>
      </c>
    </row>
    <row r="337" ht="22.5" customHeight="1" s="150">
      <c r="A337" s="34" t="n">
        <v>335</v>
      </c>
      <c r="B337" s="50" t="n"/>
      <c r="C337" s="50" t="n"/>
      <c r="D337" s="50" t="n"/>
      <c r="E337" s="50" t="n"/>
      <c r="F337" s="51" t="n"/>
      <c r="G337" s="51" t="n"/>
      <c r="H337" s="53" t="n"/>
      <c r="I337" s="53" t="n"/>
      <c r="J337" s="53" t="n"/>
      <c r="K337" s="111" t="n"/>
      <c r="L337" s="55" t="n"/>
      <c r="M337" s="82" t="inlineStr">
        <is>
          <t>Hard</t>
        </is>
      </c>
      <c r="N337" s="55" t="n"/>
      <c r="O337" s="57">
        <f>N337/C337</f>
        <v/>
      </c>
      <c r="P337" s="58">
        <f>(Boosters_And!B337*100)/Boosters_And!N337</f>
        <v/>
      </c>
      <c r="Q337" s="58">
        <f>Boosters_And!B337/(C337+D337)</f>
        <v/>
      </c>
      <c r="R337" s="58">
        <f>Boosters_And!N337/B337</f>
        <v/>
      </c>
      <c r="S337" s="55" t="n"/>
      <c r="T337" s="59" t="n"/>
      <c r="U337" s="60" t="n"/>
      <c r="V337" s="61">
        <f>U337/B337</f>
        <v/>
      </c>
    </row>
    <row r="338" ht="22.5" customHeight="1" s="150">
      <c r="A338" s="34" t="n">
        <v>336</v>
      </c>
      <c r="B338" s="50" t="n"/>
      <c r="C338" s="50" t="n"/>
      <c r="D338" s="50" t="n"/>
      <c r="E338" s="50" t="n"/>
      <c r="F338" s="51" t="n"/>
      <c r="G338" s="51" t="n"/>
      <c r="H338" s="53" t="n"/>
      <c r="I338" s="53" t="n"/>
      <c r="J338" s="53" t="n"/>
      <c r="K338" s="111" t="n"/>
      <c r="L338" s="55" t="n"/>
      <c r="M338" s="81" t="inlineStr">
        <is>
          <t>Normal</t>
        </is>
      </c>
      <c r="N338" s="55" t="n"/>
      <c r="O338" s="57">
        <f>N338/C338</f>
        <v/>
      </c>
      <c r="P338" s="58">
        <f>(Boosters_And!B338*100)/Boosters_And!N338</f>
        <v/>
      </c>
      <c r="Q338" s="58">
        <f>Boosters_And!B338/(C338+D338)</f>
        <v/>
      </c>
      <c r="R338" s="58">
        <f>Boosters_And!N338/B338</f>
        <v/>
      </c>
      <c r="S338" s="55" t="n"/>
      <c r="T338" s="59" t="n"/>
      <c r="U338" s="60" t="n"/>
      <c r="V338" s="61">
        <f>U338/B338</f>
        <v/>
      </c>
    </row>
    <row r="339" ht="22.5" customHeight="1" s="150">
      <c r="A339" s="34" t="n">
        <v>337</v>
      </c>
      <c r="B339" s="50" t="n"/>
      <c r="C339" s="50" t="n"/>
      <c r="D339" s="50" t="n"/>
      <c r="E339" s="50" t="n"/>
      <c r="F339" s="51" t="n"/>
      <c r="G339" s="51" t="n"/>
      <c r="H339" s="53" t="n"/>
      <c r="I339" s="53" t="n"/>
      <c r="J339" s="53" t="n"/>
      <c r="K339" s="111" t="n"/>
      <c r="L339" s="55" t="n"/>
      <c r="M339" s="82" t="inlineStr">
        <is>
          <t>Hard</t>
        </is>
      </c>
      <c r="N339" s="55" t="n"/>
      <c r="O339" s="57">
        <f>N339/C339</f>
        <v/>
      </c>
      <c r="P339" s="58">
        <f>(Boosters_And!B339*100)/Boosters_And!N339</f>
        <v/>
      </c>
      <c r="Q339" s="58">
        <f>Boosters_And!B339/(C339+D339)</f>
        <v/>
      </c>
      <c r="R339" s="58">
        <f>Boosters_And!N339/B339</f>
        <v/>
      </c>
      <c r="S339" s="55" t="n"/>
      <c r="T339" s="59" t="n"/>
      <c r="U339" s="60" t="n"/>
      <c r="V339" s="61">
        <f>U339/B339</f>
        <v/>
      </c>
    </row>
    <row r="340" ht="22.5" customHeight="1" s="150">
      <c r="A340" s="34" t="n">
        <v>338</v>
      </c>
      <c r="B340" s="50" t="n"/>
      <c r="C340" s="50" t="n"/>
      <c r="D340" s="50" t="n"/>
      <c r="E340" s="50" t="n"/>
      <c r="F340" s="51" t="n"/>
      <c r="G340" s="51" t="n"/>
      <c r="H340" s="53" t="n"/>
      <c r="I340" s="53" t="n"/>
      <c r="J340" s="53" t="n"/>
      <c r="K340" s="111" t="n"/>
      <c r="L340" s="55" t="n"/>
      <c r="M340" s="81" t="inlineStr">
        <is>
          <t>Normal</t>
        </is>
      </c>
      <c r="N340" s="55" t="n"/>
      <c r="O340" s="57">
        <f>N340/C340</f>
        <v/>
      </c>
      <c r="P340" s="58">
        <f>(Boosters_And!B340*100)/Boosters_And!N340</f>
        <v/>
      </c>
      <c r="Q340" s="58">
        <f>Boosters_And!B340/(C340+D340)</f>
        <v/>
      </c>
      <c r="R340" s="58">
        <f>Boosters_And!N340/B340</f>
        <v/>
      </c>
      <c r="S340" s="55" t="n"/>
      <c r="T340" s="59" t="n"/>
      <c r="U340" s="60" t="n"/>
      <c r="V340" s="61">
        <f>U340/B340</f>
        <v/>
      </c>
    </row>
    <row r="341" ht="22.5" customHeight="1" s="150">
      <c r="A341" s="34" t="n">
        <v>339</v>
      </c>
      <c r="B341" s="50" t="n"/>
      <c r="C341" s="50" t="n"/>
      <c r="D341" s="50" t="n"/>
      <c r="E341" s="50" t="n"/>
      <c r="F341" s="51" t="n"/>
      <c r="G341" s="51" t="n"/>
      <c r="H341" s="53" t="n"/>
      <c r="I341" s="53" t="n"/>
      <c r="J341" s="53" t="n"/>
      <c r="K341" s="111" t="n"/>
      <c r="L341" s="55" t="n"/>
      <c r="M341" s="80" t="inlineStr">
        <is>
          <t>Normal</t>
        </is>
      </c>
      <c r="N341" s="55" t="n"/>
      <c r="O341" s="57">
        <f>N341/C341</f>
        <v/>
      </c>
      <c r="P341" s="58">
        <f>(Boosters_And!B341*100)/Boosters_And!N341</f>
        <v/>
      </c>
      <c r="Q341" s="58">
        <f>Boosters_And!B341/(C341+D341)</f>
        <v/>
      </c>
      <c r="R341" s="58">
        <f>Boosters_And!N341/B341</f>
        <v/>
      </c>
      <c r="S341" s="55" t="n"/>
      <c r="T341" s="59" t="n"/>
      <c r="U341" s="60" t="n"/>
      <c r="V341" s="61">
        <f>U341/B341</f>
        <v/>
      </c>
    </row>
    <row r="342" ht="22.5" customHeight="1" s="150">
      <c r="A342" s="34" t="n">
        <v>340</v>
      </c>
      <c r="B342" s="50" t="n"/>
      <c r="C342" s="50" t="n"/>
      <c r="D342" s="50" t="n"/>
      <c r="E342" s="50" t="n"/>
      <c r="F342" s="51" t="n"/>
      <c r="G342" s="51" t="n"/>
      <c r="H342" s="53" t="n"/>
      <c r="I342" s="53" t="n"/>
      <c r="J342" s="53" t="n"/>
      <c r="K342" s="111" t="n"/>
      <c r="L342" s="55" t="n"/>
      <c r="M342" s="81" t="inlineStr">
        <is>
          <t>Normal</t>
        </is>
      </c>
      <c r="N342" s="55" t="n"/>
      <c r="O342" s="57">
        <f>N342/C342</f>
        <v/>
      </c>
      <c r="P342" s="58">
        <f>(Boosters_And!B342*100)/Boosters_And!N342</f>
        <v/>
      </c>
      <c r="Q342" s="58">
        <f>Boosters_And!B342/(C342+D342)</f>
        <v/>
      </c>
      <c r="R342" s="58">
        <f>Boosters_And!N342/B342</f>
        <v/>
      </c>
      <c r="S342" s="55" t="n"/>
      <c r="T342" s="59" t="n"/>
      <c r="U342" s="60" t="n"/>
      <c r="V342" s="61">
        <f>U342/B342</f>
        <v/>
      </c>
    </row>
    <row r="343" ht="22.5" customHeight="1" s="150">
      <c r="A343" s="34" t="n">
        <v>341</v>
      </c>
      <c r="B343" s="50" t="n"/>
      <c r="C343" s="50" t="n"/>
      <c r="D343" s="50" t="n"/>
      <c r="E343" s="50" t="n"/>
      <c r="F343" s="51" t="n"/>
      <c r="G343" s="51" t="n"/>
      <c r="H343" s="53" t="n"/>
      <c r="I343" s="53" t="n"/>
      <c r="J343" s="53" t="n"/>
      <c r="K343" s="111" t="n"/>
      <c r="L343" s="55" t="n"/>
      <c r="M343" s="80" t="inlineStr">
        <is>
          <t>Normal</t>
        </is>
      </c>
      <c r="N343" s="55" t="n"/>
      <c r="O343" s="57">
        <f>N343/C343</f>
        <v/>
      </c>
      <c r="P343" s="58">
        <f>(Boosters_And!B343*100)/Boosters_And!N343</f>
        <v/>
      </c>
      <c r="Q343" s="58">
        <f>Boosters_And!B343/(C343+D343)</f>
        <v/>
      </c>
      <c r="R343" s="58">
        <f>Boosters_And!N343/B343</f>
        <v/>
      </c>
      <c r="S343" s="55" t="n"/>
      <c r="T343" s="59" t="n"/>
      <c r="U343" s="60" t="n"/>
      <c r="V343" s="61">
        <f>U343/B343</f>
        <v/>
      </c>
    </row>
    <row r="344" ht="22.5" customHeight="1" s="150">
      <c r="A344" s="34" t="n">
        <v>342</v>
      </c>
      <c r="B344" s="50" t="n"/>
      <c r="C344" s="50" t="n"/>
      <c r="D344" s="50" t="n"/>
      <c r="E344" s="50" t="n"/>
      <c r="F344" s="51" t="n"/>
      <c r="G344" s="51" t="n"/>
      <c r="H344" s="53" t="n"/>
      <c r="I344" s="53" t="n"/>
      <c r="J344" s="53" t="n"/>
      <c r="K344" s="111" t="n"/>
      <c r="L344" s="55" t="n"/>
      <c r="M344" s="83" t="inlineStr">
        <is>
          <t>Hard</t>
        </is>
      </c>
      <c r="N344" s="55" t="n"/>
      <c r="O344" s="57">
        <f>N344/C344</f>
        <v/>
      </c>
      <c r="P344" s="58">
        <f>(Boosters_And!B344*100)/Boosters_And!N344</f>
        <v/>
      </c>
      <c r="Q344" s="58">
        <f>Boosters_And!B344/(C344+D344)</f>
        <v/>
      </c>
      <c r="R344" s="58">
        <f>Boosters_And!N344/B344</f>
        <v/>
      </c>
      <c r="S344" s="55" t="n"/>
      <c r="T344" s="59" t="n"/>
      <c r="U344" s="60" t="n"/>
      <c r="V344" s="61">
        <f>U344/B344</f>
        <v/>
      </c>
    </row>
    <row r="345" ht="22.5" customHeight="1" s="150">
      <c r="A345" s="34" t="n">
        <v>343</v>
      </c>
      <c r="B345" s="50" t="n"/>
      <c r="C345" s="50" t="n"/>
      <c r="D345" s="50" t="n"/>
      <c r="E345" s="50" t="n"/>
      <c r="F345" s="51" t="n"/>
      <c r="G345" s="51" t="n"/>
      <c r="H345" s="53" t="n"/>
      <c r="I345" s="53" t="n"/>
      <c r="J345" s="53" t="n"/>
      <c r="K345" s="111" t="n"/>
      <c r="L345" s="55" t="n"/>
      <c r="M345" s="80" t="inlineStr">
        <is>
          <t>Normal</t>
        </is>
      </c>
      <c r="N345" s="55" t="n"/>
      <c r="O345" s="57">
        <f>N345/C345</f>
        <v/>
      </c>
      <c r="P345" s="58">
        <f>(Boosters_And!B345*100)/Boosters_And!N345</f>
        <v/>
      </c>
      <c r="Q345" s="58">
        <f>Boosters_And!B345/(C345+D345)</f>
        <v/>
      </c>
      <c r="R345" s="58">
        <f>Boosters_And!N345/B345</f>
        <v/>
      </c>
      <c r="S345" s="55" t="n"/>
      <c r="T345" s="59" t="n"/>
      <c r="U345" s="60" t="n"/>
      <c r="V345" s="61">
        <f>U345/B345</f>
        <v/>
      </c>
    </row>
    <row r="346" ht="22.5" customHeight="1" s="150">
      <c r="A346" s="34" t="n">
        <v>344</v>
      </c>
      <c r="B346" s="50" t="n"/>
      <c r="C346" s="50" t="n"/>
      <c r="D346" s="50" t="n"/>
      <c r="E346" s="50" t="n"/>
      <c r="F346" s="51" t="n"/>
      <c r="G346" s="51" t="n"/>
      <c r="H346" s="53" t="n"/>
      <c r="I346" s="53" t="n"/>
      <c r="J346" s="53" t="n"/>
      <c r="K346" s="111" t="n"/>
      <c r="L346" s="55" t="n"/>
      <c r="M346" s="81" t="inlineStr">
        <is>
          <t>Normal</t>
        </is>
      </c>
      <c r="N346" s="55" t="n"/>
      <c r="O346" s="57">
        <f>N346/C346</f>
        <v/>
      </c>
      <c r="P346" s="58">
        <f>(Boosters_And!B346*100)/Boosters_And!N346</f>
        <v/>
      </c>
      <c r="Q346" s="58">
        <f>Boosters_And!B346/(C346+D346)</f>
        <v/>
      </c>
      <c r="R346" s="58">
        <f>Boosters_And!N346/B346</f>
        <v/>
      </c>
      <c r="S346" s="55" t="n"/>
      <c r="T346" s="59" t="n"/>
      <c r="U346" s="60" t="n"/>
      <c r="V346" s="61">
        <f>U346/B346</f>
        <v/>
      </c>
    </row>
    <row r="347" ht="22.5" customHeight="1" s="150">
      <c r="A347" s="34" t="n">
        <v>345</v>
      </c>
      <c r="B347" s="50" t="n"/>
      <c r="C347" s="50" t="n"/>
      <c r="D347" s="50" t="n"/>
      <c r="E347" s="50" t="n"/>
      <c r="F347" s="51" t="n"/>
      <c r="G347" s="51" t="n"/>
      <c r="H347" s="53" t="n"/>
      <c r="I347" s="53" t="n"/>
      <c r="J347" s="53" t="n"/>
      <c r="K347" s="111" t="n"/>
      <c r="L347" s="55" t="n"/>
      <c r="M347" s="82" t="inlineStr">
        <is>
          <t>Hard</t>
        </is>
      </c>
      <c r="N347" s="55" t="n"/>
      <c r="O347" s="57">
        <f>N347/C347</f>
        <v/>
      </c>
      <c r="P347" s="58">
        <f>(Boosters_And!B347*100)/Boosters_And!N347</f>
        <v/>
      </c>
      <c r="Q347" s="58">
        <f>Boosters_And!B347/(C347+D347)</f>
        <v/>
      </c>
      <c r="R347" s="58">
        <f>Boosters_And!N347/B347</f>
        <v/>
      </c>
      <c r="S347" s="55" t="n"/>
      <c r="T347" s="59" t="n"/>
      <c r="U347" s="60" t="n"/>
      <c r="V347" s="61">
        <f>U347/B347</f>
        <v/>
      </c>
    </row>
    <row r="348" ht="22.5" customHeight="1" s="150">
      <c r="A348" s="34" t="n">
        <v>346</v>
      </c>
      <c r="B348" s="50" t="n"/>
      <c r="C348" s="50" t="n"/>
      <c r="D348" s="50" t="n"/>
      <c r="E348" s="50" t="n"/>
      <c r="F348" s="51" t="n"/>
      <c r="G348" s="51" t="n"/>
      <c r="H348" s="53" t="n"/>
      <c r="I348" s="53" t="n"/>
      <c r="J348" s="53" t="n"/>
      <c r="K348" s="111" t="n"/>
      <c r="L348" s="55" t="n"/>
      <c r="M348" s="83" t="inlineStr">
        <is>
          <t>Hard</t>
        </is>
      </c>
      <c r="N348" s="55" t="n"/>
      <c r="O348" s="57">
        <f>N348/C348</f>
        <v/>
      </c>
      <c r="P348" s="58">
        <f>(Boosters_And!B348*100)/Boosters_And!N348</f>
        <v/>
      </c>
      <c r="Q348" s="58">
        <f>Boosters_And!B348/(C348+D348)</f>
        <v/>
      </c>
      <c r="R348" s="58">
        <f>Boosters_And!N348/B348</f>
        <v/>
      </c>
      <c r="S348" s="55" t="n"/>
      <c r="T348" s="59" t="n"/>
      <c r="U348" s="60" t="n"/>
      <c r="V348" s="61">
        <f>U348/B348</f>
        <v/>
      </c>
    </row>
    <row r="349" ht="22.5" customHeight="1" s="150">
      <c r="A349" s="34" t="n">
        <v>347</v>
      </c>
      <c r="B349" s="50" t="n"/>
      <c r="C349" s="50" t="n"/>
      <c r="D349" s="50" t="n"/>
      <c r="E349" s="50" t="n"/>
      <c r="F349" s="51" t="n"/>
      <c r="G349" s="51" t="n"/>
      <c r="H349" s="53" t="n"/>
      <c r="I349" s="53" t="n"/>
      <c r="J349" s="53" t="n"/>
      <c r="K349" s="111" t="n"/>
      <c r="L349" s="55" t="n"/>
      <c r="M349" s="80" t="inlineStr">
        <is>
          <t>Normal</t>
        </is>
      </c>
      <c r="N349" s="55" t="n"/>
      <c r="O349" s="57">
        <f>N349/C349</f>
        <v/>
      </c>
      <c r="P349" s="58">
        <f>(Boosters_And!B349*100)/Boosters_And!N349</f>
        <v/>
      </c>
      <c r="Q349" s="58">
        <f>Boosters_And!B349/(C349+D349)</f>
        <v/>
      </c>
      <c r="R349" s="58">
        <f>Boosters_And!N349/B349</f>
        <v/>
      </c>
      <c r="S349" s="55" t="n"/>
      <c r="T349" s="59" t="n"/>
      <c r="U349" s="60" t="n"/>
      <c r="V349" s="61">
        <f>U349/B349</f>
        <v/>
      </c>
    </row>
    <row r="350" ht="22.5" customHeight="1" s="150">
      <c r="A350" s="34" t="n">
        <v>348</v>
      </c>
      <c r="B350" s="50" t="n"/>
      <c r="C350" s="50" t="n"/>
      <c r="D350" s="50" t="n"/>
      <c r="E350" s="50" t="n"/>
      <c r="F350" s="51" t="n"/>
      <c r="G350" s="51" t="n"/>
      <c r="H350" s="53" t="n"/>
      <c r="I350" s="53" t="n"/>
      <c r="J350" s="53" t="n"/>
      <c r="K350" s="111" t="n"/>
      <c r="L350" s="55" t="n"/>
      <c r="M350" s="81" t="inlineStr">
        <is>
          <t>Normal</t>
        </is>
      </c>
      <c r="N350" s="55" t="n"/>
      <c r="O350" s="57">
        <f>N350/C350</f>
        <v/>
      </c>
      <c r="P350" s="58">
        <f>(Boosters_And!B350*100)/Boosters_And!N350</f>
        <v/>
      </c>
      <c r="Q350" s="58">
        <f>Boosters_And!B350/(C350+D350)</f>
        <v/>
      </c>
      <c r="R350" s="58">
        <f>Boosters_And!N350/B350</f>
        <v/>
      </c>
      <c r="S350" s="55" t="n"/>
      <c r="T350" s="59" t="n"/>
      <c r="U350" s="60" t="n"/>
      <c r="V350" s="61">
        <f>U350/B350</f>
        <v/>
      </c>
    </row>
    <row r="351" ht="22.5" customHeight="1" s="150">
      <c r="A351" s="34" t="n">
        <v>349</v>
      </c>
      <c r="B351" s="50" t="n"/>
      <c r="C351" s="50" t="n"/>
      <c r="D351" s="50" t="n"/>
      <c r="E351" s="50" t="n"/>
      <c r="F351" s="51" t="n"/>
      <c r="G351" s="51" t="n"/>
      <c r="H351" s="53" t="n"/>
      <c r="I351" s="53" t="n"/>
      <c r="J351" s="53" t="n"/>
      <c r="K351" s="111" t="n"/>
      <c r="L351" s="55" t="n"/>
      <c r="M351" s="80" t="inlineStr">
        <is>
          <t>Normal</t>
        </is>
      </c>
      <c r="N351" s="55" t="n"/>
      <c r="O351" s="57">
        <f>N351/C351</f>
        <v/>
      </c>
      <c r="P351" s="58">
        <f>(Boosters_And!B351*100)/Boosters_And!N351</f>
        <v/>
      </c>
      <c r="Q351" s="58">
        <f>Boosters_And!B351/(C351+D351)</f>
        <v/>
      </c>
      <c r="R351" s="58">
        <f>Boosters_And!N351/B351</f>
        <v/>
      </c>
      <c r="S351" s="55" t="n"/>
      <c r="T351" s="59" t="n"/>
      <c r="U351" s="60" t="n"/>
      <c r="V351" s="61">
        <f>U351/B351</f>
        <v/>
      </c>
    </row>
    <row r="352" ht="22.5" customHeight="1" s="150">
      <c r="A352" s="34" t="n">
        <v>350</v>
      </c>
      <c r="B352" s="50" t="n"/>
      <c r="C352" s="50" t="n"/>
      <c r="D352" s="50" t="n"/>
      <c r="E352" s="50" t="n"/>
      <c r="F352" s="51" t="n"/>
      <c r="G352" s="51" t="n"/>
      <c r="H352" s="53" t="n"/>
      <c r="I352" s="53" t="n"/>
      <c r="J352" s="53" t="n"/>
      <c r="K352" s="111" t="n"/>
      <c r="L352" s="55" t="n"/>
      <c r="M352" s="81" t="inlineStr">
        <is>
          <t>Normal</t>
        </is>
      </c>
      <c r="N352" s="55" t="n"/>
      <c r="O352" s="57">
        <f>N352/C352</f>
        <v/>
      </c>
      <c r="P352" s="58">
        <f>(Boosters_And!B352*100)/Boosters_And!N352</f>
        <v/>
      </c>
      <c r="Q352" s="58">
        <f>Boosters_And!B352/(C352+D352)</f>
        <v/>
      </c>
      <c r="R352" s="58">
        <f>Boosters_And!N352/B352</f>
        <v/>
      </c>
      <c r="S352" s="55" t="n"/>
      <c r="T352" s="59" t="n"/>
      <c r="U352" s="60" t="n"/>
      <c r="V352" s="61">
        <f>U352/B352</f>
        <v/>
      </c>
    </row>
    <row r="353" ht="22.5" customHeight="1" s="150">
      <c r="A353" s="34" t="n">
        <v>351</v>
      </c>
      <c r="B353" s="50" t="n"/>
      <c r="C353" s="50" t="n"/>
      <c r="D353" s="50" t="n"/>
      <c r="E353" s="50" t="n"/>
      <c r="F353" s="51" t="n"/>
      <c r="G353" s="51" t="n"/>
      <c r="H353" s="53" t="n"/>
      <c r="I353" s="53" t="n"/>
      <c r="J353" s="53" t="n"/>
      <c r="K353" s="111" t="n"/>
      <c r="L353" s="55" t="n"/>
      <c r="M353" s="80" t="inlineStr">
        <is>
          <t>Normal</t>
        </is>
      </c>
      <c r="N353" s="55" t="n"/>
      <c r="O353" s="57">
        <f>N353/C353</f>
        <v/>
      </c>
      <c r="P353" s="58">
        <f>(Boosters_And!B353*100)/Boosters_And!N353</f>
        <v/>
      </c>
      <c r="Q353" s="58">
        <f>Boosters_And!B353/(C353+D353)</f>
        <v/>
      </c>
      <c r="R353" s="58">
        <f>Boosters_And!N353/B353</f>
        <v/>
      </c>
      <c r="S353" s="55" t="n"/>
      <c r="T353" s="59" t="n"/>
      <c r="U353" s="60" t="n"/>
      <c r="V353" s="61">
        <f>U353/B353</f>
        <v/>
      </c>
    </row>
    <row r="354" ht="22.5" customHeight="1" s="150">
      <c r="A354" s="34" t="n">
        <v>352</v>
      </c>
      <c r="B354" s="50" t="n"/>
      <c r="C354" s="50" t="n"/>
      <c r="D354" s="50" t="n"/>
      <c r="E354" s="50" t="n"/>
      <c r="F354" s="51" t="n"/>
      <c r="G354" s="51" t="n"/>
      <c r="H354" s="53" t="n"/>
      <c r="I354" s="53" t="n"/>
      <c r="J354" s="53" t="n"/>
      <c r="K354" s="111" t="n"/>
      <c r="L354" s="55" t="n"/>
      <c r="M354" s="81" t="inlineStr">
        <is>
          <t>Normal</t>
        </is>
      </c>
      <c r="N354" s="55" t="n"/>
      <c r="O354" s="57">
        <f>N354/C354</f>
        <v/>
      </c>
      <c r="P354" s="58">
        <f>(Boosters_And!B354*100)/Boosters_And!N354</f>
        <v/>
      </c>
      <c r="Q354" s="58">
        <f>Boosters_And!B354/(C354+D354)</f>
        <v/>
      </c>
      <c r="R354" s="58">
        <f>Boosters_And!N354/B354</f>
        <v/>
      </c>
      <c r="S354" s="55" t="n"/>
      <c r="T354" s="59" t="n"/>
      <c r="U354" s="60" t="n"/>
      <c r="V354" s="61">
        <f>U354/B354</f>
        <v/>
      </c>
    </row>
    <row r="355" ht="22.5" customHeight="1" s="150">
      <c r="A355" s="34" t="n">
        <v>353</v>
      </c>
      <c r="B355" s="50" t="n"/>
      <c r="C355" s="50" t="n"/>
      <c r="D355" s="50" t="n"/>
      <c r="E355" s="50" t="n"/>
      <c r="F355" s="51" t="n"/>
      <c r="G355" s="51" t="n"/>
      <c r="H355" s="53" t="n"/>
      <c r="I355" s="53" t="n"/>
      <c r="J355" s="53" t="n"/>
      <c r="K355" s="111" t="n"/>
      <c r="L355" s="55" t="n"/>
      <c r="M355" s="82" t="inlineStr">
        <is>
          <t>Hard</t>
        </is>
      </c>
      <c r="N355" s="55" t="n"/>
      <c r="O355" s="57">
        <f>N355/C355</f>
        <v/>
      </c>
      <c r="P355" s="58">
        <f>(Boosters_And!B355*100)/Boosters_And!N355</f>
        <v/>
      </c>
      <c r="Q355" s="58">
        <f>Boosters_And!B355/(C355+D355)</f>
        <v/>
      </c>
      <c r="R355" s="58">
        <f>Boosters_And!N355/B355</f>
        <v/>
      </c>
      <c r="S355" s="55" t="n"/>
      <c r="T355" s="59" t="n"/>
      <c r="U355" s="60" t="n"/>
      <c r="V355" s="61">
        <f>U355/B355</f>
        <v/>
      </c>
    </row>
    <row r="356" ht="22.5" customHeight="1" s="150">
      <c r="A356" s="34" t="n">
        <v>354</v>
      </c>
      <c r="B356" s="50" t="n"/>
      <c r="C356" s="50" t="n"/>
      <c r="D356" s="50" t="n"/>
      <c r="E356" s="50" t="n"/>
      <c r="F356" s="51" t="n"/>
      <c r="G356" s="51" t="n"/>
      <c r="H356" s="53" t="n"/>
      <c r="I356" s="53" t="n"/>
      <c r="J356" s="53" t="n"/>
      <c r="K356" s="111" t="n"/>
      <c r="L356" s="55" t="n"/>
      <c r="M356" s="81" t="inlineStr">
        <is>
          <t>Normal</t>
        </is>
      </c>
      <c r="N356" s="55" t="n"/>
      <c r="O356" s="57">
        <f>N356/C356</f>
        <v/>
      </c>
      <c r="P356" s="58">
        <f>(Boosters_And!B356*100)/Boosters_And!N356</f>
        <v/>
      </c>
      <c r="Q356" s="58">
        <f>Boosters_And!B356/(C356+D356)</f>
        <v/>
      </c>
      <c r="R356" s="58">
        <f>Boosters_And!N356/B356</f>
        <v/>
      </c>
      <c r="S356" s="55" t="n"/>
      <c r="T356" s="59" t="n"/>
      <c r="U356" s="60" t="n"/>
      <c r="V356" s="61">
        <f>U356/B356</f>
        <v/>
      </c>
    </row>
    <row r="357" ht="22.5" customHeight="1" s="150">
      <c r="A357" s="34" t="n">
        <v>355</v>
      </c>
      <c r="B357" s="50" t="n"/>
      <c r="C357" s="50" t="n"/>
      <c r="D357" s="50" t="n"/>
      <c r="E357" s="50" t="n"/>
      <c r="F357" s="51" t="n"/>
      <c r="G357" s="51" t="n"/>
      <c r="H357" s="53" t="n"/>
      <c r="I357" s="53" t="n"/>
      <c r="J357" s="53" t="n"/>
      <c r="K357" s="111" t="n"/>
      <c r="L357" s="55" t="n"/>
      <c r="M357" s="80" t="inlineStr">
        <is>
          <t>Normal</t>
        </is>
      </c>
      <c r="N357" s="55" t="n"/>
      <c r="O357" s="57">
        <f>N357/C357</f>
        <v/>
      </c>
      <c r="P357" s="58">
        <f>(Boosters_And!B357*100)/Boosters_And!N357</f>
        <v/>
      </c>
      <c r="Q357" s="58">
        <f>Boosters_And!B357/(C357+D357)</f>
        <v/>
      </c>
      <c r="R357" s="58">
        <f>Boosters_And!N357/B357</f>
        <v/>
      </c>
      <c r="S357" s="55" t="n"/>
      <c r="T357" s="59" t="n"/>
      <c r="U357" s="60" t="n"/>
      <c r="V357" s="61">
        <f>U357/B357</f>
        <v/>
      </c>
    </row>
    <row r="358" ht="22.5" customHeight="1" s="150">
      <c r="A358" s="34" t="n">
        <v>356</v>
      </c>
      <c r="B358" s="50" t="n"/>
      <c r="C358" s="50" t="n"/>
      <c r="D358" s="50" t="n"/>
      <c r="E358" s="50" t="n"/>
      <c r="F358" s="51" t="n"/>
      <c r="G358" s="51" t="n"/>
      <c r="H358" s="53" t="n"/>
      <c r="I358" s="53" t="n"/>
      <c r="J358" s="53" t="n"/>
      <c r="K358" s="111" t="n"/>
      <c r="L358" s="55" t="n"/>
      <c r="M358" s="81" t="inlineStr">
        <is>
          <t>Normal</t>
        </is>
      </c>
      <c r="N358" s="55" t="n"/>
      <c r="O358" s="57">
        <f>N358/C358</f>
        <v/>
      </c>
      <c r="P358" s="58">
        <f>(Boosters_And!B358*100)/Boosters_And!N358</f>
        <v/>
      </c>
      <c r="Q358" s="58">
        <f>Boosters_And!B358/(C358+D358)</f>
        <v/>
      </c>
      <c r="R358" s="58">
        <f>Boosters_And!N358/B358</f>
        <v/>
      </c>
      <c r="S358" s="55" t="n"/>
      <c r="T358" s="59" t="n"/>
      <c r="U358" s="60" t="n"/>
      <c r="V358" s="61">
        <f>U358/B358</f>
        <v/>
      </c>
    </row>
    <row r="359" ht="22.5" customHeight="1" s="150">
      <c r="A359" s="34" t="n">
        <v>357</v>
      </c>
      <c r="B359" s="50" t="n"/>
      <c r="C359" s="50" t="n"/>
      <c r="D359" s="50" t="n"/>
      <c r="E359" s="50" t="n"/>
      <c r="F359" s="51" t="n"/>
      <c r="G359" s="51" t="n"/>
      <c r="H359" s="53" t="n"/>
      <c r="I359" s="53" t="n"/>
      <c r="J359" s="53" t="n"/>
      <c r="K359" s="111" t="n"/>
      <c r="L359" s="55" t="n"/>
      <c r="M359" s="84" t="inlineStr">
        <is>
          <t>Very Hard</t>
        </is>
      </c>
      <c r="N359" s="55" t="n"/>
      <c r="O359" s="57">
        <f>N359/C359</f>
        <v/>
      </c>
      <c r="P359" s="58">
        <f>(Boosters_And!B359*100)/Boosters_And!N359</f>
        <v/>
      </c>
      <c r="Q359" s="58">
        <f>Boosters_And!B359/(C359+D359)</f>
        <v/>
      </c>
      <c r="R359" s="58">
        <f>Boosters_And!N359/B359</f>
        <v/>
      </c>
      <c r="S359" s="55" t="n"/>
      <c r="T359" s="59" t="n"/>
      <c r="U359" s="60" t="n"/>
      <c r="V359" s="61">
        <f>U359/B359</f>
        <v/>
      </c>
    </row>
    <row r="360" ht="22.5" customHeight="1" s="150">
      <c r="A360" s="34" t="n">
        <v>358</v>
      </c>
      <c r="B360" s="50" t="n"/>
      <c r="C360" s="50" t="n"/>
      <c r="D360" s="50" t="n"/>
      <c r="E360" s="50" t="n"/>
      <c r="F360" s="51" t="n"/>
      <c r="G360" s="51" t="n"/>
      <c r="H360" s="53" t="n"/>
      <c r="I360" s="53" t="n"/>
      <c r="J360" s="53" t="n"/>
      <c r="K360" s="111" t="n"/>
      <c r="L360" s="55" t="n"/>
      <c r="M360" s="81" t="inlineStr">
        <is>
          <t>Normal</t>
        </is>
      </c>
      <c r="N360" s="55" t="n"/>
      <c r="O360" s="57">
        <f>N360/C360</f>
        <v/>
      </c>
      <c r="P360" s="58">
        <f>(Boosters_And!B360*100)/Boosters_And!N360</f>
        <v/>
      </c>
      <c r="Q360" s="58">
        <f>Boosters_And!B360/(C360+D360)</f>
        <v/>
      </c>
      <c r="R360" s="58">
        <f>Boosters_And!N360/B360</f>
        <v/>
      </c>
      <c r="S360" s="55" t="n"/>
      <c r="T360" s="59" t="n"/>
      <c r="U360" s="60" t="n"/>
      <c r="V360" s="61">
        <f>U360/B360</f>
        <v/>
      </c>
    </row>
    <row r="361" ht="22.5" customHeight="1" s="150">
      <c r="A361" s="34" t="n">
        <v>359</v>
      </c>
      <c r="B361" s="50" t="n"/>
      <c r="C361" s="50" t="n"/>
      <c r="D361" s="50" t="n"/>
      <c r="E361" s="50" t="n"/>
      <c r="F361" s="51" t="n"/>
      <c r="G361" s="51" t="n"/>
      <c r="H361" s="53" t="n"/>
      <c r="I361" s="53" t="n"/>
      <c r="J361" s="53" t="n"/>
      <c r="K361" s="111" t="n"/>
      <c r="L361" s="55" t="n"/>
      <c r="M361" s="80" t="inlineStr">
        <is>
          <t>Normal</t>
        </is>
      </c>
      <c r="N361" s="55" t="n"/>
      <c r="O361" s="57">
        <f>N361/C361</f>
        <v/>
      </c>
      <c r="P361" s="58">
        <f>(Boosters_And!B361*100)/Boosters_And!N361</f>
        <v/>
      </c>
      <c r="Q361" s="58">
        <f>Boosters_And!B361/(C361+D361)</f>
        <v/>
      </c>
      <c r="R361" s="58">
        <f>Boosters_And!N361/B361</f>
        <v/>
      </c>
      <c r="S361" s="55" t="n"/>
      <c r="T361" s="59" t="n"/>
      <c r="U361" s="60" t="n"/>
      <c r="V361" s="61">
        <f>U361/B361</f>
        <v/>
      </c>
    </row>
    <row r="362" ht="22.5" customHeight="1" s="150">
      <c r="A362" s="34" t="n">
        <v>360</v>
      </c>
      <c r="B362" s="50" t="n"/>
      <c r="C362" s="50" t="n"/>
      <c r="D362" s="50" t="n"/>
      <c r="E362" s="50" t="n"/>
      <c r="F362" s="51" t="n"/>
      <c r="G362" s="51" t="n"/>
      <c r="H362" s="53" t="n"/>
      <c r="I362" s="53" t="n"/>
      <c r="J362" s="53" t="n"/>
      <c r="K362" s="111" t="n"/>
      <c r="L362" s="55" t="n"/>
      <c r="M362" s="81" t="inlineStr">
        <is>
          <t>Normal</t>
        </is>
      </c>
      <c r="N362" s="55" t="n"/>
      <c r="O362" s="57">
        <f>N362/C362</f>
        <v/>
      </c>
      <c r="P362" s="58">
        <f>(Boosters_And!B362*100)/Boosters_And!N362</f>
        <v/>
      </c>
      <c r="Q362" s="58">
        <f>Boosters_And!B362/(C362+D362)</f>
        <v/>
      </c>
      <c r="R362" s="58">
        <f>Boosters_And!N362/B362</f>
        <v/>
      </c>
      <c r="S362" s="55" t="n"/>
      <c r="T362" s="59" t="n"/>
      <c r="U362" s="60" t="n"/>
      <c r="V362" s="61">
        <f>U362/B362</f>
        <v/>
      </c>
    </row>
    <row r="363" ht="22.5" customHeight="1" s="150">
      <c r="A363" s="34" t="n">
        <v>361</v>
      </c>
      <c r="B363" s="50" t="n"/>
      <c r="C363" s="50" t="n"/>
      <c r="D363" s="50" t="n"/>
      <c r="E363" s="50" t="n"/>
      <c r="F363" s="51" t="n"/>
      <c r="G363" s="51" t="n"/>
      <c r="H363" s="53" t="n"/>
      <c r="I363" s="53" t="n"/>
      <c r="J363" s="53" t="n"/>
      <c r="K363" s="111" t="n"/>
      <c r="L363" s="55" t="n"/>
      <c r="M363" s="80" t="inlineStr">
        <is>
          <t>Normal</t>
        </is>
      </c>
      <c r="N363" s="55" t="n"/>
      <c r="O363" s="57">
        <f>N363/C363</f>
        <v/>
      </c>
      <c r="P363" s="58">
        <f>(Boosters_And!B363*100)/Boosters_And!N363</f>
        <v/>
      </c>
      <c r="Q363" s="58">
        <f>Boosters_And!B363/(C363+D363)</f>
        <v/>
      </c>
      <c r="R363" s="58">
        <f>Boosters_And!N363/B363</f>
        <v/>
      </c>
      <c r="S363" s="55" t="n"/>
      <c r="T363" s="59" t="n"/>
      <c r="U363" s="60" t="n"/>
      <c r="V363" s="61">
        <f>U363/B363</f>
        <v/>
      </c>
    </row>
    <row r="364" ht="22.5" customHeight="1" s="150">
      <c r="A364" s="34" t="n">
        <v>362</v>
      </c>
      <c r="B364" s="50" t="n"/>
      <c r="C364" s="50" t="n"/>
      <c r="D364" s="50" t="n"/>
      <c r="E364" s="50" t="n"/>
      <c r="F364" s="51" t="n"/>
      <c r="G364" s="51" t="n"/>
      <c r="H364" s="53" t="n"/>
      <c r="I364" s="53" t="n"/>
      <c r="J364" s="53" t="n"/>
      <c r="K364" s="111" t="n"/>
      <c r="L364" s="55" t="n"/>
      <c r="M364" s="83" t="inlineStr">
        <is>
          <t>Hard</t>
        </is>
      </c>
      <c r="N364" s="55" t="n"/>
      <c r="O364" s="57">
        <f>N364/C364</f>
        <v/>
      </c>
      <c r="P364" s="58">
        <f>(Boosters_And!B364*100)/Boosters_And!N364</f>
        <v/>
      </c>
      <c r="Q364" s="58">
        <f>Boosters_And!B364/(C364+D364)</f>
        <v/>
      </c>
      <c r="R364" s="58">
        <f>Boosters_And!N364/B364</f>
        <v/>
      </c>
      <c r="S364" s="55" t="n"/>
      <c r="T364" s="59" t="n"/>
      <c r="U364" s="60" t="n"/>
      <c r="V364" s="61">
        <f>U364/B364</f>
        <v/>
      </c>
    </row>
    <row r="365" ht="22.5" customHeight="1" s="150">
      <c r="A365" s="34" t="n">
        <v>363</v>
      </c>
      <c r="B365" s="50" t="n"/>
      <c r="C365" s="50" t="n"/>
      <c r="D365" s="50" t="n"/>
      <c r="E365" s="50" t="n"/>
      <c r="F365" s="51" t="n"/>
      <c r="G365" s="51" t="n"/>
      <c r="H365" s="53" t="n"/>
      <c r="I365" s="53" t="n"/>
      <c r="J365" s="53" t="n"/>
      <c r="K365" s="111" t="n"/>
      <c r="L365" s="55" t="n"/>
      <c r="M365" s="80" t="inlineStr">
        <is>
          <t>Normal</t>
        </is>
      </c>
      <c r="N365" s="55" t="n"/>
      <c r="O365" s="57">
        <f>N365/C365</f>
        <v/>
      </c>
      <c r="P365" s="58">
        <f>(Boosters_And!B365*100)/Boosters_And!N365</f>
        <v/>
      </c>
      <c r="Q365" s="58">
        <f>Boosters_And!B365/(C365+D365)</f>
        <v/>
      </c>
      <c r="R365" s="58">
        <f>Boosters_And!N365/B365</f>
        <v/>
      </c>
      <c r="S365" s="55" t="n"/>
      <c r="T365" s="59" t="n"/>
      <c r="U365" s="60" t="n"/>
      <c r="V365" s="61">
        <f>U365/B365</f>
        <v/>
      </c>
    </row>
    <row r="366" ht="22.5" customHeight="1" s="150">
      <c r="A366" s="34" t="n">
        <v>364</v>
      </c>
      <c r="B366" s="50" t="n"/>
      <c r="C366" s="50" t="n"/>
      <c r="D366" s="50" t="n"/>
      <c r="E366" s="50" t="n"/>
      <c r="F366" s="51" t="n"/>
      <c r="G366" s="51" t="n"/>
      <c r="H366" s="53" t="n"/>
      <c r="I366" s="53" t="n"/>
      <c r="J366" s="53" t="n"/>
      <c r="K366" s="111" t="n"/>
      <c r="L366" s="55" t="n"/>
      <c r="M366" s="83" t="inlineStr">
        <is>
          <t>Hard</t>
        </is>
      </c>
      <c r="N366" s="55" t="n"/>
      <c r="O366" s="57">
        <f>N366/C366</f>
        <v/>
      </c>
      <c r="P366" s="58">
        <f>(Boosters_And!B366*100)/Boosters_And!N366</f>
        <v/>
      </c>
      <c r="Q366" s="58">
        <f>Boosters_And!B366/(C366+D366)</f>
        <v/>
      </c>
      <c r="R366" s="58">
        <f>Boosters_And!N366/B366</f>
        <v/>
      </c>
      <c r="S366" s="55" t="n"/>
      <c r="T366" s="59" t="n"/>
      <c r="U366" s="60" t="n"/>
      <c r="V366" s="61">
        <f>U366/B366</f>
        <v/>
      </c>
    </row>
    <row r="367" ht="22.5" customHeight="1" s="150">
      <c r="A367" s="34" t="n">
        <v>365</v>
      </c>
      <c r="B367" s="50" t="n"/>
      <c r="C367" s="50" t="n"/>
      <c r="D367" s="50" t="n"/>
      <c r="E367" s="50" t="n"/>
      <c r="F367" s="51" t="n"/>
      <c r="G367" s="51" t="n"/>
      <c r="H367" s="53" t="n"/>
      <c r="I367" s="53" t="n"/>
      <c r="J367" s="53" t="n"/>
      <c r="K367" s="111" t="n"/>
      <c r="L367" s="55" t="n"/>
      <c r="M367" s="82" t="inlineStr">
        <is>
          <t>Hard</t>
        </is>
      </c>
      <c r="N367" s="55" t="n"/>
      <c r="O367" s="57">
        <f>N367/C367</f>
        <v/>
      </c>
      <c r="P367" s="58">
        <f>(Boosters_And!B367*100)/Boosters_And!N367</f>
        <v/>
      </c>
      <c r="Q367" s="58">
        <f>Boosters_And!B367/(C367+D367)</f>
        <v/>
      </c>
      <c r="R367" s="58">
        <f>Boosters_And!N367/B367</f>
        <v/>
      </c>
      <c r="S367" s="55" t="n"/>
      <c r="T367" s="59" t="n"/>
      <c r="U367" s="60" t="n"/>
      <c r="V367" s="61">
        <f>U367/B367</f>
        <v/>
      </c>
    </row>
    <row r="368" ht="22.5" customHeight="1" s="150">
      <c r="A368" s="34" t="n">
        <v>366</v>
      </c>
      <c r="B368" s="50" t="n"/>
      <c r="C368" s="50" t="n"/>
      <c r="D368" s="50" t="n"/>
      <c r="E368" s="50" t="n"/>
      <c r="F368" s="51" t="n"/>
      <c r="G368" s="51" t="n"/>
      <c r="H368" s="53" t="n"/>
      <c r="I368" s="53" t="n"/>
      <c r="J368" s="53" t="n"/>
      <c r="K368" s="111" t="n"/>
      <c r="L368" s="55" t="n"/>
      <c r="M368" s="81" t="inlineStr">
        <is>
          <t>Normal</t>
        </is>
      </c>
      <c r="N368" s="55" t="n"/>
      <c r="O368" s="57">
        <f>N368/C368</f>
        <v/>
      </c>
      <c r="P368" s="58">
        <f>(Boosters_And!B368*100)/Boosters_And!N368</f>
        <v/>
      </c>
      <c r="Q368" s="58">
        <f>Boosters_And!B368/(C368+D368)</f>
        <v/>
      </c>
      <c r="R368" s="58">
        <f>Boosters_And!N368/B368</f>
        <v/>
      </c>
      <c r="S368" s="55" t="n"/>
      <c r="T368" s="59" t="n"/>
      <c r="U368" s="60" t="n"/>
      <c r="V368" s="61">
        <f>U368/B368</f>
        <v/>
      </c>
    </row>
    <row r="369" ht="22.5" customHeight="1" s="150">
      <c r="A369" s="34" t="n">
        <v>367</v>
      </c>
      <c r="B369" s="50" t="n"/>
      <c r="C369" s="50" t="n"/>
      <c r="D369" s="50" t="n"/>
      <c r="E369" s="50" t="n"/>
      <c r="F369" s="51" t="n"/>
      <c r="G369" s="51" t="n"/>
      <c r="H369" s="53" t="n"/>
      <c r="I369" s="53" t="n"/>
      <c r="J369" s="53" t="n"/>
      <c r="K369" s="111" t="n"/>
      <c r="L369" s="55" t="n"/>
      <c r="M369" s="80" t="inlineStr">
        <is>
          <t>Normal</t>
        </is>
      </c>
      <c r="N369" s="55" t="n"/>
      <c r="O369" s="57">
        <f>N369/C369</f>
        <v/>
      </c>
      <c r="P369" s="58">
        <f>(Boosters_And!B369*100)/Boosters_And!N369</f>
        <v/>
      </c>
      <c r="Q369" s="58">
        <f>Boosters_And!B369/(C369+D369)</f>
        <v/>
      </c>
      <c r="R369" s="58">
        <f>Boosters_And!N369/B369</f>
        <v/>
      </c>
      <c r="S369" s="55" t="n"/>
      <c r="T369" s="59" t="n"/>
      <c r="U369" s="60" t="n"/>
      <c r="V369" s="61">
        <f>U369/B369</f>
        <v/>
      </c>
    </row>
    <row r="370" ht="22.5" customHeight="1" s="150">
      <c r="A370" s="34" t="n">
        <v>368</v>
      </c>
      <c r="B370" s="50" t="n"/>
      <c r="C370" s="50" t="n"/>
      <c r="D370" s="50" t="n"/>
      <c r="E370" s="50" t="n"/>
      <c r="F370" s="51" t="n"/>
      <c r="G370" s="51" t="n"/>
      <c r="H370" s="53" t="n"/>
      <c r="I370" s="53" t="n"/>
      <c r="J370" s="53" t="n"/>
      <c r="K370" s="111" t="n"/>
      <c r="L370" s="55" t="n"/>
      <c r="M370" s="83" t="inlineStr">
        <is>
          <t>Hard</t>
        </is>
      </c>
      <c r="N370" s="55" t="n"/>
      <c r="O370" s="57">
        <f>N370/C370</f>
        <v/>
      </c>
      <c r="P370" s="58">
        <f>(Boosters_And!B370*100)/Boosters_And!N370</f>
        <v/>
      </c>
      <c r="Q370" s="58">
        <f>Boosters_And!B370/(C370+D370)</f>
        <v/>
      </c>
      <c r="R370" s="58">
        <f>Boosters_And!N370/B370</f>
        <v/>
      </c>
      <c r="S370" s="55" t="n"/>
      <c r="T370" s="59" t="n"/>
      <c r="U370" s="60" t="n"/>
      <c r="V370" s="61">
        <f>U370/B370</f>
        <v/>
      </c>
    </row>
    <row r="371" ht="22.5" customHeight="1" s="150">
      <c r="A371" s="34" t="n">
        <v>369</v>
      </c>
      <c r="B371" s="50" t="n"/>
      <c r="C371" s="50" t="n"/>
      <c r="D371" s="50" t="n"/>
      <c r="E371" s="50" t="n"/>
      <c r="F371" s="51" t="n"/>
      <c r="G371" s="51" t="n"/>
      <c r="H371" s="53" t="n"/>
      <c r="I371" s="53" t="n"/>
      <c r="J371" s="53" t="n"/>
      <c r="K371" s="111" t="n"/>
      <c r="L371" s="55" t="n"/>
      <c r="M371" s="82" t="inlineStr">
        <is>
          <t>Hard</t>
        </is>
      </c>
      <c r="N371" s="55" t="n"/>
      <c r="O371" s="57">
        <f>N371/C371</f>
        <v/>
      </c>
      <c r="P371" s="58">
        <f>(Boosters_And!B371*100)/Boosters_And!N371</f>
        <v/>
      </c>
      <c r="Q371" s="58">
        <f>Boosters_And!B371/(C371+D371)</f>
        <v/>
      </c>
      <c r="R371" s="58">
        <f>Boosters_And!N371/B371</f>
        <v/>
      </c>
      <c r="S371" s="55" t="n"/>
      <c r="T371" s="59" t="n"/>
      <c r="U371" s="60" t="n"/>
      <c r="V371" s="61">
        <f>U371/B371</f>
        <v/>
      </c>
    </row>
    <row r="372" ht="22.5" customHeight="1" s="150">
      <c r="A372" s="34" t="n">
        <v>370</v>
      </c>
      <c r="B372" s="50" t="n"/>
      <c r="C372" s="50" t="n"/>
      <c r="D372" s="50" t="n"/>
      <c r="E372" s="50" t="n"/>
      <c r="F372" s="51" t="n"/>
      <c r="G372" s="51" t="n"/>
      <c r="H372" s="53" t="n"/>
      <c r="I372" s="53" t="n"/>
      <c r="J372" s="53" t="n"/>
      <c r="K372" s="111" t="n"/>
      <c r="L372" s="55" t="n"/>
      <c r="M372" s="83" t="inlineStr">
        <is>
          <t>Hard</t>
        </is>
      </c>
      <c r="N372" s="55" t="n"/>
      <c r="O372" s="57">
        <f>N372/C372</f>
        <v/>
      </c>
      <c r="P372" s="58">
        <f>(Boosters_And!B372*100)/Boosters_And!N372</f>
        <v/>
      </c>
      <c r="Q372" s="58">
        <f>Boosters_And!B372/(C372+D372)</f>
        <v/>
      </c>
      <c r="R372" s="58">
        <f>Boosters_And!N372/B372</f>
        <v/>
      </c>
      <c r="S372" s="55" t="n"/>
      <c r="T372" s="59" t="n"/>
      <c r="U372" s="60" t="n"/>
      <c r="V372" s="61">
        <f>U372/B372</f>
        <v/>
      </c>
    </row>
    <row r="373" ht="22.5" customHeight="1" s="150">
      <c r="A373" s="34" t="n">
        <v>371</v>
      </c>
      <c r="B373" s="50" t="n"/>
      <c r="C373" s="50" t="n"/>
      <c r="D373" s="50" t="n"/>
      <c r="E373" s="50" t="n"/>
      <c r="F373" s="51" t="n"/>
      <c r="G373" s="51" t="n"/>
      <c r="H373" s="53" t="n"/>
      <c r="I373" s="53" t="n"/>
      <c r="J373" s="53" t="n"/>
      <c r="K373" s="111" t="n"/>
      <c r="L373" s="55" t="n"/>
      <c r="M373" s="80" t="inlineStr">
        <is>
          <t>Normal</t>
        </is>
      </c>
      <c r="N373" s="55" t="n"/>
      <c r="O373" s="57">
        <f>N373/C373</f>
        <v/>
      </c>
      <c r="P373" s="58">
        <f>(Boosters_And!B373*100)/Boosters_And!N373</f>
        <v/>
      </c>
      <c r="Q373" s="58">
        <f>Boosters_And!B373/(C373+D373)</f>
        <v/>
      </c>
      <c r="R373" s="58">
        <f>Boosters_And!N373/B373</f>
        <v/>
      </c>
      <c r="S373" s="55" t="n"/>
      <c r="T373" s="59" t="n"/>
      <c r="U373" s="60" t="n"/>
      <c r="V373" s="61">
        <f>U373/B373</f>
        <v/>
      </c>
    </row>
    <row r="374" ht="22.5" customHeight="1" s="150">
      <c r="A374" s="34" t="n">
        <v>372</v>
      </c>
      <c r="B374" s="50" t="n"/>
      <c r="C374" s="50" t="n"/>
      <c r="D374" s="50" t="n"/>
      <c r="E374" s="50" t="n"/>
      <c r="F374" s="51" t="n"/>
      <c r="G374" s="51" t="n"/>
      <c r="H374" s="53" t="n"/>
      <c r="I374" s="53" t="n"/>
      <c r="J374" s="53" t="n"/>
      <c r="K374" s="111" t="n"/>
      <c r="L374" s="55" t="n"/>
      <c r="M374" s="81" t="inlineStr">
        <is>
          <t>Normal</t>
        </is>
      </c>
      <c r="N374" s="55" t="n"/>
      <c r="O374" s="57">
        <f>N374/C374</f>
        <v/>
      </c>
      <c r="P374" s="58">
        <f>(Boosters_And!B374*100)/Boosters_And!N374</f>
        <v/>
      </c>
      <c r="Q374" s="58">
        <f>Boosters_And!B374/(C374+D374)</f>
        <v/>
      </c>
      <c r="R374" s="58">
        <f>Boosters_And!N374/B374</f>
        <v/>
      </c>
      <c r="S374" s="55" t="n"/>
      <c r="T374" s="59" t="n"/>
      <c r="U374" s="60" t="n"/>
      <c r="V374" s="61">
        <f>U374/B374</f>
        <v/>
      </c>
    </row>
    <row r="375" ht="22.5" customHeight="1" s="150">
      <c r="A375" s="34" t="n">
        <v>373</v>
      </c>
      <c r="B375" s="50" t="n"/>
      <c r="C375" s="50" t="n"/>
      <c r="D375" s="50" t="n"/>
      <c r="E375" s="50" t="n"/>
      <c r="F375" s="51" t="n"/>
      <c r="G375" s="51" t="n"/>
      <c r="H375" s="53" t="n"/>
      <c r="I375" s="53" t="n"/>
      <c r="J375" s="53" t="n"/>
      <c r="K375" s="111" t="n"/>
      <c r="L375" s="55" t="n"/>
      <c r="M375" s="80" t="inlineStr">
        <is>
          <t>Normal</t>
        </is>
      </c>
      <c r="N375" s="55" t="n"/>
      <c r="O375" s="57">
        <f>N375/C375</f>
        <v/>
      </c>
      <c r="P375" s="58">
        <f>(Boosters_And!B375*100)/Boosters_And!N375</f>
        <v/>
      </c>
      <c r="Q375" s="58">
        <f>Boosters_And!B375/(C375+D375)</f>
        <v/>
      </c>
      <c r="R375" s="58">
        <f>Boosters_And!N375/B375</f>
        <v/>
      </c>
      <c r="S375" s="55" t="n"/>
      <c r="T375" s="59" t="n"/>
      <c r="U375" s="60" t="n"/>
      <c r="V375" s="61">
        <f>U375/B375</f>
        <v/>
      </c>
    </row>
    <row r="376" ht="22.5" customHeight="1" s="150">
      <c r="A376" s="34" t="n">
        <v>374</v>
      </c>
      <c r="B376" s="50" t="n"/>
      <c r="C376" s="50" t="n"/>
      <c r="D376" s="50" t="n"/>
      <c r="E376" s="50" t="n"/>
      <c r="F376" s="51" t="n"/>
      <c r="G376" s="51" t="n"/>
      <c r="H376" s="53" t="n"/>
      <c r="I376" s="53" t="n"/>
      <c r="J376" s="53" t="n"/>
      <c r="K376" s="111" t="n"/>
      <c r="L376" s="55" t="n"/>
      <c r="M376" s="83" t="inlineStr">
        <is>
          <t>Hard</t>
        </is>
      </c>
      <c r="N376" s="55" t="n"/>
      <c r="O376" s="57">
        <f>N376/C376</f>
        <v/>
      </c>
      <c r="P376" s="58">
        <f>(Boosters_And!B376*100)/Boosters_And!N376</f>
        <v/>
      </c>
      <c r="Q376" s="58">
        <f>Boosters_And!B376/(C376+D376)</f>
        <v/>
      </c>
      <c r="R376" s="58">
        <f>Boosters_And!N376/B376</f>
        <v/>
      </c>
      <c r="S376" s="55" t="n"/>
      <c r="T376" s="59" t="n"/>
      <c r="U376" s="60" t="n"/>
      <c r="V376" s="61">
        <f>U376/B376</f>
        <v/>
      </c>
    </row>
    <row r="377" ht="22.5" customHeight="1" s="150">
      <c r="A377" s="34" t="n">
        <v>375</v>
      </c>
      <c r="B377" s="50" t="n"/>
      <c r="C377" s="50" t="n"/>
      <c r="D377" s="50" t="n"/>
      <c r="E377" s="50" t="n"/>
      <c r="F377" s="51" t="n"/>
      <c r="G377" s="51" t="n"/>
      <c r="H377" s="53" t="n"/>
      <c r="I377" s="53" t="n"/>
      <c r="J377" s="53" t="n"/>
      <c r="K377" s="111" t="n"/>
      <c r="L377" s="55" t="n"/>
      <c r="M377" s="80" t="inlineStr">
        <is>
          <t>Normal</t>
        </is>
      </c>
      <c r="N377" s="55" t="n"/>
      <c r="O377" s="57">
        <f>N377/C377</f>
        <v/>
      </c>
      <c r="P377" s="58">
        <f>(Boosters_And!B377*100)/Boosters_And!N377</f>
        <v/>
      </c>
      <c r="Q377" s="58">
        <f>Boosters_And!B377/(C377+D377)</f>
        <v/>
      </c>
      <c r="R377" s="58">
        <f>Boosters_And!N377/B377</f>
        <v/>
      </c>
      <c r="S377" s="55" t="n"/>
      <c r="T377" s="59" t="n"/>
      <c r="U377" s="60" t="n"/>
      <c r="V377" s="61">
        <f>U377/B377</f>
        <v/>
      </c>
    </row>
    <row r="378" ht="22.5" customHeight="1" s="150">
      <c r="A378" s="34" t="n">
        <v>376</v>
      </c>
      <c r="B378" s="50" t="n"/>
      <c r="C378" s="50" t="n"/>
      <c r="D378" s="50" t="n"/>
      <c r="E378" s="50" t="n"/>
      <c r="F378" s="51" t="n"/>
      <c r="G378" s="51" t="n"/>
      <c r="H378" s="53" t="n"/>
      <c r="I378" s="53" t="n"/>
      <c r="J378" s="53" t="n"/>
      <c r="K378" s="111" t="n"/>
      <c r="L378" s="55" t="n"/>
      <c r="M378" s="81" t="inlineStr">
        <is>
          <t>Normal</t>
        </is>
      </c>
      <c r="N378" s="55" t="n"/>
      <c r="O378" s="57">
        <f>N378/C378</f>
        <v/>
      </c>
      <c r="P378" s="58">
        <f>(Boosters_And!B378*100)/Boosters_And!N378</f>
        <v/>
      </c>
      <c r="Q378" s="58">
        <f>Boosters_And!B378/(C378+D378)</f>
        <v/>
      </c>
      <c r="R378" s="58">
        <f>Boosters_And!N378/B378</f>
        <v/>
      </c>
      <c r="S378" s="55" t="n"/>
      <c r="T378" s="59" t="n"/>
      <c r="U378" s="60" t="n"/>
      <c r="V378" s="61">
        <f>U378/B378</f>
        <v/>
      </c>
    </row>
    <row r="379" ht="22.5" customHeight="1" s="150">
      <c r="A379" s="34" t="n">
        <v>377</v>
      </c>
      <c r="B379" s="50" t="n"/>
      <c r="C379" s="50" t="n"/>
      <c r="D379" s="50" t="n"/>
      <c r="E379" s="50" t="n"/>
      <c r="F379" s="51" t="n"/>
      <c r="G379" s="51" t="n"/>
      <c r="H379" s="53" t="n"/>
      <c r="I379" s="53" t="n"/>
      <c r="J379" s="53" t="n"/>
      <c r="K379" s="111" t="n"/>
      <c r="L379" s="55" t="n"/>
      <c r="M379" s="80" t="inlineStr">
        <is>
          <t>Normal</t>
        </is>
      </c>
      <c r="N379" s="55" t="n"/>
      <c r="O379" s="57">
        <f>N379/C379</f>
        <v/>
      </c>
      <c r="P379" s="58">
        <f>(Boosters_And!B379*100)/Boosters_And!N379</f>
        <v/>
      </c>
      <c r="Q379" s="58">
        <f>Boosters_And!B379/(C379+D379)</f>
        <v/>
      </c>
      <c r="R379" s="58">
        <f>Boosters_And!N379/B379</f>
        <v/>
      </c>
      <c r="S379" s="55" t="n"/>
      <c r="T379" s="59" t="n"/>
      <c r="U379" s="60" t="n"/>
      <c r="V379" s="61">
        <f>U379/B379</f>
        <v/>
      </c>
    </row>
    <row r="380" ht="22.5" customHeight="1" s="150">
      <c r="A380" s="34" t="n">
        <v>378</v>
      </c>
      <c r="B380" s="50" t="n"/>
      <c r="C380" s="50" t="n"/>
      <c r="D380" s="50" t="n"/>
      <c r="E380" s="50" t="n"/>
      <c r="F380" s="51" t="n"/>
      <c r="G380" s="51" t="n"/>
      <c r="H380" s="53" t="n"/>
      <c r="I380" s="53" t="n"/>
      <c r="J380" s="53" t="n"/>
      <c r="K380" s="111" t="n"/>
      <c r="L380" s="55" t="n"/>
      <c r="M380" s="81" t="inlineStr">
        <is>
          <t>Normal</t>
        </is>
      </c>
      <c r="N380" s="55" t="n"/>
      <c r="O380" s="57">
        <f>N380/C380</f>
        <v/>
      </c>
      <c r="P380" s="58">
        <f>(Boosters_And!B380*100)/Boosters_And!N380</f>
        <v/>
      </c>
      <c r="Q380" s="58">
        <f>Boosters_And!B380/(C380+D380)</f>
        <v/>
      </c>
      <c r="R380" s="58">
        <f>Boosters_And!N380/B380</f>
        <v/>
      </c>
      <c r="S380" s="55" t="n"/>
      <c r="T380" s="59" t="n"/>
      <c r="U380" s="60" t="n"/>
      <c r="V380" s="61">
        <f>U380/B380</f>
        <v/>
      </c>
    </row>
    <row r="381" ht="22.5" customHeight="1" s="150">
      <c r="A381" s="34" t="n">
        <v>379</v>
      </c>
      <c r="B381" s="50" t="n"/>
      <c r="C381" s="50" t="n"/>
      <c r="D381" s="50" t="n"/>
      <c r="E381" s="50" t="n"/>
      <c r="F381" s="51" t="n"/>
      <c r="G381" s="51" t="n"/>
      <c r="H381" s="53" t="n"/>
      <c r="I381" s="53" t="n"/>
      <c r="J381" s="53" t="n"/>
      <c r="K381" s="111" t="n"/>
      <c r="L381" s="55" t="n"/>
      <c r="M381" s="82" t="inlineStr">
        <is>
          <t>Hard</t>
        </is>
      </c>
      <c r="N381" s="55" t="n"/>
      <c r="O381" s="57">
        <f>N381/C381</f>
        <v/>
      </c>
      <c r="P381" s="58">
        <f>(Boosters_And!B381*100)/Boosters_And!N381</f>
        <v/>
      </c>
      <c r="Q381" s="58">
        <f>Boosters_And!B381/(C381+D381)</f>
        <v/>
      </c>
      <c r="R381" s="58">
        <f>Boosters_And!N381/B381</f>
        <v/>
      </c>
      <c r="S381" s="55" t="n"/>
      <c r="T381" s="59" t="n"/>
      <c r="U381" s="60" t="n"/>
      <c r="V381" s="61">
        <f>U381/B381</f>
        <v/>
      </c>
    </row>
    <row r="382" ht="22.5" customHeight="1" s="150">
      <c r="A382" s="34" t="n">
        <v>380</v>
      </c>
      <c r="B382" s="50" t="n"/>
      <c r="C382" s="50" t="n"/>
      <c r="D382" s="50" t="n"/>
      <c r="E382" s="50" t="n"/>
      <c r="F382" s="51" t="n"/>
      <c r="G382" s="51" t="n"/>
      <c r="H382" s="53" t="n"/>
      <c r="I382" s="53" t="n"/>
      <c r="J382" s="53" t="n"/>
      <c r="K382" s="111" t="n"/>
      <c r="L382" s="55" t="n"/>
      <c r="M382" s="83" t="inlineStr">
        <is>
          <t>Hard</t>
        </is>
      </c>
      <c r="N382" s="55" t="n"/>
      <c r="O382" s="57">
        <f>N382/C382</f>
        <v/>
      </c>
      <c r="P382" s="58">
        <f>(Boosters_And!B382*100)/Boosters_And!N382</f>
        <v/>
      </c>
      <c r="Q382" s="58">
        <f>Boosters_And!B382/(C382+D382)</f>
        <v/>
      </c>
      <c r="R382" s="58">
        <f>Boosters_And!N382/B382</f>
        <v/>
      </c>
      <c r="S382" s="55" t="n"/>
      <c r="T382" s="59" t="n"/>
      <c r="U382" s="60" t="n"/>
      <c r="V382" s="61">
        <f>U382/B382</f>
        <v/>
      </c>
    </row>
    <row r="383" ht="22.5" customHeight="1" s="150">
      <c r="A383" s="34" t="n">
        <v>381</v>
      </c>
      <c r="B383" s="50" t="n"/>
      <c r="C383" s="50" t="n"/>
      <c r="D383" s="50" t="n"/>
      <c r="E383" s="50" t="n"/>
      <c r="F383" s="51" t="n"/>
      <c r="G383" s="51" t="n"/>
      <c r="H383" s="53" t="n"/>
      <c r="I383" s="53" t="n"/>
      <c r="J383" s="53" t="n"/>
      <c r="K383" s="111" t="n"/>
      <c r="L383" s="55" t="n"/>
      <c r="M383" s="80" t="inlineStr">
        <is>
          <t>Normal</t>
        </is>
      </c>
      <c r="N383" s="55" t="n"/>
      <c r="O383" s="57">
        <f>N383/C383</f>
        <v/>
      </c>
      <c r="P383" s="58">
        <f>(Boosters_And!B383*100)/Boosters_And!N383</f>
        <v/>
      </c>
      <c r="Q383" s="58">
        <f>Boosters_And!B383/(C383+D383)</f>
        <v/>
      </c>
      <c r="R383" s="58">
        <f>Boosters_And!N383/B383</f>
        <v/>
      </c>
      <c r="S383" s="55" t="n"/>
      <c r="T383" s="59" t="n"/>
      <c r="U383" s="60" t="n"/>
      <c r="V383" s="61">
        <f>U383/B383</f>
        <v/>
      </c>
    </row>
    <row r="384" ht="22.5" customHeight="1" s="150">
      <c r="A384" s="34" t="n">
        <v>382</v>
      </c>
      <c r="B384" s="50" t="n"/>
      <c r="C384" s="50" t="n"/>
      <c r="D384" s="50" t="n"/>
      <c r="E384" s="50" t="n"/>
      <c r="F384" s="51" t="n"/>
      <c r="G384" s="51" t="n"/>
      <c r="H384" s="53" t="n"/>
      <c r="I384" s="53" t="n"/>
      <c r="J384" s="53" t="n"/>
      <c r="K384" s="111" t="n"/>
      <c r="L384" s="55" t="n"/>
      <c r="M384" s="81" t="inlineStr">
        <is>
          <t>Normal</t>
        </is>
      </c>
      <c r="N384" s="55" t="n"/>
      <c r="O384" s="57">
        <f>N384/C384</f>
        <v/>
      </c>
      <c r="P384" s="58">
        <f>(Boosters_And!B384*100)/Boosters_And!N384</f>
        <v/>
      </c>
      <c r="Q384" s="58">
        <f>Boosters_And!B384/(C384+D384)</f>
        <v/>
      </c>
      <c r="R384" s="58">
        <f>Boosters_And!N384/B384</f>
        <v/>
      </c>
      <c r="S384" s="55" t="n"/>
      <c r="T384" s="59" t="n"/>
      <c r="U384" s="60" t="n"/>
      <c r="V384" s="61">
        <f>U384/B384</f>
        <v/>
      </c>
    </row>
    <row r="385" ht="22.5" customHeight="1" s="150">
      <c r="A385" s="34" t="n">
        <v>383</v>
      </c>
      <c r="B385" s="50" t="n"/>
      <c r="C385" s="50" t="n"/>
      <c r="D385" s="50" t="n"/>
      <c r="E385" s="50" t="n"/>
      <c r="F385" s="51" t="n"/>
      <c r="G385" s="51" t="n"/>
      <c r="H385" s="53" t="n"/>
      <c r="I385" s="53" t="n"/>
      <c r="J385" s="53" t="n"/>
      <c r="K385" s="111" t="n"/>
      <c r="L385" s="55" t="n"/>
      <c r="M385" s="80" t="inlineStr">
        <is>
          <t>Normal</t>
        </is>
      </c>
      <c r="N385" s="55" t="n"/>
      <c r="O385" s="57">
        <f>N385/C385</f>
        <v/>
      </c>
      <c r="P385" s="58">
        <f>(Boosters_And!B385*100)/Boosters_And!N385</f>
        <v/>
      </c>
      <c r="Q385" s="58">
        <f>Boosters_And!B385/(C385+D385)</f>
        <v/>
      </c>
      <c r="R385" s="58">
        <f>Boosters_And!N385/B385</f>
        <v/>
      </c>
      <c r="S385" s="55" t="n"/>
      <c r="T385" s="59" t="n"/>
      <c r="U385" s="60" t="n"/>
      <c r="V385" s="61">
        <f>U385/B385</f>
        <v/>
      </c>
    </row>
    <row r="386" ht="22.5" customHeight="1" s="150">
      <c r="A386" s="34" t="n">
        <v>384</v>
      </c>
      <c r="B386" s="50" t="n"/>
      <c r="C386" s="50" t="n"/>
      <c r="D386" s="50" t="n"/>
      <c r="E386" s="50" t="n"/>
      <c r="F386" s="51" t="n"/>
      <c r="G386" s="51" t="n"/>
      <c r="H386" s="53" t="n"/>
      <c r="I386" s="53" t="n"/>
      <c r="J386" s="53" t="n"/>
      <c r="K386" s="111" t="n"/>
      <c r="L386" s="55" t="n"/>
      <c r="M386" s="85" t="inlineStr">
        <is>
          <t>Very Hard</t>
        </is>
      </c>
      <c r="N386" s="55" t="n"/>
      <c r="O386" s="57">
        <f>N386/C386</f>
        <v/>
      </c>
      <c r="P386" s="58">
        <f>(Boosters_And!B386*100)/Boosters_And!N386</f>
        <v/>
      </c>
      <c r="Q386" s="58">
        <f>Boosters_And!B386/(C386+D386)</f>
        <v/>
      </c>
      <c r="R386" s="58">
        <f>Boosters_And!N386/B386</f>
        <v/>
      </c>
      <c r="S386" s="55" t="n"/>
      <c r="T386" s="59" t="n"/>
      <c r="U386" s="60" t="n"/>
      <c r="V386" s="61">
        <f>U386/B386</f>
        <v/>
      </c>
    </row>
    <row r="387" ht="22.5" customHeight="1" s="150">
      <c r="A387" s="34" t="n">
        <v>385</v>
      </c>
      <c r="B387" s="50" t="n"/>
      <c r="C387" s="50" t="n"/>
      <c r="D387" s="50" t="n"/>
      <c r="E387" s="50" t="n"/>
      <c r="F387" s="51" t="n"/>
      <c r="G387" s="51" t="n"/>
      <c r="H387" s="53" t="n"/>
      <c r="I387" s="53" t="n"/>
      <c r="J387" s="53" t="n"/>
      <c r="K387" s="111" t="n"/>
      <c r="L387" s="55" t="n"/>
      <c r="M387" s="80" t="inlineStr">
        <is>
          <t>Normal</t>
        </is>
      </c>
      <c r="N387" s="55" t="n"/>
      <c r="O387" s="57">
        <f>N387/C387</f>
        <v/>
      </c>
      <c r="P387" s="58">
        <f>(Boosters_And!B387*100)/Boosters_And!N387</f>
        <v/>
      </c>
      <c r="Q387" s="58">
        <f>Boosters_And!B387/(C387+D387)</f>
        <v/>
      </c>
      <c r="R387" s="58">
        <f>Boosters_And!N387/B387</f>
        <v/>
      </c>
      <c r="S387" s="55" t="n"/>
      <c r="T387" s="59" t="n"/>
      <c r="U387" s="60" t="n"/>
      <c r="V387" s="61">
        <f>U387/B387</f>
        <v/>
      </c>
    </row>
    <row r="388" ht="22.5" customHeight="1" s="150">
      <c r="A388" s="34" t="n">
        <v>386</v>
      </c>
      <c r="B388" s="50" t="n"/>
      <c r="C388" s="50" t="n"/>
      <c r="D388" s="50" t="n"/>
      <c r="E388" s="50" t="n"/>
      <c r="F388" s="51" t="n"/>
      <c r="G388" s="51" t="n"/>
      <c r="H388" s="53" t="n"/>
      <c r="I388" s="53" t="n"/>
      <c r="J388" s="53" t="n"/>
      <c r="K388" s="111" t="n"/>
      <c r="L388" s="55" t="n"/>
      <c r="M388" s="81" t="inlineStr">
        <is>
          <t>Normal</t>
        </is>
      </c>
      <c r="N388" s="55" t="n"/>
      <c r="O388" s="57">
        <f>N388/C388</f>
        <v/>
      </c>
      <c r="P388" s="58">
        <f>(Boosters_And!B388*100)/Boosters_And!N388</f>
        <v/>
      </c>
      <c r="Q388" s="58">
        <f>Boosters_And!B388/(C388+D388)</f>
        <v/>
      </c>
      <c r="R388" s="58">
        <f>Boosters_And!N388/B388</f>
        <v/>
      </c>
      <c r="S388" s="55" t="n"/>
      <c r="T388" s="59" t="n"/>
      <c r="U388" s="60" t="n"/>
      <c r="V388" s="61">
        <f>U388/B388</f>
        <v/>
      </c>
    </row>
    <row r="389" ht="22.5" customHeight="1" s="150">
      <c r="A389" s="34" t="n">
        <v>387</v>
      </c>
      <c r="B389" s="50" t="n"/>
      <c r="C389" s="50" t="n"/>
      <c r="D389" s="50" t="n"/>
      <c r="E389" s="50" t="n"/>
      <c r="F389" s="51" t="n"/>
      <c r="G389" s="51" t="n"/>
      <c r="H389" s="53" t="n"/>
      <c r="I389" s="53" t="n"/>
      <c r="J389" s="53" t="n"/>
      <c r="K389" s="111" t="n"/>
      <c r="L389" s="55" t="n"/>
      <c r="M389" s="80" t="inlineStr">
        <is>
          <t>Normal</t>
        </is>
      </c>
      <c r="N389" s="55" t="n"/>
      <c r="O389" s="57">
        <f>N389/C389</f>
        <v/>
      </c>
      <c r="P389" s="58">
        <f>(Boosters_And!B389*100)/Boosters_And!N389</f>
        <v/>
      </c>
      <c r="Q389" s="58">
        <f>Boosters_And!B389/(C389+D389)</f>
        <v/>
      </c>
      <c r="R389" s="58">
        <f>Boosters_And!N389/B389</f>
        <v/>
      </c>
      <c r="S389" s="55" t="n"/>
      <c r="T389" s="59" t="n"/>
      <c r="U389" s="60" t="n"/>
      <c r="V389" s="61">
        <f>U389/B389</f>
        <v/>
      </c>
    </row>
    <row r="390" ht="22.5" customHeight="1" s="150">
      <c r="A390" s="34" t="n">
        <v>388</v>
      </c>
      <c r="B390" s="50" t="n"/>
      <c r="C390" s="50" t="n"/>
      <c r="D390" s="50" t="n"/>
      <c r="E390" s="50" t="n"/>
      <c r="F390" s="51" t="n"/>
      <c r="G390" s="51" t="n"/>
      <c r="H390" s="53" t="n"/>
      <c r="I390" s="53" t="n"/>
      <c r="J390" s="53" t="n"/>
      <c r="K390" s="111" t="n"/>
      <c r="L390" s="55" t="n"/>
      <c r="M390" s="81" t="inlineStr">
        <is>
          <t>Normal</t>
        </is>
      </c>
      <c r="N390" s="55" t="n"/>
      <c r="O390" s="57">
        <f>N390/C390</f>
        <v/>
      </c>
      <c r="P390" s="58">
        <f>(Boosters_And!B390*100)/Boosters_And!N390</f>
        <v/>
      </c>
      <c r="Q390" s="58">
        <f>Boosters_And!B390/(C390+D390)</f>
        <v/>
      </c>
      <c r="R390" s="58">
        <f>Boosters_And!N390/B390</f>
        <v/>
      </c>
      <c r="S390" s="55" t="n"/>
      <c r="T390" s="59" t="n"/>
      <c r="U390" s="60" t="n"/>
      <c r="V390" s="61">
        <f>U390/B390</f>
        <v/>
      </c>
    </row>
    <row r="391" ht="22.5" customHeight="1" s="150">
      <c r="A391" s="34" t="n">
        <v>389</v>
      </c>
      <c r="B391" s="50" t="n"/>
      <c r="C391" s="50" t="n"/>
      <c r="D391" s="50" t="n"/>
      <c r="E391" s="50" t="n"/>
      <c r="F391" s="51" t="n"/>
      <c r="G391" s="51" t="n"/>
      <c r="H391" s="53" t="n"/>
      <c r="I391" s="53" t="n"/>
      <c r="J391" s="53" t="n"/>
      <c r="K391" s="111" t="n"/>
      <c r="L391" s="55" t="n"/>
      <c r="M391" s="82" t="inlineStr">
        <is>
          <t>Hard</t>
        </is>
      </c>
      <c r="N391" s="55" t="n"/>
      <c r="O391" s="57">
        <f>N391/C391</f>
        <v/>
      </c>
      <c r="P391" s="58">
        <f>(Boosters_And!B391*100)/Boosters_And!N391</f>
        <v/>
      </c>
      <c r="Q391" s="58">
        <f>Boosters_And!B391/(C391+D391)</f>
        <v/>
      </c>
      <c r="R391" s="58">
        <f>Boosters_And!N391/B391</f>
        <v/>
      </c>
      <c r="S391" s="55" t="n"/>
      <c r="T391" s="59" t="n"/>
      <c r="U391" s="60" t="n"/>
      <c r="V391" s="61">
        <f>U391/B391</f>
        <v/>
      </c>
    </row>
    <row r="392" ht="22.5" customHeight="1" s="150">
      <c r="A392" s="34" t="n">
        <v>390</v>
      </c>
      <c r="B392" s="50" t="n"/>
      <c r="C392" s="50" t="n"/>
      <c r="D392" s="50" t="n"/>
      <c r="E392" s="50" t="n"/>
      <c r="F392" s="51" t="n"/>
      <c r="G392" s="51" t="n"/>
      <c r="H392" s="53" t="n"/>
      <c r="I392" s="53" t="n"/>
      <c r="J392" s="53" t="n"/>
      <c r="K392" s="111" t="n"/>
      <c r="L392" s="55" t="n"/>
      <c r="M392" s="81" t="inlineStr">
        <is>
          <t>Normal</t>
        </is>
      </c>
      <c r="N392" s="55" t="n"/>
      <c r="O392" s="57">
        <f>N392/C392</f>
        <v/>
      </c>
      <c r="P392" s="58">
        <f>(Boosters_And!B392*100)/Boosters_And!N392</f>
        <v/>
      </c>
      <c r="Q392" s="58">
        <f>Boosters_And!B392/(C392+D392)</f>
        <v/>
      </c>
      <c r="R392" s="58">
        <f>Boosters_And!N392/B392</f>
        <v/>
      </c>
      <c r="S392" s="55" t="n"/>
      <c r="T392" s="59" t="n"/>
      <c r="U392" s="60" t="n"/>
      <c r="V392" s="61">
        <f>U392/B392</f>
        <v/>
      </c>
    </row>
    <row r="393" ht="22.5" customHeight="1" s="150">
      <c r="A393" s="34" t="n">
        <v>391</v>
      </c>
      <c r="B393" s="50" t="n"/>
      <c r="C393" s="50" t="n"/>
      <c r="D393" s="50" t="n"/>
      <c r="E393" s="50" t="n"/>
      <c r="F393" s="51" t="n"/>
      <c r="G393" s="51" t="n"/>
      <c r="H393" s="53" t="n"/>
      <c r="I393" s="53" t="n"/>
      <c r="J393" s="53" t="n"/>
      <c r="K393" s="111" t="n"/>
      <c r="L393" s="55" t="n"/>
      <c r="M393" s="80" t="inlineStr">
        <is>
          <t>Normal</t>
        </is>
      </c>
      <c r="N393" s="55" t="n"/>
      <c r="O393" s="57">
        <f>N393/C393</f>
        <v/>
      </c>
      <c r="P393" s="58">
        <f>(Boosters_And!B393*100)/Boosters_And!N393</f>
        <v/>
      </c>
      <c r="Q393" s="58">
        <f>Boosters_And!B393/(C393+D393)</f>
        <v/>
      </c>
      <c r="R393" s="58">
        <f>Boosters_And!N393/B393</f>
        <v/>
      </c>
      <c r="S393" s="55" t="n"/>
      <c r="T393" s="59" t="n"/>
      <c r="U393" s="60" t="n"/>
      <c r="V393" s="61">
        <f>U393/B393</f>
        <v/>
      </c>
    </row>
    <row r="394" ht="22.5" customHeight="1" s="150">
      <c r="A394" s="34" t="n">
        <v>392</v>
      </c>
      <c r="B394" s="50" t="n"/>
      <c r="C394" s="50" t="n"/>
      <c r="D394" s="50" t="n"/>
      <c r="E394" s="50" t="n"/>
      <c r="F394" s="51" t="n"/>
      <c r="G394" s="51" t="n"/>
      <c r="H394" s="53" t="n"/>
      <c r="I394" s="53" t="n"/>
      <c r="J394" s="53" t="n"/>
      <c r="K394" s="111" t="n"/>
      <c r="L394" s="55" t="n"/>
      <c r="M394" s="81" t="inlineStr">
        <is>
          <t>Normal</t>
        </is>
      </c>
      <c r="N394" s="55" t="n"/>
      <c r="O394" s="57">
        <f>N394/C394</f>
        <v/>
      </c>
      <c r="P394" s="58">
        <f>(Boosters_And!B394*100)/Boosters_And!N394</f>
        <v/>
      </c>
      <c r="Q394" s="58">
        <f>Boosters_And!B394/(C394+D394)</f>
        <v/>
      </c>
      <c r="R394" s="58">
        <f>Boosters_And!N394/B394</f>
        <v/>
      </c>
      <c r="S394" s="55" t="n"/>
      <c r="T394" s="59" t="n"/>
      <c r="U394" s="60" t="n"/>
      <c r="V394" s="61">
        <f>U394/B394</f>
        <v/>
      </c>
    </row>
    <row r="395" ht="22.5" customHeight="1" s="150">
      <c r="A395" s="34" t="n">
        <v>393</v>
      </c>
      <c r="B395" s="50" t="n"/>
      <c r="C395" s="50" t="n"/>
      <c r="D395" s="50" t="n"/>
      <c r="E395" s="50" t="n"/>
      <c r="F395" s="51" t="n"/>
      <c r="G395" s="51" t="n"/>
      <c r="H395" s="53" t="n"/>
      <c r="I395" s="53" t="n"/>
      <c r="J395" s="53" t="n"/>
      <c r="K395" s="111" t="n"/>
      <c r="L395" s="55" t="n"/>
      <c r="M395" s="80" t="inlineStr">
        <is>
          <t>Normal</t>
        </is>
      </c>
      <c r="N395" s="55" t="n"/>
      <c r="O395" s="57">
        <f>N395/C395</f>
        <v/>
      </c>
      <c r="P395" s="58">
        <f>(Boosters_And!B395*100)/Boosters_And!N395</f>
        <v/>
      </c>
      <c r="Q395" s="58">
        <f>Boosters_And!B395/(C395+D395)</f>
        <v/>
      </c>
      <c r="R395" s="58">
        <f>Boosters_And!N395/B395</f>
        <v/>
      </c>
      <c r="S395" s="55" t="n"/>
      <c r="T395" s="59" t="n"/>
      <c r="U395" s="60" t="n"/>
      <c r="V395" s="61">
        <f>U395/B395</f>
        <v/>
      </c>
    </row>
    <row r="396" ht="22.5" customHeight="1" s="150">
      <c r="A396" s="34" t="n">
        <v>394</v>
      </c>
      <c r="B396" s="50" t="n"/>
      <c r="C396" s="50" t="n"/>
      <c r="D396" s="50" t="n"/>
      <c r="E396" s="50" t="n"/>
      <c r="F396" s="51" t="n"/>
      <c r="G396" s="51" t="n"/>
      <c r="H396" s="53" t="n"/>
      <c r="I396" s="53" t="n"/>
      <c r="J396" s="53" t="n"/>
      <c r="K396" s="111" t="n"/>
      <c r="L396" s="55" t="n"/>
      <c r="M396" s="81" t="inlineStr">
        <is>
          <t>Normal</t>
        </is>
      </c>
      <c r="N396" s="55" t="n"/>
      <c r="O396" s="57">
        <f>N396/C396</f>
        <v/>
      </c>
      <c r="P396" s="58">
        <f>(Boosters_And!B396*100)/Boosters_And!N396</f>
        <v/>
      </c>
      <c r="Q396" s="58">
        <f>Boosters_And!B396/(C396+D396)</f>
        <v/>
      </c>
      <c r="R396" s="58">
        <f>Boosters_And!N396/B396</f>
        <v/>
      </c>
      <c r="S396" s="55" t="n"/>
      <c r="T396" s="59" t="n"/>
      <c r="U396" s="60" t="n"/>
      <c r="V396" s="61">
        <f>U396/B396</f>
        <v/>
      </c>
    </row>
    <row r="397" ht="22.5" customHeight="1" s="150">
      <c r="A397" s="34" t="n">
        <v>395</v>
      </c>
      <c r="B397" s="50" t="n"/>
      <c r="C397" s="50" t="n"/>
      <c r="D397" s="50" t="n"/>
      <c r="E397" s="50" t="n"/>
      <c r="F397" s="51" t="n"/>
      <c r="G397" s="51" t="n"/>
      <c r="H397" s="53" t="n"/>
      <c r="I397" s="53" t="n"/>
      <c r="J397" s="53" t="n"/>
      <c r="K397" s="111" t="n"/>
      <c r="L397" s="55" t="n"/>
      <c r="M397" s="80" t="inlineStr">
        <is>
          <t>Normal</t>
        </is>
      </c>
      <c r="N397" s="55" t="n"/>
      <c r="O397" s="57">
        <f>N397/C397</f>
        <v/>
      </c>
      <c r="P397" s="58">
        <f>(Boosters_And!B397*100)/Boosters_And!N397</f>
        <v/>
      </c>
      <c r="Q397" s="58">
        <f>Boosters_And!B397/(C397+D397)</f>
        <v/>
      </c>
      <c r="R397" s="58">
        <f>Boosters_And!N397/B397</f>
        <v/>
      </c>
      <c r="S397" s="55" t="n"/>
      <c r="T397" s="59" t="n"/>
      <c r="U397" s="60" t="n"/>
      <c r="V397" s="61">
        <f>U397/B397</f>
        <v/>
      </c>
    </row>
    <row r="398" ht="22.5" customHeight="1" s="150">
      <c r="A398" s="34" t="n">
        <v>396</v>
      </c>
      <c r="B398" s="50" t="n"/>
      <c r="C398" s="50" t="n"/>
      <c r="D398" s="50" t="n"/>
      <c r="E398" s="50" t="n"/>
      <c r="F398" s="51" t="n"/>
      <c r="G398" s="51" t="n"/>
      <c r="H398" s="53" t="n"/>
      <c r="I398" s="53" t="n"/>
      <c r="J398" s="53" t="n"/>
      <c r="K398" s="111" t="n"/>
      <c r="L398" s="55" t="n"/>
      <c r="M398" s="81" t="inlineStr">
        <is>
          <t>Normal</t>
        </is>
      </c>
      <c r="N398" s="55" t="n"/>
      <c r="O398" s="57">
        <f>N398/C398</f>
        <v/>
      </c>
      <c r="P398" s="58">
        <f>(Boosters_And!B398*100)/Boosters_And!N398</f>
        <v/>
      </c>
      <c r="Q398" s="58">
        <f>Boosters_And!B398/(C398+D398)</f>
        <v/>
      </c>
      <c r="R398" s="58">
        <f>Boosters_And!N398/B398</f>
        <v/>
      </c>
      <c r="S398" s="55" t="n"/>
      <c r="T398" s="59" t="n"/>
      <c r="U398" s="60" t="n"/>
      <c r="V398" s="61">
        <f>U398/B398</f>
        <v/>
      </c>
    </row>
    <row r="399" ht="22.5" customHeight="1" s="150">
      <c r="A399" s="34" t="n">
        <v>397</v>
      </c>
      <c r="B399" s="50" t="n"/>
      <c r="C399" s="50" t="n"/>
      <c r="D399" s="50" t="n"/>
      <c r="E399" s="50" t="n"/>
      <c r="F399" s="51" t="n"/>
      <c r="G399" s="51" t="n"/>
      <c r="H399" s="53" t="n"/>
      <c r="I399" s="53" t="n"/>
      <c r="J399" s="53" t="n"/>
      <c r="K399" s="111" t="n"/>
      <c r="L399" s="55" t="n"/>
      <c r="M399" s="80" t="inlineStr">
        <is>
          <t>Normal</t>
        </is>
      </c>
      <c r="N399" s="55" t="n"/>
      <c r="O399" s="57">
        <f>N399/C399</f>
        <v/>
      </c>
      <c r="P399" s="58">
        <f>(Boosters_And!B399*100)/Boosters_And!N399</f>
        <v/>
      </c>
      <c r="Q399" s="58">
        <f>Boosters_And!B399/(C399+D399)</f>
        <v/>
      </c>
      <c r="R399" s="58">
        <f>Boosters_And!N399/B399</f>
        <v/>
      </c>
      <c r="S399" s="55" t="n"/>
      <c r="T399" s="59" t="n"/>
      <c r="U399" s="60" t="n"/>
      <c r="V399" s="61">
        <f>U399/B399</f>
        <v/>
      </c>
    </row>
    <row r="400" ht="22.5" customHeight="1" s="150">
      <c r="A400" s="34" t="n">
        <v>398</v>
      </c>
      <c r="B400" s="50" t="n"/>
      <c r="C400" s="50" t="n"/>
      <c r="D400" s="50" t="n"/>
      <c r="E400" s="50" t="n"/>
      <c r="F400" s="51" t="n"/>
      <c r="G400" s="51" t="n"/>
      <c r="H400" s="53" t="n"/>
      <c r="I400" s="53" t="n"/>
      <c r="J400" s="53" t="n"/>
      <c r="K400" s="111" t="n"/>
      <c r="L400" s="55" t="n"/>
      <c r="M400" s="81" t="inlineStr">
        <is>
          <t>Normal</t>
        </is>
      </c>
      <c r="N400" s="55" t="n"/>
      <c r="O400" s="57">
        <f>N400/C400</f>
        <v/>
      </c>
      <c r="P400" s="58">
        <f>(Boosters_And!B400*100)/Boosters_And!N400</f>
        <v/>
      </c>
      <c r="Q400" s="58">
        <f>Boosters_And!B400/(C400+D400)</f>
        <v/>
      </c>
      <c r="R400" s="58">
        <f>Boosters_And!N400/B400</f>
        <v/>
      </c>
      <c r="S400" s="55" t="n"/>
      <c r="T400" s="59" t="n"/>
      <c r="U400" s="60" t="n"/>
      <c r="V400" s="61">
        <f>U400/B400</f>
        <v/>
      </c>
    </row>
    <row r="401" ht="22.5" customHeight="1" s="150">
      <c r="A401" s="34" t="n">
        <v>399</v>
      </c>
      <c r="B401" s="50" t="n"/>
      <c r="C401" s="50" t="n"/>
      <c r="D401" s="50" t="n"/>
      <c r="E401" s="50" t="n"/>
      <c r="F401" s="51" t="n"/>
      <c r="G401" s="51" t="n"/>
      <c r="H401" s="53" t="n"/>
      <c r="I401" s="53" t="n"/>
      <c r="J401" s="53" t="n"/>
      <c r="K401" s="111" t="n"/>
      <c r="L401" s="55" t="n"/>
      <c r="M401" s="80" t="inlineStr">
        <is>
          <t>Normal</t>
        </is>
      </c>
      <c r="N401" s="55" t="n"/>
      <c r="O401" s="57">
        <f>N401/C401</f>
        <v/>
      </c>
      <c r="P401" s="58">
        <f>(Boosters_And!B401*100)/Boosters_And!N401</f>
        <v/>
      </c>
      <c r="Q401" s="58">
        <f>Boosters_And!B401/(C401+D401)</f>
        <v/>
      </c>
      <c r="R401" s="58">
        <f>Boosters_And!N401/B401</f>
        <v/>
      </c>
      <c r="S401" s="55" t="n"/>
      <c r="T401" s="59" t="n"/>
      <c r="U401" s="60" t="n"/>
      <c r="V401" s="61">
        <f>U401/B401</f>
        <v/>
      </c>
    </row>
    <row r="402" ht="22.5" customHeight="1" s="150">
      <c r="A402" s="34" t="n">
        <v>400</v>
      </c>
      <c r="B402" s="50" t="n"/>
      <c r="C402" s="50" t="n"/>
      <c r="D402" s="50" t="n"/>
      <c r="E402" s="50" t="n"/>
      <c r="F402" s="51" t="n"/>
      <c r="G402" s="51" t="n"/>
      <c r="H402" s="53" t="n"/>
      <c r="I402" s="53" t="n"/>
      <c r="J402" s="53" t="n"/>
      <c r="K402" s="111" t="n"/>
      <c r="L402" s="55" t="n"/>
      <c r="M402" s="81" t="inlineStr">
        <is>
          <t>Normal</t>
        </is>
      </c>
      <c r="N402" s="55" t="n"/>
      <c r="O402" s="57">
        <f>N402/C402</f>
        <v/>
      </c>
      <c r="P402" s="58">
        <f>(Boosters_And!B402*100)/Boosters_And!N402</f>
        <v/>
      </c>
      <c r="Q402" s="58">
        <f>Boosters_And!B402/(C402+D402)</f>
        <v/>
      </c>
      <c r="R402" s="58">
        <f>Boosters_And!N402/B402</f>
        <v/>
      </c>
      <c r="S402" s="55" t="n"/>
      <c r="T402" s="59" t="n"/>
      <c r="U402" s="60" t="n"/>
      <c r="V402" s="61">
        <f>U402/B402</f>
        <v/>
      </c>
    </row>
    <row r="403" ht="22.5" customHeight="1" s="150">
      <c r="A403" s="34" t="n">
        <v>401</v>
      </c>
      <c r="B403" s="34" t="n"/>
      <c r="C403" s="34" t="n"/>
      <c r="D403" s="34" t="n"/>
      <c r="E403" s="34" t="n"/>
      <c r="F403" s="86" t="n"/>
      <c r="G403" s="86" t="n"/>
      <c r="H403" s="111" t="n"/>
      <c r="I403" s="87" t="n"/>
      <c r="J403" s="87" t="n"/>
      <c r="K403" s="111" t="n"/>
      <c r="L403" s="86" t="n"/>
      <c r="M403" s="80" t="inlineStr">
        <is>
          <t>Normal</t>
        </is>
      </c>
      <c r="N403" s="88" t="n"/>
      <c r="O403" s="20" t="n"/>
      <c r="P403" s="31" t="n"/>
      <c r="Q403" s="89" t="n"/>
      <c r="R403" s="89" t="n"/>
      <c r="S403" s="89" t="n"/>
      <c r="T403" s="59" t="n"/>
      <c r="U403" s="90" t="n"/>
      <c r="V403" s="61">
        <f>U403/B403</f>
        <v/>
      </c>
    </row>
    <row r="404" ht="22.5" customHeight="1" s="150">
      <c r="A404" s="34" t="n">
        <v>402</v>
      </c>
      <c r="B404" s="34" t="n"/>
      <c r="C404" s="34" t="n"/>
      <c r="D404" s="34" t="n"/>
      <c r="E404" s="34" t="n"/>
      <c r="F404" s="86" t="n"/>
      <c r="G404" s="86" t="n"/>
      <c r="H404" s="111" t="n"/>
      <c r="I404" s="87" t="n"/>
      <c r="J404" s="87" t="n"/>
      <c r="K404" s="111" t="n"/>
      <c r="L404" s="86" t="n"/>
      <c r="M404" s="81" t="inlineStr">
        <is>
          <t>Normal</t>
        </is>
      </c>
      <c r="N404" s="88" t="n"/>
      <c r="O404" s="20" t="n"/>
      <c r="P404" s="31" t="n"/>
      <c r="Q404" s="89" t="n"/>
      <c r="R404" s="89" t="n"/>
      <c r="S404" s="89" t="n"/>
      <c r="T404" s="59" t="n"/>
      <c r="U404" s="90" t="n"/>
      <c r="V404" s="61">
        <f>U404/B404</f>
        <v/>
      </c>
    </row>
    <row r="405" ht="22.5" customHeight="1" s="150">
      <c r="A405" s="34" t="n">
        <v>403</v>
      </c>
      <c r="B405" s="34" t="n"/>
      <c r="C405" s="34" t="n"/>
      <c r="D405" s="34" t="n"/>
      <c r="E405" s="34" t="n"/>
      <c r="F405" s="86" t="n"/>
      <c r="G405" s="86" t="n"/>
      <c r="H405" s="111" t="n"/>
      <c r="I405" s="87" t="n"/>
      <c r="J405" s="87" t="n"/>
      <c r="K405" s="111" t="n"/>
      <c r="L405" s="86" t="n"/>
      <c r="M405" s="84" t="inlineStr">
        <is>
          <t>Very Hard</t>
        </is>
      </c>
      <c r="N405" s="88" t="n"/>
      <c r="O405" s="20" t="n"/>
      <c r="P405" s="31" t="n"/>
      <c r="Q405" s="89" t="n"/>
      <c r="R405" s="89" t="n"/>
      <c r="S405" s="89" t="n"/>
      <c r="T405" s="59" t="n"/>
      <c r="U405" s="90" t="n"/>
      <c r="V405" s="61">
        <f>U405/B405</f>
        <v/>
      </c>
    </row>
    <row r="406" ht="22.5" customHeight="1" s="150">
      <c r="A406" s="34" t="n">
        <v>404</v>
      </c>
      <c r="B406" s="34" t="n"/>
      <c r="C406" s="34" t="n"/>
      <c r="D406" s="34" t="n"/>
      <c r="E406" s="34" t="n"/>
      <c r="F406" s="86" t="n"/>
      <c r="G406" s="86" t="n"/>
      <c r="H406" s="111" t="n"/>
      <c r="I406" s="87" t="n"/>
      <c r="J406" s="87" t="n"/>
      <c r="K406" s="111" t="n"/>
      <c r="L406" s="86" t="n"/>
      <c r="M406" s="81" t="inlineStr">
        <is>
          <t>Normal</t>
        </is>
      </c>
      <c r="N406" s="88" t="n"/>
      <c r="O406" s="20" t="n"/>
      <c r="P406" s="31" t="n"/>
      <c r="Q406" s="89" t="n"/>
      <c r="R406" s="89" t="n"/>
      <c r="S406" s="89" t="n"/>
      <c r="T406" s="59" t="n"/>
      <c r="U406" s="90" t="n"/>
      <c r="V406" s="61">
        <f>U406/B406</f>
        <v/>
      </c>
    </row>
    <row r="407" ht="22.5" customHeight="1" s="150">
      <c r="A407" s="34" t="n">
        <v>405</v>
      </c>
      <c r="B407" s="34" t="n"/>
      <c r="C407" s="34" t="n"/>
      <c r="D407" s="34" t="n"/>
      <c r="E407" s="34" t="n"/>
      <c r="F407" s="86" t="n"/>
      <c r="G407" s="86" t="n"/>
      <c r="H407" s="111" t="n"/>
      <c r="I407" s="87" t="n"/>
      <c r="J407" s="87" t="n"/>
      <c r="K407" s="111" t="n"/>
      <c r="L407" s="86" t="n"/>
      <c r="M407" s="80" t="inlineStr">
        <is>
          <t>Normal</t>
        </is>
      </c>
      <c r="N407" s="88" t="n"/>
      <c r="O407" s="20" t="n"/>
      <c r="P407" s="31" t="n"/>
      <c r="Q407" s="89" t="n"/>
      <c r="R407" s="89" t="n"/>
      <c r="S407" s="89" t="n"/>
      <c r="T407" s="59" t="n"/>
      <c r="U407" s="90" t="n"/>
      <c r="V407" s="61">
        <f>U407/B407</f>
        <v/>
      </c>
    </row>
    <row r="408" ht="22.5" customHeight="1" s="150">
      <c r="A408" s="34" t="n">
        <v>406</v>
      </c>
      <c r="B408" s="34" t="n"/>
      <c r="C408" s="34" t="n"/>
      <c r="D408" s="34" t="n"/>
      <c r="E408" s="34" t="n"/>
      <c r="F408" s="86" t="n"/>
      <c r="G408" s="86" t="n"/>
      <c r="H408" s="111" t="n"/>
      <c r="I408" s="87" t="n"/>
      <c r="J408" s="87" t="n"/>
      <c r="K408" s="111" t="n"/>
      <c r="L408" s="86" t="n"/>
      <c r="M408" s="83" t="inlineStr">
        <is>
          <t>Hard</t>
        </is>
      </c>
      <c r="N408" s="88" t="n"/>
      <c r="O408" s="20" t="n"/>
      <c r="P408" s="31" t="n"/>
      <c r="Q408" s="89" t="n"/>
      <c r="R408" s="89" t="n"/>
      <c r="S408" s="89" t="n"/>
      <c r="T408" s="59" t="n"/>
      <c r="U408" s="90" t="n"/>
      <c r="V408" s="61">
        <f>U408/B408</f>
        <v/>
      </c>
    </row>
    <row r="409" ht="22.5" customHeight="1" s="150">
      <c r="A409" s="34" t="n">
        <v>407</v>
      </c>
      <c r="B409" s="34" t="n"/>
      <c r="C409" s="34" t="n"/>
      <c r="D409" s="34" t="n"/>
      <c r="E409" s="34" t="n"/>
      <c r="F409" s="86" t="n"/>
      <c r="G409" s="86" t="n"/>
      <c r="H409" s="111" t="n"/>
      <c r="I409" s="87" t="n"/>
      <c r="J409" s="87" t="n"/>
      <c r="K409" s="111" t="n"/>
      <c r="L409" s="86" t="n"/>
      <c r="M409" s="82" t="inlineStr">
        <is>
          <t>Hard</t>
        </is>
      </c>
      <c r="N409" s="88" t="n"/>
      <c r="O409" s="20" t="n"/>
      <c r="P409" s="31" t="n"/>
      <c r="Q409" s="89" t="n"/>
      <c r="R409" s="89" t="n"/>
      <c r="S409" s="89" t="n"/>
      <c r="T409" s="59" t="n"/>
      <c r="U409" s="90" t="n"/>
      <c r="V409" s="61">
        <f>U409/B409</f>
        <v/>
      </c>
    </row>
    <row r="410" ht="22.5" customHeight="1" s="150">
      <c r="A410" s="34" t="n">
        <v>408</v>
      </c>
      <c r="B410" s="34" t="n"/>
      <c r="C410" s="34" t="n"/>
      <c r="D410" s="34" t="n"/>
      <c r="E410" s="34" t="n"/>
      <c r="F410" s="86" t="n"/>
      <c r="G410" s="86" t="n"/>
      <c r="H410" s="111" t="n"/>
      <c r="I410" s="87" t="n"/>
      <c r="J410" s="87" t="n"/>
      <c r="K410" s="111" t="n"/>
      <c r="L410" s="86" t="n"/>
      <c r="M410" s="81" t="inlineStr">
        <is>
          <t>Normal</t>
        </is>
      </c>
      <c r="N410" s="88" t="n"/>
      <c r="O410" s="20" t="n"/>
      <c r="P410" s="31" t="n"/>
      <c r="Q410" s="89" t="n"/>
      <c r="R410" s="89" t="n"/>
      <c r="S410" s="89" t="n"/>
      <c r="T410" s="59" t="n"/>
      <c r="U410" s="90" t="n"/>
      <c r="V410" s="61">
        <f>U410/B410</f>
        <v/>
      </c>
    </row>
    <row r="411" ht="22.5" customHeight="1" s="150">
      <c r="A411" s="34" t="n">
        <v>409</v>
      </c>
      <c r="B411" s="34" t="n"/>
      <c r="C411" s="34" t="n"/>
      <c r="D411" s="34" t="n"/>
      <c r="E411" s="34" t="n"/>
      <c r="F411" s="86" t="n"/>
      <c r="G411" s="86" t="n"/>
      <c r="H411" s="111" t="n"/>
      <c r="I411" s="87" t="n"/>
      <c r="J411" s="87" t="n"/>
      <c r="K411" s="111" t="n"/>
      <c r="L411" s="86" t="n"/>
      <c r="M411" s="84" t="inlineStr">
        <is>
          <t>Very Hard</t>
        </is>
      </c>
      <c r="N411" s="88" t="n"/>
      <c r="O411" s="20" t="n"/>
      <c r="P411" s="31" t="n"/>
      <c r="Q411" s="89" t="n"/>
      <c r="R411" s="89" t="n"/>
      <c r="S411" s="89" t="n"/>
      <c r="T411" s="59" t="n"/>
      <c r="U411" s="90" t="n"/>
      <c r="V411" s="61">
        <f>U411/B411</f>
        <v/>
      </c>
    </row>
    <row r="412" ht="22.5" customHeight="1" s="150">
      <c r="A412" s="34" t="n">
        <v>410</v>
      </c>
      <c r="B412" s="34" t="n"/>
      <c r="C412" s="34" t="n"/>
      <c r="D412" s="34" t="n"/>
      <c r="E412" s="34" t="n"/>
      <c r="F412" s="86" t="n"/>
      <c r="G412" s="86" t="n"/>
      <c r="H412" s="111" t="n"/>
      <c r="I412" s="87" t="n"/>
      <c r="J412" s="87" t="n"/>
      <c r="K412" s="111" t="n"/>
      <c r="L412" s="86" t="n"/>
      <c r="M412" s="81" t="inlineStr">
        <is>
          <t>Normal</t>
        </is>
      </c>
      <c r="N412" s="88" t="n"/>
      <c r="O412" s="20" t="n"/>
      <c r="P412" s="31" t="n"/>
      <c r="Q412" s="89" t="n"/>
      <c r="R412" s="89" t="n"/>
      <c r="S412" s="89" t="n"/>
      <c r="T412" s="59" t="n"/>
      <c r="U412" s="90" t="n"/>
      <c r="V412" s="61">
        <f>U412/B412</f>
        <v/>
      </c>
    </row>
    <row r="413" ht="22.5" customHeight="1" s="150">
      <c r="A413" s="34" t="n">
        <v>411</v>
      </c>
      <c r="B413" s="34" t="n"/>
      <c r="C413" s="34" t="n"/>
      <c r="D413" s="34" t="n"/>
      <c r="E413" s="34" t="n"/>
      <c r="F413" s="86" t="n"/>
      <c r="G413" s="86" t="n"/>
      <c r="H413" s="111" t="n"/>
      <c r="I413" s="87" t="n"/>
      <c r="J413" s="87" t="n"/>
      <c r="K413" s="111" t="n"/>
      <c r="L413" s="86" t="n"/>
      <c r="M413" s="82" t="inlineStr">
        <is>
          <t>Hard</t>
        </is>
      </c>
      <c r="N413" s="88" t="n"/>
      <c r="O413" s="20" t="n"/>
      <c r="P413" s="31" t="n"/>
      <c r="Q413" s="89" t="n"/>
      <c r="R413" s="89" t="n"/>
      <c r="S413" s="89" t="n"/>
      <c r="T413" s="59" t="n"/>
      <c r="U413" s="90" t="n"/>
      <c r="V413" s="61">
        <f>U413/B413</f>
        <v/>
      </c>
    </row>
    <row r="414" ht="22.5" customHeight="1" s="150">
      <c r="A414" s="34" t="n">
        <v>412</v>
      </c>
      <c r="B414" s="34" t="n"/>
      <c r="C414" s="34" t="n"/>
      <c r="D414" s="34" t="n"/>
      <c r="E414" s="34" t="n"/>
      <c r="F414" s="86" t="n"/>
      <c r="G414" s="86" t="n"/>
      <c r="H414" s="111" t="n"/>
      <c r="I414" s="87" t="n"/>
      <c r="J414" s="87" t="n"/>
      <c r="K414" s="111" t="n"/>
      <c r="L414" s="86" t="n"/>
      <c r="M414" s="85" t="inlineStr">
        <is>
          <t>Very Hard</t>
        </is>
      </c>
      <c r="N414" s="88" t="n"/>
      <c r="O414" s="20" t="n"/>
      <c r="P414" s="31" t="n"/>
      <c r="Q414" s="89" t="n"/>
      <c r="R414" s="89" t="n"/>
      <c r="S414" s="89" t="n"/>
      <c r="T414" s="59" t="n"/>
      <c r="U414" s="90" t="n"/>
      <c r="V414" s="61">
        <f>U414/B414</f>
        <v/>
      </c>
    </row>
    <row r="415" ht="22.5" customHeight="1" s="150">
      <c r="A415" s="34" t="n">
        <v>413</v>
      </c>
      <c r="B415" s="34" t="n"/>
      <c r="C415" s="34" t="n"/>
      <c r="D415" s="34" t="n"/>
      <c r="E415" s="34" t="n"/>
      <c r="F415" s="86" t="n"/>
      <c r="G415" s="86" t="n"/>
      <c r="H415" s="111" t="n"/>
      <c r="I415" s="87" t="n"/>
      <c r="J415" s="87" t="n"/>
      <c r="K415" s="111" t="n"/>
      <c r="L415" s="86" t="n"/>
      <c r="M415" s="80" t="inlineStr">
        <is>
          <t>Normal</t>
        </is>
      </c>
      <c r="N415" s="88" t="n"/>
      <c r="O415" s="20" t="n"/>
      <c r="P415" s="31" t="n"/>
      <c r="Q415" s="89" t="n"/>
      <c r="R415" s="89" t="n"/>
      <c r="S415" s="89" t="n"/>
      <c r="T415" s="59" t="n"/>
      <c r="U415" s="90" t="n"/>
      <c r="V415" s="61">
        <f>U415/B415</f>
        <v/>
      </c>
    </row>
    <row r="416" ht="22.5" customHeight="1" s="150">
      <c r="A416" s="34" t="n">
        <v>414</v>
      </c>
      <c r="B416" s="34" t="n"/>
      <c r="C416" s="34" t="n"/>
      <c r="D416" s="34" t="n"/>
      <c r="E416" s="34" t="n"/>
      <c r="F416" s="86" t="n"/>
      <c r="G416" s="86" t="n"/>
      <c r="H416" s="111" t="n"/>
      <c r="I416" s="87" t="n"/>
      <c r="J416" s="87" t="n"/>
      <c r="K416" s="111" t="n"/>
      <c r="L416" s="86" t="n"/>
      <c r="M416" s="81" t="inlineStr">
        <is>
          <t>Normal</t>
        </is>
      </c>
      <c r="N416" s="88" t="n"/>
      <c r="O416" s="20" t="n"/>
      <c r="P416" s="31" t="n"/>
      <c r="Q416" s="89" t="n"/>
      <c r="R416" s="89" t="n"/>
      <c r="S416" s="89" t="n"/>
      <c r="T416" s="59" t="n"/>
      <c r="U416" s="90" t="n"/>
      <c r="V416" s="61">
        <f>U416/B416</f>
        <v/>
      </c>
    </row>
    <row r="417" ht="22.5" customHeight="1" s="150">
      <c r="A417" s="34" t="n">
        <v>415</v>
      </c>
      <c r="B417" s="34" t="n"/>
      <c r="C417" s="34" t="n"/>
      <c r="D417" s="34" t="n"/>
      <c r="E417" s="34" t="n"/>
      <c r="F417" s="86" t="n"/>
      <c r="G417" s="86" t="n"/>
      <c r="H417" s="111" t="n"/>
      <c r="I417" s="87" t="n"/>
      <c r="J417" s="87" t="n"/>
      <c r="K417" s="111" t="n"/>
      <c r="L417" s="86" t="n"/>
      <c r="M417" s="80" t="inlineStr">
        <is>
          <t>Normal</t>
        </is>
      </c>
      <c r="N417" s="88" t="n"/>
      <c r="O417" s="20" t="n"/>
      <c r="P417" s="31" t="n"/>
      <c r="Q417" s="89" t="n"/>
      <c r="R417" s="89" t="n"/>
      <c r="S417" s="89" t="n"/>
      <c r="T417" s="59" t="n"/>
      <c r="U417" s="90" t="n"/>
      <c r="V417" s="61">
        <f>U417/B417</f>
        <v/>
      </c>
    </row>
    <row r="418" ht="22.5" customHeight="1" s="150">
      <c r="A418" s="34" t="n">
        <v>416</v>
      </c>
      <c r="B418" s="34" t="n"/>
      <c r="C418" s="34" t="n"/>
      <c r="D418" s="34" t="n"/>
      <c r="E418" s="34" t="n"/>
      <c r="F418" s="86" t="n"/>
      <c r="G418" s="86" t="n"/>
      <c r="H418" s="111" t="n"/>
      <c r="I418" s="87" t="n"/>
      <c r="J418" s="87" t="n"/>
      <c r="K418" s="111" t="n"/>
      <c r="L418" s="86" t="n"/>
      <c r="M418" s="83" t="inlineStr">
        <is>
          <t>Hard</t>
        </is>
      </c>
      <c r="N418" s="88" t="n"/>
      <c r="O418" s="20" t="n"/>
      <c r="P418" s="31" t="n"/>
      <c r="Q418" s="89" t="n"/>
      <c r="R418" s="89" t="n"/>
      <c r="S418" s="89" t="n"/>
      <c r="T418" s="59" t="n"/>
      <c r="U418" s="90" t="n"/>
      <c r="V418" s="61">
        <f>U418/B418</f>
        <v/>
      </c>
    </row>
    <row r="419" ht="22.5" customHeight="1" s="150">
      <c r="A419" s="34" t="n">
        <v>417</v>
      </c>
      <c r="B419" s="34" t="n"/>
      <c r="C419" s="34" t="n"/>
      <c r="D419" s="34" t="n"/>
      <c r="E419" s="34" t="n"/>
      <c r="F419" s="86" t="n"/>
      <c r="G419" s="86" t="n"/>
      <c r="H419" s="111" t="n"/>
      <c r="I419" s="87" t="n"/>
      <c r="J419" s="87" t="n"/>
      <c r="K419" s="111" t="n"/>
      <c r="L419" s="86" t="n"/>
      <c r="M419" s="84" t="inlineStr">
        <is>
          <t>Very Hard</t>
        </is>
      </c>
      <c r="N419" s="88" t="n"/>
      <c r="O419" s="20" t="n"/>
      <c r="P419" s="31" t="n"/>
      <c r="Q419" s="89" t="n"/>
      <c r="R419" s="89" t="n"/>
      <c r="S419" s="89" t="n"/>
      <c r="T419" s="59" t="n"/>
      <c r="U419" s="90" t="n"/>
      <c r="V419" s="61">
        <f>U419/B419</f>
        <v/>
      </c>
    </row>
    <row r="420" ht="22.5" customHeight="1" s="150">
      <c r="A420" s="34" t="n">
        <v>418</v>
      </c>
      <c r="B420" s="34" t="n"/>
      <c r="C420" s="34" t="n"/>
      <c r="D420" s="34" t="n"/>
      <c r="E420" s="34" t="n"/>
      <c r="F420" s="86" t="n"/>
      <c r="G420" s="86" t="n"/>
      <c r="H420" s="111" t="n"/>
      <c r="I420" s="87" t="n"/>
      <c r="J420" s="87" t="n"/>
      <c r="K420" s="111" t="n"/>
      <c r="L420" s="86" t="n"/>
      <c r="M420" s="81" t="inlineStr">
        <is>
          <t>Normal</t>
        </is>
      </c>
      <c r="N420" s="88" t="n"/>
      <c r="O420" s="20" t="n"/>
      <c r="P420" s="31" t="n"/>
      <c r="Q420" s="89" t="n"/>
      <c r="R420" s="89" t="n"/>
      <c r="S420" s="89" t="n"/>
      <c r="T420" s="59" t="n"/>
      <c r="U420" s="90" t="n"/>
      <c r="V420" s="61">
        <f>U420/B420</f>
        <v/>
      </c>
    </row>
    <row r="421" ht="22.5" customHeight="1" s="150">
      <c r="A421" s="34" t="n">
        <v>419</v>
      </c>
      <c r="B421" s="34" t="n"/>
      <c r="C421" s="34" t="n"/>
      <c r="D421" s="34" t="n"/>
      <c r="E421" s="34" t="n"/>
      <c r="F421" s="86" t="n"/>
      <c r="G421" s="86" t="n"/>
      <c r="H421" s="111" t="n"/>
      <c r="I421" s="87" t="n"/>
      <c r="J421" s="87" t="n"/>
      <c r="K421" s="111" t="n"/>
      <c r="L421" s="86" t="n"/>
      <c r="M421" s="80" t="inlineStr">
        <is>
          <t>Normal</t>
        </is>
      </c>
      <c r="N421" s="88" t="n"/>
      <c r="O421" s="20" t="n"/>
      <c r="P421" s="31" t="n"/>
      <c r="Q421" s="89" t="n"/>
      <c r="R421" s="89" t="n"/>
      <c r="S421" s="89" t="n"/>
      <c r="T421" s="59" t="n"/>
      <c r="U421" s="90" t="n"/>
      <c r="V421" s="61">
        <f>U421/B421</f>
        <v/>
      </c>
    </row>
    <row r="422" ht="22.5" customHeight="1" s="150">
      <c r="A422" s="34" t="n">
        <v>420</v>
      </c>
      <c r="B422" s="34" t="n"/>
      <c r="C422" s="34" t="n"/>
      <c r="D422" s="34" t="n"/>
      <c r="E422" s="34" t="n"/>
      <c r="F422" s="86" t="n"/>
      <c r="G422" s="86" t="n"/>
      <c r="H422" s="111" t="n"/>
      <c r="I422" s="87" t="n"/>
      <c r="J422" s="87" t="n"/>
      <c r="K422" s="111" t="n"/>
      <c r="L422" s="86" t="n"/>
      <c r="M422" s="81" t="inlineStr">
        <is>
          <t>Normal</t>
        </is>
      </c>
      <c r="N422" s="88" t="n"/>
      <c r="O422" s="20" t="n"/>
      <c r="P422" s="31" t="n"/>
      <c r="Q422" s="89" t="n"/>
      <c r="R422" s="89" t="n"/>
      <c r="S422" s="89" t="n"/>
      <c r="T422" s="59" t="n"/>
      <c r="U422" s="90" t="n"/>
      <c r="V422" s="61">
        <f>U422/B422</f>
        <v/>
      </c>
    </row>
    <row r="423" ht="22.5" customHeight="1" s="150">
      <c r="A423" s="34" t="n">
        <v>421</v>
      </c>
      <c r="B423" s="34" t="n"/>
      <c r="C423" s="34" t="n"/>
      <c r="D423" s="34" t="n"/>
      <c r="E423" s="34" t="n"/>
      <c r="F423" s="86" t="n"/>
      <c r="G423" s="86" t="n"/>
      <c r="H423" s="111" t="n"/>
      <c r="I423" s="87" t="n"/>
      <c r="J423" s="87" t="n"/>
      <c r="K423" s="111" t="n"/>
      <c r="L423" s="86" t="n"/>
      <c r="M423" s="82" t="inlineStr">
        <is>
          <t>Hard</t>
        </is>
      </c>
      <c r="N423" s="88" t="n"/>
      <c r="O423" s="20" t="n"/>
      <c r="P423" s="31" t="n"/>
      <c r="Q423" s="89" t="n"/>
      <c r="R423" s="89" t="n"/>
      <c r="S423" s="89" t="n"/>
      <c r="T423" s="59" t="n"/>
      <c r="U423" s="90" t="n"/>
      <c r="V423" s="61">
        <f>U423/B423</f>
        <v/>
      </c>
    </row>
    <row r="424" ht="22.5" customHeight="1" s="150">
      <c r="A424" s="34" t="n">
        <v>422</v>
      </c>
      <c r="B424" s="34" t="n"/>
      <c r="C424" s="34" t="n"/>
      <c r="D424" s="34" t="n"/>
      <c r="E424" s="34" t="n"/>
      <c r="F424" s="86" t="n"/>
      <c r="G424" s="86" t="n"/>
      <c r="H424" s="111" t="n"/>
      <c r="I424" s="87" t="n"/>
      <c r="J424" s="87" t="n"/>
      <c r="K424" s="111" t="n"/>
      <c r="L424" s="86" t="n"/>
      <c r="M424" s="85" t="inlineStr">
        <is>
          <t>Very Hard</t>
        </is>
      </c>
      <c r="N424" s="88" t="n"/>
      <c r="O424" s="20" t="n"/>
      <c r="P424" s="31" t="n"/>
      <c r="Q424" s="89" t="n"/>
      <c r="R424" s="89" t="n"/>
      <c r="S424" s="89" t="n"/>
      <c r="T424" s="59" t="n"/>
      <c r="U424" s="90" t="n"/>
      <c r="V424" s="61">
        <f>U424/B424</f>
        <v/>
      </c>
    </row>
    <row r="425" ht="22.5" customHeight="1" s="150">
      <c r="A425" s="34" t="n">
        <v>423</v>
      </c>
      <c r="B425" s="34" t="n"/>
      <c r="C425" s="34" t="n"/>
      <c r="D425" s="34" t="n"/>
      <c r="E425" s="34" t="n"/>
      <c r="F425" s="86" t="n"/>
      <c r="G425" s="86" t="n"/>
      <c r="H425" s="111" t="n"/>
      <c r="I425" s="87" t="n"/>
      <c r="J425" s="87" t="n"/>
      <c r="K425" s="111" t="n"/>
      <c r="L425" s="86" t="n"/>
      <c r="M425" s="80" t="inlineStr">
        <is>
          <t>Normal</t>
        </is>
      </c>
      <c r="N425" s="88" t="n"/>
      <c r="O425" s="20" t="n"/>
      <c r="P425" s="31" t="n"/>
      <c r="Q425" s="89" t="n"/>
      <c r="R425" s="89" t="n"/>
      <c r="S425" s="89" t="n"/>
      <c r="T425" s="59" t="n"/>
      <c r="U425" s="90" t="n"/>
      <c r="V425" s="61">
        <f>U425/B425</f>
        <v/>
      </c>
    </row>
    <row r="426" ht="22.5" customHeight="1" s="150">
      <c r="A426" s="34" t="n">
        <v>424</v>
      </c>
      <c r="B426" s="34" t="n"/>
      <c r="C426" s="34" t="n"/>
      <c r="D426" s="34" t="n"/>
      <c r="E426" s="34" t="n"/>
      <c r="F426" s="86" t="n"/>
      <c r="G426" s="86" t="n"/>
      <c r="H426" s="111" t="n"/>
      <c r="I426" s="87" t="n"/>
      <c r="J426" s="87" t="n"/>
      <c r="K426" s="111" t="n"/>
      <c r="L426" s="86" t="n"/>
      <c r="M426" s="81" t="inlineStr">
        <is>
          <t>Normal</t>
        </is>
      </c>
      <c r="N426" s="88" t="n"/>
      <c r="O426" s="20" t="n"/>
      <c r="P426" s="31" t="n"/>
      <c r="Q426" s="89" t="n"/>
      <c r="R426" s="89" t="n"/>
      <c r="S426" s="89" t="n"/>
      <c r="T426" s="59" t="n"/>
      <c r="U426" s="90" t="n"/>
      <c r="V426" s="61">
        <f>U426/B426</f>
        <v/>
      </c>
    </row>
    <row r="427" ht="22.5" customHeight="1" s="150">
      <c r="A427" s="34" t="n">
        <v>425</v>
      </c>
      <c r="B427" s="34" t="n"/>
      <c r="C427" s="34" t="n"/>
      <c r="D427" s="34" t="n"/>
      <c r="E427" s="34" t="n"/>
      <c r="F427" s="86" t="n"/>
      <c r="G427" s="86" t="n"/>
      <c r="H427" s="111" t="n"/>
      <c r="I427" s="87" t="n"/>
      <c r="J427" s="87" t="n"/>
      <c r="K427" s="111" t="n"/>
      <c r="L427" s="86" t="n"/>
      <c r="M427" s="80" t="inlineStr">
        <is>
          <t>Normal</t>
        </is>
      </c>
      <c r="N427" s="88" t="n"/>
      <c r="O427" s="20" t="n"/>
      <c r="P427" s="31" t="n"/>
      <c r="Q427" s="89" t="n"/>
      <c r="R427" s="89" t="n"/>
      <c r="S427" s="89" t="n"/>
      <c r="T427" s="59" t="n"/>
      <c r="U427" s="90" t="n"/>
      <c r="V427" s="61">
        <f>U427/B427</f>
        <v/>
      </c>
    </row>
    <row r="428" ht="22.5" customHeight="1" s="150">
      <c r="A428" s="34" t="n">
        <v>426</v>
      </c>
      <c r="B428" s="34" t="n"/>
      <c r="C428" s="34" t="n"/>
      <c r="D428" s="34" t="n"/>
      <c r="E428" s="34" t="n"/>
      <c r="F428" s="86" t="n"/>
      <c r="G428" s="86" t="n"/>
      <c r="H428" s="111" t="n"/>
      <c r="I428" s="87" t="n"/>
      <c r="J428" s="87" t="n"/>
      <c r="K428" s="111" t="n"/>
      <c r="L428" s="86" t="n"/>
      <c r="M428" s="83" t="inlineStr">
        <is>
          <t>Hard</t>
        </is>
      </c>
      <c r="N428" s="88" t="n"/>
      <c r="O428" s="20" t="n"/>
      <c r="P428" s="31" t="n"/>
      <c r="Q428" s="89" t="n"/>
      <c r="R428" s="89" t="n"/>
      <c r="S428" s="89" t="n"/>
      <c r="T428" s="59" t="n"/>
      <c r="U428" s="90" t="n"/>
      <c r="V428" s="61">
        <f>U428/B428</f>
        <v/>
      </c>
    </row>
    <row r="429" ht="22.5" customHeight="1" s="150">
      <c r="A429" s="34" t="n">
        <v>427</v>
      </c>
      <c r="B429" s="34" t="n"/>
      <c r="C429" s="34" t="n"/>
      <c r="D429" s="34" t="n"/>
      <c r="E429" s="34" t="n"/>
      <c r="F429" s="86" t="n"/>
      <c r="G429" s="86" t="n"/>
      <c r="H429" s="111" t="n"/>
      <c r="I429" s="87" t="n"/>
      <c r="J429" s="87" t="n"/>
      <c r="K429" s="111" t="n"/>
      <c r="L429" s="86" t="n"/>
      <c r="M429" s="84" t="inlineStr">
        <is>
          <t>Very Hard</t>
        </is>
      </c>
      <c r="N429" s="88" t="n"/>
      <c r="O429" s="20" t="n"/>
      <c r="P429" s="31" t="n"/>
      <c r="Q429" s="89" t="n"/>
      <c r="R429" s="89" t="n"/>
      <c r="S429" s="89" t="n"/>
      <c r="T429" s="59" t="n"/>
      <c r="U429" s="90" t="n"/>
      <c r="V429" s="61">
        <f>U429/B429</f>
        <v/>
      </c>
    </row>
    <row r="430" ht="22.5" customHeight="1" s="150">
      <c r="A430" s="34" t="n">
        <v>428</v>
      </c>
      <c r="B430" s="34" t="n"/>
      <c r="C430" s="34" t="n"/>
      <c r="D430" s="34" t="n"/>
      <c r="E430" s="34" t="n"/>
      <c r="F430" s="86" t="n"/>
      <c r="G430" s="86" t="n"/>
      <c r="H430" s="111" t="n"/>
      <c r="I430" s="87" t="n"/>
      <c r="J430" s="87" t="n"/>
      <c r="K430" s="111" t="n"/>
      <c r="L430" s="86" t="n"/>
      <c r="M430" s="81" t="inlineStr">
        <is>
          <t>Normal</t>
        </is>
      </c>
      <c r="N430" s="88" t="n"/>
      <c r="O430" s="20" t="n"/>
      <c r="P430" s="31" t="n"/>
      <c r="Q430" s="89" t="n"/>
      <c r="R430" s="89" t="n"/>
      <c r="S430" s="89" t="n"/>
      <c r="T430" s="59" t="n"/>
      <c r="U430" s="90" t="n"/>
      <c r="V430" s="61">
        <f>U430/B430</f>
        <v/>
      </c>
    </row>
    <row r="431" ht="22.5" customHeight="1" s="150">
      <c r="A431" s="34" t="n">
        <v>429</v>
      </c>
      <c r="B431" s="34" t="n"/>
      <c r="C431" s="34" t="n"/>
      <c r="D431" s="34" t="n"/>
      <c r="E431" s="34" t="n"/>
      <c r="F431" s="86" t="n"/>
      <c r="G431" s="86" t="n"/>
      <c r="H431" s="111" t="n"/>
      <c r="I431" s="87" t="n"/>
      <c r="J431" s="87" t="n"/>
      <c r="K431" s="111" t="n"/>
      <c r="L431" s="86" t="n"/>
      <c r="M431" s="80" t="inlineStr">
        <is>
          <t>Normal</t>
        </is>
      </c>
      <c r="N431" s="88" t="n"/>
      <c r="O431" s="20" t="n"/>
      <c r="P431" s="31" t="n"/>
      <c r="Q431" s="89" t="n"/>
      <c r="R431" s="89" t="n"/>
      <c r="S431" s="89" t="n"/>
      <c r="T431" s="59" t="n"/>
      <c r="U431" s="90" t="n"/>
      <c r="V431" s="61">
        <f>U431/B431</f>
        <v/>
      </c>
    </row>
    <row r="432" ht="22.5" customHeight="1" s="150">
      <c r="A432" s="34" t="n">
        <v>430</v>
      </c>
      <c r="B432" s="34" t="n"/>
      <c r="C432" s="34" t="n"/>
      <c r="D432" s="34" t="n"/>
      <c r="E432" s="34" t="n"/>
      <c r="F432" s="86" t="n"/>
      <c r="G432" s="86" t="n"/>
      <c r="H432" s="111" t="n"/>
      <c r="I432" s="87" t="n"/>
      <c r="J432" s="87" t="n"/>
      <c r="K432" s="111" t="n"/>
      <c r="L432" s="86" t="n"/>
      <c r="M432" s="81" t="inlineStr">
        <is>
          <t>Normal</t>
        </is>
      </c>
      <c r="N432" s="88" t="n"/>
      <c r="O432" s="20" t="n"/>
      <c r="P432" s="31" t="n"/>
      <c r="Q432" s="89" t="n"/>
      <c r="R432" s="89" t="n"/>
      <c r="S432" s="89" t="n"/>
      <c r="T432" s="59" t="n"/>
      <c r="U432" s="90" t="n"/>
      <c r="V432" s="61">
        <f>U432/B432</f>
        <v/>
      </c>
    </row>
    <row r="433" ht="22.5" customHeight="1" s="150">
      <c r="A433" s="34" t="n">
        <v>431</v>
      </c>
      <c r="B433" s="34" t="n"/>
      <c r="C433" s="34" t="n"/>
      <c r="D433" s="34" t="n"/>
      <c r="E433" s="34" t="n"/>
      <c r="F433" s="86" t="n"/>
      <c r="G433" s="86" t="n"/>
      <c r="H433" s="111" t="n"/>
      <c r="I433" s="87" t="n"/>
      <c r="J433" s="87" t="n"/>
      <c r="K433" s="111" t="n"/>
      <c r="L433" s="86" t="n"/>
      <c r="M433" s="82" t="inlineStr">
        <is>
          <t>Hard</t>
        </is>
      </c>
      <c r="N433" s="88" t="n"/>
      <c r="O433" s="20" t="n"/>
      <c r="P433" s="31" t="n"/>
      <c r="Q433" s="89" t="n"/>
      <c r="R433" s="89" t="n"/>
      <c r="S433" s="89" t="n"/>
      <c r="T433" s="59" t="n"/>
      <c r="U433" s="90" t="n"/>
      <c r="V433" s="61">
        <f>U433/B433</f>
        <v/>
      </c>
    </row>
    <row r="434" ht="22.5" customHeight="1" s="150">
      <c r="A434" s="34" t="n">
        <v>432</v>
      </c>
      <c r="B434" s="34" t="n"/>
      <c r="C434" s="34" t="n"/>
      <c r="D434" s="34" t="n"/>
      <c r="E434" s="34" t="n"/>
      <c r="F434" s="86" t="n"/>
      <c r="G434" s="86" t="n"/>
      <c r="H434" s="111" t="n"/>
      <c r="I434" s="87" t="n"/>
      <c r="J434" s="87" t="n"/>
      <c r="K434" s="111" t="n"/>
      <c r="L434" s="86" t="n"/>
      <c r="M434" s="83" t="inlineStr">
        <is>
          <t>Hard</t>
        </is>
      </c>
      <c r="N434" s="88" t="n"/>
      <c r="O434" s="20" t="n"/>
      <c r="P434" s="31" t="n"/>
      <c r="Q434" s="89" t="n"/>
      <c r="R434" s="89" t="n"/>
      <c r="S434" s="89" t="n"/>
      <c r="T434" s="59" t="n"/>
      <c r="U434" s="90" t="n"/>
      <c r="V434" s="61">
        <f>U434/B434</f>
        <v/>
      </c>
    </row>
    <row r="435" ht="22.5" customHeight="1" s="150">
      <c r="A435" s="34" t="n">
        <v>433</v>
      </c>
      <c r="B435" s="34" t="n"/>
      <c r="C435" s="34" t="n"/>
      <c r="D435" s="34" t="n"/>
      <c r="E435" s="34" t="n"/>
      <c r="F435" s="86" t="n"/>
      <c r="G435" s="86" t="n"/>
      <c r="H435" s="111" t="n"/>
      <c r="I435" s="87" t="n"/>
      <c r="J435" s="87" t="n"/>
      <c r="K435" s="111" t="n"/>
      <c r="L435" s="86" t="n"/>
      <c r="M435" s="80" t="inlineStr">
        <is>
          <t>Normal</t>
        </is>
      </c>
      <c r="N435" s="88" t="n"/>
      <c r="O435" s="20" t="n"/>
      <c r="P435" s="31" t="n"/>
      <c r="Q435" s="89" t="n"/>
      <c r="R435" s="89" t="n"/>
      <c r="S435" s="89" t="n"/>
      <c r="T435" s="59" t="n"/>
      <c r="U435" s="90" t="n"/>
      <c r="V435" s="61">
        <f>U435/B435</f>
        <v/>
      </c>
    </row>
    <row r="436" ht="22.5" customHeight="1" s="150">
      <c r="A436" s="34" t="n">
        <v>434</v>
      </c>
      <c r="B436" s="34" t="n"/>
      <c r="C436" s="34" t="n"/>
      <c r="D436" s="34" t="n"/>
      <c r="E436" s="34" t="n"/>
      <c r="F436" s="86" t="n"/>
      <c r="G436" s="86" t="n"/>
      <c r="H436" s="111" t="n"/>
      <c r="I436" s="87" t="n"/>
      <c r="J436" s="87" t="n"/>
      <c r="K436" s="111" t="n"/>
      <c r="L436" s="86" t="n"/>
      <c r="M436" s="81" t="inlineStr">
        <is>
          <t>Normal</t>
        </is>
      </c>
      <c r="N436" s="88" t="n"/>
      <c r="O436" s="20" t="n"/>
      <c r="P436" s="31" t="n"/>
      <c r="Q436" s="89" t="n"/>
      <c r="R436" s="89" t="n"/>
      <c r="S436" s="89" t="n"/>
      <c r="T436" s="59" t="n"/>
      <c r="U436" s="90" t="n"/>
      <c r="V436" s="61">
        <f>U436/B436</f>
        <v/>
      </c>
    </row>
    <row r="437" ht="22.5" customHeight="1" s="150">
      <c r="A437" s="34" t="n">
        <v>435</v>
      </c>
      <c r="B437" s="34" t="n"/>
      <c r="C437" s="34" t="n"/>
      <c r="D437" s="34" t="n"/>
      <c r="E437" s="34" t="n"/>
      <c r="F437" s="86" t="n"/>
      <c r="G437" s="86" t="n"/>
      <c r="H437" s="111" t="n"/>
      <c r="I437" s="87" t="n"/>
      <c r="J437" s="87" t="n"/>
      <c r="K437" s="111" t="n"/>
      <c r="L437" s="86" t="n"/>
      <c r="M437" s="80" t="inlineStr">
        <is>
          <t>Normal</t>
        </is>
      </c>
      <c r="N437" s="88" t="n"/>
      <c r="O437" s="20" t="n"/>
      <c r="P437" s="31" t="n"/>
      <c r="Q437" s="89" t="n"/>
      <c r="R437" s="89" t="n"/>
      <c r="S437" s="89" t="n"/>
      <c r="T437" s="59" t="n"/>
      <c r="U437" s="90" t="n"/>
      <c r="V437" s="61">
        <f>U437/B437</f>
        <v/>
      </c>
    </row>
    <row r="438" ht="22.5" customHeight="1" s="150">
      <c r="A438" s="34" t="n">
        <v>436</v>
      </c>
      <c r="B438" s="34" t="n"/>
      <c r="C438" s="34" t="n"/>
      <c r="D438" s="34" t="n"/>
      <c r="E438" s="34" t="n"/>
      <c r="F438" s="86" t="n"/>
      <c r="G438" s="86" t="n"/>
      <c r="H438" s="111" t="n"/>
      <c r="I438" s="87" t="n"/>
      <c r="J438" s="87" t="n"/>
      <c r="K438" s="111" t="n"/>
      <c r="L438" s="86" t="n"/>
      <c r="M438" s="81" t="inlineStr">
        <is>
          <t>Normal</t>
        </is>
      </c>
      <c r="N438" s="88" t="n"/>
      <c r="O438" s="20" t="n"/>
      <c r="P438" s="31" t="n"/>
      <c r="Q438" s="89" t="n"/>
      <c r="R438" s="89" t="n"/>
      <c r="S438" s="89" t="n"/>
      <c r="T438" s="59" t="n"/>
      <c r="U438" s="90" t="n"/>
      <c r="V438" s="61">
        <f>U438/B438</f>
        <v/>
      </c>
    </row>
    <row r="439" ht="22.5" customHeight="1" s="150">
      <c r="A439" s="34" t="n">
        <v>437</v>
      </c>
      <c r="B439" s="34" t="n"/>
      <c r="C439" s="34" t="n"/>
      <c r="D439" s="34" t="n"/>
      <c r="E439" s="34" t="n"/>
      <c r="F439" s="86" t="n"/>
      <c r="G439" s="86" t="n"/>
      <c r="H439" s="111" t="n"/>
      <c r="I439" s="87" t="n"/>
      <c r="J439" s="87" t="n"/>
      <c r="K439" s="111" t="n"/>
      <c r="L439" s="86" t="n"/>
      <c r="M439" s="80" t="inlineStr">
        <is>
          <t>Normal</t>
        </is>
      </c>
      <c r="N439" s="88" t="n"/>
      <c r="O439" s="20" t="n"/>
      <c r="P439" s="31" t="n"/>
      <c r="Q439" s="89" t="n"/>
      <c r="R439" s="89" t="n"/>
      <c r="S439" s="89" t="n"/>
      <c r="T439" s="59" t="n"/>
      <c r="U439" s="90" t="n"/>
      <c r="V439" s="61">
        <f>U439/B439</f>
        <v/>
      </c>
    </row>
    <row r="440" ht="22.5" customHeight="1" s="150">
      <c r="A440" s="34" t="n">
        <v>438</v>
      </c>
      <c r="B440" s="34" t="n"/>
      <c r="C440" s="34" t="n"/>
      <c r="D440" s="34" t="n"/>
      <c r="E440" s="34" t="n"/>
      <c r="F440" s="86" t="n"/>
      <c r="G440" s="86" t="n"/>
      <c r="H440" s="111" t="n"/>
      <c r="I440" s="87" t="n"/>
      <c r="J440" s="87" t="n"/>
      <c r="K440" s="111" t="n"/>
      <c r="L440" s="86" t="n"/>
      <c r="M440" s="81" t="inlineStr">
        <is>
          <t>Normal</t>
        </is>
      </c>
      <c r="N440" s="88" t="n"/>
      <c r="O440" s="20" t="n"/>
      <c r="P440" s="31" t="n"/>
      <c r="Q440" s="89" t="n"/>
      <c r="R440" s="89" t="n"/>
      <c r="S440" s="89" t="n"/>
      <c r="T440" s="59" t="n"/>
      <c r="U440" s="90" t="n"/>
      <c r="V440" s="61">
        <f>U440/B440</f>
        <v/>
      </c>
    </row>
    <row r="441" ht="22.5" customHeight="1" s="150">
      <c r="A441" s="34" t="n">
        <v>439</v>
      </c>
      <c r="B441" s="34" t="n"/>
      <c r="C441" s="34" t="n"/>
      <c r="D441" s="34" t="n"/>
      <c r="E441" s="34" t="n"/>
      <c r="F441" s="86" t="n"/>
      <c r="G441" s="86" t="n"/>
      <c r="H441" s="111" t="n"/>
      <c r="I441" s="87" t="n"/>
      <c r="J441" s="87" t="n"/>
      <c r="K441" s="111" t="n"/>
      <c r="L441" s="86" t="n"/>
      <c r="M441" s="80" t="inlineStr">
        <is>
          <t>Normal</t>
        </is>
      </c>
      <c r="N441" s="88" t="n"/>
      <c r="O441" s="20" t="n"/>
      <c r="P441" s="31" t="n"/>
      <c r="Q441" s="89" t="n"/>
      <c r="R441" s="89" t="n"/>
      <c r="S441" s="89" t="n"/>
      <c r="T441" s="59" t="n"/>
      <c r="U441" s="90" t="n"/>
      <c r="V441" s="61">
        <f>U441/B441</f>
        <v/>
      </c>
    </row>
    <row r="442" ht="22.5" customHeight="1" s="150">
      <c r="A442" s="34" t="n">
        <v>440</v>
      </c>
      <c r="B442" s="34" t="n"/>
      <c r="C442" s="34" t="n"/>
      <c r="D442" s="34" t="n"/>
      <c r="E442" s="34" t="n"/>
      <c r="F442" s="86" t="n"/>
      <c r="G442" s="86" t="n"/>
      <c r="H442" s="111" t="n"/>
      <c r="I442" s="87" t="n"/>
      <c r="J442" s="87" t="n"/>
      <c r="K442" s="111" t="n"/>
      <c r="L442" s="86" t="n"/>
      <c r="M442" s="81" t="inlineStr">
        <is>
          <t>Normal</t>
        </is>
      </c>
      <c r="N442" s="88" t="n"/>
      <c r="O442" s="20" t="n"/>
      <c r="P442" s="31" t="n"/>
      <c r="Q442" s="89" t="n"/>
      <c r="R442" s="89" t="n"/>
      <c r="S442" s="89" t="n"/>
      <c r="T442" s="59" t="n"/>
      <c r="U442" s="90" t="n"/>
      <c r="V442" s="61">
        <f>U442/B442</f>
        <v/>
      </c>
    </row>
    <row r="443" ht="22.5" customHeight="1" s="150">
      <c r="A443" s="34" t="n">
        <v>441</v>
      </c>
      <c r="B443" s="34" t="n"/>
      <c r="C443" s="34" t="n"/>
      <c r="D443" s="34" t="n"/>
      <c r="E443" s="34" t="n"/>
      <c r="F443" s="86" t="n"/>
      <c r="G443" s="86" t="n"/>
      <c r="H443" s="111" t="n"/>
      <c r="I443" s="87" t="n"/>
      <c r="J443" s="87" t="n"/>
      <c r="K443" s="111" t="n"/>
      <c r="L443" s="86" t="n"/>
      <c r="M443" s="82" t="inlineStr">
        <is>
          <t>Hard</t>
        </is>
      </c>
      <c r="N443" s="88" t="n"/>
      <c r="O443" s="20" t="n"/>
      <c r="P443" s="31" t="n"/>
      <c r="Q443" s="89" t="n"/>
      <c r="R443" s="89" t="n"/>
      <c r="S443" s="89" t="n"/>
      <c r="T443" s="59" t="n"/>
      <c r="U443" s="90" t="n"/>
      <c r="V443" s="61">
        <f>U443/B443</f>
        <v/>
      </c>
    </row>
    <row r="444" ht="22.5" customHeight="1" s="150">
      <c r="A444" s="34" t="n">
        <v>442</v>
      </c>
      <c r="B444" s="34" t="n"/>
      <c r="C444" s="34" t="n"/>
      <c r="D444" s="34" t="n"/>
      <c r="E444" s="34" t="n"/>
      <c r="F444" s="86" t="n"/>
      <c r="G444" s="86" t="n"/>
      <c r="H444" s="111" t="n"/>
      <c r="I444" s="87" t="n"/>
      <c r="J444" s="87" t="n"/>
      <c r="K444" s="111" t="n"/>
      <c r="L444" s="86" t="n"/>
      <c r="M444" s="85" t="inlineStr">
        <is>
          <t>Very Hard</t>
        </is>
      </c>
      <c r="N444" s="88" t="n"/>
      <c r="O444" s="20" t="n"/>
      <c r="P444" s="31" t="n"/>
      <c r="Q444" s="89" t="n"/>
      <c r="R444" s="89" t="n"/>
      <c r="S444" s="89" t="n"/>
      <c r="T444" s="59" t="n"/>
      <c r="U444" s="90" t="n"/>
      <c r="V444" s="61">
        <f>U444/B444</f>
        <v/>
      </c>
    </row>
    <row r="445" ht="22.5" customHeight="1" s="150">
      <c r="A445" s="34" t="n">
        <v>443</v>
      </c>
      <c r="B445" s="34" t="n"/>
      <c r="C445" s="34" t="n"/>
      <c r="D445" s="34" t="n"/>
      <c r="E445" s="34" t="n"/>
      <c r="F445" s="86" t="n"/>
      <c r="G445" s="86" t="n"/>
      <c r="H445" s="111" t="n"/>
      <c r="I445" s="87" t="n"/>
      <c r="J445" s="87" t="n"/>
      <c r="K445" s="111" t="n"/>
      <c r="L445" s="86" t="n"/>
      <c r="M445" s="80" t="inlineStr">
        <is>
          <t>Normal</t>
        </is>
      </c>
      <c r="N445" s="88" t="n"/>
      <c r="O445" s="20" t="n"/>
      <c r="P445" s="31" t="n"/>
      <c r="Q445" s="89" t="n"/>
      <c r="R445" s="89" t="n"/>
      <c r="S445" s="89" t="n"/>
      <c r="T445" s="59" t="n"/>
      <c r="U445" s="90" t="n"/>
      <c r="V445" s="61">
        <f>U445/B445</f>
        <v/>
      </c>
    </row>
    <row r="446" ht="22.5" customHeight="1" s="150">
      <c r="A446" s="34" t="n">
        <v>444</v>
      </c>
      <c r="B446" s="34" t="n"/>
      <c r="C446" s="34" t="n"/>
      <c r="D446" s="34" t="n"/>
      <c r="E446" s="34" t="n"/>
      <c r="F446" s="86" t="n"/>
      <c r="G446" s="86" t="n"/>
      <c r="H446" s="111" t="n"/>
      <c r="I446" s="87" t="n"/>
      <c r="J446" s="87" t="n"/>
      <c r="K446" s="111" t="n"/>
      <c r="L446" s="86" t="n"/>
      <c r="M446" s="81" t="inlineStr">
        <is>
          <t>Normal</t>
        </is>
      </c>
      <c r="N446" s="88" t="n"/>
      <c r="O446" s="20" t="n"/>
      <c r="P446" s="31" t="n"/>
      <c r="Q446" s="89" t="n"/>
      <c r="R446" s="89" t="n"/>
      <c r="S446" s="89" t="n"/>
      <c r="T446" s="59" t="n"/>
      <c r="U446" s="90" t="n"/>
      <c r="V446" s="61">
        <f>U446/B446</f>
        <v/>
      </c>
    </row>
    <row r="447" ht="22.5" customHeight="1" s="150">
      <c r="A447" s="34" t="n">
        <v>445</v>
      </c>
      <c r="B447" s="34" t="n"/>
      <c r="C447" s="34" t="n"/>
      <c r="D447" s="34" t="n"/>
      <c r="E447" s="34" t="n"/>
      <c r="F447" s="86" t="n"/>
      <c r="G447" s="86" t="n"/>
      <c r="H447" s="111" t="n"/>
      <c r="I447" s="87" t="n"/>
      <c r="J447" s="87" t="n"/>
      <c r="K447" s="111" t="n"/>
      <c r="L447" s="86" t="n"/>
      <c r="M447" s="80" t="inlineStr">
        <is>
          <t>Normal</t>
        </is>
      </c>
      <c r="N447" s="88" t="n"/>
      <c r="O447" s="20" t="n"/>
      <c r="P447" s="31" t="n"/>
      <c r="Q447" s="89" t="n"/>
      <c r="R447" s="89" t="n"/>
      <c r="S447" s="89" t="n"/>
      <c r="T447" s="59" t="n"/>
      <c r="U447" s="90" t="n"/>
      <c r="V447" s="61">
        <f>U447/B447</f>
        <v/>
      </c>
    </row>
    <row r="448" ht="22.5" customHeight="1" s="150">
      <c r="A448" s="34" t="n">
        <v>446</v>
      </c>
      <c r="B448" s="34" t="n"/>
      <c r="C448" s="34" t="n"/>
      <c r="D448" s="34" t="n"/>
      <c r="E448" s="34" t="n"/>
      <c r="F448" s="86" t="n"/>
      <c r="G448" s="86" t="n"/>
      <c r="H448" s="111" t="n"/>
      <c r="I448" s="87" t="n"/>
      <c r="J448" s="87" t="n"/>
      <c r="K448" s="111" t="n"/>
      <c r="L448" s="86" t="n"/>
      <c r="M448" s="83" t="inlineStr">
        <is>
          <t>Hard</t>
        </is>
      </c>
      <c r="N448" s="88" t="n"/>
      <c r="O448" s="20" t="n"/>
      <c r="P448" s="31" t="n"/>
      <c r="Q448" s="89" t="n"/>
      <c r="R448" s="89" t="n"/>
      <c r="S448" s="89" t="n"/>
      <c r="T448" s="59" t="n"/>
      <c r="U448" s="90" t="n"/>
      <c r="V448" s="61">
        <f>U448/B448</f>
        <v/>
      </c>
    </row>
    <row r="449" ht="22.5" customHeight="1" s="150">
      <c r="A449" s="34" t="n">
        <v>447</v>
      </c>
      <c r="B449" s="34" t="n"/>
      <c r="C449" s="34" t="n"/>
      <c r="D449" s="34" t="n"/>
      <c r="E449" s="34" t="n"/>
      <c r="F449" s="86" t="n"/>
      <c r="G449" s="86" t="n"/>
      <c r="H449" s="111" t="n"/>
      <c r="I449" s="87" t="n"/>
      <c r="J449" s="87" t="n"/>
      <c r="K449" s="111" t="n"/>
      <c r="L449" s="86" t="n"/>
      <c r="M449" s="82" t="inlineStr">
        <is>
          <t>Hard</t>
        </is>
      </c>
      <c r="N449" s="88" t="n"/>
      <c r="O449" s="20" t="n"/>
      <c r="P449" s="31" t="n"/>
      <c r="Q449" s="89" t="n"/>
      <c r="R449" s="89" t="n"/>
      <c r="S449" s="89" t="n"/>
      <c r="T449" s="59" t="n"/>
      <c r="U449" s="90" t="n"/>
      <c r="V449" s="61">
        <f>U449/B449</f>
        <v/>
      </c>
    </row>
    <row r="450" ht="22.5" customHeight="1" s="150">
      <c r="A450" s="34" t="n">
        <v>448</v>
      </c>
      <c r="B450" s="34" t="n"/>
      <c r="C450" s="34" t="n"/>
      <c r="D450" s="34" t="n"/>
      <c r="E450" s="34" t="n"/>
      <c r="F450" s="86" t="n"/>
      <c r="G450" s="86" t="n"/>
      <c r="H450" s="111" t="n"/>
      <c r="I450" s="87" t="n"/>
      <c r="J450" s="87" t="n"/>
      <c r="K450" s="111" t="n"/>
      <c r="L450" s="86" t="n"/>
      <c r="M450" s="81" t="inlineStr">
        <is>
          <t>Normal</t>
        </is>
      </c>
      <c r="N450" s="88" t="n"/>
      <c r="O450" s="20" t="n"/>
      <c r="P450" s="31" t="n"/>
      <c r="Q450" s="89" t="n"/>
      <c r="R450" s="89" t="n"/>
      <c r="S450" s="89" t="n"/>
      <c r="T450" s="59" t="n"/>
      <c r="U450" s="90" t="n"/>
      <c r="V450" s="61">
        <f>U450/B450</f>
        <v/>
      </c>
    </row>
    <row r="451" ht="22.5" customHeight="1" s="150">
      <c r="A451" s="34" t="n">
        <v>449</v>
      </c>
      <c r="B451" s="34" t="n"/>
      <c r="C451" s="34" t="n"/>
      <c r="D451" s="34" t="n"/>
      <c r="E451" s="34" t="n"/>
      <c r="F451" s="86" t="n"/>
      <c r="G451" s="86" t="n"/>
      <c r="H451" s="111" t="n"/>
      <c r="I451" s="87" t="n"/>
      <c r="J451" s="87" t="n"/>
      <c r="K451" s="111" t="n"/>
      <c r="L451" s="86" t="n"/>
      <c r="M451" s="80" t="inlineStr">
        <is>
          <t>Normal</t>
        </is>
      </c>
      <c r="N451" s="88" t="n"/>
      <c r="O451" s="20" t="n"/>
      <c r="P451" s="31" t="n"/>
      <c r="Q451" s="89" t="n"/>
      <c r="R451" s="89" t="n"/>
      <c r="S451" s="89" t="n"/>
      <c r="T451" s="59" t="n"/>
      <c r="U451" s="90" t="n"/>
      <c r="V451" s="61">
        <f>U451/B451</f>
        <v/>
      </c>
    </row>
    <row r="452" ht="22.5" customHeight="1" s="150">
      <c r="A452" s="34" t="n">
        <v>450</v>
      </c>
      <c r="B452" s="34" t="n"/>
      <c r="C452" s="34" t="n"/>
      <c r="D452" s="34" t="n"/>
      <c r="E452" s="34" t="n"/>
      <c r="F452" s="86" t="n"/>
      <c r="G452" s="86" t="n"/>
      <c r="H452" s="111" t="n"/>
      <c r="I452" s="87" t="n"/>
      <c r="J452" s="87" t="n"/>
      <c r="K452" s="111" t="n"/>
      <c r="L452" s="86" t="n"/>
      <c r="M452" s="81" t="inlineStr">
        <is>
          <t>Normal</t>
        </is>
      </c>
      <c r="N452" s="88" t="n"/>
      <c r="O452" s="20" t="n"/>
      <c r="P452" s="31" t="n"/>
      <c r="Q452" s="89" t="n"/>
      <c r="R452" s="89" t="n"/>
      <c r="S452" s="89" t="n"/>
      <c r="T452" s="59" t="n"/>
      <c r="U452" s="90" t="n"/>
      <c r="V452" s="61">
        <f>U452/B452</f>
        <v/>
      </c>
    </row>
    <row r="453" ht="22.5" customHeight="1" s="150">
      <c r="A453" s="34" t="n">
        <v>451</v>
      </c>
      <c r="B453" s="34" t="n"/>
      <c r="C453" s="34" t="n"/>
      <c r="D453" s="34" t="n"/>
      <c r="E453" s="34" t="n"/>
      <c r="F453" s="86" t="n"/>
      <c r="G453" s="86" t="n"/>
      <c r="H453" s="111" t="n"/>
      <c r="I453" s="87" t="n"/>
      <c r="J453" s="87" t="n"/>
      <c r="K453" s="111" t="n"/>
      <c r="L453" s="86" t="n"/>
      <c r="M453" s="80" t="inlineStr">
        <is>
          <t>Normal</t>
        </is>
      </c>
      <c r="N453" s="88" t="n"/>
      <c r="O453" s="20" t="n"/>
      <c r="P453" s="31" t="n"/>
      <c r="Q453" s="89" t="n"/>
      <c r="R453" s="89" t="n"/>
      <c r="S453" s="89" t="n"/>
      <c r="T453" s="59" t="n"/>
      <c r="U453" s="90" t="n"/>
      <c r="V453" s="61">
        <f>U453/B453</f>
        <v/>
      </c>
    </row>
    <row r="454" ht="22.5" customHeight="1" s="150">
      <c r="A454" s="34" t="n">
        <v>452</v>
      </c>
      <c r="B454" s="34" t="n"/>
      <c r="C454" s="34" t="n"/>
      <c r="D454" s="34" t="n"/>
      <c r="E454" s="34" t="n"/>
      <c r="F454" s="86" t="n"/>
      <c r="G454" s="86" t="n"/>
      <c r="H454" s="111" t="n"/>
      <c r="I454" s="87" t="n"/>
      <c r="J454" s="87" t="n"/>
      <c r="K454" s="111" t="n"/>
      <c r="L454" s="86" t="n"/>
      <c r="M454" s="81" t="inlineStr">
        <is>
          <t>Normal</t>
        </is>
      </c>
      <c r="N454" s="88" t="n"/>
      <c r="O454" s="20" t="n"/>
      <c r="P454" s="31" t="n"/>
      <c r="Q454" s="89" t="n"/>
      <c r="R454" s="89" t="n"/>
      <c r="S454" s="89" t="n"/>
      <c r="T454" s="59" t="n"/>
      <c r="U454" s="90" t="n"/>
      <c r="V454" s="61">
        <f>U454/B454</f>
        <v/>
      </c>
    </row>
    <row r="455" ht="22.5" customHeight="1" s="150">
      <c r="A455" s="34" t="n">
        <v>453</v>
      </c>
      <c r="B455" s="34" t="n"/>
      <c r="C455" s="34" t="n"/>
      <c r="D455" s="34" t="n"/>
      <c r="E455" s="34" t="n"/>
      <c r="F455" s="86" t="n"/>
      <c r="G455" s="86" t="n"/>
      <c r="H455" s="111" t="n"/>
      <c r="I455" s="87" t="n"/>
      <c r="J455" s="87" t="n"/>
      <c r="K455" s="111" t="n"/>
      <c r="L455" s="86" t="n"/>
      <c r="M455" s="80" t="inlineStr">
        <is>
          <t>Normal</t>
        </is>
      </c>
      <c r="N455" s="88" t="n"/>
      <c r="O455" s="20" t="n"/>
      <c r="P455" s="31" t="n"/>
      <c r="Q455" s="89" t="n"/>
      <c r="R455" s="89" t="n"/>
      <c r="S455" s="89" t="n"/>
      <c r="T455" s="59" t="n"/>
      <c r="U455" s="90" t="n"/>
      <c r="V455" s="61">
        <f>U455/B455</f>
        <v/>
      </c>
    </row>
    <row r="456" ht="22.5" customHeight="1" s="150">
      <c r="A456" s="34" t="n">
        <v>454</v>
      </c>
      <c r="B456" s="34" t="n"/>
      <c r="C456" s="34" t="n"/>
      <c r="D456" s="34" t="n"/>
      <c r="E456" s="34" t="n"/>
      <c r="F456" s="86" t="n"/>
      <c r="G456" s="86" t="n"/>
      <c r="H456" s="111" t="n"/>
      <c r="I456" s="87" t="n"/>
      <c r="J456" s="87" t="n"/>
      <c r="K456" s="111" t="n"/>
      <c r="L456" s="86" t="n"/>
      <c r="M456" s="81" t="inlineStr">
        <is>
          <t>Normal</t>
        </is>
      </c>
      <c r="N456" s="88" t="n"/>
      <c r="O456" s="20" t="n"/>
      <c r="P456" s="31" t="n"/>
      <c r="Q456" s="89" t="n"/>
      <c r="R456" s="89" t="n"/>
      <c r="S456" s="89" t="n"/>
      <c r="T456" s="59" t="n"/>
      <c r="U456" s="90" t="n"/>
      <c r="V456" s="61">
        <f>U456/B456</f>
        <v/>
      </c>
    </row>
    <row r="457" ht="22.5" customHeight="1" s="150">
      <c r="A457" s="34" t="n">
        <v>455</v>
      </c>
      <c r="B457" s="34" t="n"/>
      <c r="C457" s="34" t="n"/>
      <c r="D457" s="34" t="n"/>
      <c r="E457" s="34" t="n"/>
      <c r="F457" s="86" t="n"/>
      <c r="G457" s="86" t="n"/>
      <c r="H457" s="111" t="n"/>
      <c r="I457" s="87" t="n"/>
      <c r="J457" s="87" t="n"/>
      <c r="K457" s="111" t="n"/>
      <c r="L457" s="86" t="n"/>
      <c r="M457" s="80" t="inlineStr">
        <is>
          <t>Normal</t>
        </is>
      </c>
      <c r="N457" s="88" t="n"/>
      <c r="O457" s="20" t="n"/>
      <c r="P457" s="31" t="n"/>
      <c r="Q457" s="89" t="n"/>
      <c r="R457" s="89" t="n"/>
      <c r="S457" s="89" t="n"/>
      <c r="T457" s="59" t="n"/>
      <c r="U457" s="90" t="n"/>
      <c r="V457" s="61">
        <f>U457/B457</f>
        <v/>
      </c>
    </row>
    <row r="458" ht="22.5" customHeight="1" s="150">
      <c r="A458" s="34" t="n">
        <v>456</v>
      </c>
      <c r="B458" s="34" t="n"/>
      <c r="C458" s="34" t="n"/>
      <c r="D458" s="34" t="n"/>
      <c r="E458" s="34" t="n"/>
      <c r="F458" s="86" t="n"/>
      <c r="G458" s="86" t="n"/>
      <c r="H458" s="111" t="n"/>
      <c r="I458" s="87" t="n"/>
      <c r="J458" s="87" t="n"/>
      <c r="K458" s="111" t="n"/>
      <c r="L458" s="86" t="n"/>
      <c r="M458" s="83" t="inlineStr">
        <is>
          <t>Hard</t>
        </is>
      </c>
      <c r="N458" s="88" t="n"/>
      <c r="O458" s="20" t="n"/>
      <c r="P458" s="31" t="n"/>
      <c r="Q458" s="89" t="n"/>
      <c r="R458" s="89" t="n"/>
      <c r="S458" s="89" t="n"/>
      <c r="T458" s="59" t="n"/>
      <c r="U458" s="90" t="n"/>
      <c r="V458" s="61">
        <f>U458/B458</f>
        <v/>
      </c>
    </row>
    <row r="459" ht="22.5" customHeight="1" s="150">
      <c r="A459" s="34" t="n">
        <v>457</v>
      </c>
      <c r="B459" s="34" t="n"/>
      <c r="C459" s="34" t="n"/>
      <c r="D459" s="34" t="n"/>
      <c r="E459" s="34" t="n"/>
      <c r="F459" s="86" t="n"/>
      <c r="G459" s="86" t="n"/>
      <c r="H459" s="111" t="n"/>
      <c r="I459" s="87" t="n"/>
      <c r="J459" s="87" t="n"/>
      <c r="K459" s="111" t="n"/>
      <c r="L459" s="86" t="n"/>
      <c r="M459" s="84" t="inlineStr">
        <is>
          <t>Very Hard</t>
        </is>
      </c>
      <c r="N459" s="88" t="n"/>
      <c r="O459" s="20" t="n"/>
      <c r="P459" s="31" t="n"/>
      <c r="Q459" s="89" t="n"/>
      <c r="R459" s="89" t="n"/>
      <c r="S459" s="89" t="n"/>
      <c r="T459" s="59" t="n"/>
      <c r="U459" s="90" t="n"/>
      <c r="V459" s="61">
        <f>U459/B459</f>
        <v/>
      </c>
    </row>
    <row r="460" ht="22.5" customHeight="1" s="150">
      <c r="A460" s="34" t="n">
        <v>458</v>
      </c>
      <c r="B460" s="34" t="n"/>
      <c r="C460" s="34" t="n"/>
      <c r="D460" s="34" t="n"/>
      <c r="E460" s="34" t="n"/>
      <c r="F460" s="86" t="n"/>
      <c r="G460" s="86" t="n"/>
      <c r="H460" s="111" t="n"/>
      <c r="I460" s="87" t="n"/>
      <c r="J460" s="87" t="n"/>
      <c r="K460" s="111" t="n"/>
      <c r="L460" s="86" t="n"/>
      <c r="M460" s="83" t="inlineStr">
        <is>
          <t>Hard</t>
        </is>
      </c>
      <c r="N460" s="88" t="n"/>
      <c r="O460" s="20" t="n"/>
      <c r="P460" s="31" t="n"/>
      <c r="Q460" s="89" t="n"/>
      <c r="R460" s="89" t="n"/>
      <c r="S460" s="89" t="n"/>
      <c r="T460" s="59" t="n"/>
      <c r="U460" s="90" t="n"/>
      <c r="V460" s="61">
        <f>U460/B460</f>
        <v/>
      </c>
    </row>
    <row r="461" ht="22.5" customHeight="1" s="150">
      <c r="A461" s="34" t="n">
        <v>459</v>
      </c>
      <c r="B461" s="34" t="n"/>
      <c r="C461" s="34" t="n"/>
      <c r="D461" s="34" t="n"/>
      <c r="E461" s="34" t="n"/>
      <c r="F461" s="86" t="n"/>
      <c r="G461" s="86" t="n"/>
      <c r="H461" s="111" t="n"/>
      <c r="I461" s="87" t="n"/>
      <c r="J461" s="87" t="n"/>
      <c r="K461" s="111" t="n"/>
      <c r="L461" s="86" t="n"/>
      <c r="M461" s="84" t="inlineStr">
        <is>
          <t>Very Hard</t>
        </is>
      </c>
      <c r="N461" s="88" t="n"/>
      <c r="O461" s="20" t="n"/>
      <c r="P461" s="31" t="n"/>
      <c r="Q461" s="89" t="n"/>
      <c r="R461" s="89" t="n"/>
      <c r="S461" s="89" t="n"/>
      <c r="T461" s="59" t="n"/>
      <c r="U461" s="90" t="n"/>
      <c r="V461" s="61">
        <f>U461/B461</f>
        <v/>
      </c>
    </row>
    <row r="462" ht="22.5" customHeight="1" s="150">
      <c r="A462" s="34" t="n">
        <v>460</v>
      </c>
      <c r="B462" s="34" t="n"/>
      <c r="C462" s="34" t="n"/>
      <c r="D462" s="34" t="n"/>
      <c r="E462" s="34" t="n"/>
      <c r="F462" s="86" t="n"/>
      <c r="G462" s="86" t="n"/>
      <c r="H462" s="111" t="n"/>
      <c r="I462" s="87" t="n"/>
      <c r="J462" s="87" t="n"/>
      <c r="K462" s="111" t="n"/>
      <c r="L462" s="86" t="n"/>
      <c r="M462" s="81" t="inlineStr">
        <is>
          <t>Normal</t>
        </is>
      </c>
      <c r="N462" s="88" t="n"/>
      <c r="O462" s="20" t="n"/>
      <c r="P462" s="31" t="n"/>
      <c r="Q462" s="89" t="n"/>
      <c r="R462" s="89" t="n"/>
      <c r="S462" s="89" t="n"/>
      <c r="T462" s="59" t="n"/>
      <c r="U462" s="90" t="n"/>
      <c r="V462" s="61">
        <f>U462/B462</f>
        <v/>
      </c>
    </row>
    <row r="463" ht="22.5" customHeight="1" s="150">
      <c r="A463" s="34" t="n">
        <v>461</v>
      </c>
      <c r="B463" s="34" t="n"/>
      <c r="C463" s="34" t="n"/>
      <c r="D463" s="34" t="n"/>
      <c r="E463" s="34" t="n"/>
      <c r="F463" s="86" t="n"/>
      <c r="G463" s="86" t="n"/>
      <c r="H463" s="111" t="n"/>
      <c r="I463" s="87" t="n"/>
      <c r="J463" s="87" t="n"/>
      <c r="K463" s="111" t="n"/>
      <c r="L463" s="86" t="n"/>
      <c r="M463" s="80" t="inlineStr">
        <is>
          <t>Normal</t>
        </is>
      </c>
      <c r="N463" s="88" t="n"/>
      <c r="O463" s="20" t="n"/>
      <c r="P463" s="31" t="n"/>
      <c r="Q463" s="89" t="n"/>
      <c r="R463" s="89" t="n"/>
      <c r="S463" s="89" t="n"/>
      <c r="T463" s="59" t="n"/>
      <c r="U463" s="90" t="n"/>
      <c r="V463" s="61">
        <f>U463/B463</f>
        <v/>
      </c>
    </row>
    <row r="464" ht="22.5" customHeight="1" s="150">
      <c r="A464" s="34" t="n">
        <v>462</v>
      </c>
      <c r="B464" s="34" t="n"/>
      <c r="C464" s="34" t="n"/>
      <c r="D464" s="34" t="n"/>
      <c r="E464" s="34" t="n"/>
      <c r="F464" s="86" t="n"/>
      <c r="G464" s="86" t="n"/>
      <c r="H464" s="111" t="n"/>
      <c r="I464" s="87" t="n"/>
      <c r="J464" s="87" t="n"/>
      <c r="K464" s="111" t="n"/>
      <c r="L464" s="86" t="n"/>
      <c r="M464" s="81" t="inlineStr">
        <is>
          <t>Normal</t>
        </is>
      </c>
      <c r="N464" s="88" t="n"/>
      <c r="O464" s="20" t="n"/>
      <c r="P464" s="31" t="n"/>
      <c r="Q464" s="89" t="n"/>
      <c r="R464" s="89" t="n"/>
      <c r="S464" s="89" t="n"/>
      <c r="T464" s="59" t="n"/>
      <c r="U464" s="90" t="n"/>
      <c r="V464" s="61">
        <f>U464/B464</f>
        <v/>
      </c>
    </row>
    <row r="465" ht="22.5" customHeight="1" s="150">
      <c r="A465" s="34" t="n">
        <v>463</v>
      </c>
      <c r="B465" s="34" t="n"/>
      <c r="C465" s="34" t="n"/>
      <c r="D465" s="34" t="n"/>
      <c r="E465" s="34" t="n"/>
      <c r="F465" s="86" t="n"/>
      <c r="G465" s="86" t="n"/>
      <c r="H465" s="111" t="n"/>
      <c r="I465" s="87" t="n"/>
      <c r="J465" s="87" t="n"/>
      <c r="K465" s="111" t="n"/>
      <c r="L465" s="86" t="n"/>
      <c r="M465" s="80" t="inlineStr">
        <is>
          <t>Normal</t>
        </is>
      </c>
      <c r="N465" s="88" t="n"/>
      <c r="O465" s="20" t="n"/>
      <c r="P465" s="31" t="n"/>
      <c r="Q465" s="89" t="n"/>
      <c r="R465" s="89" t="n"/>
      <c r="S465" s="89" t="n"/>
      <c r="T465" s="59" t="n"/>
      <c r="U465" s="90" t="n"/>
      <c r="V465" s="61">
        <f>U465/B465</f>
        <v/>
      </c>
    </row>
    <row r="466" ht="22.5" customHeight="1" s="150">
      <c r="A466" s="34" t="n">
        <v>464</v>
      </c>
      <c r="B466" s="34" t="n"/>
      <c r="C466" s="34" t="n"/>
      <c r="D466" s="34" t="n"/>
      <c r="E466" s="34" t="n"/>
      <c r="F466" s="86" t="n"/>
      <c r="G466" s="86" t="n"/>
      <c r="H466" s="111" t="n"/>
      <c r="I466" s="87" t="n"/>
      <c r="J466" s="87" t="n"/>
      <c r="K466" s="111" t="n"/>
      <c r="L466" s="86" t="n"/>
      <c r="M466" s="83" t="inlineStr">
        <is>
          <t>Hard</t>
        </is>
      </c>
      <c r="N466" s="88" t="n"/>
      <c r="O466" s="20" t="n"/>
      <c r="P466" s="31" t="n"/>
      <c r="Q466" s="89" t="n"/>
      <c r="R466" s="89" t="n"/>
      <c r="S466" s="89" t="n"/>
      <c r="T466" s="59" t="n"/>
      <c r="U466" s="90" t="n"/>
      <c r="V466" s="61">
        <f>U466/B466</f>
        <v/>
      </c>
    </row>
    <row r="467" ht="22.5" customHeight="1" s="150">
      <c r="A467" s="34" t="n">
        <v>465</v>
      </c>
      <c r="B467" s="34" t="n"/>
      <c r="C467" s="34" t="n"/>
      <c r="D467" s="34" t="n"/>
      <c r="E467" s="34" t="n"/>
      <c r="F467" s="86" t="n"/>
      <c r="G467" s="86" t="n"/>
      <c r="H467" s="111" t="n"/>
      <c r="I467" s="87" t="n"/>
      <c r="J467" s="87" t="n"/>
      <c r="K467" s="111" t="n"/>
      <c r="L467" s="86" t="n"/>
      <c r="M467" s="84" t="inlineStr">
        <is>
          <t>Very Hard</t>
        </is>
      </c>
      <c r="N467" s="88" t="n"/>
      <c r="O467" s="20" t="n"/>
      <c r="P467" s="31" t="n"/>
      <c r="Q467" s="89" t="n"/>
      <c r="R467" s="89" t="n"/>
      <c r="S467" s="89" t="n"/>
      <c r="T467" s="59" t="n"/>
      <c r="U467" s="90" t="n"/>
      <c r="V467" s="61">
        <f>U467/B467</f>
        <v/>
      </c>
    </row>
    <row r="468" ht="22.5" customHeight="1" s="150">
      <c r="A468" s="34" t="n">
        <v>466</v>
      </c>
      <c r="B468" s="34" t="n"/>
      <c r="C468" s="34" t="n"/>
      <c r="D468" s="34" t="n"/>
      <c r="E468" s="34" t="n"/>
      <c r="F468" s="86" t="n"/>
      <c r="G468" s="86" t="n"/>
      <c r="H468" s="111" t="n"/>
      <c r="I468" s="87" t="n"/>
      <c r="J468" s="87" t="n"/>
      <c r="K468" s="111" t="n"/>
      <c r="L468" s="86" t="n"/>
      <c r="M468" s="81" t="inlineStr">
        <is>
          <t>Normal</t>
        </is>
      </c>
      <c r="N468" s="88" t="n"/>
      <c r="O468" s="20" t="n"/>
      <c r="P468" s="31" t="n"/>
      <c r="Q468" s="89" t="n"/>
      <c r="R468" s="89" t="n"/>
      <c r="S468" s="89" t="n"/>
      <c r="T468" s="59" t="n"/>
      <c r="U468" s="90" t="n"/>
      <c r="V468" s="61">
        <f>U468/B468</f>
        <v/>
      </c>
    </row>
    <row r="469" ht="22.5" customHeight="1" s="150">
      <c r="A469" s="34" t="n">
        <v>467</v>
      </c>
      <c r="B469" s="34" t="n"/>
      <c r="C469" s="34" t="n"/>
      <c r="D469" s="34" t="n"/>
      <c r="E469" s="34" t="n"/>
      <c r="F469" s="86" t="n"/>
      <c r="G469" s="86" t="n"/>
      <c r="H469" s="111" t="n"/>
      <c r="I469" s="87" t="n"/>
      <c r="J469" s="87" t="n"/>
      <c r="K469" s="111" t="n"/>
      <c r="L469" s="86" t="n"/>
      <c r="M469" s="80" t="inlineStr">
        <is>
          <t>Normal</t>
        </is>
      </c>
      <c r="N469" s="88" t="n"/>
      <c r="O469" s="20" t="n"/>
      <c r="P469" s="31" t="n"/>
      <c r="Q469" s="89" t="n"/>
      <c r="R469" s="89" t="n"/>
      <c r="S469" s="89" t="n"/>
      <c r="T469" s="59" t="n"/>
      <c r="U469" s="90" t="n"/>
      <c r="V469" s="61">
        <f>U469/B469</f>
        <v/>
      </c>
    </row>
    <row r="470" ht="22.5" customHeight="1" s="150">
      <c r="A470" s="34" t="n">
        <v>468</v>
      </c>
      <c r="B470" s="34" t="n"/>
      <c r="C470" s="34" t="n"/>
      <c r="D470" s="34" t="n"/>
      <c r="E470" s="34" t="n"/>
      <c r="F470" s="86" t="n"/>
      <c r="G470" s="86" t="n"/>
      <c r="H470" s="111" t="n"/>
      <c r="I470" s="87" t="n"/>
      <c r="J470" s="87" t="n"/>
      <c r="K470" s="111" t="n"/>
      <c r="L470" s="86" t="n"/>
      <c r="M470" s="81" t="inlineStr">
        <is>
          <t>Normal</t>
        </is>
      </c>
      <c r="N470" s="88" t="n"/>
      <c r="O470" s="20" t="n"/>
      <c r="P470" s="31" t="n"/>
      <c r="Q470" s="89" t="n"/>
      <c r="R470" s="89" t="n"/>
      <c r="S470" s="89" t="n"/>
      <c r="T470" s="59" t="n"/>
      <c r="U470" s="90" t="n"/>
      <c r="V470" s="61">
        <f>U470/B470</f>
        <v/>
      </c>
    </row>
    <row r="471" ht="22.5" customHeight="1" s="150">
      <c r="A471" s="34" t="n">
        <v>469</v>
      </c>
      <c r="B471" s="34" t="n"/>
      <c r="C471" s="34" t="n"/>
      <c r="D471" s="34" t="n"/>
      <c r="E471" s="34" t="n"/>
      <c r="F471" s="86" t="n"/>
      <c r="G471" s="86" t="n"/>
      <c r="H471" s="111" t="n"/>
      <c r="I471" s="87" t="n"/>
      <c r="J471" s="87" t="n"/>
      <c r="K471" s="111" t="n"/>
      <c r="L471" s="86" t="n"/>
      <c r="M471" s="82" t="inlineStr">
        <is>
          <t>Hard</t>
        </is>
      </c>
      <c r="N471" s="88" t="n"/>
      <c r="O471" s="20" t="n"/>
      <c r="P471" s="31" t="n"/>
      <c r="Q471" s="89" t="n"/>
      <c r="R471" s="89" t="n"/>
      <c r="S471" s="89" t="n"/>
      <c r="T471" s="59" t="n"/>
      <c r="U471" s="90" t="n"/>
      <c r="V471" s="61">
        <f>U471/B471</f>
        <v/>
      </c>
    </row>
    <row r="472" ht="22.5" customHeight="1" s="150">
      <c r="A472" s="34" t="n">
        <v>470</v>
      </c>
      <c r="B472" s="34" t="n"/>
      <c r="C472" s="34" t="n"/>
      <c r="D472" s="34" t="n"/>
      <c r="E472" s="34" t="n"/>
      <c r="F472" s="86" t="n"/>
      <c r="G472" s="86" t="n"/>
      <c r="H472" s="111" t="n"/>
      <c r="I472" s="87" t="n"/>
      <c r="J472" s="87" t="n"/>
      <c r="K472" s="111" t="n"/>
      <c r="L472" s="86" t="n"/>
      <c r="M472" s="85" t="inlineStr">
        <is>
          <t>Very Hard</t>
        </is>
      </c>
      <c r="N472" s="88" t="n"/>
      <c r="O472" s="20" t="n"/>
      <c r="P472" s="31" t="n"/>
      <c r="Q472" s="89" t="n"/>
      <c r="R472" s="89" t="n"/>
      <c r="S472" s="89" t="n"/>
      <c r="T472" s="59" t="n"/>
      <c r="U472" s="90" t="n"/>
      <c r="V472" s="61">
        <f>U472/B472</f>
        <v/>
      </c>
    </row>
    <row r="473" ht="22.5" customHeight="1" s="150">
      <c r="A473" s="34" t="n">
        <v>471</v>
      </c>
      <c r="B473" s="34" t="n"/>
      <c r="C473" s="34" t="n"/>
      <c r="D473" s="34" t="n"/>
      <c r="E473" s="34" t="n"/>
      <c r="F473" s="86" t="n"/>
      <c r="G473" s="86" t="n"/>
      <c r="H473" s="111" t="n"/>
      <c r="I473" s="87" t="n"/>
      <c r="J473" s="87" t="n"/>
      <c r="K473" s="111" t="n"/>
      <c r="L473" s="86" t="n"/>
      <c r="M473" s="80" t="inlineStr">
        <is>
          <t>Normal</t>
        </is>
      </c>
      <c r="N473" s="88" t="n"/>
      <c r="O473" s="20" t="n"/>
      <c r="P473" s="31" t="n"/>
      <c r="Q473" s="89" t="n"/>
      <c r="R473" s="89" t="n"/>
      <c r="S473" s="89" t="n"/>
      <c r="T473" s="59" t="n"/>
      <c r="U473" s="90" t="n"/>
      <c r="V473" s="61">
        <f>U473/B473</f>
        <v/>
      </c>
    </row>
    <row r="474" ht="22.5" customHeight="1" s="150">
      <c r="A474" s="34" t="n">
        <v>472</v>
      </c>
      <c r="B474" s="34" t="n"/>
      <c r="C474" s="34" t="n"/>
      <c r="D474" s="34" t="n"/>
      <c r="E474" s="34" t="n"/>
      <c r="F474" s="86" t="n"/>
      <c r="G474" s="86" t="n"/>
      <c r="H474" s="111" t="n"/>
      <c r="I474" s="87" t="n"/>
      <c r="J474" s="87" t="n"/>
      <c r="K474" s="111" t="n"/>
      <c r="L474" s="86" t="n"/>
      <c r="M474" s="81" t="inlineStr">
        <is>
          <t>Normal</t>
        </is>
      </c>
      <c r="N474" s="88" t="n"/>
      <c r="O474" s="20" t="n"/>
      <c r="P474" s="31" t="n"/>
      <c r="Q474" s="89" t="n"/>
      <c r="R474" s="89" t="n"/>
      <c r="S474" s="89" t="n"/>
      <c r="T474" s="59" t="n"/>
      <c r="U474" s="90" t="n"/>
      <c r="V474" s="61">
        <f>U474/B474</f>
        <v/>
      </c>
    </row>
    <row r="475" ht="22.5" customHeight="1" s="150">
      <c r="A475" s="34" t="n">
        <v>473</v>
      </c>
      <c r="B475" s="34" t="n"/>
      <c r="C475" s="34" t="n"/>
      <c r="D475" s="34" t="n"/>
      <c r="E475" s="34" t="n"/>
      <c r="F475" s="86" t="n"/>
      <c r="G475" s="86" t="n"/>
      <c r="H475" s="111" t="n"/>
      <c r="I475" s="87" t="n"/>
      <c r="J475" s="87" t="n"/>
      <c r="K475" s="111" t="n"/>
      <c r="L475" s="86" t="n"/>
      <c r="M475" s="80" t="inlineStr">
        <is>
          <t>Normal</t>
        </is>
      </c>
      <c r="N475" s="88" t="n"/>
      <c r="O475" s="20" t="n"/>
      <c r="P475" s="31" t="n"/>
      <c r="Q475" s="89" t="n"/>
      <c r="R475" s="89" t="n"/>
      <c r="S475" s="89" t="n"/>
      <c r="T475" s="59" t="n"/>
      <c r="U475" s="90" t="n"/>
      <c r="V475" s="61">
        <f>U475/B475</f>
        <v/>
      </c>
    </row>
    <row r="476" ht="22.5" customHeight="1" s="150">
      <c r="A476" s="34" t="n">
        <v>474</v>
      </c>
      <c r="B476" s="34" t="n"/>
      <c r="C476" s="34" t="n"/>
      <c r="D476" s="34" t="n"/>
      <c r="E476" s="34" t="n"/>
      <c r="F476" s="86" t="n"/>
      <c r="G476" s="86" t="n"/>
      <c r="H476" s="111" t="n"/>
      <c r="I476" s="87" t="n"/>
      <c r="J476" s="87" t="n"/>
      <c r="K476" s="111" t="n"/>
      <c r="L476" s="86" t="n"/>
      <c r="M476" s="83" t="inlineStr">
        <is>
          <t>Hard</t>
        </is>
      </c>
      <c r="N476" s="88" t="n"/>
      <c r="O476" s="20" t="n"/>
      <c r="P476" s="31" t="n"/>
      <c r="Q476" s="89" t="n"/>
      <c r="R476" s="89" t="n"/>
      <c r="S476" s="89" t="n"/>
      <c r="T476" s="59" t="n"/>
      <c r="U476" s="90" t="n"/>
      <c r="V476" s="61">
        <f>U476/B476</f>
        <v/>
      </c>
    </row>
    <row r="477" ht="22.5" customHeight="1" s="150">
      <c r="A477" s="34" t="n">
        <v>475</v>
      </c>
      <c r="B477" s="34" t="n"/>
      <c r="C477" s="34" t="n"/>
      <c r="D477" s="34" t="n"/>
      <c r="E477" s="34" t="n"/>
      <c r="F477" s="86" t="n"/>
      <c r="G477" s="86" t="n"/>
      <c r="H477" s="111" t="n"/>
      <c r="I477" s="87" t="n"/>
      <c r="J477" s="87" t="n"/>
      <c r="K477" s="111" t="n"/>
      <c r="L477" s="86" t="n"/>
      <c r="M477" s="84" t="inlineStr">
        <is>
          <t>Very Hard</t>
        </is>
      </c>
      <c r="N477" s="88" t="n"/>
      <c r="O477" s="20" t="n"/>
      <c r="P477" s="31" t="n"/>
      <c r="Q477" s="89" t="n"/>
      <c r="R477" s="89" t="n"/>
      <c r="S477" s="89" t="n"/>
      <c r="T477" s="59" t="n"/>
      <c r="U477" s="90" t="n"/>
      <c r="V477" s="61">
        <f>U477/B477</f>
        <v/>
      </c>
    </row>
    <row r="478" ht="22.5" customHeight="1" s="150">
      <c r="A478" s="34" t="n">
        <v>476</v>
      </c>
      <c r="B478" s="34" t="n"/>
      <c r="C478" s="34" t="n"/>
      <c r="D478" s="34" t="n"/>
      <c r="E478" s="34" t="n"/>
      <c r="F478" s="86" t="n"/>
      <c r="G478" s="86" t="n"/>
      <c r="H478" s="111" t="n"/>
      <c r="I478" s="87" t="n"/>
      <c r="J478" s="87" t="n"/>
      <c r="K478" s="111" t="n"/>
      <c r="L478" s="86" t="n"/>
      <c r="M478" s="81" t="inlineStr">
        <is>
          <t>Normal</t>
        </is>
      </c>
      <c r="N478" s="88" t="n"/>
      <c r="O478" s="20" t="n"/>
      <c r="P478" s="31" t="n"/>
      <c r="Q478" s="89" t="n"/>
      <c r="R478" s="89" t="n"/>
      <c r="S478" s="89" t="n"/>
      <c r="T478" s="59" t="n"/>
      <c r="U478" s="90" t="n"/>
      <c r="V478" s="61">
        <f>U478/B478</f>
        <v/>
      </c>
    </row>
    <row r="479" ht="22.5" customHeight="1" s="150">
      <c r="A479" s="34" t="n">
        <v>477</v>
      </c>
      <c r="B479" s="34" t="n"/>
      <c r="C479" s="34" t="n"/>
      <c r="D479" s="34" t="n"/>
      <c r="E479" s="34" t="n"/>
      <c r="F479" s="86" t="n"/>
      <c r="G479" s="86" t="n"/>
      <c r="H479" s="111" t="n"/>
      <c r="I479" s="87" t="n"/>
      <c r="J479" s="87" t="n"/>
      <c r="K479" s="111" t="n"/>
      <c r="L479" s="86" t="n"/>
      <c r="M479" s="80" t="inlineStr">
        <is>
          <t>Normal</t>
        </is>
      </c>
      <c r="N479" s="88" t="n"/>
      <c r="O479" s="20" t="n"/>
      <c r="P479" s="31" t="n"/>
      <c r="Q479" s="89" t="n"/>
      <c r="R479" s="89" t="n"/>
      <c r="S479" s="89" t="n"/>
      <c r="T479" s="59" t="n"/>
      <c r="U479" s="90" t="n"/>
      <c r="V479" s="61">
        <f>U479/B479</f>
        <v/>
      </c>
    </row>
    <row r="480" ht="22.5" customHeight="1" s="150">
      <c r="A480" s="34" t="n">
        <v>478</v>
      </c>
      <c r="B480" s="34" t="n"/>
      <c r="C480" s="34" t="n"/>
      <c r="D480" s="34" t="n"/>
      <c r="E480" s="34" t="n"/>
      <c r="F480" s="86" t="n"/>
      <c r="G480" s="86" t="n"/>
      <c r="H480" s="111" t="n"/>
      <c r="I480" s="87" t="n"/>
      <c r="J480" s="87" t="n"/>
      <c r="K480" s="111" t="n"/>
      <c r="L480" s="86" t="n"/>
      <c r="M480" s="81" t="inlineStr">
        <is>
          <t>Normal</t>
        </is>
      </c>
      <c r="N480" s="88" t="n"/>
      <c r="O480" s="20" t="n"/>
      <c r="P480" s="31" t="n"/>
      <c r="Q480" s="89" t="n"/>
      <c r="R480" s="89" t="n"/>
      <c r="S480" s="89" t="n"/>
      <c r="T480" s="59" t="n"/>
      <c r="U480" s="90" t="n"/>
      <c r="V480" s="61">
        <f>U480/B480</f>
        <v/>
      </c>
    </row>
    <row r="481" ht="22.5" customHeight="1" s="150">
      <c r="A481" s="34" t="n">
        <v>479</v>
      </c>
      <c r="B481" s="34" t="n"/>
      <c r="C481" s="34" t="n"/>
      <c r="D481" s="34" t="n"/>
      <c r="E481" s="34" t="n"/>
      <c r="F481" s="86" t="n"/>
      <c r="G481" s="86" t="n"/>
      <c r="H481" s="111" t="n"/>
      <c r="I481" s="87" t="n"/>
      <c r="J481" s="87" t="n"/>
      <c r="K481" s="111" t="n"/>
      <c r="L481" s="86" t="n"/>
      <c r="M481" s="82" t="inlineStr">
        <is>
          <t>Hard</t>
        </is>
      </c>
      <c r="N481" s="88" t="n"/>
      <c r="O481" s="20" t="n"/>
      <c r="P481" s="31" t="n"/>
      <c r="Q481" s="89" t="n"/>
      <c r="R481" s="89" t="n"/>
      <c r="S481" s="89" t="n"/>
      <c r="T481" s="59" t="n"/>
      <c r="U481" s="90" t="n"/>
      <c r="V481" s="61">
        <f>U481/B481</f>
        <v/>
      </c>
    </row>
    <row r="482" ht="22.5" customHeight="1" s="150">
      <c r="A482" s="34" t="n">
        <v>480</v>
      </c>
      <c r="B482" s="34" t="n"/>
      <c r="C482" s="34" t="n"/>
      <c r="D482" s="34" t="n"/>
      <c r="E482" s="34" t="n"/>
      <c r="F482" s="86" t="n"/>
      <c r="G482" s="86" t="n"/>
      <c r="H482" s="111" t="n"/>
      <c r="I482" s="87" t="n"/>
      <c r="J482" s="87" t="n"/>
      <c r="K482" s="111" t="n"/>
      <c r="L482" s="86" t="n"/>
      <c r="M482" s="85" t="inlineStr">
        <is>
          <t>Very Hard</t>
        </is>
      </c>
      <c r="N482" s="88" t="n"/>
      <c r="O482" s="20" t="n"/>
      <c r="P482" s="31" t="n"/>
      <c r="Q482" s="89" t="n"/>
      <c r="R482" s="89" t="n"/>
      <c r="S482" s="89" t="n"/>
      <c r="T482" s="59" t="n"/>
      <c r="U482" s="90" t="n"/>
      <c r="V482" s="61">
        <f>U482/B482</f>
        <v/>
      </c>
    </row>
    <row r="483" ht="22.5" customHeight="1" s="150">
      <c r="A483" s="34" t="n">
        <v>481</v>
      </c>
      <c r="B483" s="34" t="n"/>
      <c r="C483" s="34" t="n"/>
      <c r="D483" s="34" t="n"/>
      <c r="E483" s="34" t="n"/>
      <c r="F483" s="86" t="n"/>
      <c r="G483" s="86" t="n"/>
      <c r="H483" s="111" t="n"/>
      <c r="I483" s="87" t="n"/>
      <c r="J483" s="87" t="n"/>
      <c r="K483" s="111" t="n"/>
      <c r="L483" s="86" t="n"/>
      <c r="M483" s="80" t="inlineStr">
        <is>
          <t>Normal</t>
        </is>
      </c>
      <c r="N483" s="88" t="n"/>
      <c r="O483" s="20" t="n"/>
      <c r="P483" s="31" t="n"/>
      <c r="Q483" s="89" t="n"/>
      <c r="R483" s="89" t="n"/>
      <c r="S483" s="89" t="n"/>
      <c r="T483" s="59" t="n"/>
      <c r="U483" s="90" t="n"/>
      <c r="V483" s="61">
        <f>U483/B483</f>
        <v/>
      </c>
    </row>
    <row r="484" ht="22.5" customHeight="1" s="150">
      <c r="A484" s="34" t="n">
        <v>482</v>
      </c>
      <c r="B484" s="34" t="n"/>
      <c r="C484" s="34" t="n"/>
      <c r="D484" s="34" t="n"/>
      <c r="E484" s="34" t="n"/>
      <c r="F484" s="86" t="n"/>
      <c r="G484" s="86" t="n"/>
      <c r="H484" s="111" t="n"/>
      <c r="I484" s="87" t="n"/>
      <c r="J484" s="87" t="n"/>
      <c r="K484" s="111" t="n"/>
      <c r="L484" s="86" t="n"/>
      <c r="M484" s="81" t="inlineStr">
        <is>
          <t>Normal</t>
        </is>
      </c>
      <c r="N484" s="88" t="n"/>
      <c r="O484" s="20" t="n"/>
      <c r="P484" s="31" t="n"/>
      <c r="Q484" s="89" t="n"/>
      <c r="R484" s="89" t="n"/>
      <c r="S484" s="89" t="n"/>
      <c r="T484" s="59" t="n"/>
      <c r="U484" s="90" t="n"/>
      <c r="V484" s="61">
        <f>U484/B484</f>
        <v/>
      </c>
    </row>
    <row r="485" ht="22.5" customHeight="1" s="150">
      <c r="A485" s="34" t="n">
        <v>483</v>
      </c>
      <c r="B485" s="34" t="n"/>
      <c r="C485" s="34" t="n"/>
      <c r="D485" s="34" t="n"/>
      <c r="E485" s="34" t="n"/>
      <c r="F485" s="86" t="n"/>
      <c r="G485" s="86" t="n"/>
      <c r="H485" s="111" t="n"/>
      <c r="I485" s="87" t="n"/>
      <c r="J485" s="87" t="n"/>
      <c r="K485" s="111" t="n"/>
      <c r="L485" s="86" t="n"/>
      <c r="M485" s="80" t="inlineStr">
        <is>
          <t>Normal</t>
        </is>
      </c>
      <c r="N485" s="88" t="n"/>
      <c r="O485" s="20" t="n"/>
      <c r="P485" s="31" t="n"/>
      <c r="Q485" s="89" t="n"/>
      <c r="R485" s="89" t="n"/>
      <c r="S485" s="89" t="n"/>
      <c r="T485" s="59" t="n"/>
      <c r="U485" s="90" t="n"/>
      <c r="V485" s="61">
        <f>U485/B485</f>
        <v/>
      </c>
    </row>
    <row r="486" ht="22.5" customHeight="1" s="150">
      <c r="A486" s="34" t="n">
        <v>484</v>
      </c>
      <c r="B486" s="34" t="n"/>
      <c r="C486" s="34" t="n"/>
      <c r="D486" s="34" t="n"/>
      <c r="E486" s="34" t="n"/>
      <c r="F486" s="86" t="n"/>
      <c r="G486" s="86" t="n"/>
      <c r="H486" s="111" t="n"/>
      <c r="I486" s="87" t="n"/>
      <c r="J486" s="87" t="n"/>
      <c r="K486" s="111" t="n"/>
      <c r="L486" s="86" t="n"/>
      <c r="M486" s="83" t="inlineStr">
        <is>
          <t>Hard</t>
        </is>
      </c>
      <c r="N486" s="88" t="n"/>
      <c r="O486" s="20" t="n"/>
      <c r="P486" s="31" t="n"/>
      <c r="Q486" s="89" t="n"/>
      <c r="R486" s="89" t="n"/>
      <c r="S486" s="89" t="n"/>
      <c r="T486" s="59" t="n"/>
      <c r="U486" s="90" t="n"/>
      <c r="V486" s="61">
        <f>U486/B486</f>
        <v/>
      </c>
    </row>
    <row r="487" ht="22.5" customHeight="1" s="150">
      <c r="A487" s="34" t="n">
        <v>485</v>
      </c>
      <c r="B487" s="34" t="n"/>
      <c r="C487" s="34" t="n"/>
      <c r="D487" s="34" t="n"/>
      <c r="E487" s="34" t="n"/>
      <c r="F487" s="86" t="n"/>
      <c r="G487" s="86" t="n"/>
      <c r="H487" s="111" t="n"/>
      <c r="I487" s="87" t="n"/>
      <c r="J487" s="87" t="n"/>
      <c r="K487" s="111" t="n"/>
      <c r="L487" s="86" t="n"/>
      <c r="M487" s="84" t="inlineStr">
        <is>
          <t>Very Hard</t>
        </is>
      </c>
      <c r="N487" s="88" t="n"/>
      <c r="O487" s="20" t="n"/>
      <c r="P487" s="31" t="n"/>
      <c r="Q487" s="89" t="n"/>
      <c r="R487" s="89" t="n"/>
      <c r="S487" s="89" t="n"/>
      <c r="T487" s="59" t="n"/>
      <c r="U487" s="90" t="n"/>
      <c r="V487" s="61">
        <f>U487/B487</f>
        <v/>
      </c>
    </row>
    <row r="488" ht="22.5" customHeight="1" s="150">
      <c r="A488" s="34" t="n">
        <v>486</v>
      </c>
      <c r="B488" s="34" t="n"/>
      <c r="C488" s="34" t="n"/>
      <c r="D488" s="34" t="n"/>
      <c r="E488" s="34" t="n"/>
      <c r="F488" s="86" t="n"/>
      <c r="G488" s="86" t="n"/>
      <c r="H488" s="111" t="n"/>
      <c r="I488" s="87" t="n"/>
      <c r="J488" s="87" t="n"/>
      <c r="K488" s="111" t="n"/>
      <c r="L488" s="86" t="n"/>
      <c r="M488" s="81" t="inlineStr">
        <is>
          <t>Normal</t>
        </is>
      </c>
      <c r="N488" s="88" t="n"/>
      <c r="O488" s="20" t="n"/>
      <c r="P488" s="31" t="n"/>
      <c r="Q488" s="89" t="n"/>
      <c r="R488" s="89" t="n"/>
      <c r="S488" s="89" t="n"/>
      <c r="T488" s="59" t="n"/>
      <c r="U488" s="90" t="n"/>
      <c r="V488" s="61">
        <f>U488/B488</f>
        <v/>
      </c>
    </row>
    <row r="489" ht="22.5" customHeight="1" s="150">
      <c r="A489" s="34" t="n">
        <v>487</v>
      </c>
      <c r="B489" s="34" t="n"/>
      <c r="C489" s="34" t="n"/>
      <c r="D489" s="34" t="n"/>
      <c r="E489" s="34" t="n"/>
      <c r="F489" s="86" t="n"/>
      <c r="G489" s="86" t="n"/>
      <c r="H489" s="111" t="n"/>
      <c r="I489" s="87" t="n"/>
      <c r="J489" s="87" t="n"/>
      <c r="K489" s="111" t="n"/>
      <c r="L489" s="86" t="n"/>
      <c r="M489" s="80" t="inlineStr">
        <is>
          <t>Normal</t>
        </is>
      </c>
      <c r="N489" s="88" t="n"/>
      <c r="O489" s="20" t="n"/>
      <c r="P489" s="31" t="n"/>
      <c r="Q489" s="89" t="n"/>
      <c r="R489" s="89" t="n"/>
      <c r="S489" s="89" t="n"/>
      <c r="T489" s="59" t="n"/>
      <c r="U489" s="90" t="n"/>
      <c r="V489" s="61">
        <f>U489/B489</f>
        <v/>
      </c>
    </row>
    <row r="490" ht="22.5" customHeight="1" s="150">
      <c r="A490" s="34" t="n">
        <v>488</v>
      </c>
      <c r="B490" s="34" t="n"/>
      <c r="C490" s="34" t="n"/>
      <c r="D490" s="34" t="n"/>
      <c r="E490" s="34" t="n"/>
      <c r="F490" s="86" t="n"/>
      <c r="G490" s="86" t="n"/>
      <c r="H490" s="111" t="n"/>
      <c r="I490" s="87" t="n"/>
      <c r="J490" s="87" t="n"/>
      <c r="K490" s="111" t="n"/>
      <c r="L490" s="86" t="n"/>
      <c r="M490" s="81" t="inlineStr">
        <is>
          <t>Normal</t>
        </is>
      </c>
      <c r="N490" s="88" t="n"/>
      <c r="O490" s="20" t="n"/>
      <c r="P490" s="31" t="n"/>
      <c r="Q490" s="89" t="n"/>
      <c r="R490" s="89" t="n"/>
      <c r="S490" s="89" t="n"/>
      <c r="T490" s="59" t="n"/>
      <c r="U490" s="90" t="n"/>
      <c r="V490" s="61">
        <f>U490/B490</f>
        <v/>
      </c>
    </row>
    <row r="491" ht="22.5" customHeight="1" s="150">
      <c r="A491" s="34" t="n">
        <v>489</v>
      </c>
      <c r="B491" s="34" t="n"/>
      <c r="C491" s="34" t="n"/>
      <c r="D491" s="34" t="n"/>
      <c r="E491" s="34" t="n"/>
      <c r="F491" s="86" t="n"/>
      <c r="G491" s="86" t="n"/>
      <c r="H491" s="111" t="n"/>
      <c r="I491" s="87" t="n"/>
      <c r="J491" s="87" t="n"/>
      <c r="K491" s="111" t="n"/>
      <c r="L491" s="86" t="n"/>
      <c r="M491" s="82" t="inlineStr">
        <is>
          <t>Hard</t>
        </is>
      </c>
      <c r="N491" s="88" t="n"/>
      <c r="O491" s="20" t="n"/>
      <c r="P491" s="31" t="n"/>
      <c r="Q491" s="89" t="n"/>
      <c r="R491" s="89" t="n"/>
      <c r="S491" s="89" t="n"/>
      <c r="T491" s="59" t="n"/>
      <c r="U491" s="90" t="n"/>
      <c r="V491" s="61">
        <f>U491/B491</f>
        <v/>
      </c>
    </row>
    <row r="492" ht="22.5" customHeight="1" s="150">
      <c r="A492" s="34" t="n">
        <v>490</v>
      </c>
      <c r="B492" s="34" t="n"/>
      <c r="C492" s="34" t="n"/>
      <c r="D492" s="34" t="n"/>
      <c r="E492" s="34" t="n"/>
      <c r="F492" s="86" t="n"/>
      <c r="G492" s="86" t="n"/>
      <c r="H492" s="111" t="n"/>
      <c r="I492" s="87" t="n"/>
      <c r="J492" s="87" t="n"/>
      <c r="K492" s="111" t="n"/>
      <c r="L492" s="86" t="n"/>
      <c r="M492" s="85" t="inlineStr">
        <is>
          <t>Very Hard</t>
        </is>
      </c>
      <c r="N492" s="88" t="n"/>
      <c r="O492" s="20" t="n"/>
      <c r="P492" s="31" t="n"/>
      <c r="Q492" s="89" t="n"/>
      <c r="R492" s="89" t="n"/>
      <c r="S492" s="89" t="n"/>
      <c r="T492" s="59" t="n"/>
      <c r="U492" s="90" t="n"/>
      <c r="V492" s="61">
        <f>U492/B492</f>
        <v/>
      </c>
    </row>
    <row r="493" ht="22.5" customHeight="1" s="150">
      <c r="A493" s="34" t="n">
        <v>491</v>
      </c>
      <c r="B493" s="34" t="n"/>
      <c r="C493" s="34" t="n"/>
      <c r="D493" s="34" t="n"/>
      <c r="E493" s="34" t="n"/>
      <c r="F493" s="86" t="n"/>
      <c r="G493" s="86" t="n"/>
      <c r="H493" s="111" t="n"/>
      <c r="I493" s="87" t="n"/>
      <c r="J493" s="87" t="n"/>
      <c r="K493" s="111" t="n"/>
      <c r="L493" s="86" t="n"/>
      <c r="M493" s="80" t="inlineStr">
        <is>
          <t>Normal</t>
        </is>
      </c>
      <c r="N493" s="88" t="n"/>
      <c r="O493" s="20" t="n"/>
      <c r="P493" s="31" t="n"/>
      <c r="Q493" s="89" t="n"/>
      <c r="R493" s="89" t="n"/>
      <c r="S493" s="89" t="n"/>
      <c r="T493" s="59" t="n"/>
      <c r="U493" s="90" t="n"/>
      <c r="V493" s="61">
        <f>U493/B493</f>
        <v/>
      </c>
    </row>
    <row r="494" ht="22.5" customHeight="1" s="150">
      <c r="A494" s="34" t="n">
        <v>492</v>
      </c>
      <c r="B494" s="34" t="n"/>
      <c r="C494" s="34" t="n"/>
      <c r="D494" s="34" t="n"/>
      <c r="E494" s="34" t="n"/>
      <c r="F494" s="86" t="n"/>
      <c r="G494" s="86" t="n"/>
      <c r="H494" s="111" t="n"/>
      <c r="I494" s="87" t="n"/>
      <c r="J494" s="87" t="n"/>
      <c r="K494" s="111" t="n"/>
      <c r="L494" s="86" t="n"/>
      <c r="M494" s="81" t="inlineStr">
        <is>
          <t>Normal</t>
        </is>
      </c>
      <c r="N494" s="88" t="n"/>
      <c r="O494" s="20" t="n"/>
      <c r="P494" s="31" t="n"/>
      <c r="Q494" s="89" t="n"/>
      <c r="R494" s="89" t="n"/>
      <c r="S494" s="89" t="n"/>
      <c r="T494" s="59" t="n"/>
      <c r="U494" s="90" t="n"/>
      <c r="V494" s="61">
        <f>U494/B494</f>
        <v/>
      </c>
    </row>
    <row r="495" ht="22.5" customHeight="1" s="150">
      <c r="A495" s="34" t="n">
        <v>493</v>
      </c>
      <c r="B495" s="34" t="n"/>
      <c r="C495" s="34" t="n"/>
      <c r="D495" s="34" t="n"/>
      <c r="E495" s="34" t="n"/>
      <c r="F495" s="86" t="n"/>
      <c r="G495" s="86" t="n"/>
      <c r="H495" s="111" t="n"/>
      <c r="I495" s="87" t="n"/>
      <c r="J495" s="87" t="n"/>
      <c r="K495" s="111" t="n"/>
      <c r="L495" s="86" t="n"/>
      <c r="M495" s="80" t="inlineStr">
        <is>
          <t>Normal</t>
        </is>
      </c>
      <c r="N495" s="88" t="n"/>
      <c r="O495" s="20" t="n"/>
      <c r="P495" s="31" t="n"/>
      <c r="Q495" s="89" t="n"/>
      <c r="R495" s="89" t="n"/>
      <c r="S495" s="89" t="n"/>
      <c r="T495" s="59" t="n"/>
      <c r="U495" s="90" t="n"/>
      <c r="V495" s="61">
        <f>U495/B495</f>
        <v/>
      </c>
    </row>
    <row r="496" ht="22.5" customHeight="1" s="150">
      <c r="A496" s="34" t="n">
        <v>494</v>
      </c>
      <c r="B496" s="34" t="n"/>
      <c r="C496" s="34" t="n"/>
      <c r="D496" s="34" t="n"/>
      <c r="E496" s="34" t="n"/>
      <c r="F496" s="86" t="n"/>
      <c r="G496" s="86" t="n"/>
      <c r="H496" s="111" t="n"/>
      <c r="I496" s="87" t="n"/>
      <c r="J496" s="87" t="n"/>
      <c r="K496" s="111" t="n"/>
      <c r="L496" s="86" t="n"/>
      <c r="M496" s="83" t="inlineStr">
        <is>
          <t>Hard</t>
        </is>
      </c>
      <c r="N496" s="88" t="n"/>
      <c r="O496" s="20" t="n"/>
      <c r="P496" s="31" t="n"/>
      <c r="Q496" s="89" t="n"/>
      <c r="R496" s="89" t="n"/>
      <c r="S496" s="89" t="n"/>
      <c r="T496" s="59" t="n"/>
      <c r="U496" s="90" t="n"/>
      <c r="V496" s="61">
        <f>U496/B496</f>
        <v/>
      </c>
    </row>
    <row r="497" ht="22.5" customHeight="1" s="150">
      <c r="A497" s="34" t="n">
        <v>495</v>
      </c>
      <c r="B497" s="34" t="n"/>
      <c r="C497" s="34" t="n"/>
      <c r="D497" s="34" t="n"/>
      <c r="E497" s="34" t="n"/>
      <c r="F497" s="86" t="n"/>
      <c r="G497" s="86" t="n"/>
      <c r="H497" s="111" t="n"/>
      <c r="I497" s="87" t="n"/>
      <c r="J497" s="87" t="n"/>
      <c r="K497" s="111" t="n"/>
      <c r="L497" s="86" t="n"/>
      <c r="M497" s="84" t="inlineStr">
        <is>
          <t>Very Hard</t>
        </is>
      </c>
      <c r="N497" s="88" t="n"/>
      <c r="O497" s="20" t="n"/>
      <c r="P497" s="31" t="n"/>
      <c r="Q497" s="89" t="n"/>
      <c r="R497" s="89" t="n"/>
      <c r="S497" s="89" t="n"/>
      <c r="T497" s="59" t="n"/>
      <c r="U497" s="90" t="n"/>
      <c r="V497" s="61">
        <f>U497/B497</f>
        <v/>
      </c>
    </row>
    <row r="498" ht="22.5" customHeight="1" s="150">
      <c r="A498" s="34" t="n">
        <v>496</v>
      </c>
      <c r="B498" s="34" t="n"/>
      <c r="C498" s="34" t="n"/>
      <c r="D498" s="34" t="n"/>
      <c r="E498" s="34" t="n"/>
      <c r="F498" s="86" t="n"/>
      <c r="G498" s="86" t="n"/>
      <c r="H498" s="111" t="n"/>
      <c r="I498" s="87" t="n"/>
      <c r="J498" s="87" t="n"/>
      <c r="K498" s="111" t="n"/>
      <c r="L498" s="86" t="n"/>
      <c r="M498" s="81" t="inlineStr">
        <is>
          <t>Normal</t>
        </is>
      </c>
      <c r="N498" s="88" t="n"/>
      <c r="O498" s="20" t="n"/>
      <c r="P498" s="31" t="n"/>
      <c r="Q498" s="89" t="n"/>
      <c r="R498" s="89" t="n"/>
      <c r="S498" s="89" t="n"/>
      <c r="T498" s="59" t="n"/>
      <c r="U498" s="90" t="n"/>
      <c r="V498" s="61">
        <f>U498/B498</f>
        <v/>
      </c>
    </row>
    <row r="499" ht="22.5" customHeight="1" s="150">
      <c r="A499" s="34" t="n">
        <v>497</v>
      </c>
      <c r="B499" s="34" t="n"/>
      <c r="C499" s="34" t="n"/>
      <c r="D499" s="34" t="n"/>
      <c r="E499" s="34" t="n"/>
      <c r="F499" s="86" t="n"/>
      <c r="G499" s="86" t="n"/>
      <c r="H499" s="111" t="n"/>
      <c r="I499" s="87" t="n"/>
      <c r="J499" s="87" t="n"/>
      <c r="K499" s="111" t="n"/>
      <c r="L499" s="86" t="n"/>
      <c r="M499" s="80" t="inlineStr">
        <is>
          <t>Normal</t>
        </is>
      </c>
      <c r="N499" s="88" t="n"/>
      <c r="O499" s="20" t="n"/>
      <c r="P499" s="31" t="n"/>
      <c r="Q499" s="89" t="n"/>
      <c r="R499" s="89" t="n"/>
      <c r="S499" s="89" t="n"/>
      <c r="T499" s="59" t="n"/>
      <c r="U499" s="90" t="n"/>
      <c r="V499" s="61">
        <f>U499/B499</f>
        <v/>
      </c>
    </row>
    <row r="500" ht="22.5" customHeight="1" s="150">
      <c r="A500" s="34" t="n">
        <v>498</v>
      </c>
      <c r="B500" s="34" t="n"/>
      <c r="C500" s="34" t="n"/>
      <c r="D500" s="34" t="n"/>
      <c r="E500" s="34" t="n"/>
      <c r="F500" s="86" t="n"/>
      <c r="G500" s="86" t="n"/>
      <c r="H500" s="111" t="n"/>
      <c r="I500" s="87" t="n"/>
      <c r="J500" s="87" t="n"/>
      <c r="K500" s="111" t="n"/>
      <c r="L500" s="86" t="n"/>
      <c r="M500" s="81" t="inlineStr">
        <is>
          <t>Normal</t>
        </is>
      </c>
      <c r="N500" s="88" t="n"/>
      <c r="O500" s="20" t="n"/>
      <c r="P500" s="31" t="n"/>
      <c r="Q500" s="89" t="n"/>
      <c r="R500" s="89" t="n"/>
      <c r="S500" s="89" t="n"/>
      <c r="T500" s="59" t="n"/>
      <c r="U500" s="90" t="n"/>
      <c r="V500" s="61">
        <f>U500/B500</f>
        <v/>
      </c>
    </row>
    <row r="501" ht="22.5" customHeight="1" s="150">
      <c r="A501" s="34" t="n">
        <v>499</v>
      </c>
      <c r="B501" s="34" t="n"/>
      <c r="C501" s="34" t="n"/>
      <c r="D501" s="34" t="n"/>
      <c r="E501" s="34" t="n"/>
      <c r="F501" s="86" t="n"/>
      <c r="G501" s="86" t="n"/>
      <c r="H501" s="111" t="n"/>
      <c r="I501" s="87" t="n"/>
      <c r="J501" s="87" t="n"/>
      <c r="K501" s="111" t="n"/>
      <c r="L501" s="86" t="n"/>
      <c r="M501" s="82" t="inlineStr">
        <is>
          <t>Hard</t>
        </is>
      </c>
      <c r="N501" s="88" t="n"/>
      <c r="O501" s="20" t="n"/>
      <c r="P501" s="31" t="n"/>
      <c r="Q501" s="89" t="n"/>
      <c r="R501" s="89" t="n"/>
      <c r="S501" s="89" t="n"/>
      <c r="T501" s="59" t="n"/>
      <c r="U501" s="90" t="n"/>
      <c r="V501" s="61">
        <f>U501/B501</f>
        <v/>
      </c>
    </row>
    <row r="502" ht="22.5" customHeight="1" s="150">
      <c r="A502" s="34" t="n">
        <v>500</v>
      </c>
      <c r="B502" s="34" t="n"/>
      <c r="C502" s="34" t="n"/>
      <c r="D502" s="34" t="n"/>
      <c r="E502" s="34" t="n"/>
      <c r="F502" s="86" t="n"/>
      <c r="G502" s="86" t="n"/>
      <c r="H502" s="111" t="n"/>
      <c r="I502" s="87" t="n"/>
      <c r="J502" s="87" t="n"/>
      <c r="K502" s="111" t="n"/>
      <c r="L502" s="86" t="n"/>
      <c r="M502" s="85" t="inlineStr">
        <is>
          <t>Very Hard</t>
        </is>
      </c>
      <c r="N502" s="88" t="n"/>
      <c r="O502" s="20" t="n"/>
      <c r="P502" s="31" t="n"/>
      <c r="Q502" s="89" t="n"/>
      <c r="R502" s="89" t="n"/>
      <c r="S502" s="89" t="n"/>
      <c r="T502" s="59" t="n"/>
      <c r="U502" s="90" t="n"/>
      <c r="V502" s="61">
        <f>U502/B502</f>
        <v/>
      </c>
    </row>
    <row r="503" ht="22.5" customHeight="1" s="150">
      <c r="A503" s="34" t="n">
        <v>501</v>
      </c>
      <c r="B503" s="34" t="n"/>
      <c r="C503" s="34" t="n"/>
      <c r="D503" s="34" t="n"/>
      <c r="E503" s="34" t="n"/>
      <c r="F503" s="86" t="n"/>
      <c r="G503" s="86" t="n"/>
      <c r="H503" s="111" t="n"/>
      <c r="I503" s="87" t="n"/>
      <c r="J503" s="87" t="n"/>
      <c r="K503" s="111" t="n"/>
      <c r="L503" s="86" t="n"/>
      <c r="M503" s="80" t="inlineStr">
        <is>
          <t>Normal</t>
        </is>
      </c>
      <c r="N503" s="88" t="n"/>
      <c r="O503" s="20" t="n"/>
      <c r="P503" s="31" t="n"/>
      <c r="Q503" s="89" t="n"/>
      <c r="R503" s="89" t="n"/>
      <c r="S503" s="89" t="n"/>
      <c r="T503" s="59" t="n"/>
      <c r="U503" s="91" t="n"/>
      <c r="V503" s="92">
        <f>U503/B503</f>
        <v/>
      </c>
    </row>
    <row r="504" ht="22.5" customHeight="1" s="150">
      <c r="A504" s="34" t="n">
        <v>502</v>
      </c>
      <c r="B504" s="34" t="n"/>
      <c r="C504" s="34" t="n"/>
      <c r="D504" s="34" t="n"/>
      <c r="E504" s="34" t="n"/>
      <c r="F504" s="86" t="n"/>
      <c r="G504" s="86" t="n"/>
      <c r="H504" s="111" t="n"/>
      <c r="I504" s="87" t="n"/>
      <c r="J504" s="87" t="n"/>
      <c r="K504" s="111" t="n"/>
      <c r="L504" s="86" t="n"/>
      <c r="M504" s="81" t="inlineStr">
        <is>
          <t>Normal</t>
        </is>
      </c>
      <c r="N504" s="88" t="n"/>
      <c r="O504" s="20" t="n"/>
      <c r="P504" s="31" t="n"/>
      <c r="Q504" s="89" t="n"/>
      <c r="R504" s="89" t="n"/>
      <c r="S504" s="89" t="n"/>
      <c r="T504" s="59" t="n"/>
      <c r="U504" s="91" t="n"/>
      <c r="V504" s="92">
        <f>U504/B504</f>
        <v/>
      </c>
    </row>
    <row r="505" ht="22.5" customHeight="1" s="150">
      <c r="A505" s="34" t="n">
        <v>503</v>
      </c>
      <c r="B505" s="34" t="n"/>
      <c r="C505" s="34" t="n"/>
      <c r="D505" s="34" t="n"/>
      <c r="E505" s="34" t="n"/>
      <c r="F505" s="86" t="n"/>
      <c r="G505" s="86" t="n"/>
      <c r="H505" s="111" t="n"/>
      <c r="I505" s="87" t="n"/>
      <c r="J505" s="87" t="n"/>
      <c r="K505" s="111" t="n"/>
      <c r="L505" s="86" t="n"/>
      <c r="M505" s="80" t="inlineStr">
        <is>
          <t>Normal</t>
        </is>
      </c>
      <c r="N505" s="88" t="n"/>
      <c r="O505" s="20" t="n"/>
      <c r="P505" s="31" t="n"/>
      <c r="Q505" s="89" t="n"/>
      <c r="R505" s="89" t="n"/>
      <c r="S505" s="89" t="n"/>
      <c r="T505" s="59" t="n"/>
      <c r="U505" s="91" t="n"/>
      <c r="V505" s="92">
        <f>U505/B505</f>
        <v/>
      </c>
    </row>
    <row r="506" ht="22.5" customHeight="1" s="150">
      <c r="A506" s="34" t="n">
        <v>504</v>
      </c>
      <c r="B506" s="34" t="n"/>
      <c r="C506" s="34" t="n"/>
      <c r="D506" s="34" t="n"/>
      <c r="E506" s="34" t="n"/>
      <c r="F506" s="86" t="n"/>
      <c r="G506" s="86" t="n"/>
      <c r="H506" s="111" t="n"/>
      <c r="I506" s="87" t="n"/>
      <c r="J506" s="87" t="n"/>
      <c r="K506" s="111" t="n"/>
      <c r="L506" s="86" t="n"/>
      <c r="M506" s="83" t="inlineStr">
        <is>
          <t>Hard</t>
        </is>
      </c>
      <c r="N506" s="88" t="n"/>
      <c r="O506" s="20" t="n"/>
      <c r="P506" s="31" t="n"/>
      <c r="Q506" s="89" t="n"/>
      <c r="R506" s="89" t="n"/>
      <c r="S506" s="89" t="n"/>
      <c r="T506" s="59" t="n"/>
      <c r="U506" s="91" t="n"/>
      <c r="V506" s="92">
        <f>U506/B506</f>
        <v/>
      </c>
    </row>
    <row r="507" ht="22.5" customHeight="1" s="150">
      <c r="A507" s="34" t="n">
        <v>505</v>
      </c>
      <c r="B507" s="34" t="n"/>
      <c r="C507" s="34" t="n"/>
      <c r="D507" s="34" t="n"/>
      <c r="E507" s="34" t="n"/>
      <c r="F507" s="86" t="n"/>
      <c r="G507" s="86" t="n"/>
      <c r="H507" s="111" t="n"/>
      <c r="I507" s="87" t="n"/>
      <c r="J507" s="87" t="n"/>
      <c r="K507" s="111" t="n"/>
      <c r="L507" s="86" t="n"/>
      <c r="M507" s="84" t="inlineStr">
        <is>
          <t>Very Hard</t>
        </is>
      </c>
      <c r="N507" s="88" t="n"/>
      <c r="O507" s="20" t="n"/>
      <c r="P507" s="31" t="n"/>
      <c r="Q507" s="89" t="n"/>
      <c r="R507" s="89" t="n"/>
      <c r="S507" s="89" t="n"/>
      <c r="T507" s="59" t="n"/>
      <c r="U507" s="91" t="n"/>
      <c r="V507" s="92">
        <f>U507/B507</f>
        <v/>
      </c>
    </row>
    <row r="508" ht="22.5" customHeight="1" s="150">
      <c r="A508" s="34" t="n">
        <v>506</v>
      </c>
      <c r="B508" s="34" t="n"/>
      <c r="C508" s="34" t="n"/>
      <c r="D508" s="34" t="n"/>
      <c r="E508" s="34" t="n"/>
      <c r="F508" s="86" t="n"/>
      <c r="G508" s="86" t="n"/>
      <c r="H508" s="111" t="n"/>
      <c r="I508" s="87" t="n"/>
      <c r="J508" s="87" t="n"/>
      <c r="K508" s="111" t="n"/>
      <c r="L508" s="86" t="n"/>
      <c r="M508" s="81" t="inlineStr">
        <is>
          <t>Normal</t>
        </is>
      </c>
      <c r="N508" s="88" t="n"/>
      <c r="O508" s="20" t="n"/>
      <c r="P508" s="31" t="n"/>
      <c r="Q508" s="89" t="n"/>
      <c r="R508" s="89" t="n"/>
      <c r="S508" s="89" t="n"/>
      <c r="T508" s="59" t="n"/>
      <c r="U508" s="91" t="n"/>
      <c r="V508" s="92">
        <f>U508/B508</f>
        <v/>
      </c>
    </row>
    <row r="509" ht="22.5" customHeight="1" s="150">
      <c r="A509" s="34" t="n">
        <v>507</v>
      </c>
      <c r="B509" s="34" t="n"/>
      <c r="C509" s="34" t="n"/>
      <c r="D509" s="34" t="n"/>
      <c r="E509" s="34" t="n"/>
      <c r="F509" s="86" t="n"/>
      <c r="G509" s="86" t="n"/>
      <c r="H509" s="111" t="n"/>
      <c r="I509" s="87" t="n"/>
      <c r="J509" s="87" t="n"/>
      <c r="K509" s="111" t="n"/>
      <c r="L509" s="86" t="n"/>
      <c r="M509" s="80" t="inlineStr">
        <is>
          <t>Normal</t>
        </is>
      </c>
      <c r="N509" s="88" t="n"/>
      <c r="O509" s="20" t="n"/>
      <c r="P509" s="31" t="n"/>
      <c r="Q509" s="89" t="n"/>
      <c r="R509" s="89" t="n"/>
      <c r="S509" s="89" t="n"/>
      <c r="T509" s="59" t="n"/>
      <c r="U509" s="91" t="n"/>
      <c r="V509" s="92">
        <f>U509/B509</f>
        <v/>
      </c>
    </row>
    <row r="510" ht="22.5" customHeight="1" s="150">
      <c r="A510" s="34" t="n">
        <v>508</v>
      </c>
      <c r="B510" s="34" t="n"/>
      <c r="C510" s="34" t="n"/>
      <c r="D510" s="34" t="n"/>
      <c r="E510" s="34" t="n"/>
      <c r="F510" s="86" t="n"/>
      <c r="G510" s="86" t="n"/>
      <c r="H510" s="111" t="n"/>
      <c r="I510" s="87" t="n"/>
      <c r="J510" s="87" t="n"/>
      <c r="K510" s="111" t="n"/>
      <c r="L510" s="86" t="n"/>
      <c r="M510" s="81" t="inlineStr">
        <is>
          <t>Normal</t>
        </is>
      </c>
      <c r="N510" s="88" t="n"/>
      <c r="O510" s="20" t="n"/>
      <c r="P510" s="31" t="n"/>
      <c r="Q510" s="89" t="n"/>
      <c r="R510" s="89" t="n"/>
      <c r="S510" s="89" t="n"/>
      <c r="T510" s="59" t="n"/>
      <c r="U510" s="91" t="n"/>
      <c r="V510" s="92">
        <f>U510/B510</f>
        <v/>
      </c>
    </row>
    <row r="511" ht="22.5" customHeight="1" s="150">
      <c r="A511" s="34" t="n">
        <v>509</v>
      </c>
      <c r="B511" s="34" t="n"/>
      <c r="C511" s="34" t="n"/>
      <c r="D511" s="34" t="n"/>
      <c r="E511" s="34" t="n"/>
      <c r="F511" s="86" t="n"/>
      <c r="G511" s="86" t="n"/>
      <c r="H511" s="111" t="n"/>
      <c r="I511" s="87" t="n"/>
      <c r="J511" s="87" t="n"/>
      <c r="K511" s="111" t="n"/>
      <c r="L511" s="86" t="n"/>
      <c r="M511" s="80" t="inlineStr">
        <is>
          <t>Normal</t>
        </is>
      </c>
      <c r="N511" s="88" t="n"/>
      <c r="O511" s="20" t="n"/>
      <c r="P511" s="31" t="n"/>
      <c r="Q511" s="89" t="n"/>
      <c r="R511" s="89" t="n"/>
      <c r="S511" s="89" t="n"/>
      <c r="T511" s="59" t="n"/>
      <c r="U511" s="91" t="n"/>
      <c r="V511" s="92">
        <f>U511/B511</f>
        <v/>
      </c>
    </row>
    <row r="512" ht="22.5" customHeight="1" s="150">
      <c r="A512" s="34" t="n">
        <v>510</v>
      </c>
      <c r="B512" s="34" t="n"/>
      <c r="C512" s="34" t="n"/>
      <c r="D512" s="34" t="n"/>
      <c r="E512" s="34" t="n"/>
      <c r="F512" s="86" t="n"/>
      <c r="G512" s="86" t="n"/>
      <c r="H512" s="111" t="n"/>
      <c r="I512" s="87" t="n"/>
      <c r="J512" s="87" t="n"/>
      <c r="K512" s="111" t="n"/>
      <c r="L512" s="86" t="n"/>
      <c r="M512" s="81" t="inlineStr">
        <is>
          <t>Normal</t>
        </is>
      </c>
      <c r="N512" s="88" t="n"/>
      <c r="O512" s="20" t="n"/>
      <c r="P512" s="31" t="n"/>
      <c r="Q512" s="89" t="n"/>
      <c r="R512" s="89" t="n"/>
      <c r="S512" s="89" t="n"/>
      <c r="T512" s="59" t="n"/>
      <c r="U512" s="91" t="n"/>
      <c r="V512" s="92">
        <f>U512/B512</f>
        <v/>
      </c>
    </row>
    <row r="513" ht="22.5" customHeight="1" s="150">
      <c r="A513" s="34" t="n">
        <v>511</v>
      </c>
      <c r="B513" s="34" t="n"/>
      <c r="C513" s="34" t="n"/>
      <c r="D513" s="34" t="n"/>
      <c r="E513" s="34" t="n"/>
      <c r="F513" s="86" t="n"/>
      <c r="G513" s="86" t="n"/>
      <c r="H513" s="111" t="n"/>
      <c r="I513" s="87" t="n"/>
      <c r="J513" s="87" t="n"/>
      <c r="K513" s="111" t="n"/>
      <c r="L513" s="86" t="n"/>
      <c r="M513" s="80" t="inlineStr">
        <is>
          <t>Normal</t>
        </is>
      </c>
      <c r="N513" s="88" t="n"/>
      <c r="O513" s="20" t="n"/>
      <c r="P513" s="31" t="n"/>
      <c r="Q513" s="89" t="n"/>
      <c r="R513" s="89" t="n"/>
      <c r="S513" s="89" t="n"/>
      <c r="T513" s="59" t="n"/>
      <c r="U513" s="91" t="n"/>
      <c r="V513" s="92">
        <f>U513/B513</f>
        <v/>
      </c>
    </row>
    <row r="514" ht="22.5" customHeight="1" s="150">
      <c r="A514" s="34" t="n">
        <v>512</v>
      </c>
      <c r="B514" s="34" t="n"/>
      <c r="C514" s="34" t="n"/>
      <c r="D514" s="34" t="n"/>
      <c r="E514" s="34" t="n"/>
      <c r="F514" s="86" t="n"/>
      <c r="G514" s="86" t="n"/>
      <c r="H514" s="111" t="n"/>
      <c r="I514" s="87" t="n"/>
      <c r="J514" s="87" t="n"/>
      <c r="K514" s="111" t="n"/>
      <c r="L514" s="86" t="n"/>
      <c r="M514" s="83" t="inlineStr">
        <is>
          <t>Hard</t>
        </is>
      </c>
      <c r="N514" s="88" t="n"/>
      <c r="O514" s="20" t="n"/>
      <c r="P514" s="31" t="n"/>
      <c r="Q514" s="89" t="n"/>
      <c r="R514" s="89" t="n"/>
      <c r="S514" s="89" t="n"/>
      <c r="T514" s="59" t="n"/>
      <c r="U514" s="91" t="n"/>
      <c r="V514" s="92">
        <f>U514/B514</f>
        <v/>
      </c>
    </row>
    <row r="515" ht="22.5" customHeight="1" s="150">
      <c r="A515" s="34" t="n">
        <v>513</v>
      </c>
      <c r="B515" s="34" t="n"/>
      <c r="C515" s="34" t="n"/>
      <c r="D515" s="34" t="n"/>
      <c r="E515" s="34" t="n"/>
      <c r="F515" s="86" t="n"/>
      <c r="G515" s="86" t="n"/>
      <c r="H515" s="111" t="n"/>
      <c r="I515" s="87" t="n"/>
      <c r="J515" s="87" t="n"/>
      <c r="K515" s="111" t="n"/>
      <c r="L515" s="86" t="n"/>
      <c r="M515" s="84" t="inlineStr">
        <is>
          <t>Very Hard</t>
        </is>
      </c>
      <c r="N515" s="88" t="n"/>
      <c r="O515" s="20" t="n"/>
      <c r="P515" s="31" t="n"/>
      <c r="Q515" s="89" t="n"/>
      <c r="R515" s="89" t="n"/>
      <c r="S515" s="89" t="n"/>
      <c r="T515" s="59" t="n"/>
      <c r="U515" s="91" t="n"/>
      <c r="V515" s="92">
        <f>U515/B515</f>
        <v/>
      </c>
    </row>
    <row r="516" ht="22.5" customHeight="1" s="150">
      <c r="A516" s="34" t="n">
        <v>514</v>
      </c>
      <c r="B516" s="34" t="n"/>
      <c r="C516" s="34" t="n"/>
      <c r="D516" s="34" t="n"/>
      <c r="E516" s="34" t="n"/>
      <c r="F516" s="86" t="n"/>
      <c r="G516" s="86" t="n"/>
      <c r="H516" s="111" t="n"/>
      <c r="I516" s="87" t="n"/>
      <c r="J516" s="87" t="n"/>
      <c r="K516" s="111" t="n"/>
      <c r="L516" s="86" t="n"/>
      <c r="M516" s="81" t="inlineStr">
        <is>
          <t>Normal</t>
        </is>
      </c>
      <c r="N516" s="88" t="n"/>
      <c r="O516" s="20" t="n"/>
      <c r="P516" s="31" t="n"/>
      <c r="Q516" s="89" t="n"/>
      <c r="R516" s="89" t="n"/>
      <c r="S516" s="89" t="n"/>
      <c r="T516" s="59" t="n"/>
      <c r="U516" s="91" t="n"/>
      <c r="V516" s="92">
        <f>U516/B516</f>
        <v/>
      </c>
    </row>
    <row r="517" ht="22.5" customHeight="1" s="150">
      <c r="A517" s="34" t="n">
        <v>515</v>
      </c>
      <c r="B517" s="34" t="n"/>
      <c r="C517" s="34" t="n"/>
      <c r="D517" s="34" t="n"/>
      <c r="E517" s="34" t="n"/>
      <c r="F517" s="86" t="n"/>
      <c r="G517" s="86" t="n"/>
      <c r="H517" s="111" t="n"/>
      <c r="I517" s="87" t="n"/>
      <c r="J517" s="87" t="n"/>
      <c r="K517" s="111" t="n"/>
      <c r="L517" s="86" t="n"/>
      <c r="M517" s="80" t="inlineStr">
        <is>
          <t>Normal</t>
        </is>
      </c>
      <c r="N517" s="88" t="n"/>
      <c r="O517" s="20" t="n"/>
      <c r="P517" s="31" t="n"/>
      <c r="Q517" s="89" t="n"/>
      <c r="R517" s="89" t="n"/>
      <c r="S517" s="89" t="n"/>
      <c r="T517" s="59" t="n"/>
      <c r="U517" s="91" t="n"/>
      <c r="V517" s="92">
        <f>U517/B517</f>
        <v/>
      </c>
    </row>
    <row r="518" ht="22.5" customHeight="1" s="150">
      <c r="A518" s="34" t="n">
        <v>516</v>
      </c>
      <c r="B518" s="34" t="n"/>
      <c r="C518" s="34" t="n"/>
      <c r="D518" s="34" t="n"/>
      <c r="E518" s="34" t="n"/>
      <c r="F518" s="86" t="n"/>
      <c r="G518" s="86" t="n"/>
      <c r="H518" s="111" t="n"/>
      <c r="I518" s="87" t="n"/>
      <c r="J518" s="87" t="n"/>
      <c r="K518" s="111" t="n"/>
      <c r="L518" s="86" t="n"/>
      <c r="M518" s="81" t="inlineStr">
        <is>
          <t>Normal</t>
        </is>
      </c>
      <c r="N518" s="88" t="n"/>
      <c r="O518" s="20" t="n"/>
      <c r="P518" s="31" t="n"/>
      <c r="Q518" s="89" t="n"/>
      <c r="R518" s="89" t="n"/>
      <c r="S518" s="89" t="n"/>
      <c r="T518" s="59" t="n"/>
      <c r="U518" s="91" t="n"/>
      <c r="V518" s="92">
        <f>U518/B518</f>
        <v/>
      </c>
    </row>
    <row r="519" ht="22.5" customHeight="1" s="150">
      <c r="A519" s="34" t="n">
        <v>517</v>
      </c>
      <c r="B519" s="34" t="n"/>
      <c r="C519" s="34" t="n"/>
      <c r="D519" s="34" t="n"/>
      <c r="E519" s="34" t="n"/>
      <c r="F519" s="86" t="n"/>
      <c r="G519" s="86" t="n"/>
      <c r="H519" s="111" t="n"/>
      <c r="I519" s="87" t="n"/>
      <c r="J519" s="87" t="n"/>
      <c r="K519" s="111" t="n"/>
      <c r="L519" s="86" t="n"/>
      <c r="M519" s="82" t="inlineStr">
        <is>
          <t>Hard</t>
        </is>
      </c>
      <c r="N519" s="88" t="n"/>
      <c r="O519" s="20" t="n"/>
      <c r="P519" s="31" t="n"/>
      <c r="Q519" s="89" t="n"/>
      <c r="R519" s="89" t="n"/>
      <c r="S519" s="89" t="n"/>
      <c r="T519" s="59" t="n"/>
      <c r="U519" s="91" t="n"/>
      <c r="V519" s="92">
        <f>U519/B519</f>
        <v/>
      </c>
    </row>
    <row r="520" ht="22.5" customHeight="1" s="150">
      <c r="A520" s="34" t="n">
        <v>518</v>
      </c>
      <c r="B520" s="34" t="n"/>
      <c r="C520" s="34" t="n"/>
      <c r="D520" s="34" t="n"/>
      <c r="E520" s="34" t="n"/>
      <c r="F520" s="86" t="n"/>
      <c r="G520" s="86" t="n"/>
      <c r="H520" s="111" t="n"/>
      <c r="I520" s="87" t="n"/>
      <c r="J520" s="87" t="n"/>
      <c r="K520" s="111" t="n"/>
      <c r="L520" s="86" t="n"/>
      <c r="M520" s="85" t="inlineStr">
        <is>
          <t>Very Hard</t>
        </is>
      </c>
      <c r="N520" s="88" t="n"/>
      <c r="O520" s="20" t="n"/>
      <c r="P520" s="31" t="n"/>
      <c r="Q520" s="89" t="n"/>
      <c r="R520" s="89" t="n"/>
      <c r="S520" s="89" t="n"/>
      <c r="T520" s="59" t="n"/>
      <c r="U520" s="91" t="n"/>
      <c r="V520" s="92">
        <f>U520/B520</f>
        <v/>
      </c>
    </row>
    <row r="521" ht="22.5" customHeight="1" s="150">
      <c r="A521" s="34" t="n">
        <v>519</v>
      </c>
      <c r="B521" s="34" t="n"/>
      <c r="C521" s="34" t="n"/>
      <c r="D521" s="34" t="n"/>
      <c r="E521" s="34" t="n"/>
      <c r="F521" s="86" t="n"/>
      <c r="G521" s="86" t="n"/>
      <c r="H521" s="111" t="n"/>
      <c r="I521" s="87" t="n"/>
      <c r="J521" s="87" t="n"/>
      <c r="K521" s="111" t="n"/>
      <c r="L521" s="86" t="n"/>
      <c r="M521" s="80" t="inlineStr">
        <is>
          <t>Normal</t>
        </is>
      </c>
      <c r="N521" s="88" t="n"/>
      <c r="O521" s="20" t="n"/>
      <c r="P521" s="31" t="n"/>
      <c r="Q521" s="89" t="n"/>
      <c r="R521" s="89" t="n"/>
      <c r="S521" s="89" t="n"/>
      <c r="T521" s="59" t="n"/>
      <c r="U521" s="91" t="n"/>
      <c r="V521" s="92">
        <f>U521/B521</f>
        <v/>
      </c>
    </row>
    <row r="522" ht="22.5" customHeight="1" s="150">
      <c r="A522" s="34" t="n">
        <v>520</v>
      </c>
      <c r="B522" s="34" t="n"/>
      <c r="C522" s="34" t="n"/>
      <c r="D522" s="34" t="n"/>
      <c r="E522" s="34" t="n"/>
      <c r="F522" s="86" t="n"/>
      <c r="G522" s="86" t="n"/>
      <c r="H522" s="111" t="n"/>
      <c r="I522" s="87" t="n"/>
      <c r="J522" s="87" t="n"/>
      <c r="K522" s="111" t="n"/>
      <c r="L522" s="86" t="n"/>
      <c r="M522" s="81" t="inlineStr">
        <is>
          <t>Normal</t>
        </is>
      </c>
      <c r="N522" s="88" t="n"/>
      <c r="O522" s="20" t="n"/>
      <c r="P522" s="31" t="n"/>
      <c r="Q522" s="89" t="n"/>
      <c r="R522" s="89" t="n"/>
      <c r="S522" s="89" t="n"/>
      <c r="T522" s="59" t="n"/>
      <c r="U522" s="91" t="n"/>
      <c r="V522" s="92">
        <f>U522/B522</f>
        <v/>
      </c>
    </row>
    <row r="523" ht="22.5" customHeight="1" s="150">
      <c r="A523" s="34" t="n">
        <v>521</v>
      </c>
      <c r="B523" s="34" t="n"/>
      <c r="C523" s="34" t="n"/>
      <c r="D523" s="34" t="n"/>
      <c r="E523" s="34" t="n"/>
      <c r="F523" s="86" t="n"/>
      <c r="G523" s="86" t="n"/>
      <c r="H523" s="111" t="n"/>
      <c r="I523" s="87" t="n"/>
      <c r="J523" s="87" t="n"/>
      <c r="K523" s="111" t="n"/>
      <c r="L523" s="86" t="n"/>
      <c r="M523" s="80" t="inlineStr">
        <is>
          <t>Normal</t>
        </is>
      </c>
      <c r="N523" s="88" t="n"/>
      <c r="O523" s="20" t="n"/>
      <c r="P523" s="31" t="n"/>
      <c r="Q523" s="89" t="n"/>
      <c r="R523" s="89" t="n"/>
      <c r="S523" s="89" t="n"/>
      <c r="T523" s="59" t="n"/>
      <c r="U523" s="91" t="n"/>
      <c r="V523" s="93">
        <f>U523/B523</f>
        <v/>
      </c>
    </row>
    <row r="524" ht="22.5" customHeight="1" s="150">
      <c r="A524" s="34" t="n">
        <v>522</v>
      </c>
      <c r="B524" s="34" t="n"/>
      <c r="C524" s="34" t="n"/>
      <c r="D524" s="34" t="n"/>
      <c r="E524" s="34" t="n"/>
      <c r="F524" s="86" t="n"/>
      <c r="G524" s="86" t="n"/>
      <c r="H524" s="111" t="n"/>
      <c r="I524" s="87" t="n"/>
      <c r="J524" s="87" t="n"/>
      <c r="K524" s="111" t="n"/>
      <c r="L524" s="86" t="n"/>
      <c r="M524" s="83" t="inlineStr">
        <is>
          <t>Hard</t>
        </is>
      </c>
      <c r="N524" s="88" t="n"/>
      <c r="O524" s="20" t="n"/>
      <c r="P524" s="31" t="n"/>
      <c r="Q524" s="89" t="n"/>
      <c r="R524" s="89" t="n"/>
      <c r="S524" s="89" t="n"/>
      <c r="T524" s="59" t="n"/>
      <c r="U524" s="91" t="n"/>
      <c r="V524" s="93">
        <f>U524/B524</f>
        <v/>
      </c>
    </row>
    <row r="525" ht="22.5" customHeight="1" s="150">
      <c r="A525" s="34" t="n">
        <v>523</v>
      </c>
      <c r="B525" s="34" t="n"/>
      <c r="C525" s="34" t="n"/>
      <c r="D525" s="34" t="n"/>
      <c r="E525" s="34" t="n"/>
      <c r="F525" s="86" t="n"/>
      <c r="G525" s="86" t="n"/>
      <c r="H525" s="111" t="n"/>
      <c r="I525" s="87" t="n"/>
      <c r="J525" s="87" t="n"/>
      <c r="K525" s="111" t="n"/>
      <c r="L525" s="86" t="n"/>
      <c r="M525" s="84" t="inlineStr">
        <is>
          <t>Very Hard</t>
        </is>
      </c>
      <c r="N525" s="88" t="n"/>
      <c r="O525" s="20" t="n"/>
      <c r="P525" s="31" t="n"/>
      <c r="Q525" s="89" t="n"/>
      <c r="R525" s="89" t="n"/>
      <c r="S525" s="89" t="n"/>
      <c r="T525" s="59" t="n"/>
      <c r="U525" s="91" t="n"/>
      <c r="V525" s="93">
        <f>U525/B525</f>
        <v/>
      </c>
    </row>
    <row r="526" ht="22.5" customHeight="1" s="150">
      <c r="A526" s="34" t="n">
        <v>524</v>
      </c>
      <c r="B526" s="34" t="n"/>
      <c r="C526" s="34" t="n"/>
      <c r="D526" s="34" t="n"/>
      <c r="E526" s="34" t="n"/>
      <c r="F526" s="86" t="n"/>
      <c r="G526" s="86" t="n"/>
      <c r="H526" s="111" t="n"/>
      <c r="I526" s="87" t="n"/>
      <c r="J526" s="87" t="n"/>
      <c r="K526" s="111" t="n"/>
      <c r="L526" s="86" t="n"/>
      <c r="M526" s="81" t="inlineStr">
        <is>
          <t>Normal</t>
        </is>
      </c>
      <c r="N526" s="88" t="n"/>
      <c r="O526" s="20" t="n"/>
      <c r="P526" s="31" t="n"/>
      <c r="Q526" s="89" t="n"/>
      <c r="R526" s="89" t="n"/>
      <c r="S526" s="89" t="n"/>
      <c r="T526" s="59" t="n"/>
      <c r="U526" s="91" t="n"/>
      <c r="V526" s="93">
        <f>U526/B526</f>
        <v/>
      </c>
    </row>
    <row r="527" ht="22.5" customHeight="1" s="150">
      <c r="A527" s="34" t="n">
        <v>525</v>
      </c>
      <c r="B527" s="34" t="n"/>
      <c r="C527" s="34" t="n"/>
      <c r="D527" s="34" t="n"/>
      <c r="E527" s="34" t="n"/>
      <c r="F527" s="86" t="n"/>
      <c r="G527" s="86" t="n"/>
      <c r="H527" s="111" t="n"/>
      <c r="I527" s="87" t="n"/>
      <c r="J527" s="87" t="n"/>
      <c r="K527" s="111" t="n"/>
      <c r="L527" s="86" t="n"/>
      <c r="M527" s="80" t="inlineStr">
        <is>
          <t>Normal</t>
        </is>
      </c>
      <c r="N527" s="88" t="n"/>
      <c r="O527" s="20" t="n"/>
      <c r="P527" s="31" t="n"/>
      <c r="Q527" s="89" t="n"/>
      <c r="R527" s="89" t="n"/>
      <c r="S527" s="89" t="n"/>
      <c r="T527" s="59" t="n"/>
      <c r="U527" s="91" t="n"/>
      <c r="V527" s="93">
        <f>U527/B527</f>
        <v/>
      </c>
    </row>
    <row r="528" ht="22.5" customHeight="1" s="150">
      <c r="A528" s="34" t="n">
        <v>526</v>
      </c>
      <c r="B528" s="34" t="n"/>
      <c r="C528" s="34" t="n"/>
      <c r="D528" s="34" t="n"/>
      <c r="E528" s="34" t="n"/>
      <c r="F528" s="86" t="n"/>
      <c r="G528" s="86" t="n"/>
      <c r="H528" s="111" t="n"/>
      <c r="I528" s="87" t="n"/>
      <c r="J528" s="87" t="n"/>
      <c r="K528" s="111" t="n"/>
      <c r="L528" s="86" t="n"/>
      <c r="M528" s="81" t="inlineStr">
        <is>
          <t>Normal</t>
        </is>
      </c>
      <c r="N528" s="88" t="n"/>
      <c r="O528" s="20" t="n"/>
      <c r="P528" s="31" t="n"/>
      <c r="Q528" s="89" t="n"/>
      <c r="R528" s="89" t="n"/>
      <c r="S528" s="89" t="n"/>
      <c r="T528" s="59" t="n"/>
      <c r="U528" s="91" t="n"/>
      <c r="V528" s="93">
        <f>U528/B528</f>
        <v/>
      </c>
    </row>
    <row r="529" ht="22.5" customHeight="1" s="150">
      <c r="A529" s="34" t="n">
        <v>527</v>
      </c>
      <c r="B529" s="34" t="n"/>
      <c r="C529" s="34" t="n"/>
      <c r="D529" s="34" t="n"/>
      <c r="E529" s="34" t="n"/>
      <c r="F529" s="86" t="n"/>
      <c r="G529" s="86" t="n"/>
      <c r="H529" s="111" t="n"/>
      <c r="I529" s="87" t="n"/>
      <c r="J529" s="87" t="n"/>
      <c r="K529" s="111" t="n"/>
      <c r="L529" s="86" t="n"/>
      <c r="M529" s="82" t="inlineStr">
        <is>
          <t>Hard</t>
        </is>
      </c>
      <c r="N529" s="88" t="n"/>
      <c r="O529" s="20" t="n"/>
      <c r="P529" s="31" t="n"/>
      <c r="Q529" s="89" t="n"/>
      <c r="R529" s="89" t="n"/>
      <c r="S529" s="89" t="n"/>
      <c r="T529" s="59" t="n"/>
      <c r="U529" s="91" t="n"/>
      <c r="V529" s="93">
        <f>U529/B529</f>
        <v/>
      </c>
    </row>
    <row r="530" ht="22.5" customHeight="1" s="150">
      <c r="A530" s="34" t="n">
        <v>528</v>
      </c>
      <c r="B530" s="34" t="n"/>
      <c r="C530" s="34" t="n"/>
      <c r="D530" s="34" t="n"/>
      <c r="E530" s="34" t="n"/>
      <c r="F530" s="86" t="n"/>
      <c r="G530" s="86" t="n"/>
      <c r="H530" s="111" t="n"/>
      <c r="I530" s="87" t="n"/>
      <c r="J530" s="87" t="n"/>
      <c r="K530" s="111" t="n"/>
      <c r="L530" s="86" t="n"/>
      <c r="M530" s="85" t="inlineStr">
        <is>
          <t>Very Hard</t>
        </is>
      </c>
      <c r="N530" s="88" t="n"/>
      <c r="O530" s="20" t="n"/>
      <c r="P530" s="31" t="n"/>
      <c r="Q530" s="89" t="n"/>
      <c r="R530" s="89" t="n"/>
      <c r="S530" s="89" t="n"/>
      <c r="T530" s="59" t="n"/>
      <c r="U530" s="91" t="n"/>
      <c r="V530" s="93">
        <f>U530/B530</f>
        <v/>
      </c>
    </row>
    <row r="531" ht="22.5" customHeight="1" s="150">
      <c r="A531" s="34" t="n">
        <v>529</v>
      </c>
      <c r="B531" s="34" t="n"/>
      <c r="C531" s="34" t="n"/>
      <c r="D531" s="34" t="n"/>
      <c r="E531" s="34" t="n"/>
      <c r="F531" s="86" t="n"/>
      <c r="G531" s="86" t="n"/>
      <c r="H531" s="111" t="n"/>
      <c r="I531" s="87" t="n"/>
      <c r="J531" s="87" t="n"/>
      <c r="K531" s="111" t="n"/>
      <c r="L531" s="86" t="n"/>
      <c r="M531" s="80" t="inlineStr">
        <is>
          <t>Normal</t>
        </is>
      </c>
      <c r="N531" s="88" t="n"/>
      <c r="O531" s="20" t="n"/>
      <c r="P531" s="31" t="n"/>
      <c r="Q531" s="89" t="n"/>
      <c r="R531" s="89" t="n"/>
      <c r="S531" s="89" t="n"/>
      <c r="T531" s="59" t="n"/>
      <c r="U531" s="91" t="n"/>
      <c r="V531" s="93">
        <f>U531/B531</f>
        <v/>
      </c>
    </row>
    <row r="532" ht="22.5" customHeight="1" s="150">
      <c r="A532" s="34" t="n">
        <v>530</v>
      </c>
      <c r="B532" s="34" t="n"/>
      <c r="C532" s="34" t="n"/>
      <c r="D532" s="34" t="n"/>
      <c r="E532" s="34" t="n"/>
      <c r="F532" s="86" t="n"/>
      <c r="G532" s="86" t="n"/>
      <c r="H532" s="111" t="n"/>
      <c r="I532" s="87" t="n"/>
      <c r="J532" s="87" t="n"/>
      <c r="K532" s="111" t="n"/>
      <c r="L532" s="86" t="n"/>
      <c r="M532" s="81" t="inlineStr">
        <is>
          <t>Normal</t>
        </is>
      </c>
      <c r="N532" s="88" t="n"/>
      <c r="O532" s="20" t="n"/>
      <c r="P532" s="31" t="n"/>
      <c r="Q532" s="89" t="n"/>
      <c r="R532" s="89" t="n"/>
      <c r="S532" s="89" t="n"/>
      <c r="T532" s="59" t="n"/>
      <c r="U532" s="91" t="n"/>
      <c r="V532" s="93">
        <f>U532/B532</f>
        <v/>
      </c>
    </row>
    <row r="533" ht="22.5" customHeight="1" s="150">
      <c r="A533" s="34" t="n">
        <v>531</v>
      </c>
      <c r="B533" s="34" t="n"/>
      <c r="C533" s="34" t="n"/>
      <c r="D533" s="34" t="n"/>
      <c r="E533" s="34" t="n"/>
      <c r="F533" s="86" t="n"/>
      <c r="G533" s="86" t="n"/>
      <c r="H533" s="111" t="n"/>
      <c r="I533" s="87" t="n"/>
      <c r="J533" s="87" t="n"/>
      <c r="K533" s="111" t="n"/>
      <c r="L533" s="86" t="n"/>
      <c r="M533" s="80" t="inlineStr">
        <is>
          <t>Normal</t>
        </is>
      </c>
      <c r="N533" s="88" t="n"/>
      <c r="O533" s="20" t="n"/>
      <c r="P533" s="31" t="n"/>
      <c r="Q533" s="89" t="n"/>
      <c r="R533" s="89" t="n"/>
      <c r="S533" s="89" t="n"/>
      <c r="T533" s="59" t="n"/>
      <c r="U533" s="91" t="n"/>
      <c r="V533" s="93">
        <f>U533/B533</f>
        <v/>
      </c>
    </row>
    <row r="534" ht="22.5" customHeight="1" s="150">
      <c r="A534" s="34" t="n">
        <v>532</v>
      </c>
      <c r="B534" s="34" t="n"/>
      <c r="C534" s="34" t="n"/>
      <c r="D534" s="34" t="n"/>
      <c r="E534" s="34" t="n"/>
      <c r="F534" s="86" t="n"/>
      <c r="G534" s="86" t="n"/>
      <c r="H534" s="111" t="n"/>
      <c r="I534" s="87" t="n"/>
      <c r="J534" s="87" t="n"/>
      <c r="K534" s="111" t="n"/>
      <c r="L534" s="86" t="n"/>
      <c r="M534" s="83" t="inlineStr">
        <is>
          <t>Hard</t>
        </is>
      </c>
      <c r="N534" s="88" t="n"/>
      <c r="O534" s="20" t="n"/>
      <c r="P534" s="31" t="n"/>
      <c r="Q534" s="89" t="n"/>
      <c r="R534" s="89" t="n"/>
      <c r="S534" s="89" t="n"/>
      <c r="T534" s="59" t="n"/>
      <c r="U534" s="91" t="n"/>
      <c r="V534" s="93">
        <f>U534/B534</f>
        <v/>
      </c>
    </row>
    <row r="535" ht="22.5" customHeight="1" s="150">
      <c r="A535" s="34" t="n">
        <v>533</v>
      </c>
      <c r="B535" s="34" t="n"/>
      <c r="C535" s="34" t="n"/>
      <c r="D535" s="34" t="n"/>
      <c r="E535" s="34" t="n"/>
      <c r="F535" s="86" t="n"/>
      <c r="G535" s="86" t="n"/>
      <c r="H535" s="111" t="n"/>
      <c r="I535" s="87" t="n"/>
      <c r="J535" s="87" t="n"/>
      <c r="K535" s="111" t="n"/>
      <c r="L535" s="86" t="n"/>
      <c r="M535" s="84" t="inlineStr">
        <is>
          <t>Very Hard</t>
        </is>
      </c>
      <c r="N535" s="88" t="n"/>
      <c r="O535" s="20" t="n"/>
      <c r="P535" s="31" t="n"/>
      <c r="Q535" s="89" t="n"/>
      <c r="R535" s="89" t="n"/>
      <c r="S535" s="89" t="n"/>
      <c r="T535" s="59" t="n"/>
      <c r="U535" s="91" t="n"/>
      <c r="V535" s="93">
        <f>U535/B535</f>
        <v/>
      </c>
    </row>
    <row r="536" ht="22.5" customHeight="1" s="150">
      <c r="A536" s="34" t="n">
        <v>534</v>
      </c>
      <c r="B536" s="34" t="n"/>
      <c r="C536" s="34" t="n"/>
      <c r="D536" s="34" t="n"/>
      <c r="E536" s="34" t="n"/>
      <c r="F536" s="86" t="n"/>
      <c r="G536" s="86" t="n"/>
      <c r="H536" s="111" t="n"/>
      <c r="I536" s="87" t="n"/>
      <c r="J536" s="87" t="n"/>
      <c r="K536" s="111" t="n"/>
      <c r="L536" s="86" t="n"/>
      <c r="M536" s="81" t="inlineStr">
        <is>
          <t>Normal</t>
        </is>
      </c>
      <c r="N536" s="88" t="n"/>
      <c r="O536" s="20" t="n"/>
      <c r="P536" s="31" t="n"/>
      <c r="Q536" s="89" t="n"/>
      <c r="R536" s="89" t="n"/>
      <c r="S536" s="89" t="n"/>
      <c r="T536" s="59" t="n"/>
      <c r="U536" s="91" t="n"/>
      <c r="V536" s="93">
        <f>U536/B536</f>
        <v/>
      </c>
    </row>
    <row r="537" ht="22.5" customHeight="1" s="150">
      <c r="A537" s="34" t="n">
        <v>535</v>
      </c>
      <c r="B537" s="34" t="n"/>
      <c r="C537" s="34" t="n"/>
      <c r="D537" s="34" t="n"/>
      <c r="E537" s="34" t="n"/>
      <c r="F537" s="86" t="n"/>
      <c r="G537" s="86" t="n"/>
      <c r="H537" s="111" t="n"/>
      <c r="I537" s="87" t="n"/>
      <c r="J537" s="87" t="n"/>
      <c r="K537" s="111" t="n"/>
      <c r="L537" s="86" t="n"/>
      <c r="M537" s="80" t="inlineStr">
        <is>
          <t>Normal</t>
        </is>
      </c>
      <c r="N537" s="88" t="n"/>
      <c r="O537" s="20" t="n"/>
      <c r="P537" s="31" t="n"/>
      <c r="Q537" s="89" t="n"/>
      <c r="R537" s="89" t="n"/>
      <c r="S537" s="89" t="n"/>
      <c r="T537" s="59" t="n"/>
      <c r="U537" s="91" t="n"/>
      <c r="V537" s="93">
        <f>U537/B537</f>
        <v/>
      </c>
    </row>
    <row r="538" ht="22.5" customHeight="1" s="150">
      <c r="A538" s="34" t="n">
        <v>536</v>
      </c>
      <c r="B538" s="34" t="n"/>
      <c r="C538" s="34" t="n"/>
      <c r="D538" s="34" t="n"/>
      <c r="E538" s="34" t="n"/>
      <c r="F538" s="86" t="n"/>
      <c r="G538" s="86" t="n"/>
      <c r="H538" s="111" t="n"/>
      <c r="I538" s="87" t="n"/>
      <c r="J538" s="87" t="n"/>
      <c r="K538" s="111" t="n"/>
      <c r="L538" s="86" t="n"/>
      <c r="M538" s="81" t="inlineStr">
        <is>
          <t>Normal</t>
        </is>
      </c>
      <c r="N538" s="88" t="n"/>
      <c r="O538" s="20" t="n"/>
      <c r="P538" s="31" t="n"/>
      <c r="Q538" s="89" t="n"/>
      <c r="R538" s="89" t="n"/>
      <c r="S538" s="89" t="n"/>
      <c r="T538" s="59" t="n"/>
      <c r="U538" s="91" t="n"/>
      <c r="V538" s="93">
        <f>U538/B538</f>
        <v/>
      </c>
    </row>
    <row r="539" ht="22.5" customHeight="1" s="150">
      <c r="A539" s="34" t="n">
        <v>537</v>
      </c>
      <c r="B539" s="34" t="n"/>
      <c r="C539" s="34" t="n"/>
      <c r="D539" s="34" t="n"/>
      <c r="E539" s="34" t="n"/>
      <c r="F539" s="86" t="n"/>
      <c r="G539" s="86" t="n"/>
      <c r="H539" s="111" t="n"/>
      <c r="I539" s="87" t="n"/>
      <c r="J539" s="87" t="n"/>
      <c r="K539" s="111" t="n"/>
      <c r="L539" s="86" t="n"/>
      <c r="M539" s="82" t="inlineStr">
        <is>
          <t>Hard</t>
        </is>
      </c>
      <c r="N539" s="88" t="n"/>
      <c r="O539" s="20" t="n"/>
      <c r="P539" s="31" t="n"/>
      <c r="Q539" s="89" t="n"/>
      <c r="R539" s="89" t="n"/>
      <c r="S539" s="89" t="n"/>
      <c r="T539" s="59" t="n"/>
      <c r="U539" s="91" t="n"/>
      <c r="V539" s="93">
        <f>U539/B539</f>
        <v/>
      </c>
    </row>
    <row r="540" ht="22.5" customHeight="1" s="150">
      <c r="A540" s="34" t="n">
        <v>538</v>
      </c>
      <c r="B540" s="34" t="n"/>
      <c r="C540" s="34" t="n"/>
      <c r="D540" s="34" t="n"/>
      <c r="E540" s="34" t="n"/>
      <c r="F540" s="86" t="n"/>
      <c r="G540" s="86" t="n"/>
      <c r="H540" s="111" t="n"/>
      <c r="I540" s="87" t="n"/>
      <c r="J540" s="87" t="n"/>
      <c r="K540" s="111" t="n"/>
      <c r="L540" s="86" t="n"/>
      <c r="M540" s="85" t="inlineStr">
        <is>
          <t>Very Hard</t>
        </is>
      </c>
      <c r="N540" s="88" t="n"/>
      <c r="O540" s="20" t="n"/>
      <c r="P540" s="31" t="n"/>
      <c r="Q540" s="89" t="n"/>
      <c r="R540" s="89" t="n"/>
      <c r="S540" s="89" t="n"/>
      <c r="T540" s="59" t="n"/>
      <c r="U540" s="91" t="n"/>
      <c r="V540" s="93">
        <f>U540/B540</f>
        <v/>
      </c>
    </row>
    <row r="541" ht="22.5" customHeight="1" s="150">
      <c r="A541" s="34" t="n">
        <v>539</v>
      </c>
      <c r="B541" s="34" t="n"/>
      <c r="C541" s="34" t="n"/>
      <c r="D541" s="34" t="n"/>
      <c r="E541" s="34" t="n"/>
      <c r="F541" s="86" t="n"/>
      <c r="G541" s="86" t="n"/>
      <c r="H541" s="111" t="n"/>
      <c r="I541" s="87" t="n"/>
      <c r="J541" s="87" t="n"/>
      <c r="K541" s="111" t="n"/>
      <c r="L541" s="86" t="n"/>
      <c r="M541" s="80" t="inlineStr">
        <is>
          <t>Normal</t>
        </is>
      </c>
      <c r="N541" s="88" t="n"/>
      <c r="O541" s="20" t="n"/>
      <c r="P541" s="31" t="n"/>
      <c r="Q541" s="89" t="n"/>
      <c r="R541" s="89" t="n"/>
      <c r="S541" s="89" t="n"/>
      <c r="T541" s="59" t="n"/>
      <c r="U541" s="91" t="n"/>
      <c r="V541" s="93">
        <f>U541/B541</f>
        <v/>
      </c>
    </row>
    <row r="542" ht="22.5" customHeight="1" s="150">
      <c r="A542" s="34" t="n">
        <v>540</v>
      </c>
      <c r="B542" s="34" t="n"/>
      <c r="C542" s="34" t="n"/>
      <c r="D542" s="34" t="n"/>
      <c r="E542" s="34" t="n"/>
      <c r="F542" s="86" t="n"/>
      <c r="G542" s="86" t="n"/>
      <c r="H542" s="111" t="n"/>
      <c r="I542" s="87" t="n"/>
      <c r="J542" s="87" t="n"/>
      <c r="K542" s="111" t="n"/>
      <c r="L542" s="86" t="n"/>
      <c r="M542" s="81" t="inlineStr">
        <is>
          <t>Normal</t>
        </is>
      </c>
      <c r="N542" s="88" t="n"/>
      <c r="O542" s="20" t="n"/>
      <c r="P542" s="31" t="n"/>
      <c r="Q542" s="89" t="n"/>
      <c r="R542" s="89" t="n"/>
      <c r="S542" s="89" t="n"/>
      <c r="T542" s="59" t="n"/>
      <c r="U542" s="91" t="n"/>
      <c r="V542" s="93">
        <f>U542/B542</f>
        <v/>
      </c>
    </row>
    <row r="543" ht="22.5" customHeight="1" s="150">
      <c r="A543" s="34" t="n">
        <v>541</v>
      </c>
      <c r="B543" s="34" t="n"/>
      <c r="C543" s="34" t="n"/>
      <c r="D543" s="34" t="n"/>
      <c r="E543" s="34" t="n"/>
      <c r="F543" s="86" t="n"/>
      <c r="G543" s="86" t="n"/>
      <c r="H543" s="111" t="n"/>
      <c r="I543" s="87" t="n"/>
      <c r="J543" s="87" t="n"/>
      <c r="K543" s="111" t="n"/>
      <c r="L543" s="86" t="n"/>
      <c r="M543" s="80" t="inlineStr">
        <is>
          <t>Normal</t>
        </is>
      </c>
      <c r="N543" s="88" t="n"/>
      <c r="O543" s="20" t="n"/>
      <c r="P543" s="31" t="n"/>
      <c r="Q543" s="89" t="n"/>
      <c r="R543" s="89" t="n"/>
      <c r="S543" s="89" t="n"/>
      <c r="T543" s="59" t="n"/>
      <c r="U543" s="91" t="n"/>
      <c r="V543" s="93">
        <f>U543/B543</f>
        <v/>
      </c>
    </row>
    <row r="544" ht="22.5" customHeight="1" s="150">
      <c r="A544" s="34" t="n">
        <v>542</v>
      </c>
      <c r="B544" s="34" t="n"/>
      <c r="C544" s="34" t="n"/>
      <c r="D544" s="34" t="n"/>
      <c r="E544" s="34" t="n"/>
      <c r="F544" s="86" t="n"/>
      <c r="G544" s="86" t="n"/>
      <c r="H544" s="111" t="n"/>
      <c r="I544" s="87" t="n"/>
      <c r="J544" s="87" t="n"/>
      <c r="K544" s="111" t="n"/>
      <c r="L544" s="86" t="n"/>
      <c r="M544" s="83" t="inlineStr">
        <is>
          <t>Hard</t>
        </is>
      </c>
      <c r="N544" s="88" t="n"/>
      <c r="O544" s="20" t="n"/>
      <c r="P544" s="31" t="n"/>
      <c r="Q544" s="89" t="n"/>
      <c r="R544" s="89" t="n"/>
      <c r="S544" s="89" t="n"/>
      <c r="T544" s="59" t="n"/>
      <c r="U544" s="91" t="n"/>
      <c r="V544" s="93">
        <f>U544/B544</f>
        <v/>
      </c>
    </row>
    <row r="545" ht="22.5" customHeight="1" s="150">
      <c r="A545" s="34" t="n">
        <v>543</v>
      </c>
      <c r="B545" s="34" t="n"/>
      <c r="C545" s="34" t="n"/>
      <c r="D545" s="34" t="n"/>
      <c r="E545" s="34" t="n"/>
      <c r="F545" s="86" t="n"/>
      <c r="G545" s="86" t="n"/>
      <c r="H545" s="111" t="n"/>
      <c r="I545" s="87" t="n"/>
      <c r="J545" s="87" t="n"/>
      <c r="K545" s="111" t="n"/>
      <c r="L545" s="86" t="n"/>
      <c r="M545" s="84" t="inlineStr">
        <is>
          <t>Very Hard</t>
        </is>
      </c>
      <c r="N545" s="88" t="n"/>
      <c r="O545" s="20" t="n"/>
      <c r="P545" s="31" t="n"/>
      <c r="Q545" s="89" t="n"/>
      <c r="R545" s="89" t="n"/>
      <c r="S545" s="89" t="n"/>
      <c r="T545" s="59" t="n"/>
      <c r="U545" s="91" t="n"/>
      <c r="V545" s="93">
        <f>U545/B545</f>
        <v/>
      </c>
    </row>
    <row r="546" ht="22.5" customHeight="1" s="150">
      <c r="A546" s="34" t="n">
        <v>544</v>
      </c>
      <c r="B546" s="34" t="n"/>
      <c r="C546" s="34" t="n"/>
      <c r="D546" s="34" t="n"/>
      <c r="E546" s="34" t="n"/>
      <c r="F546" s="86" t="n"/>
      <c r="G546" s="86" t="n"/>
      <c r="H546" s="111" t="n"/>
      <c r="I546" s="87" t="n"/>
      <c r="J546" s="87" t="n"/>
      <c r="K546" s="111" t="n"/>
      <c r="L546" s="86" t="n"/>
      <c r="M546" s="81" t="inlineStr">
        <is>
          <t>Normal</t>
        </is>
      </c>
      <c r="N546" s="88" t="n"/>
      <c r="O546" s="20" t="n"/>
      <c r="P546" s="31" t="n"/>
      <c r="Q546" s="89" t="n"/>
      <c r="R546" s="89" t="n"/>
      <c r="S546" s="89" t="n"/>
      <c r="T546" s="59" t="n"/>
      <c r="U546" s="91" t="n"/>
      <c r="V546" s="93">
        <f>U546/B546</f>
        <v/>
      </c>
    </row>
    <row r="547" ht="22.5" customHeight="1" s="150">
      <c r="A547" s="34" t="n">
        <v>545</v>
      </c>
      <c r="B547" s="34" t="n"/>
      <c r="C547" s="34" t="n"/>
      <c r="D547" s="34" t="n"/>
      <c r="E547" s="34" t="n"/>
      <c r="F547" s="86" t="n"/>
      <c r="G547" s="86" t="n"/>
      <c r="H547" s="111" t="n"/>
      <c r="I547" s="87" t="n"/>
      <c r="J547" s="87" t="n"/>
      <c r="K547" s="111" t="n"/>
      <c r="L547" s="86" t="n"/>
      <c r="M547" s="80" t="inlineStr">
        <is>
          <t>Normal</t>
        </is>
      </c>
      <c r="N547" s="88" t="n"/>
      <c r="O547" s="20" t="n"/>
      <c r="P547" s="31" t="n"/>
      <c r="Q547" s="89" t="n"/>
      <c r="R547" s="89" t="n"/>
      <c r="S547" s="89" t="n"/>
      <c r="T547" s="59" t="n"/>
      <c r="U547" s="91" t="n"/>
      <c r="V547" s="93">
        <f>U547/B547</f>
        <v/>
      </c>
    </row>
    <row r="548" ht="22.5" customHeight="1" s="150">
      <c r="A548" s="34" t="n">
        <v>546</v>
      </c>
      <c r="B548" s="34" t="n"/>
      <c r="C548" s="34" t="n"/>
      <c r="D548" s="34" t="n"/>
      <c r="E548" s="34" t="n"/>
      <c r="F548" s="86" t="n"/>
      <c r="G548" s="86" t="n"/>
      <c r="H548" s="111" t="n"/>
      <c r="I548" s="87" t="n"/>
      <c r="J548" s="87" t="n"/>
      <c r="K548" s="111" t="n"/>
      <c r="L548" s="86" t="n"/>
      <c r="M548" s="81" t="inlineStr">
        <is>
          <t>Normal</t>
        </is>
      </c>
      <c r="N548" s="88" t="n"/>
      <c r="O548" s="20" t="n"/>
      <c r="P548" s="31" t="n"/>
      <c r="Q548" s="89" t="n"/>
      <c r="R548" s="89" t="n"/>
      <c r="S548" s="89" t="n"/>
      <c r="T548" s="59" t="n"/>
      <c r="U548" s="91" t="n"/>
      <c r="V548" s="93">
        <f>U548/B548</f>
        <v/>
      </c>
    </row>
    <row r="549" ht="22.5" customHeight="1" s="150">
      <c r="A549" s="34" t="n">
        <v>547</v>
      </c>
      <c r="B549" s="34" t="n"/>
      <c r="C549" s="34" t="n"/>
      <c r="D549" s="34" t="n"/>
      <c r="E549" s="34" t="n"/>
      <c r="F549" s="86" t="n"/>
      <c r="G549" s="86" t="n"/>
      <c r="H549" s="111" t="n"/>
      <c r="I549" s="87" t="n"/>
      <c r="J549" s="87" t="n"/>
      <c r="K549" s="111" t="n"/>
      <c r="L549" s="86" t="n"/>
      <c r="M549" s="82" t="inlineStr">
        <is>
          <t>Hard</t>
        </is>
      </c>
      <c r="N549" s="88" t="n"/>
      <c r="O549" s="20" t="n"/>
      <c r="P549" s="31" t="n"/>
      <c r="Q549" s="89" t="n"/>
      <c r="R549" s="89" t="n"/>
      <c r="S549" s="89" t="n"/>
      <c r="T549" s="59" t="n"/>
      <c r="U549" s="91" t="n"/>
      <c r="V549" s="93">
        <f>U549/B549</f>
        <v/>
      </c>
    </row>
    <row r="550" ht="22.5" customHeight="1" s="150">
      <c r="A550" s="34" t="n">
        <v>548</v>
      </c>
      <c r="B550" s="34" t="n"/>
      <c r="C550" s="34" t="n"/>
      <c r="D550" s="34" t="n"/>
      <c r="E550" s="34" t="n"/>
      <c r="F550" s="86" t="n"/>
      <c r="G550" s="86" t="n"/>
      <c r="H550" s="111" t="n"/>
      <c r="I550" s="87" t="n"/>
      <c r="J550" s="87" t="n"/>
      <c r="K550" s="111" t="n"/>
      <c r="L550" s="86" t="n"/>
      <c r="M550" s="85" t="inlineStr">
        <is>
          <t>Very Hard</t>
        </is>
      </c>
      <c r="N550" s="88" t="n"/>
      <c r="O550" s="20" t="n"/>
      <c r="P550" s="31" t="n"/>
      <c r="Q550" s="89" t="n"/>
      <c r="R550" s="89" t="n"/>
      <c r="S550" s="89" t="n"/>
      <c r="T550" s="59" t="n"/>
      <c r="U550" s="91" t="n"/>
      <c r="V550" s="93">
        <f>U550/B550</f>
        <v/>
      </c>
    </row>
    <row r="551" ht="22.5" customHeight="1" s="150">
      <c r="A551" s="34" t="n">
        <v>549</v>
      </c>
      <c r="B551" s="34" t="n"/>
      <c r="C551" s="34" t="n"/>
      <c r="D551" s="34" t="n"/>
      <c r="E551" s="34" t="n"/>
      <c r="F551" s="86" t="n"/>
      <c r="G551" s="86" t="n"/>
      <c r="H551" s="111" t="n"/>
      <c r="I551" s="87" t="n"/>
      <c r="J551" s="87" t="n"/>
      <c r="K551" s="111" t="n"/>
      <c r="L551" s="86" t="n"/>
      <c r="M551" s="80" t="inlineStr">
        <is>
          <t>Normal</t>
        </is>
      </c>
      <c r="N551" s="88" t="n"/>
      <c r="O551" s="20" t="n"/>
      <c r="P551" s="31" t="n"/>
      <c r="Q551" s="89" t="n"/>
      <c r="R551" s="89" t="n"/>
      <c r="S551" s="89" t="n"/>
      <c r="T551" s="59" t="n"/>
      <c r="U551" s="91" t="n"/>
      <c r="V551" s="93">
        <f>U551/B551</f>
        <v/>
      </c>
    </row>
    <row r="552" ht="22.5" customHeight="1" s="150">
      <c r="A552" s="34" t="n">
        <v>550</v>
      </c>
      <c r="B552" s="34" t="n"/>
      <c r="C552" s="34" t="n"/>
      <c r="D552" s="34" t="n"/>
      <c r="E552" s="34" t="n"/>
      <c r="F552" s="86" t="n"/>
      <c r="G552" s="86" t="n"/>
      <c r="H552" s="111" t="n"/>
      <c r="I552" s="87" t="n"/>
      <c r="J552" s="87" t="n"/>
      <c r="K552" s="111" t="n"/>
      <c r="L552" s="86" t="n"/>
      <c r="M552" s="81" t="inlineStr">
        <is>
          <t>Normal</t>
        </is>
      </c>
      <c r="N552" s="88" t="n"/>
      <c r="O552" s="20" t="n"/>
      <c r="P552" s="31" t="n"/>
      <c r="Q552" s="89" t="n"/>
      <c r="R552" s="89" t="n"/>
      <c r="S552" s="89" t="n"/>
      <c r="T552" s="59" t="n"/>
      <c r="U552" s="91" t="n"/>
      <c r="V552" s="93">
        <f>U552/B552</f>
        <v/>
      </c>
    </row>
    <row r="553" ht="22.5" customHeight="1" s="150">
      <c r="A553" s="34" t="n">
        <v>551</v>
      </c>
      <c r="B553" s="34" t="n"/>
      <c r="C553" s="34" t="n"/>
      <c r="D553" s="34" t="n"/>
      <c r="E553" s="34" t="n"/>
      <c r="F553" s="86" t="n"/>
      <c r="G553" s="86" t="n"/>
      <c r="H553" s="111" t="n"/>
      <c r="I553" s="87" t="n"/>
      <c r="J553" s="87" t="n"/>
      <c r="K553" s="111" t="n"/>
      <c r="L553" s="86" t="n"/>
      <c r="M553" s="80" t="inlineStr">
        <is>
          <t>Normal</t>
        </is>
      </c>
      <c r="N553" s="88" t="n"/>
      <c r="O553" s="20" t="n"/>
      <c r="P553" s="31" t="n"/>
      <c r="Q553" s="89" t="n"/>
      <c r="R553" s="89" t="n"/>
      <c r="S553" s="89" t="n"/>
      <c r="T553" s="59" t="n"/>
      <c r="U553" s="91" t="n"/>
      <c r="V553" s="93">
        <f>U553/B553</f>
        <v/>
      </c>
    </row>
    <row r="554" ht="22.5" customHeight="1" s="150">
      <c r="A554" s="34" t="n">
        <v>552</v>
      </c>
      <c r="B554" s="34" t="n"/>
      <c r="C554" s="34" t="n"/>
      <c r="D554" s="34" t="n"/>
      <c r="E554" s="34" t="n"/>
      <c r="F554" s="86" t="n"/>
      <c r="G554" s="86" t="n"/>
      <c r="H554" s="111" t="n"/>
      <c r="I554" s="87" t="n"/>
      <c r="J554" s="87" t="n"/>
      <c r="K554" s="111" t="n"/>
      <c r="L554" s="86" t="n"/>
      <c r="M554" s="81" t="inlineStr">
        <is>
          <t>Normal</t>
        </is>
      </c>
      <c r="N554" s="88" t="n"/>
      <c r="O554" s="20" t="n"/>
      <c r="P554" s="31" t="n"/>
      <c r="Q554" s="89" t="n"/>
      <c r="R554" s="89" t="n"/>
      <c r="S554" s="89" t="n"/>
      <c r="T554" s="59" t="n"/>
      <c r="U554" s="91" t="n"/>
      <c r="V554" s="93">
        <f>U554/B554</f>
        <v/>
      </c>
    </row>
    <row r="555" ht="22.5" customHeight="1" s="150">
      <c r="A555" s="34" t="n">
        <v>553</v>
      </c>
      <c r="B555" s="34" t="n"/>
      <c r="C555" s="34" t="n"/>
      <c r="D555" s="34" t="n"/>
      <c r="E555" s="34" t="n"/>
      <c r="F555" s="86" t="n"/>
      <c r="G555" s="86" t="n"/>
      <c r="H555" s="111" t="n"/>
      <c r="I555" s="87" t="n"/>
      <c r="J555" s="87" t="n"/>
      <c r="K555" s="111" t="n"/>
      <c r="L555" s="86" t="n"/>
      <c r="M555" s="84" t="inlineStr">
        <is>
          <t>Very Hard</t>
        </is>
      </c>
      <c r="N555" s="88" t="n"/>
      <c r="O555" s="20" t="n"/>
      <c r="P555" s="31" t="n"/>
      <c r="Q555" s="89" t="n"/>
      <c r="R555" s="89" t="n"/>
      <c r="S555" s="89" t="n"/>
      <c r="T555" s="59" t="n"/>
      <c r="U555" s="91" t="n"/>
      <c r="V555" s="93">
        <f>U555/B555</f>
        <v/>
      </c>
    </row>
    <row r="556" ht="22.5" customHeight="1" s="150">
      <c r="A556" s="34" t="n">
        <v>554</v>
      </c>
      <c r="B556" s="34" t="n"/>
      <c r="C556" s="34" t="n"/>
      <c r="D556" s="34" t="n"/>
      <c r="E556" s="34" t="n"/>
      <c r="F556" s="86" t="n"/>
      <c r="G556" s="86" t="n"/>
      <c r="H556" s="111" t="n"/>
      <c r="I556" s="87" t="n"/>
      <c r="J556" s="87" t="n"/>
      <c r="K556" s="111" t="n"/>
      <c r="L556" s="86" t="n"/>
      <c r="M556" s="81" t="inlineStr">
        <is>
          <t>Normal</t>
        </is>
      </c>
      <c r="N556" s="88" t="n"/>
      <c r="O556" s="20" t="n"/>
      <c r="P556" s="31" t="n"/>
      <c r="Q556" s="89" t="n"/>
      <c r="R556" s="89" t="n"/>
      <c r="S556" s="89" t="n"/>
      <c r="T556" s="59" t="n"/>
      <c r="U556" s="91" t="n"/>
      <c r="V556" s="93">
        <f>U556/B556</f>
        <v/>
      </c>
    </row>
    <row r="557" ht="22.5" customHeight="1" s="150">
      <c r="A557" s="34" t="n">
        <v>555</v>
      </c>
      <c r="B557" s="34" t="n"/>
      <c r="C557" s="34" t="n"/>
      <c r="D557" s="34" t="n"/>
      <c r="E557" s="34" t="n"/>
      <c r="F557" s="86" t="n"/>
      <c r="G557" s="86" t="n"/>
      <c r="H557" s="111" t="n"/>
      <c r="I557" s="87" t="n"/>
      <c r="J557" s="87" t="n"/>
      <c r="K557" s="111" t="n"/>
      <c r="L557" s="86" t="n"/>
      <c r="M557" s="80" t="inlineStr">
        <is>
          <t>Normal</t>
        </is>
      </c>
      <c r="N557" s="88" t="n"/>
      <c r="O557" s="20" t="n"/>
      <c r="P557" s="31" t="n"/>
      <c r="Q557" s="89" t="n"/>
      <c r="R557" s="89" t="n"/>
      <c r="S557" s="89" t="n"/>
      <c r="T557" s="59" t="n"/>
      <c r="U557" s="91" t="n"/>
      <c r="V557" s="93">
        <f>U557/B557</f>
        <v/>
      </c>
    </row>
    <row r="558" ht="22.5" customHeight="1" s="150">
      <c r="A558" s="34" t="n">
        <v>556</v>
      </c>
      <c r="B558" s="34" t="n"/>
      <c r="C558" s="34" t="n"/>
      <c r="D558" s="34" t="n"/>
      <c r="E558" s="34" t="n"/>
      <c r="F558" s="86" t="n"/>
      <c r="G558" s="86" t="n"/>
      <c r="H558" s="111" t="n"/>
      <c r="I558" s="87" t="n"/>
      <c r="J558" s="87" t="n"/>
      <c r="K558" s="111" t="n"/>
      <c r="L558" s="86" t="n"/>
      <c r="M558" s="81" t="inlineStr">
        <is>
          <t>Normal</t>
        </is>
      </c>
      <c r="N558" s="88" t="n"/>
      <c r="O558" s="20" t="n"/>
      <c r="P558" s="31" t="n"/>
      <c r="Q558" s="89" t="n"/>
      <c r="R558" s="89" t="n"/>
      <c r="S558" s="89" t="n"/>
      <c r="T558" s="59" t="n"/>
      <c r="U558" s="91" t="n"/>
      <c r="V558" s="93">
        <f>U558/B558</f>
        <v/>
      </c>
    </row>
    <row r="559" ht="22.5" customHeight="1" s="150">
      <c r="A559" s="34" t="n">
        <v>557</v>
      </c>
      <c r="B559" s="34" t="n"/>
      <c r="C559" s="34" t="n"/>
      <c r="D559" s="34" t="n"/>
      <c r="E559" s="34" t="n"/>
      <c r="F559" s="86" t="n"/>
      <c r="G559" s="86" t="n"/>
      <c r="H559" s="111" t="n"/>
      <c r="I559" s="87" t="n"/>
      <c r="J559" s="87" t="n"/>
      <c r="K559" s="111" t="n"/>
      <c r="L559" s="86" t="n"/>
      <c r="M559" s="84" t="inlineStr">
        <is>
          <t>Very Hard</t>
        </is>
      </c>
      <c r="N559" s="88" t="n"/>
      <c r="O559" s="20" t="n"/>
      <c r="P559" s="31" t="n"/>
      <c r="Q559" s="89" t="n"/>
      <c r="R559" s="89" t="n"/>
      <c r="S559" s="89" t="n"/>
      <c r="T559" s="59" t="n"/>
      <c r="U559" s="91" t="n"/>
      <c r="V559" s="93">
        <f>U559/B559</f>
        <v/>
      </c>
    </row>
    <row r="560" ht="22.5" customHeight="1" s="150">
      <c r="A560" s="34" t="n">
        <v>558</v>
      </c>
      <c r="B560" s="34" t="n"/>
      <c r="C560" s="34" t="n"/>
      <c r="D560" s="34" t="n"/>
      <c r="E560" s="34" t="n"/>
      <c r="F560" s="86" t="n"/>
      <c r="G560" s="86" t="n"/>
      <c r="H560" s="111" t="n"/>
      <c r="I560" s="87" t="n"/>
      <c r="J560" s="87" t="n"/>
      <c r="K560" s="111" t="n"/>
      <c r="L560" s="86" t="n"/>
      <c r="M560" s="81" t="inlineStr">
        <is>
          <t>Normal</t>
        </is>
      </c>
      <c r="N560" s="88" t="n"/>
      <c r="O560" s="20" t="n"/>
      <c r="P560" s="31" t="n"/>
      <c r="Q560" s="89" t="n"/>
      <c r="R560" s="89" t="n"/>
      <c r="S560" s="89" t="n"/>
      <c r="T560" s="59" t="n"/>
      <c r="U560" s="94" t="n"/>
      <c r="V560" s="95">
        <f>U560/B560</f>
        <v/>
      </c>
    </row>
    <row r="561" ht="22.5" customHeight="1" s="150">
      <c r="A561" s="34" t="n">
        <v>559</v>
      </c>
      <c r="B561" s="34" t="n"/>
      <c r="C561" s="34" t="n"/>
      <c r="D561" s="34" t="n"/>
      <c r="E561" s="34" t="n"/>
      <c r="F561" s="86" t="n"/>
      <c r="G561" s="86" t="n"/>
      <c r="H561" s="111" t="n"/>
      <c r="I561" s="87" t="n"/>
      <c r="J561" s="87" t="n"/>
      <c r="K561" s="111" t="n"/>
      <c r="L561" s="86" t="n"/>
      <c r="M561" s="82" t="inlineStr">
        <is>
          <t>Hard</t>
        </is>
      </c>
      <c r="N561" s="88" t="n"/>
      <c r="O561" s="20" t="n"/>
      <c r="P561" s="31" t="n"/>
      <c r="Q561" s="89" t="n"/>
      <c r="R561" s="89" t="n"/>
      <c r="S561" s="89" t="n"/>
      <c r="T561" s="59" t="n"/>
      <c r="U561" s="91" t="n"/>
      <c r="V561" s="93">
        <f>U561/B561</f>
        <v/>
      </c>
    </row>
    <row r="562" ht="22.5" customHeight="1" s="150">
      <c r="A562" s="34" t="n">
        <v>560</v>
      </c>
      <c r="B562" s="34" t="n"/>
      <c r="C562" s="34" t="n"/>
      <c r="D562" s="34" t="n"/>
      <c r="E562" s="34" t="n"/>
      <c r="F562" s="86" t="n"/>
      <c r="G562" s="86" t="n"/>
      <c r="H562" s="111" t="n"/>
      <c r="I562" s="87" t="n"/>
      <c r="J562" s="87" t="n"/>
      <c r="K562" s="111" t="n"/>
      <c r="L562" s="86" t="n"/>
      <c r="M562" s="81" t="inlineStr">
        <is>
          <t>Normal</t>
        </is>
      </c>
      <c r="N562" s="88" t="n"/>
      <c r="O562" s="20" t="n"/>
      <c r="P562" s="31" t="n"/>
      <c r="Q562" s="89" t="n"/>
      <c r="R562" s="89" t="n"/>
      <c r="S562" s="89" t="n"/>
      <c r="T562" s="59" t="n"/>
      <c r="U562" s="94" t="n"/>
      <c r="V562" s="95">
        <f>U562/B562</f>
        <v/>
      </c>
    </row>
    <row r="563" ht="22.5" customHeight="1" s="150">
      <c r="A563" s="34" t="n">
        <v>561</v>
      </c>
      <c r="B563" s="34" t="n"/>
      <c r="C563" s="34" t="n"/>
      <c r="D563" s="34" t="n"/>
      <c r="E563" s="34" t="n"/>
      <c r="F563" s="86" t="n"/>
      <c r="G563" s="86" t="n"/>
      <c r="H563" s="111" t="n"/>
      <c r="I563" s="87" t="n"/>
      <c r="J563" s="87" t="n"/>
      <c r="K563" s="111" t="n"/>
      <c r="L563" s="86" t="n"/>
      <c r="M563" s="80" t="inlineStr">
        <is>
          <t>Normal</t>
        </is>
      </c>
      <c r="N563" s="88" t="n"/>
      <c r="O563" s="20" t="n"/>
      <c r="P563" s="31" t="n"/>
      <c r="Q563" s="89" t="n"/>
      <c r="R563" s="89" t="n"/>
      <c r="S563" s="89" t="n"/>
      <c r="T563" s="59" t="n"/>
      <c r="U563" s="91" t="n"/>
      <c r="V563" s="93">
        <f>U563/B563</f>
        <v/>
      </c>
    </row>
    <row r="564" ht="22.5" customHeight="1" s="150">
      <c r="A564" s="34" t="n">
        <v>562</v>
      </c>
      <c r="B564" s="34" t="n"/>
      <c r="C564" s="34" t="n"/>
      <c r="D564" s="34" t="n"/>
      <c r="E564" s="34" t="n"/>
      <c r="F564" s="86" t="n"/>
      <c r="G564" s="86" t="n"/>
      <c r="H564" s="111" t="n"/>
      <c r="I564" s="87" t="n"/>
      <c r="J564" s="87" t="n"/>
      <c r="K564" s="111" t="n"/>
      <c r="L564" s="86" t="n"/>
      <c r="M564" s="83" t="inlineStr">
        <is>
          <t>Hard</t>
        </is>
      </c>
      <c r="N564" s="88" t="n"/>
      <c r="O564" s="20" t="n"/>
      <c r="P564" s="31" t="n"/>
      <c r="Q564" s="89" t="n"/>
      <c r="R564" s="89" t="n"/>
      <c r="S564" s="89" t="n"/>
      <c r="T564" s="59" t="n"/>
      <c r="U564" s="94" t="n"/>
      <c r="V564" s="95">
        <f>U564/B564</f>
        <v/>
      </c>
    </row>
    <row r="565" ht="22.5" customHeight="1" s="150">
      <c r="A565" s="34" t="n">
        <v>563</v>
      </c>
      <c r="B565" s="34" t="n"/>
      <c r="C565" s="34" t="n"/>
      <c r="D565" s="34" t="n"/>
      <c r="E565" s="34" t="n"/>
      <c r="F565" s="86" t="n"/>
      <c r="G565" s="86" t="n"/>
      <c r="H565" s="111" t="n"/>
      <c r="I565" s="87" t="n"/>
      <c r="J565" s="87" t="n"/>
      <c r="K565" s="111" t="n"/>
      <c r="L565" s="86" t="n"/>
      <c r="M565" s="84" t="inlineStr">
        <is>
          <t>Very Hard</t>
        </is>
      </c>
      <c r="N565" s="88" t="n"/>
      <c r="O565" s="20" t="n"/>
      <c r="P565" s="31" t="n"/>
      <c r="Q565" s="89" t="n"/>
      <c r="R565" s="89" t="n"/>
      <c r="S565" s="89" t="n"/>
      <c r="T565" s="59" t="n"/>
      <c r="U565" s="91" t="n"/>
      <c r="V565" s="93">
        <f>U565/B565</f>
        <v/>
      </c>
    </row>
    <row r="566" ht="22.5" customHeight="1" s="150">
      <c r="A566" s="34" t="n">
        <v>564</v>
      </c>
      <c r="B566" s="34" t="n"/>
      <c r="C566" s="34" t="n"/>
      <c r="D566" s="34" t="n"/>
      <c r="E566" s="34" t="n"/>
      <c r="F566" s="86" t="n"/>
      <c r="G566" s="86" t="n"/>
      <c r="H566" s="111" t="n"/>
      <c r="I566" s="87" t="n"/>
      <c r="J566" s="87" t="n"/>
      <c r="K566" s="111" t="n"/>
      <c r="L566" s="86" t="n"/>
      <c r="M566" s="81" t="inlineStr">
        <is>
          <t>Normal</t>
        </is>
      </c>
      <c r="N566" s="88" t="n"/>
      <c r="O566" s="20" t="n"/>
      <c r="P566" s="31" t="n"/>
      <c r="Q566" s="89" t="n"/>
      <c r="R566" s="89" t="n"/>
      <c r="S566" s="89" t="n"/>
      <c r="T566" s="59" t="n"/>
      <c r="U566" s="94" t="n"/>
      <c r="V566" s="95">
        <f>U566/B566</f>
        <v/>
      </c>
    </row>
    <row r="567" ht="22.5" customHeight="1" s="150">
      <c r="A567" s="34" t="n">
        <v>565</v>
      </c>
      <c r="B567" s="34" t="n"/>
      <c r="C567" s="34" t="n"/>
      <c r="D567" s="34" t="n"/>
      <c r="E567" s="34" t="n"/>
      <c r="F567" s="86" t="n"/>
      <c r="G567" s="86" t="n"/>
      <c r="H567" s="111" t="n"/>
      <c r="I567" s="87" t="n"/>
      <c r="J567" s="87" t="n"/>
      <c r="K567" s="111" t="n"/>
      <c r="L567" s="86" t="n"/>
      <c r="M567" s="80" t="inlineStr">
        <is>
          <t>Normal</t>
        </is>
      </c>
      <c r="N567" s="88" t="n"/>
      <c r="O567" s="20" t="n"/>
      <c r="P567" s="31" t="n"/>
      <c r="Q567" s="89" t="n"/>
      <c r="R567" s="89" t="n"/>
      <c r="S567" s="89" t="n"/>
      <c r="T567" s="59" t="n"/>
      <c r="U567" s="91" t="n"/>
      <c r="V567" s="93">
        <f>U567/B567</f>
        <v/>
      </c>
    </row>
    <row r="568" ht="22.5" customHeight="1" s="150">
      <c r="A568" s="34" t="n">
        <v>566</v>
      </c>
      <c r="B568" s="34" t="n"/>
      <c r="C568" s="34" t="n"/>
      <c r="D568" s="34" t="n"/>
      <c r="E568" s="34" t="n"/>
      <c r="F568" s="86" t="n"/>
      <c r="G568" s="86" t="n"/>
      <c r="H568" s="111" t="n"/>
      <c r="I568" s="87" t="n"/>
      <c r="J568" s="87" t="n"/>
      <c r="K568" s="111" t="n"/>
      <c r="L568" s="86" t="n"/>
      <c r="M568" s="81" t="inlineStr">
        <is>
          <t>Normal</t>
        </is>
      </c>
      <c r="N568" s="88" t="n"/>
      <c r="O568" s="20" t="n"/>
      <c r="P568" s="31" t="n"/>
      <c r="Q568" s="89" t="n"/>
      <c r="R568" s="89" t="n"/>
      <c r="S568" s="89" t="n"/>
      <c r="T568" s="59" t="n"/>
      <c r="U568" s="94" t="n"/>
      <c r="V568" s="95">
        <f>U568/B568</f>
        <v/>
      </c>
    </row>
    <row r="569" ht="22.5" customHeight="1" s="150">
      <c r="A569" s="34" t="n">
        <v>567</v>
      </c>
      <c r="B569" s="34" t="n"/>
      <c r="C569" s="34" t="n"/>
      <c r="D569" s="34" t="n"/>
      <c r="E569" s="34" t="n"/>
      <c r="F569" s="86" t="n"/>
      <c r="G569" s="86" t="n"/>
      <c r="H569" s="111" t="n"/>
      <c r="I569" s="87" t="n"/>
      <c r="J569" s="87" t="n"/>
      <c r="K569" s="111" t="n"/>
      <c r="L569" s="86" t="n"/>
      <c r="M569" s="82" t="inlineStr">
        <is>
          <t>Hard</t>
        </is>
      </c>
      <c r="N569" s="88" t="n"/>
      <c r="O569" s="20" t="n"/>
      <c r="P569" s="31" t="n"/>
      <c r="Q569" s="89" t="n"/>
      <c r="R569" s="89" t="n"/>
      <c r="S569" s="89" t="n"/>
      <c r="T569" s="59" t="n"/>
      <c r="U569" s="91" t="n"/>
      <c r="V569" s="93">
        <f>U569/B569</f>
        <v/>
      </c>
    </row>
    <row r="570" ht="22.5" customHeight="1" s="150">
      <c r="A570" s="34" t="n">
        <v>568</v>
      </c>
      <c r="B570" s="34" t="n"/>
      <c r="C570" s="34" t="n"/>
      <c r="D570" s="34" t="n"/>
      <c r="E570" s="34" t="n"/>
      <c r="F570" s="86" t="n"/>
      <c r="G570" s="86" t="n"/>
      <c r="H570" s="111" t="n"/>
      <c r="I570" s="87" t="n"/>
      <c r="J570" s="87" t="n"/>
      <c r="K570" s="111" t="n"/>
      <c r="L570" s="86" t="n"/>
      <c r="M570" s="85" t="inlineStr">
        <is>
          <t>Very Hard</t>
        </is>
      </c>
      <c r="N570" s="88" t="n"/>
      <c r="O570" s="20" t="n"/>
      <c r="P570" s="31" t="n"/>
      <c r="Q570" s="89" t="n"/>
      <c r="R570" s="89" t="n"/>
      <c r="S570" s="89" t="n"/>
      <c r="T570" s="59" t="n"/>
      <c r="U570" s="94" t="n"/>
      <c r="V570" s="95">
        <f>U570/B570</f>
        <v/>
      </c>
    </row>
    <row r="571" ht="22.5" customHeight="1" s="150">
      <c r="A571" s="34" t="n">
        <v>569</v>
      </c>
      <c r="B571" s="34" t="n"/>
      <c r="C571" s="34" t="n"/>
      <c r="D571" s="34" t="n"/>
      <c r="E571" s="34" t="n"/>
      <c r="F571" s="86" t="n"/>
      <c r="G571" s="86" t="n"/>
      <c r="H571" s="111" t="n"/>
      <c r="I571" s="87" t="n"/>
      <c r="J571" s="87" t="n"/>
      <c r="K571" s="111" t="n"/>
      <c r="L571" s="86" t="n"/>
      <c r="M571" s="80" t="inlineStr">
        <is>
          <t>Normal</t>
        </is>
      </c>
      <c r="N571" s="88" t="n"/>
      <c r="O571" s="20" t="n"/>
      <c r="P571" s="31" t="n"/>
      <c r="Q571" s="89" t="n"/>
      <c r="R571" s="89" t="n"/>
      <c r="S571" s="89" t="n"/>
      <c r="T571" s="59" t="n"/>
      <c r="U571" s="91" t="n"/>
      <c r="V571" s="93">
        <f>U571/B571</f>
        <v/>
      </c>
    </row>
    <row r="572" ht="22.5" customHeight="1" s="150">
      <c r="A572" s="34" t="n">
        <v>570</v>
      </c>
      <c r="B572" s="34" t="n"/>
      <c r="C572" s="34" t="n"/>
      <c r="D572" s="34" t="n"/>
      <c r="E572" s="34" t="n"/>
      <c r="F572" s="86" t="n"/>
      <c r="G572" s="86" t="n"/>
      <c r="H572" s="111" t="n"/>
      <c r="I572" s="87" t="n"/>
      <c r="J572" s="87" t="n"/>
      <c r="K572" s="111" t="n"/>
      <c r="L572" s="86" t="n"/>
      <c r="M572" s="81" t="inlineStr">
        <is>
          <t>Normal</t>
        </is>
      </c>
      <c r="N572" s="88" t="n"/>
      <c r="O572" s="20" t="n"/>
      <c r="P572" s="31" t="n"/>
      <c r="Q572" s="89" t="n"/>
      <c r="R572" s="89" t="n"/>
      <c r="S572" s="89" t="n"/>
      <c r="T572" s="59" t="n"/>
      <c r="U572" s="94" t="n"/>
      <c r="V572" s="95">
        <f>U572/B572</f>
        <v/>
      </c>
    </row>
    <row r="573" ht="22.5" customHeight="1" s="150">
      <c r="A573" s="34" t="n">
        <v>571</v>
      </c>
      <c r="B573" s="34" t="n"/>
      <c r="C573" s="34" t="n"/>
      <c r="D573" s="34" t="n"/>
      <c r="E573" s="34" t="n"/>
      <c r="F573" s="86" t="n"/>
      <c r="G573" s="86" t="n"/>
      <c r="H573" s="111" t="n"/>
      <c r="I573" s="87" t="n"/>
      <c r="J573" s="87" t="n"/>
      <c r="K573" s="111" t="n"/>
      <c r="L573" s="86" t="n"/>
      <c r="M573" s="80" t="inlineStr">
        <is>
          <t>Normal</t>
        </is>
      </c>
      <c r="N573" s="88" t="n"/>
      <c r="O573" s="20" t="n"/>
      <c r="P573" s="31" t="n"/>
      <c r="Q573" s="89" t="n"/>
      <c r="R573" s="89" t="n"/>
      <c r="S573" s="89" t="n"/>
      <c r="T573" s="59" t="n"/>
      <c r="U573" s="91" t="n"/>
      <c r="V573" s="93">
        <f>U573/B573</f>
        <v/>
      </c>
    </row>
    <row r="574" ht="22.5" customHeight="1" s="150">
      <c r="A574" s="34" t="n">
        <v>572</v>
      </c>
      <c r="B574" s="34" t="n"/>
      <c r="C574" s="34" t="n"/>
      <c r="D574" s="34" t="n"/>
      <c r="E574" s="34" t="n"/>
      <c r="F574" s="86" t="n"/>
      <c r="G574" s="86" t="n"/>
      <c r="H574" s="111" t="n"/>
      <c r="I574" s="87" t="n"/>
      <c r="J574" s="87" t="n"/>
      <c r="K574" s="111" t="n"/>
      <c r="L574" s="86" t="n"/>
      <c r="M574" s="83" t="inlineStr">
        <is>
          <t>Hard</t>
        </is>
      </c>
      <c r="N574" s="88" t="n"/>
      <c r="O574" s="20" t="n"/>
      <c r="P574" s="31" t="n"/>
      <c r="Q574" s="89" t="n"/>
      <c r="R574" s="89" t="n"/>
      <c r="S574" s="89" t="n"/>
      <c r="T574" s="59" t="n"/>
      <c r="U574" s="94" t="n"/>
      <c r="V574" s="95">
        <f>U574/B574</f>
        <v/>
      </c>
    </row>
    <row r="575" ht="22.5" customHeight="1" s="150">
      <c r="A575" s="34" t="n">
        <v>573</v>
      </c>
      <c r="B575" s="34" t="n"/>
      <c r="C575" s="34" t="n"/>
      <c r="D575" s="34" t="n"/>
      <c r="E575" s="34" t="n"/>
      <c r="F575" s="86" t="n"/>
      <c r="G575" s="86" t="n"/>
      <c r="H575" s="111" t="n"/>
      <c r="I575" s="87" t="n"/>
      <c r="J575" s="87" t="n"/>
      <c r="K575" s="111" t="n"/>
      <c r="L575" s="86" t="n"/>
      <c r="M575" s="84" t="inlineStr">
        <is>
          <t>Very Hard</t>
        </is>
      </c>
      <c r="N575" s="88" t="n"/>
      <c r="O575" s="20" t="n"/>
      <c r="P575" s="31" t="n"/>
      <c r="Q575" s="89" t="n"/>
      <c r="R575" s="89" t="n"/>
      <c r="S575" s="89" t="n"/>
      <c r="T575" s="59" t="n"/>
      <c r="U575" s="91" t="n"/>
      <c r="V575" s="93">
        <f>U575/B575</f>
        <v/>
      </c>
    </row>
    <row r="576" ht="22.5" customHeight="1" s="150">
      <c r="A576" s="34" t="n">
        <v>574</v>
      </c>
      <c r="B576" s="34" t="n"/>
      <c r="C576" s="34" t="n"/>
      <c r="D576" s="34" t="n"/>
      <c r="E576" s="34" t="n"/>
      <c r="F576" s="86" t="n"/>
      <c r="G576" s="86" t="n"/>
      <c r="H576" s="111" t="n"/>
      <c r="I576" s="87" t="n"/>
      <c r="J576" s="87" t="n"/>
      <c r="K576" s="111" t="n"/>
      <c r="L576" s="86" t="n"/>
      <c r="M576" s="81" t="inlineStr">
        <is>
          <t>Normal</t>
        </is>
      </c>
      <c r="N576" s="88" t="n"/>
      <c r="O576" s="20" t="n"/>
      <c r="P576" s="31" t="n"/>
      <c r="Q576" s="89" t="n"/>
      <c r="R576" s="89" t="n"/>
      <c r="S576" s="89" t="n"/>
      <c r="T576" s="59" t="n"/>
      <c r="U576" s="94" t="n"/>
      <c r="V576" s="95">
        <f>U576/B576</f>
        <v/>
      </c>
    </row>
    <row r="577" ht="22.5" customHeight="1" s="150">
      <c r="A577" s="34" t="n">
        <v>575</v>
      </c>
      <c r="B577" s="34" t="n"/>
      <c r="C577" s="34" t="n"/>
      <c r="D577" s="34" t="n"/>
      <c r="E577" s="34" t="n"/>
      <c r="F577" s="86" t="n"/>
      <c r="G577" s="86" t="n"/>
      <c r="H577" s="111" t="n"/>
      <c r="I577" s="87" t="n"/>
      <c r="J577" s="87" t="n"/>
      <c r="K577" s="111" t="n"/>
      <c r="L577" s="86" t="n"/>
      <c r="M577" s="80" t="inlineStr">
        <is>
          <t>Normal</t>
        </is>
      </c>
      <c r="N577" s="88" t="n"/>
      <c r="O577" s="20" t="n"/>
      <c r="P577" s="31" t="n"/>
      <c r="Q577" s="89" t="n"/>
      <c r="R577" s="89" t="n"/>
      <c r="S577" s="89" t="n"/>
      <c r="T577" s="59" t="n"/>
      <c r="U577" s="91" t="n"/>
      <c r="V577" s="93">
        <f>U577/B577</f>
        <v/>
      </c>
    </row>
    <row r="578" ht="22.5" customHeight="1" s="150">
      <c r="A578" s="34" t="n">
        <v>576</v>
      </c>
      <c r="B578" s="34" t="n"/>
      <c r="C578" s="34" t="n"/>
      <c r="D578" s="34" t="n"/>
      <c r="E578" s="34" t="n"/>
      <c r="F578" s="86" t="n"/>
      <c r="G578" s="86" t="n"/>
      <c r="H578" s="111" t="n"/>
      <c r="I578" s="87" t="n"/>
      <c r="J578" s="87" t="n"/>
      <c r="K578" s="111" t="n"/>
      <c r="L578" s="86" t="n"/>
      <c r="M578" s="81" t="inlineStr">
        <is>
          <t>Normal</t>
        </is>
      </c>
      <c r="N578" s="88" t="n"/>
      <c r="O578" s="20" t="n"/>
      <c r="P578" s="31" t="n"/>
      <c r="Q578" s="89" t="n"/>
      <c r="R578" s="89" t="n"/>
      <c r="S578" s="89" t="n"/>
      <c r="T578" s="59" t="n"/>
      <c r="U578" s="94" t="n"/>
      <c r="V578" s="95">
        <f>U578/B578</f>
        <v/>
      </c>
    </row>
    <row r="579" ht="22.5" customHeight="1" s="150">
      <c r="A579" s="34" t="n">
        <v>577</v>
      </c>
      <c r="B579" s="34" t="n"/>
      <c r="C579" s="34" t="n"/>
      <c r="D579" s="34" t="n"/>
      <c r="E579" s="34" t="n"/>
      <c r="F579" s="86" t="n"/>
      <c r="G579" s="86" t="n"/>
      <c r="H579" s="111" t="n"/>
      <c r="I579" s="87" t="n"/>
      <c r="J579" s="87" t="n"/>
      <c r="K579" s="111" t="n"/>
      <c r="L579" s="86" t="n"/>
      <c r="M579" s="82" t="inlineStr">
        <is>
          <t>Hard</t>
        </is>
      </c>
      <c r="N579" s="88" t="n"/>
      <c r="O579" s="20" t="n"/>
      <c r="P579" s="31" t="n"/>
      <c r="Q579" s="89" t="n"/>
      <c r="R579" s="89" t="n"/>
      <c r="S579" s="89" t="n"/>
      <c r="T579" s="59" t="n"/>
      <c r="U579" s="91" t="n"/>
      <c r="V579" s="93">
        <f>U579/B579</f>
        <v/>
      </c>
    </row>
    <row r="580" ht="22.5" customHeight="1" s="150">
      <c r="A580" s="34" t="n">
        <v>578</v>
      </c>
      <c r="B580" s="34" t="n"/>
      <c r="C580" s="34" t="n"/>
      <c r="D580" s="34" t="n"/>
      <c r="E580" s="34" t="n"/>
      <c r="F580" s="86" t="n"/>
      <c r="G580" s="86" t="n"/>
      <c r="H580" s="111" t="n"/>
      <c r="I580" s="87" t="n"/>
      <c r="J580" s="87" t="n"/>
      <c r="K580" s="111" t="n"/>
      <c r="L580" s="86" t="n"/>
      <c r="M580" s="85" t="inlineStr">
        <is>
          <t>Very Hard</t>
        </is>
      </c>
      <c r="N580" s="88" t="n"/>
      <c r="O580" s="20" t="n"/>
      <c r="P580" s="31" t="n"/>
      <c r="Q580" s="89" t="n"/>
      <c r="R580" s="89" t="n"/>
      <c r="S580" s="89" t="n"/>
      <c r="T580" s="59" t="n"/>
      <c r="U580" s="94" t="n"/>
      <c r="V580" s="95">
        <f>U580/B580</f>
        <v/>
      </c>
    </row>
    <row r="581" ht="22.5" customHeight="1" s="150">
      <c r="A581" s="34" t="n">
        <v>579</v>
      </c>
      <c r="B581" s="34" t="n"/>
      <c r="C581" s="34" t="n"/>
      <c r="D581" s="34" t="n"/>
      <c r="E581" s="34" t="n"/>
      <c r="F581" s="86" t="n"/>
      <c r="G581" s="86" t="n"/>
      <c r="H581" s="111" t="n"/>
      <c r="I581" s="87" t="n"/>
      <c r="J581" s="87" t="n"/>
      <c r="K581" s="111" t="n"/>
      <c r="L581" s="86" t="n"/>
      <c r="M581" s="80" t="inlineStr">
        <is>
          <t>Normal</t>
        </is>
      </c>
      <c r="N581" s="88" t="n"/>
      <c r="O581" s="20" t="n"/>
      <c r="P581" s="31" t="n"/>
      <c r="Q581" s="89" t="n"/>
      <c r="R581" s="89" t="n"/>
      <c r="S581" s="89" t="n"/>
      <c r="T581" s="59" t="n"/>
      <c r="U581" s="91" t="n"/>
      <c r="V581" s="93">
        <f>U581/B581</f>
        <v/>
      </c>
    </row>
    <row r="582" ht="22.5" customHeight="1" s="150">
      <c r="A582" s="34" t="n">
        <v>580</v>
      </c>
      <c r="B582" s="34" t="n"/>
      <c r="C582" s="34" t="n"/>
      <c r="D582" s="34" t="n"/>
      <c r="E582" s="34" t="n"/>
      <c r="F582" s="86" t="n"/>
      <c r="G582" s="86" t="n"/>
      <c r="H582" s="111" t="n"/>
      <c r="I582" s="87" t="n"/>
      <c r="J582" s="87" t="n"/>
      <c r="K582" s="111" t="n"/>
      <c r="L582" s="86" t="n"/>
      <c r="M582" s="81" t="inlineStr">
        <is>
          <t>Normal</t>
        </is>
      </c>
      <c r="N582" s="88" t="n"/>
      <c r="O582" s="20" t="n"/>
      <c r="P582" s="31" t="n"/>
      <c r="Q582" s="89" t="n"/>
      <c r="R582" s="89" t="n"/>
      <c r="S582" s="89" t="n"/>
      <c r="T582" s="59" t="n"/>
      <c r="U582" s="94" t="n"/>
      <c r="V582" s="95">
        <f>U582/B582</f>
        <v/>
      </c>
    </row>
    <row r="583" ht="22.5" customHeight="1" s="150">
      <c r="A583" s="34" t="n">
        <v>581</v>
      </c>
      <c r="B583" s="34" t="n"/>
      <c r="C583" s="34" t="n"/>
      <c r="D583" s="34" t="n"/>
      <c r="E583" s="34" t="n"/>
      <c r="F583" s="86" t="n"/>
      <c r="G583" s="86" t="n"/>
      <c r="H583" s="111" t="n"/>
      <c r="I583" s="87" t="n"/>
      <c r="J583" s="87" t="n"/>
      <c r="K583" s="111" t="n"/>
      <c r="L583" s="86" t="n"/>
      <c r="M583" s="80" t="inlineStr">
        <is>
          <t>Normal</t>
        </is>
      </c>
      <c r="N583" s="88" t="n"/>
      <c r="O583" s="20" t="n"/>
      <c r="P583" s="31" t="n"/>
      <c r="Q583" s="89" t="n"/>
      <c r="R583" s="89" t="n"/>
      <c r="S583" s="89" t="n"/>
      <c r="T583" s="59" t="n"/>
      <c r="U583" s="91" t="n"/>
      <c r="V583" s="93">
        <f>U583/B583</f>
        <v/>
      </c>
    </row>
    <row r="584" ht="22.5" customHeight="1" s="150">
      <c r="A584" s="34" t="n">
        <v>582</v>
      </c>
      <c r="B584" s="34" t="n"/>
      <c r="C584" s="34" t="n"/>
      <c r="D584" s="34" t="n"/>
      <c r="E584" s="34" t="n"/>
      <c r="F584" s="86" t="n"/>
      <c r="G584" s="86" t="n"/>
      <c r="H584" s="111" t="n"/>
      <c r="I584" s="87" t="n"/>
      <c r="J584" s="87" t="n"/>
      <c r="K584" s="111" t="n"/>
      <c r="L584" s="86" t="n"/>
      <c r="M584" s="83" t="inlineStr">
        <is>
          <t>Hard</t>
        </is>
      </c>
      <c r="N584" s="88" t="n"/>
      <c r="O584" s="20" t="n"/>
      <c r="P584" s="31" t="n"/>
      <c r="Q584" s="89" t="n"/>
      <c r="R584" s="89" t="n"/>
      <c r="S584" s="89" t="n"/>
      <c r="T584" s="59" t="n"/>
      <c r="U584" s="94" t="n"/>
      <c r="V584" s="95">
        <f>U584/B584</f>
        <v/>
      </c>
    </row>
    <row r="585" ht="22.5" customHeight="1" s="150">
      <c r="A585" s="34" t="n">
        <v>583</v>
      </c>
      <c r="B585" s="34" t="n"/>
      <c r="C585" s="34" t="n"/>
      <c r="D585" s="34" t="n"/>
      <c r="E585" s="34" t="n"/>
      <c r="F585" s="86" t="n"/>
      <c r="G585" s="86" t="n"/>
      <c r="H585" s="111" t="n"/>
      <c r="I585" s="87" t="n"/>
      <c r="J585" s="87" t="n"/>
      <c r="K585" s="111" t="n"/>
      <c r="L585" s="86" t="n"/>
      <c r="M585" s="84" t="inlineStr">
        <is>
          <t>Very Hard</t>
        </is>
      </c>
      <c r="N585" s="88" t="n"/>
      <c r="O585" s="20" t="n"/>
      <c r="P585" s="31" t="n"/>
      <c r="Q585" s="89" t="n"/>
      <c r="R585" s="89" t="n"/>
      <c r="S585" s="89" t="n"/>
      <c r="T585" s="59" t="n"/>
      <c r="U585" s="91" t="n"/>
      <c r="V585" s="93">
        <f>U585/B585</f>
        <v/>
      </c>
    </row>
    <row r="586" ht="22.5" customHeight="1" s="150">
      <c r="A586" s="34" t="n">
        <v>584</v>
      </c>
      <c r="B586" s="34" t="n"/>
      <c r="C586" s="34" t="n"/>
      <c r="D586" s="34" t="n"/>
      <c r="E586" s="34" t="n"/>
      <c r="F586" s="86" t="n"/>
      <c r="G586" s="86" t="n"/>
      <c r="H586" s="111" t="n"/>
      <c r="I586" s="87" t="n"/>
      <c r="J586" s="87" t="n"/>
      <c r="K586" s="111" t="n"/>
      <c r="L586" s="86" t="n"/>
      <c r="M586" s="81" t="inlineStr">
        <is>
          <t>Normal</t>
        </is>
      </c>
      <c r="N586" s="88" t="n"/>
      <c r="O586" s="20" t="n"/>
      <c r="P586" s="31" t="n"/>
      <c r="Q586" s="89" t="n"/>
      <c r="R586" s="89" t="n"/>
      <c r="S586" s="89" t="n"/>
      <c r="T586" s="59" t="n"/>
      <c r="U586" s="94" t="n"/>
      <c r="V586" s="95">
        <f>U586/B586</f>
        <v/>
      </c>
    </row>
    <row r="587" ht="22.5" customHeight="1" s="150">
      <c r="A587" s="34" t="n">
        <v>585</v>
      </c>
      <c r="B587" s="34" t="n"/>
      <c r="C587" s="34" t="n"/>
      <c r="D587" s="34" t="n"/>
      <c r="E587" s="34" t="n"/>
      <c r="F587" s="86" t="n"/>
      <c r="G587" s="86" t="n"/>
      <c r="H587" s="111" t="n"/>
      <c r="I587" s="87" t="n"/>
      <c r="J587" s="87" t="n"/>
      <c r="K587" s="111" t="n"/>
      <c r="L587" s="86" t="n"/>
      <c r="M587" s="80" t="inlineStr">
        <is>
          <t>Normal</t>
        </is>
      </c>
      <c r="N587" s="88" t="n"/>
      <c r="O587" s="20" t="n"/>
      <c r="P587" s="31" t="n"/>
      <c r="Q587" s="89" t="n"/>
      <c r="R587" s="89" t="n"/>
      <c r="S587" s="89" t="n"/>
      <c r="T587" s="59" t="n"/>
      <c r="U587" s="91" t="n"/>
      <c r="V587" s="93">
        <f>U587/B587</f>
        <v/>
      </c>
    </row>
    <row r="588" ht="22.5" customHeight="1" s="150">
      <c r="A588" s="34" t="n">
        <v>586</v>
      </c>
      <c r="B588" s="34" t="n"/>
      <c r="C588" s="34" t="n"/>
      <c r="D588" s="34" t="n"/>
      <c r="E588" s="34" t="n"/>
      <c r="F588" s="86" t="n"/>
      <c r="G588" s="86" t="n"/>
      <c r="H588" s="111" t="n"/>
      <c r="I588" s="87" t="n"/>
      <c r="J588" s="87" t="n"/>
      <c r="K588" s="111" t="n"/>
      <c r="L588" s="86" t="n"/>
      <c r="M588" s="81" t="inlineStr">
        <is>
          <t>Normal</t>
        </is>
      </c>
      <c r="N588" s="88" t="n"/>
      <c r="O588" s="20" t="n"/>
      <c r="P588" s="31" t="n"/>
      <c r="Q588" s="89" t="n"/>
      <c r="R588" s="89" t="n"/>
      <c r="S588" s="89" t="n"/>
      <c r="T588" s="59" t="n"/>
      <c r="U588" s="94" t="n"/>
      <c r="V588" s="95">
        <f>U588/B588</f>
        <v/>
      </c>
    </row>
    <row r="589" ht="22.5" customHeight="1" s="150">
      <c r="A589" s="34" t="n">
        <v>587</v>
      </c>
      <c r="B589" s="34" t="n"/>
      <c r="C589" s="34" t="n"/>
      <c r="D589" s="34" t="n"/>
      <c r="E589" s="34" t="n"/>
      <c r="F589" s="86" t="n"/>
      <c r="G589" s="86" t="n"/>
      <c r="H589" s="111" t="n"/>
      <c r="I589" s="87" t="n"/>
      <c r="J589" s="87" t="n"/>
      <c r="K589" s="111" t="n"/>
      <c r="L589" s="86" t="n"/>
      <c r="M589" s="82" t="inlineStr">
        <is>
          <t>Hard</t>
        </is>
      </c>
      <c r="N589" s="88" t="n"/>
      <c r="O589" s="20" t="n"/>
      <c r="P589" s="31" t="n"/>
      <c r="Q589" s="89" t="n"/>
      <c r="R589" s="89" t="n"/>
      <c r="S589" s="89" t="n"/>
      <c r="T589" s="59" t="n"/>
      <c r="U589" s="91" t="n"/>
      <c r="V589" s="93">
        <f>U589/B589</f>
        <v/>
      </c>
    </row>
    <row r="590" ht="22.5" customHeight="1" s="150">
      <c r="A590" s="34" t="n">
        <v>588</v>
      </c>
      <c r="B590" s="34" t="n"/>
      <c r="C590" s="34" t="n"/>
      <c r="D590" s="34" t="n"/>
      <c r="E590" s="34" t="n"/>
      <c r="F590" s="86" t="n"/>
      <c r="G590" s="86" t="n"/>
      <c r="H590" s="111" t="n"/>
      <c r="I590" s="87" t="n"/>
      <c r="J590" s="87" t="n"/>
      <c r="K590" s="111" t="n"/>
      <c r="L590" s="86" t="n"/>
      <c r="M590" s="85" t="inlineStr">
        <is>
          <t>Very Hard</t>
        </is>
      </c>
      <c r="N590" s="88" t="n"/>
      <c r="O590" s="20" t="n"/>
      <c r="P590" s="31" t="n"/>
      <c r="Q590" s="89" t="n"/>
      <c r="R590" s="89" t="n"/>
      <c r="S590" s="89" t="n"/>
      <c r="T590" s="59" t="n"/>
      <c r="U590" s="94" t="n"/>
      <c r="V590" s="95">
        <f>U590/B590</f>
        <v/>
      </c>
    </row>
    <row r="591" ht="22.5" customHeight="1" s="150">
      <c r="A591" s="34" t="n">
        <v>589</v>
      </c>
      <c r="B591" s="34" t="n"/>
      <c r="C591" s="34" t="n"/>
      <c r="D591" s="34" t="n"/>
      <c r="E591" s="34" t="n"/>
      <c r="F591" s="86" t="n"/>
      <c r="G591" s="86" t="n"/>
      <c r="H591" s="111" t="n"/>
      <c r="I591" s="87" t="n"/>
      <c r="J591" s="87" t="n"/>
      <c r="K591" s="111" t="n"/>
      <c r="L591" s="86" t="n"/>
      <c r="M591" s="80" t="inlineStr">
        <is>
          <t>Normal</t>
        </is>
      </c>
      <c r="N591" s="88" t="n"/>
      <c r="O591" s="20" t="n"/>
      <c r="P591" s="31" t="n"/>
      <c r="Q591" s="89" t="n"/>
      <c r="R591" s="89" t="n"/>
      <c r="S591" s="89" t="n"/>
      <c r="T591" s="59" t="n"/>
      <c r="U591" s="91" t="n"/>
      <c r="V591" s="93">
        <f>U591/B591</f>
        <v/>
      </c>
    </row>
    <row r="592" ht="22.5" customHeight="1" s="150">
      <c r="A592" s="34" t="n">
        <v>590</v>
      </c>
      <c r="B592" s="34" t="n"/>
      <c r="C592" s="34" t="n"/>
      <c r="D592" s="34" t="n"/>
      <c r="E592" s="34" t="n"/>
      <c r="F592" s="86" t="n"/>
      <c r="G592" s="86" t="n"/>
      <c r="H592" s="111" t="n"/>
      <c r="I592" s="87" t="n"/>
      <c r="J592" s="87" t="n"/>
      <c r="K592" s="111" t="n"/>
      <c r="L592" s="86" t="n"/>
      <c r="M592" s="81" t="inlineStr">
        <is>
          <t>Normal</t>
        </is>
      </c>
      <c r="N592" s="88" t="n"/>
      <c r="O592" s="20" t="n"/>
      <c r="P592" s="31" t="n"/>
      <c r="Q592" s="89" t="n"/>
      <c r="R592" s="89" t="n"/>
      <c r="S592" s="89" t="n"/>
      <c r="T592" s="59" t="n"/>
      <c r="U592" s="94" t="n"/>
      <c r="V592" s="95">
        <f>U592/B592</f>
        <v/>
      </c>
    </row>
    <row r="593" ht="22.5" customHeight="1" s="150">
      <c r="A593" s="34" t="n">
        <v>591</v>
      </c>
      <c r="B593" s="34" t="n"/>
      <c r="C593" s="34" t="n"/>
      <c r="D593" s="34" t="n"/>
      <c r="E593" s="34" t="n"/>
      <c r="F593" s="86" t="n"/>
      <c r="G593" s="86" t="n"/>
      <c r="H593" s="111" t="n"/>
      <c r="I593" s="87" t="n"/>
      <c r="J593" s="87" t="n"/>
      <c r="K593" s="111" t="n"/>
      <c r="L593" s="86" t="n"/>
      <c r="M593" s="80" t="inlineStr">
        <is>
          <t>Normal</t>
        </is>
      </c>
      <c r="N593" s="88" t="n"/>
      <c r="O593" s="20" t="n"/>
      <c r="P593" s="31" t="n"/>
      <c r="Q593" s="89" t="n"/>
      <c r="R593" s="89" t="n"/>
      <c r="S593" s="89" t="n"/>
      <c r="T593" s="59" t="n"/>
      <c r="U593" s="91" t="n"/>
      <c r="V593" s="93">
        <f>U593/B593</f>
        <v/>
      </c>
    </row>
    <row r="594" ht="22.5" customHeight="1" s="150">
      <c r="A594" s="34" t="n">
        <v>592</v>
      </c>
      <c r="B594" s="34" t="n"/>
      <c r="C594" s="34" t="n"/>
      <c r="D594" s="34" t="n"/>
      <c r="E594" s="34" t="n"/>
      <c r="F594" s="86" t="n"/>
      <c r="G594" s="86" t="n"/>
      <c r="H594" s="111" t="n"/>
      <c r="I594" s="87" t="n"/>
      <c r="J594" s="87" t="n"/>
      <c r="K594" s="111" t="n"/>
      <c r="L594" s="86" t="n"/>
      <c r="M594" s="83" t="inlineStr">
        <is>
          <t>Hard</t>
        </is>
      </c>
      <c r="N594" s="88" t="n"/>
      <c r="O594" s="20" t="n"/>
      <c r="P594" s="31" t="n"/>
      <c r="Q594" s="89" t="n"/>
      <c r="R594" s="89" t="n"/>
      <c r="S594" s="89" t="n"/>
      <c r="T594" s="59" t="n"/>
      <c r="U594" s="94" t="n"/>
      <c r="V594" s="95">
        <f>U594/B594</f>
        <v/>
      </c>
    </row>
    <row r="595" ht="22.5" customHeight="1" s="150">
      <c r="A595" s="34" t="n">
        <v>593</v>
      </c>
      <c r="B595" s="34" t="n"/>
      <c r="C595" s="34" t="n"/>
      <c r="D595" s="34" t="n"/>
      <c r="E595" s="34" t="n"/>
      <c r="F595" s="86" t="n"/>
      <c r="G595" s="86" t="n"/>
      <c r="H595" s="111" t="n"/>
      <c r="I595" s="87" t="n"/>
      <c r="J595" s="87" t="n"/>
      <c r="K595" s="111" t="n"/>
      <c r="L595" s="86" t="n"/>
      <c r="M595" s="84" t="inlineStr">
        <is>
          <t>Very Hard</t>
        </is>
      </c>
      <c r="N595" s="88" t="n"/>
      <c r="O595" s="20" t="n"/>
      <c r="P595" s="31" t="n"/>
      <c r="Q595" s="89" t="n"/>
      <c r="R595" s="89" t="n"/>
      <c r="S595" s="89" t="n"/>
      <c r="T595" s="59" t="n"/>
      <c r="U595" s="91" t="n"/>
      <c r="V595" s="93">
        <f>U595/B595</f>
        <v/>
      </c>
    </row>
    <row r="596" ht="22.5" customHeight="1" s="150">
      <c r="A596" s="34" t="n">
        <v>594</v>
      </c>
      <c r="B596" s="34" t="n"/>
      <c r="C596" s="34" t="n"/>
      <c r="D596" s="34" t="n"/>
      <c r="E596" s="34" t="n"/>
      <c r="F596" s="86" t="n"/>
      <c r="G596" s="86" t="n"/>
      <c r="H596" s="111" t="n"/>
      <c r="I596" s="87" t="n"/>
      <c r="J596" s="87" t="n"/>
      <c r="K596" s="111" t="n"/>
      <c r="L596" s="86" t="n"/>
      <c r="M596" s="81" t="inlineStr">
        <is>
          <t>Normal</t>
        </is>
      </c>
      <c r="N596" s="88" t="n"/>
      <c r="O596" s="20" t="n"/>
      <c r="P596" s="31" t="n"/>
      <c r="Q596" s="89" t="n"/>
      <c r="R596" s="89" t="n"/>
      <c r="S596" s="89" t="n"/>
      <c r="T596" s="59" t="n"/>
      <c r="U596" s="94" t="n"/>
      <c r="V596" s="95">
        <f>U596/B596</f>
        <v/>
      </c>
    </row>
    <row r="597" ht="22.5" customHeight="1" s="150">
      <c r="A597" s="34" t="n">
        <v>595</v>
      </c>
      <c r="B597" s="34" t="n"/>
      <c r="C597" s="34" t="n"/>
      <c r="D597" s="34" t="n"/>
      <c r="E597" s="34" t="n"/>
      <c r="F597" s="86" t="n"/>
      <c r="G597" s="86" t="n"/>
      <c r="H597" s="111" t="n"/>
      <c r="I597" s="87" t="n"/>
      <c r="J597" s="87" t="n"/>
      <c r="K597" s="111" t="n"/>
      <c r="L597" s="86" t="n"/>
      <c r="M597" s="80" t="inlineStr">
        <is>
          <t>Normal</t>
        </is>
      </c>
      <c r="N597" s="88" t="n"/>
      <c r="O597" s="20" t="n"/>
      <c r="P597" s="31" t="n"/>
      <c r="Q597" s="89" t="n"/>
      <c r="R597" s="89" t="n"/>
      <c r="S597" s="89" t="n"/>
      <c r="T597" s="59" t="n"/>
      <c r="U597" s="91" t="n"/>
      <c r="V597" s="93">
        <f>U597/B597</f>
        <v/>
      </c>
    </row>
    <row r="598" ht="22.5" customHeight="1" s="150">
      <c r="A598" s="34" t="n">
        <v>596</v>
      </c>
      <c r="B598" s="34" t="n"/>
      <c r="C598" s="34" t="n"/>
      <c r="D598" s="34" t="n"/>
      <c r="E598" s="34" t="n"/>
      <c r="F598" s="86" t="n"/>
      <c r="G598" s="86" t="n"/>
      <c r="H598" s="111" t="n"/>
      <c r="I598" s="87" t="n"/>
      <c r="J598" s="87" t="n"/>
      <c r="K598" s="111" t="n"/>
      <c r="L598" s="86" t="n"/>
      <c r="M598" s="81" t="inlineStr">
        <is>
          <t>Normal</t>
        </is>
      </c>
      <c r="N598" s="88" t="n"/>
      <c r="O598" s="20" t="n"/>
      <c r="P598" s="31" t="n"/>
      <c r="Q598" s="89" t="n"/>
      <c r="R598" s="89" t="n"/>
      <c r="S598" s="89" t="n"/>
      <c r="T598" s="59" t="n"/>
      <c r="U598" s="94" t="n"/>
      <c r="V598" s="95">
        <f>U598/B598</f>
        <v/>
      </c>
    </row>
    <row r="599" ht="22.5" customHeight="1" s="150">
      <c r="A599" s="34" t="n">
        <v>597</v>
      </c>
      <c r="B599" s="34" t="n"/>
      <c r="C599" s="34" t="n"/>
      <c r="D599" s="34" t="n"/>
      <c r="E599" s="34" t="n"/>
      <c r="F599" s="86" t="n"/>
      <c r="G599" s="86" t="n"/>
      <c r="H599" s="111" t="n"/>
      <c r="I599" s="87" t="n"/>
      <c r="J599" s="87" t="n"/>
      <c r="K599" s="111" t="n"/>
      <c r="L599" s="86" t="n"/>
      <c r="M599" s="82" t="inlineStr">
        <is>
          <t>Hard</t>
        </is>
      </c>
      <c r="N599" s="88" t="n"/>
      <c r="O599" s="20" t="n"/>
      <c r="P599" s="31" t="n"/>
      <c r="Q599" s="89" t="n"/>
      <c r="R599" s="89" t="n"/>
      <c r="S599" s="89" t="n"/>
      <c r="T599" s="59" t="n"/>
      <c r="U599" s="91" t="n"/>
      <c r="V599" s="93">
        <f>U599/B599</f>
        <v/>
      </c>
    </row>
    <row r="600" ht="22.5" customHeight="1" s="150">
      <c r="A600" s="34" t="n">
        <v>598</v>
      </c>
      <c r="B600" s="34" t="n"/>
      <c r="C600" s="34" t="n"/>
      <c r="D600" s="34" t="n"/>
      <c r="E600" s="34" t="n"/>
      <c r="F600" s="86" t="n"/>
      <c r="G600" s="86" t="n"/>
      <c r="H600" s="111" t="n"/>
      <c r="I600" s="87" t="n"/>
      <c r="J600" s="87" t="n"/>
      <c r="K600" s="111" t="n"/>
      <c r="L600" s="86" t="n"/>
      <c r="M600" s="85" t="inlineStr">
        <is>
          <t>Very Hard</t>
        </is>
      </c>
      <c r="N600" s="88" t="n"/>
      <c r="O600" s="20" t="n"/>
      <c r="P600" s="31" t="n"/>
      <c r="Q600" s="89" t="n"/>
      <c r="R600" s="89" t="n"/>
      <c r="S600" s="89" t="n"/>
      <c r="T600" s="59" t="n"/>
      <c r="U600" s="94" t="n"/>
      <c r="V600" s="95">
        <f>U600/B600</f>
        <v/>
      </c>
    </row>
    <row r="601" ht="22.5" customHeight="1" s="150">
      <c r="A601" s="34" t="n">
        <v>599</v>
      </c>
      <c r="B601" s="34" t="n"/>
      <c r="C601" s="34" t="n"/>
      <c r="D601" s="34" t="n"/>
      <c r="E601" s="34" t="n"/>
      <c r="F601" s="86" t="n"/>
      <c r="G601" s="86" t="n"/>
      <c r="H601" s="111" t="n"/>
      <c r="I601" s="87" t="n"/>
      <c r="J601" s="87" t="n"/>
      <c r="K601" s="111" t="n"/>
      <c r="L601" s="86" t="n"/>
      <c r="M601" s="80" t="inlineStr">
        <is>
          <t>Normal</t>
        </is>
      </c>
      <c r="N601" s="88" t="n"/>
      <c r="O601" s="20" t="n"/>
      <c r="P601" s="31" t="n"/>
      <c r="Q601" s="89" t="n"/>
      <c r="R601" s="89" t="n"/>
      <c r="S601" s="89" t="n"/>
      <c r="T601" s="59" t="n"/>
      <c r="U601" s="91" t="n"/>
      <c r="V601" s="93">
        <f>U601/B601</f>
        <v/>
      </c>
    </row>
    <row r="602" ht="22.5" customHeight="1" s="150">
      <c r="A602" s="34" t="n">
        <v>600</v>
      </c>
      <c r="B602" s="34" t="n"/>
      <c r="C602" s="34" t="n"/>
      <c r="D602" s="34" t="n"/>
      <c r="E602" s="34" t="n"/>
      <c r="F602" s="86" t="n"/>
      <c r="G602" s="86" t="n"/>
      <c r="H602" s="111" t="n"/>
      <c r="I602" s="87" t="n"/>
      <c r="J602" s="87" t="n"/>
      <c r="K602" s="111" t="n"/>
      <c r="L602" s="86" t="n"/>
      <c r="M602" s="81" t="inlineStr">
        <is>
          <t>Normal</t>
        </is>
      </c>
      <c r="N602" s="88" t="n"/>
      <c r="O602" s="20" t="n"/>
      <c r="P602" s="31" t="n"/>
      <c r="Q602" s="89" t="n"/>
      <c r="R602" s="89" t="n"/>
      <c r="S602" s="89" t="n"/>
      <c r="T602" s="59" t="n"/>
      <c r="U602" s="94" t="n"/>
      <c r="V602" s="95">
        <f>U602/B602</f>
        <v/>
      </c>
    </row>
    <row r="603" ht="22.5" customHeight="1" s="150">
      <c r="A603" s="34" t="n">
        <v>601</v>
      </c>
      <c r="B603" s="34" t="n"/>
      <c r="C603" s="34" t="n"/>
      <c r="D603" s="34" t="n"/>
      <c r="E603" s="34" t="n"/>
      <c r="F603" s="86" t="n"/>
      <c r="G603" s="86" t="n"/>
      <c r="H603" s="111" t="n"/>
      <c r="I603" s="87" t="n"/>
      <c r="J603" s="87" t="n"/>
      <c r="K603" s="111" t="n"/>
      <c r="L603" s="86" t="n"/>
      <c r="M603" s="96" t="n"/>
      <c r="N603" s="88" t="n"/>
      <c r="O603" s="20" t="n"/>
      <c r="P603" s="31" t="n"/>
      <c r="Q603" s="89" t="n"/>
      <c r="R603" s="89" t="n"/>
      <c r="S603" s="89" t="n"/>
      <c r="T603" s="59" t="n"/>
      <c r="U603" s="91" t="n"/>
      <c r="V603" s="93">
        <f>U603/B603</f>
        <v/>
      </c>
    </row>
    <row r="604" ht="22.5" customHeight="1" s="150">
      <c r="A604" s="34" t="n">
        <v>602</v>
      </c>
      <c r="B604" s="34" t="n"/>
      <c r="C604" s="34" t="n"/>
      <c r="D604" s="34" t="n"/>
      <c r="E604" s="34" t="n"/>
      <c r="F604" s="86" t="n"/>
      <c r="G604" s="86" t="n"/>
      <c r="H604" s="111" t="n"/>
      <c r="I604" s="87" t="n"/>
      <c r="J604" s="87" t="n"/>
      <c r="K604" s="111" t="n"/>
      <c r="L604" s="86" t="n"/>
      <c r="M604" s="97" t="n"/>
      <c r="N604" s="88" t="n"/>
      <c r="O604" s="20" t="n"/>
      <c r="P604" s="31" t="n"/>
      <c r="Q604" s="89" t="n"/>
      <c r="R604" s="89" t="n"/>
      <c r="S604" s="89" t="n"/>
      <c r="T604" s="59" t="n"/>
      <c r="U604" s="94" t="n"/>
      <c r="V604" s="95">
        <f>U604/B604</f>
        <v/>
      </c>
    </row>
    <row r="605" ht="22.5" customHeight="1" s="150">
      <c r="A605" s="34" t="n">
        <v>603</v>
      </c>
      <c r="B605" s="34" t="n"/>
      <c r="C605" s="34" t="n"/>
      <c r="D605" s="34" t="n"/>
      <c r="E605" s="34" t="n"/>
      <c r="F605" s="86" t="n"/>
      <c r="G605" s="86" t="n"/>
      <c r="H605" s="111" t="n"/>
      <c r="I605" s="87" t="n"/>
      <c r="J605" s="87" t="n"/>
      <c r="K605" s="111" t="n"/>
      <c r="L605" s="86" t="n"/>
      <c r="M605" s="96" t="n"/>
      <c r="N605" s="88" t="n"/>
      <c r="O605" s="20" t="n"/>
      <c r="P605" s="31" t="n"/>
      <c r="Q605" s="89" t="n"/>
      <c r="R605" s="89" t="n"/>
      <c r="S605" s="89" t="n"/>
      <c r="T605" s="59" t="n"/>
      <c r="U605" s="91" t="n"/>
      <c r="V605" s="93">
        <f>U605/B605</f>
        <v/>
      </c>
    </row>
    <row r="606" ht="22.5" customHeight="1" s="150">
      <c r="A606" s="34" t="n">
        <v>604</v>
      </c>
      <c r="B606" s="34" t="n"/>
      <c r="C606" s="34" t="n"/>
      <c r="D606" s="34" t="n"/>
      <c r="E606" s="34" t="n"/>
      <c r="F606" s="86" t="n"/>
      <c r="G606" s="86" t="n"/>
      <c r="H606" s="111" t="n"/>
      <c r="I606" s="87" t="n"/>
      <c r="J606" s="87" t="n"/>
      <c r="K606" s="111" t="n"/>
      <c r="L606" s="86" t="n"/>
      <c r="M606" s="97" t="n"/>
      <c r="N606" s="88" t="n"/>
      <c r="O606" s="20" t="n"/>
      <c r="P606" s="31" t="n"/>
      <c r="Q606" s="89" t="n"/>
      <c r="R606" s="89" t="n"/>
      <c r="S606" s="89" t="n"/>
      <c r="T606" s="59" t="n"/>
      <c r="U606" s="94" t="n"/>
      <c r="V606" s="95">
        <f>U606/B606</f>
        <v/>
      </c>
    </row>
    <row r="607" ht="22.5" customHeight="1" s="150">
      <c r="A607" s="34" t="n">
        <v>605</v>
      </c>
      <c r="B607" s="34" t="n"/>
      <c r="C607" s="34" t="n"/>
      <c r="D607" s="34" t="n"/>
      <c r="E607" s="34" t="n"/>
      <c r="F607" s="86" t="n"/>
      <c r="G607" s="86" t="n"/>
      <c r="H607" s="111" t="n"/>
      <c r="I607" s="87" t="n"/>
      <c r="J607" s="87" t="n"/>
      <c r="K607" s="111" t="n"/>
      <c r="L607" s="86" t="n"/>
      <c r="M607" s="96" t="n"/>
      <c r="N607" s="88" t="n"/>
      <c r="O607" s="20" t="n"/>
      <c r="P607" s="31" t="n"/>
      <c r="Q607" s="89" t="n"/>
      <c r="R607" s="89" t="n"/>
      <c r="S607" s="89" t="n"/>
      <c r="T607" s="59" t="n"/>
      <c r="U607" s="91" t="n"/>
      <c r="V607" s="93">
        <f>U607/B607</f>
        <v/>
      </c>
    </row>
    <row r="608" ht="22.5" customHeight="1" s="150">
      <c r="A608" s="34" t="n">
        <v>606</v>
      </c>
      <c r="B608" s="34" t="n"/>
      <c r="C608" s="34" t="n"/>
      <c r="D608" s="34" t="n"/>
      <c r="E608" s="34" t="n"/>
      <c r="F608" s="86" t="n"/>
      <c r="G608" s="86" t="n"/>
      <c r="H608" s="111" t="n"/>
      <c r="I608" s="87" t="n"/>
      <c r="J608" s="87" t="n"/>
      <c r="K608" s="111" t="n"/>
      <c r="L608" s="86" t="n"/>
      <c r="M608" s="97" t="n"/>
      <c r="N608" s="88" t="n"/>
      <c r="O608" s="20" t="n"/>
      <c r="P608" s="31" t="n"/>
      <c r="Q608" s="89" t="n"/>
      <c r="R608" s="89" t="n"/>
      <c r="S608" s="89" t="n"/>
      <c r="T608" s="59" t="n"/>
      <c r="U608" s="94" t="n"/>
      <c r="V608" s="95">
        <f>U608/B608</f>
        <v/>
      </c>
    </row>
    <row r="609" ht="22.5" customHeight="1" s="150">
      <c r="A609" s="34" t="n">
        <v>607</v>
      </c>
      <c r="B609" s="34" t="n"/>
      <c r="C609" s="34" t="n"/>
      <c r="D609" s="34" t="n"/>
      <c r="E609" s="34" t="n"/>
      <c r="F609" s="86" t="n"/>
      <c r="G609" s="86" t="n"/>
      <c r="H609" s="111" t="n"/>
      <c r="I609" s="87" t="n"/>
      <c r="J609" s="87" t="n"/>
      <c r="K609" s="111" t="n"/>
      <c r="L609" s="86" t="n"/>
      <c r="M609" s="96" t="n"/>
      <c r="N609" s="88" t="n"/>
      <c r="O609" s="20" t="n"/>
      <c r="P609" s="31" t="n"/>
      <c r="Q609" s="89" t="n"/>
      <c r="R609" s="89" t="n"/>
      <c r="S609" s="89" t="n"/>
      <c r="T609" s="59" t="n"/>
      <c r="U609" s="91" t="n"/>
      <c r="V609" s="93">
        <f>U609/B609</f>
        <v/>
      </c>
    </row>
    <row r="610" ht="22.5" customHeight="1" s="150">
      <c r="A610" s="34" t="n">
        <v>608</v>
      </c>
      <c r="B610" s="34" t="n"/>
      <c r="C610" s="34" t="n"/>
      <c r="D610" s="34" t="n"/>
      <c r="E610" s="34" t="n"/>
      <c r="F610" s="86" t="n"/>
      <c r="G610" s="86" t="n"/>
      <c r="H610" s="111" t="n"/>
      <c r="I610" s="87" t="n"/>
      <c r="J610" s="87" t="n"/>
      <c r="K610" s="111" t="n"/>
      <c r="L610" s="86" t="n"/>
      <c r="M610" s="97" t="n"/>
      <c r="N610" s="88" t="n"/>
      <c r="O610" s="20" t="n"/>
      <c r="P610" s="31" t="n"/>
      <c r="Q610" s="89" t="n"/>
      <c r="R610" s="89" t="n"/>
      <c r="S610" s="89" t="n"/>
      <c r="T610" s="59" t="n"/>
      <c r="U610" s="94" t="n"/>
      <c r="V610" s="95">
        <f>U610/B610</f>
        <v/>
      </c>
    </row>
    <row r="611" ht="22.5" customHeight="1" s="150">
      <c r="A611" s="34" t="n">
        <v>609</v>
      </c>
      <c r="B611" s="34" t="n"/>
      <c r="C611" s="34" t="n"/>
      <c r="D611" s="34" t="n"/>
      <c r="E611" s="34" t="n"/>
      <c r="F611" s="86" t="n"/>
      <c r="G611" s="86" t="n"/>
      <c r="H611" s="111" t="n"/>
      <c r="I611" s="87" t="n"/>
      <c r="J611" s="87" t="n"/>
      <c r="K611" s="111" t="n"/>
      <c r="L611" s="86" t="n"/>
      <c r="M611" s="96" t="n"/>
      <c r="N611" s="88" t="n"/>
      <c r="O611" s="20" t="n"/>
      <c r="P611" s="31" t="n"/>
      <c r="Q611" s="89" t="n"/>
      <c r="R611" s="89" t="n"/>
      <c r="S611" s="89" t="n"/>
      <c r="T611" s="59" t="n"/>
      <c r="U611" s="91" t="n"/>
      <c r="V611" s="93">
        <f>U611/B611</f>
        <v/>
      </c>
    </row>
    <row r="612" ht="22.5" customHeight="1" s="150">
      <c r="A612" s="34" t="n">
        <v>610</v>
      </c>
      <c r="B612" s="34" t="n"/>
      <c r="C612" s="34" t="n"/>
      <c r="D612" s="34" t="n"/>
      <c r="E612" s="34" t="n"/>
      <c r="F612" s="86" t="n"/>
      <c r="G612" s="86" t="n"/>
      <c r="H612" s="111" t="n"/>
      <c r="I612" s="87" t="n"/>
      <c r="J612" s="87" t="n"/>
      <c r="K612" s="111" t="n"/>
      <c r="L612" s="86" t="n"/>
      <c r="M612" s="97" t="n"/>
      <c r="N612" s="88" t="n"/>
      <c r="O612" s="20" t="n"/>
      <c r="P612" s="31" t="n"/>
      <c r="Q612" s="89" t="n"/>
      <c r="R612" s="89" t="n"/>
      <c r="S612" s="89" t="n"/>
      <c r="T612" s="59" t="n"/>
      <c r="U612" s="94" t="n"/>
      <c r="V612" s="95">
        <f>U612/B612</f>
        <v/>
      </c>
    </row>
    <row r="613" ht="22.5" customHeight="1" s="150">
      <c r="A613" s="34" t="n">
        <v>611</v>
      </c>
      <c r="B613" s="34" t="n"/>
      <c r="C613" s="34" t="n"/>
      <c r="D613" s="34" t="n"/>
      <c r="E613" s="34" t="n"/>
      <c r="F613" s="86" t="n"/>
      <c r="G613" s="86" t="n"/>
      <c r="H613" s="111" t="n"/>
      <c r="I613" s="87" t="n"/>
      <c r="J613" s="87" t="n"/>
      <c r="K613" s="111" t="n"/>
      <c r="L613" s="86" t="n"/>
      <c r="M613" s="96" t="n"/>
      <c r="N613" s="88" t="n"/>
      <c r="O613" s="20" t="n"/>
      <c r="P613" s="31" t="n"/>
      <c r="Q613" s="89" t="n"/>
      <c r="R613" s="89" t="n"/>
      <c r="S613" s="89" t="n"/>
      <c r="T613" s="59" t="n"/>
      <c r="U613" s="91" t="n"/>
      <c r="V613" s="93">
        <f>U613/B613</f>
        <v/>
      </c>
    </row>
    <row r="614" ht="22.5" customHeight="1" s="150">
      <c r="A614" s="34" t="n">
        <v>612</v>
      </c>
      <c r="B614" s="34" t="n"/>
      <c r="C614" s="34" t="n"/>
      <c r="D614" s="34" t="n"/>
      <c r="E614" s="34" t="n"/>
      <c r="F614" s="86" t="n"/>
      <c r="G614" s="86" t="n"/>
      <c r="H614" s="111" t="n"/>
      <c r="I614" s="87" t="n"/>
      <c r="J614" s="87" t="n"/>
      <c r="K614" s="111" t="n"/>
      <c r="L614" s="86" t="n"/>
      <c r="M614" s="97" t="n"/>
      <c r="N614" s="88" t="n"/>
      <c r="O614" s="20" t="n"/>
      <c r="P614" s="31" t="n"/>
      <c r="Q614" s="89" t="n"/>
      <c r="R614" s="89" t="n"/>
      <c r="S614" s="89" t="n"/>
      <c r="T614" s="59" t="n"/>
      <c r="U614" s="94" t="n"/>
      <c r="V614" s="95">
        <f>U614/B614</f>
        <v/>
      </c>
    </row>
    <row r="615" ht="22.5" customHeight="1" s="150">
      <c r="A615" s="34" t="n">
        <v>613</v>
      </c>
      <c r="B615" s="34" t="n"/>
      <c r="C615" s="34" t="n"/>
      <c r="D615" s="34" t="n"/>
      <c r="E615" s="34" t="n"/>
      <c r="F615" s="86" t="n"/>
      <c r="G615" s="86" t="n"/>
      <c r="H615" s="111" t="n"/>
      <c r="I615" s="87" t="n"/>
      <c r="J615" s="87" t="n"/>
      <c r="K615" s="111" t="n"/>
      <c r="L615" s="86" t="n"/>
      <c r="M615" s="96" t="n"/>
      <c r="N615" s="88" t="n"/>
      <c r="O615" s="20" t="n"/>
      <c r="P615" s="31" t="n"/>
      <c r="Q615" s="89" t="n"/>
      <c r="R615" s="89" t="n"/>
      <c r="S615" s="89" t="n"/>
      <c r="T615" s="59" t="n"/>
      <c r="U615" s="91" t="n"/>
      <c r="V615" s="93">
        <f>U615/B615</f>
        <v/>
      </c>
    </row>
    <row r="616" ht="22.5" customHeight="1" s="150">
      <c r="A616" s="34" t="n">
        <v>614</v>
      </c>
      <c r="B616" s="34" t="n"/>
      <c r="C616" s="34" t="n"/>
      <c r="D616" s="34" t="n"/>
      <c r="E616" s="34" t="n"/>
      <c r="F616" s="86" t="n"/>
      <c r="G616" s="86" t="n"/>
      <c r="H616" s="111" t="n"/>
      <c r="I616" s="87" t="n"/>
      <c r="J616" s="87" t="n"/>
      <c r="K616" s="111" t="n"/>
      <c r="L616" s="86" t="n"/>
      <c r="M616" s="97" t="n"/>
      <c r="N616" s="88" t="n"/>
      <c r="O616" s="20" t="n"/>
      <c r="P616" s="31" t="n"/>
      <c r="Q616" s="89" t="n"/>
      <c r="R616" s="89" t="n"/>
      <c r="S616" s="89" t="n"/>
      <c r="T616" s="59" t="n"/>
      <c r="U616" s="94" t="n"/>
      <c r="V616" s="95">
        <f>U616/B616</f>
        <v/>
      </c>
    </row>
    <row r="617" ht="22.5" customHeight="1" s="150">
      <c r="A617" s="34" t="n">
        <v>615</v>
      </c>
      <c r="B617" s="34" t="n"/>
      <c r="C617" s="34" t="n"/>
      <c r="D617" s="34" t="n"/>
      <c r="E617" s="34" t="n"/>
      <c r="F617" s="86" t="n"/>
      <c r="G617" s="86" t="n"/>
      <c r="H617" s="111" t="n"/>
      <c r="I617" s="87" t="n"/>
      <c r="J617" s="87" t="n"/>
      <c r="K617" s="111" t="n"/>
      <c r="L617" s="86" t="n"/>
      <c r="M617" s="96" t="n"/>
      <c r="N617" s="88" t="n"/>
      <c r="O617" s="20" t="n"/>
      <c r="P617" s="31" t="n"/>
      <c r="Q617" s="89" t="n"/>
      <c r="R617" s="89" t="n"/>
      <c r="S617" s="89" t="n"/>
      <c r="T617" s="59" t="n"/>
      <c r="U617" s="91" t="n"/>
      <c r="V617" s="93">
        <f>U617/B617</f>
        <v/>
      </c>
    </row>
    <row r="618" ht="22.5" customHeight="1" s="150">
      <c r="A618" s="34" t="n">
        <v>616</v>
      </c>
      <c r="B618" s="34" t="n"/>
      <c r="C618" s="34" t="n"/>
      <c r="D618" s="34" t="n"/>
      <c r="E618" s="34" t="n"/>
      <c r="F618" s="86" t="n"/>
      <c r="G618" s="86" t="n"/>
      <c r="H618" s="111" t="n"/>
      <c r="I618" s="87" t="n"/>
      <c r="J618" s="87" t="n"/>
      <c r="K618" s="111" t="n"/>
      <c r="L618" s="86" t="n"/>
      <c r="M618" s="97" t="n"/>
      <c r="N618" s="88" t="n"/>
      <c r="O618" s="20" t="n"/>
      <c r="P618" s="31" t="n"/>
      <c r="Q618" s="89" t="n"/>
      <c r="R618" s="89" t="n"/>
      <c r="S618" s="89" t="n"/>
      <c r="T618" s="59" t="n"/>
      <c r="U618" s="94" t="n"/>
      <c r="V618" s="95">
        <f>U618/B618</f>
        <v/>
      </c>
    </row>
    <row r="619" ht="22.5" customHeight="1" s="150">
      <c r="A619" s="34" t="n">
        <v>617</v>
      </c>
      <c r="B619" s="34" t="n"/>
      <c r="C619" s="34" t="n"/>
      <c r="D619" s="34" t="n"/>
      <c r="E619" s="34" t="n"/>
      <c r="F619" s="86" t="n"/>
      <c r="G619" s="86" t="n"/>
      <c r="H619" s="111" t="n"/>
      <c r="I619" s="87" t="n"/>
      <c r="J619" s="87" t="n"/>
      <c r="K619" s="111" t="n"/>
      <c r="L619" s="86" t="n"/>
      <c r="M619" s="96" t="n"/>
      <c r="N619" s="88" t="n"/>
      <c r="O619" s="20" t="n"/>
      <c r="P619" s="31" t="n"/>
      <c r="Q619" s="89" t="n"/>
      <c r="R619" s="89" t="n"/>
      <c r="S619" s="89" t="n"/>
      <c r="T619" s="59" t="n"/>
      <c r="U619" s="91" t="n"/>
      <c r="V619" s="93">
        <f>U619/B619</f>
        <v/>
      </c>
    </row>
    <row r="620" ht="22.5" customHeight="1" s="150">
      <c r="A620" s="34" t="n">
        <v>618</v>
      </c>
      <c r="B620" s="34" t="n"/>
      <c r="C620" s="34" t="n"/>
      <c r="D620" s="34" t="n"/>
      <c r="E620" s="34" t="n"/>
      <c r="F620" s="86" t="n"/>
      <c r="G620" s="86" t="n"/>
      <c r="H620" s="111" t="n"/>
      <c r="I620" s="87" t="n"/>
      <c r="J620" s="87" t="n"/>
      <c r="K620" s="111" t="n"/>
      <c r="L620" s="86" t="n"/>
      <c r="M620" s="97" t="n"/>
      <c r="N620" s="88" t="n"/>
      <c r="O620" s="20" t="n"/>
      <c r="P620" s="31" t="n"/>
      <c r="Q620" s="89" t="n"/>
      <c r="R620" s="89" t="n"/>
      <c r="S620" s="89" t="n"/>
      <c r="T620" s="59" t="n"/>
      <c r="U620" s="94" t="n"/>
      <c r="V620" s="95">
        <f>U620/B620</f>
        <v/>
      </c>
    </row>
    <row r="621" ht="22.5" customHeight="1" s="150">
      <c r="A621" s="34" t="n">
        <v>619</v>
      </c>
      <c r="B621" s="34" t="n"/>
      <c r="C621" s="34" t="n"/>
      <c r="D621" s="34" t="n"/>
      <c r="E621" s="34" t="n"/>
      <c r="F621" s="86" t="n"/>
      <c r="G621" s="86" t="n"/>
      <c r="H621" s="111" t="n"/>
      <c r="I621" s="87" t="n"/>
      <c r="J621" s="87" t="n"/>
      <c r="K621" s="111" t="n"/>
      <c r="L621" s="86" t="n"/>
      <c r="M621" s="96" t="n"/>
      <c r="N621" s="88" t="n"/>
      <c r="O621" s="20" t="n"/>
      <c r="P621" s="31" t="n"/>
      <c r="Q621" s="89" t="n"/>
      <c r="R621" s="89" t="n"/>
      <c r="S621" s="89" t="n"/>
      <c r="T621" s="59" t="n"/>
      <c r="U621" s="91" t="n"/>
      <c r="V621" s="93">
        <f>U621/B621</f>
        <v/>
      </c>
    </row>
    <row r="622" ht="22.5" customHeight="1" s="150">
      <c r="A622" s="34" t="n">
        <v>620</v>
      </c>
      <c r="B622" s="34" t="n"/>
      <c r="C622" s="34" t="n"/>
      <c r="D622" s="34" t="n"/>
      <c r="E622" s="34" t="n"/>
      <c r="F622" s="86" t="n"/>
      <c r="G622" s="86" t="n"/>
      <c r="H622" s="111" t="n"/>
      <c r="I622" s="87" t="n"/>
      <c r="J622" s="87" t="n"/>
      <c r="K622" s="111" t="n"/>
      <c r="L622" s="86" t="n"/>
      <c r="M622" s="97" t="n"/>
      <c r="N622" s="88" t="n"/>
      <c r="O622" s="20" t="n"/>
      <c r="P622" s="31" t="n"/>
      <c r="Q622" s="89" t="n"/>
      <c r="R622" s="89" t="n"/>
      <c r="S622" s="89" t="n"/>
      <c r="T622" s="59" t="n"/>
      <c r="U622" s="94" t="n"/>
      <c r="V622" s="95">
        <f>U622/B622</f>
        <v/>
      </c>
    </row>
    <row r="623" ht="22.5" customHeight="1" s="150">
      <c r="A623" s="34" t="n">
        <v>621</v>
      </c>
      <c r="B623" s="34" t="n"/>
      <c r="C623" s="34" t="n"/>
      <c r="D623" s="34" t="n"/>
      <c r="E623" s="34" t="n"/>
      <c r="F623" s="86" t="n"/>
      <c r="G623" s="86" t="n"/>
      <c r="H623" s="111" t="n"/>
      <c r="I623" s="87" t="n"/>
      <c r="J623" s="87" t="n"/>
      <c r="K623" s="111" t="n"/>
      <c r="L623" s="86" t="n"/>
      <c r="M623" s="96" t="n"/>
      <c r="N623" s="88" t="n"/>
      <c r="O623" s="20" t="n"/>
      <c r="P623" s="31" t="n"/>
      <c r="Q623" s="89" t="n"/>
      <c r="R623" s="89" t="n"/>
      <c r="S623" s="89" t="n"/>
      <c r="T623" s="59" t="n"/>
      <c r="U623" s="91" t="n"/>
      <c r="V623" s="93">
        <f>U623/B623</f>
        <v/>
      </c>
    </row>
    <row r="624" ht="22.5" customHeight="1" s="150">
      <c r="A624" s="34" t="n">
        <v>622</v>
      </c>
      <c r="B624" s="34" t="n"/>
      <c r="C624" s="34" t="n"/>
      <c r="D624" s="34" t="n"/>
      <c r="E624" s="34" t="n"/>
      <c r="F624" s="86" t="n"/>
      <c r="G624" s="86" t="n"/>
      <c r="H624" s="111" t="n"/>
      <c r="I624" s="87" t="n"/>
      <c r="J624" s="87" t="n"/>
      <c r="K624" s="111" t="n"/>
      <c r="L624" s="86" t="n"/>
      <c r="M624" s="97" t="n"/>
      <c r="N624" s="88" t="n"/>
      <c r="O624" s="20" t="n"/>
      <c r="P624" s="31" t="n"/>
      <c r="Q624" s="89" t="n"/>
      <c r="R624" s="89" t="n"/>
      <c r="S624" s="89" t="n"/>
      <c r="T624" s="59" t="n"/>
      <c r="U624" s="94" t="n"/>
      <c r="V624" s="95">
        <f>U624/B624</f>
        <v/>
      </c>
    </row>
    <row r="625" ht="22.5" customHeight="1" s="150">
      <c r="A625" s="34" t="n">
        <v>623</v>
      </c>
      <c r="B625" s="34" t="n"/>
      <c r="C625" s="34" t="n"/>
      <c r="D625" s="34" t="n"/>
      <c r="E625" s="34" t="n"/>
      <c r="F625" s="86" t="n"/>
      <c r="G625" s="86" t="n"/>
      <c r="H625" s="111" t="n"/>
      <c r="I625" s="87" t="n"/>
      <c r="J625" s="87" t="n"/>
      <c r="K625" s="111" t="n"/>
      <c r="L625" s="86" t="n"/>
      <c r="M625" s="96" t="n"/>
      <c r="N625" s="88" t="n"/>
      <c r="O625" s="20" t="n"/>
      <c r="P625" s="31" t="n"/>
      <c r="Q625" s="89" t="n"/>
      <c r="R625" s="89" t="n"/>
      <c r="S625" s="89" t="n"/>
      <c r="T625" s="59" t="n"/>
      <c r="U625" s="91" t="n"/>
      <c r="V625" s="93">
        <f>U625/B625</f>
        <v/>
      </c>
    </row>
    <row r="626" ht="22.5" customHeight="1" s="150">
      <c r="A626" s="34" t="n">
        <v>624</v>
      </c>
      <c r="B626" s="34" t="n"/>
      <c r="C626" s="34" t="n"/>
      <c r="D626" s="34" t="n"/>
      <c r="E626" s="34" t="n"/>
      <c r="F626" s="86" t="n"/>
      <c r="G626" s="86" t="n"/>
      <c r="H626" s="111" t="n"/>
      <c r="I626" s="87" t="n"/>
      <c r="J626" s="87" t="n"/>
      <c r="K626" s="111" t="n"/>
      <c r="L626" s="86" t="n"/>
      <c r="M626" s="97" t="n"/>
      <c r="N626" s="88" t="n"/>
      <c r="O626" s="20" t="n"/>
      <c r="P626" s="31" t="n"/>
      <c r="Q626" s="89" t="n"/>
      <c r="R626" s="89" t="n"/>
      <c r="S626" s="89" t="n"/>
      <c r="T626" s="59" t="n"/>
      <c r="U626" s="94" t="n"/>
      <c r="V626" s="95">
        <f>U626/B626</f>
        <v/>
      </c>
    </row>
    <row r="627" ht="22.5" customHeight="1" s="150">
      <c r="A627" s="34" t="n">
        <v>625</v>
      </c>
      <c r="B627" s="34" t="n"/>
      <c r="C627" s="34" t="n"/>
      <c r="D627" s="34" t="n"/>
      <c r="E627" s="34" t="n"/>
      <c r="F627" s="86" t="n"/>
      <c r="G627" s="86" t="n"/>
      <c r="H627" s="111" t="n"/>
      <c r="I627" s="87" t="n"/>
      <c r="J627" s="87" t="n"/>
      <c r="K627" s="111" t="n"/>
      <c r="L627" s="86" t="n"/>
      <c r="M627" s="96" t="n"/>
      <c r="N627" s="88" t="n"/>
      <c r="O627" s="20" t="n"/>
      <c r="P627" s="31" t="n"/>
      <c r="Q627" s="89" t="n"/>
      <c r="R627" s="89" t="n"/>
      <c r="S627" s="89" t="n"/>
      <c r="T627" s="59" t="n"/>
      <c r="U627" s="91" t="n"/>
      <c r="V627" s="93">
        <f>U627/B627</f>
        <v/>
      </c>
    </row>
    <row r="628" ht="22.5" customHeight="1" s="150">
      <c r="A628" s="34" t="n">
        <v>626</v>
      </c>
      <c r="B628" s="34" t="n"/>
      <c r="C628" s="34" t="n"/>
      <c r="D628" s="34" t="n"/>
      <c r="E628" s="34" t="n"/>
      <c r="F628" s="86" t="n"/>
      <c r="G628" s="86" t="n"/>
      <c r="H628" s="111" t="n"/>
      <c r="I628" s="87" t="n"/>
      <c r="J628" s="87" t="n"/>
      <c r="K628" s="111" t="n"/>
      <c r="L628" s="86" t="n"/>
      <c r="M628" s="97" t="n"/>
      <c r="N628" s="88" t="n"/>
      <c r="O628" s="20" t="n"/>
      <c r="P628" s="31" t="n"/>
      <c r="Q628" s="89" t="n"/>
      <c r="R628" s="89" t="n"/>
      <c r="S628" s="89" t="n"/>
      <c r="T628" s="59" t="n"/>
      <c r="U628" s="94" t="n"/>
      <c r="V628" s="95">
        <f>U628/B628</f>
        <v/>
      </c>
    </row>
    <row r="629" ht="22.5" customHeight="1" s="150">
      <c r="A629" s="34" t="n">
        <v>627</v>
      </c>
      <c r="B629" s="34" t="n"/>
      <c r="C629" s="34" t="n"/>
      <c r="D629" s="34" t="n"/>
      <c r="E629" s="34" t="n"/>
      <c r="F629" s="86" t="n"/>
      <c r="G629" s="86" t="n"/>
      <c r="H629" s="111" t="n"/>
      <c r="I629" s="87" t="n"/>
      <c r="J629" s="87" t="n"/>
      <c r="K629" s="111" t="n"/>
      <c r="L629" s="86" t="n"/>
      <c r="M629" s="96" t="n"/>
      <c r="N629" s="88" t="n"/>
      <c r="O629" s="20" t="n"/>
      <c r="P629" s="31" t="n"/>
      <c r="Q629" s="89" t="n"/>
      <c r="R629" s="89" t="n"/>
      <c r="S629" s="89" t="n"/>
      <c r="T629" s="59" t="n"/>
      <c r="U629" s="91" t="n"/>
      <c r="V629" s="93">
        <f>U629/B629</f>
        <v/>
      </c>
    </row>
    <row r="630" ht="22.5" customHeight="1" s="150">
      <c r="A630" s="34" t="n">
        <v>628</v>
      </c>
      <c r="B630" s="34" t="n"/>
      <c r="C630" s="34" t="n"/>
      <c r="D630" s="34" t="n"/>
      <c r="E630" s="34" t="n"/>
      <c r="F630" s="86" t="n"/>
      <c r="G630" s="86" t="n"/>
      <c r="H630" s="111" t="n"/>
      <c r="I630" s="87" t="n"/>
      <c r="J630" s="87" t="n"/>
      <c r="K630" s="111" t="n"/>
      <c r="L630" s="86" t="n"/>
      <c r="M630" s="97" t="n"/>
      <c r="N630" s="88" t="n"/>
      <c r="O630" s="20" t="n"/>
      <c r="P630" s="31" t="n"/>
      <c r="Q630" s="89" t="n"/>
      <c r="R630" s="89" t="n"/>
      <c r="S630" s="89" t="n"/>
      <c r="T630" s="59" t="n"/>
      <c r="U630" s="94" t="n"/>
      <c r="V630" s="95">
        <f>U630/B630</f>
        <v/>
      </c>
    </row>
    <row r="631" ht="22.5" customHeight="1" s="150">
      <c r="A631" s="34" t="n">
        <v>629</v>
      </c>
      <c r="B631" s="34" t="n"/>
      <c r="C631" s="34" t="n"/>
      <c r="D631" s="34" t="n"/>
      <c r="E631" s="34" t="n"/>
      <c r="F631" s="86" t="n"/>
      <c r="G631" s="86" t="n"/>
      <c r="H631" s="111" t="n"/>
      <c r="I631" s="87" t="n"/>
      <c r="J631" s="87" t="n"/>
      <c r="K631" s="111" t="n"/>
      <c r="L631" s="86" t="n"/>
      <c r="M631" s="96" t="n"/>
      <c r="N631" s="88" t="n"/>
      <c r="O631" s="20" t="n"/>
      <c r="P631" s="31" t="n"/>
      <c r="Q631" s="89" t="n"/>
      <c r="R631" s="89" t="n"/>
      <c r="S631" s="89" t="n"/>
      <c r="T631" s="59" t="n"/>
      <c r="U631" s="91" t="n"/>
      <c r="V631" s="93">
        <f>U631/B631</f>
        <v/>
      </c>
    </row>
    <row r="632" ht="22.5" customHeight="1" s="150">
      <c r="A632" s="34" t="n">
        <v>630</v>
      </c>
      <c r="B632" s="34" t="n"/>
      <c r="C632" s="34" t="n"/>
      <c r="D632" s="34" t="n"/>
      <c r="E632" s="34" t="n"/>
      <c r="F632" s="86" t="n"/>
      <c r="G632" s="86" t="n"/>
      <c r="H632" s="111" t="n"/>
      <c r="I632" s="87" t="n"/>
      <c r="J632" s="87" t="n"/>
      <c r="K632" s="111" t="n"/>
      <c r="L632" s="86" t="n"/>
      <c r="M632" s="97" t="n"/>
      <c r="N632" s="88" t="n"/>
      <c r="O632" s="20" t="n"/>
      <c r="P632" s="31" t="n"/>
      <c r="Q632" s="89" t="n"/>
      <c r="R632" s="89" t="n"/>
      <c r="S632" s="89" t="n"/>
      <c r="T632" s="59" t="n"/>
      <c r="U632" s="94" t="n"/>
      <c r="V632" s="95">
        <f>U632/B632</f>
        <v/>
      </c>
    </row>
    <row r="633" ht="22.5" customHeight="1" s="150">
      <c r="A633" s="34" t="n">
        <v>631</v>
      </c>
      <c r="B633" s="34" t="n"/>
      <c r="C633" s="34" t="n"/>
      <c r="D633" s="34" t="n"/>
      <c r="E633" s="34" t="n"/>
      <c r="F633" s="86" t="n"/>
      <c r="G633" s="86" t="n"/>
      <c r="H633" s="111" t="n"/>
      <c r="I633" s="87" t="n"/>
      <c r="J633" s="87" t="n"/>
      <c r="K633" s="111" t="n"/>
      <c r="L633" s="86" t="n"/>
      <c r="M633" s="96" t="n"/>
      <c r="N633" s="88" t="n"/>
      <c r="O633" s="20" t="n"/>
      <c r="P633" s="31" t="n"/>
      <c r="Q633" s="89" t="n"/>
      <c r="R633" s="89" t="n"/>
      <c r="S633" s="89" t="n"/>
      <c r="T633" s="59" t="n"/>
      <c r="U633" s="91" t="n"/>
      <c r="V633" s="93">
        <f>U633/B633</f>
        <v/>
      </c>
    </row>
    <row r="634" ht="22.5" customHeight="1" s="150">
      <c r="A634" s="34" t="n">
        <v>632</v>
      </c>
      <c r="B634" s="34" t="n"/>
      <c r="C634" s="34" t="n"/>
      <c r="D634" s="34" t="n"/>
      <c r="E634" s="34" t="n"/>
      <c r="F634" s="86" t="n"/>
      <c r="G634" s="86" t="n"/>
      <c r="H634" s="111" t="n"/>
      <c r="I634" s="87" t="n"/>
      <c r="J634" s="87" t="n"/>
      <c r="K634" s="111" t="n"/>
      <c r="L634" s="86" t="n"/>
      <c r="M634" s="97" t="n"/>
      <c r="N634" s="88" t="n"/>
      <c r="O634" s="20" t="n"/>
      <c r="P634" s="31" t="n"/>
      <c r="Q634" s="89" t="n"/>
      <c r="R634" s="89" t="n"/>
      <c r="S634" s="89" t="n"/>
      <c r="T634" s="59" t="n"/>
      <c r="U634" s="94" t="n"/>
      <c r="V634" s="95">
        <f>U634/B634</f>
        <v/>
      </c>
    </row>
    <row r="635" ht="22.5" customHeight="1" s="150">
      <c r="A635" s="34" t="n">
        <v>633</v>
      </c>
      <c r="B635" s="34" t="n"/>
      <c r="C635" s="34" t="n"/>
      <c r="D635" s="34" t="n"/>
      <c r="E635" s="34" t="n"/>
      <c r="F635" s="86" t="n"/>
      <c r="G635" s="86" t="n"/>
      <c r="H635" s="111" t="n"/>
      <c r="I635" s="87" t="n"/>
      <c r="J635" s="87" t="n"/>
      <c r="K635" s="111" t="n"/>
      <c r="L635" s="86" t="n"/>
      <c r="M635" s="96" t="n"/>
      <c r="N635" s="88" t="n"/>
      <c r="O635" s="20" t="n"/>
      <c r="P635" s="31" t="n"/>
      <c r="Q635" s="89" t="n"/>
      <c r="R635" s="89" t="n"/>
      <c r="S635" s="89" t="n"/>
      <c r="T635" s="59" t="n"/>
      <c r="U635" s="91" t="n"/>
      <c r="V635" s="93">
        <f>U635/B635</f>
        <v/>
      </c>
    </row>
    <row r="636" ht="22.5" customHeight="1" s="150">
      <c r="A636" s="34" t="n">
        <v>634</v>
      </c>
      <c r="B636" s="34" t="n"/>
      <c r="C636" s="34" t="n"/>
      <c r="D636" s="34" t="n"/>
      <c r="E636" s="34" t="n"/>
      <c r="F636" s="86" t="n"/>
      <c r="G636" s="86" t="n"/>
      <c r="H636" s="111" t="n"/>
      <c r="I636" s="87" t="n"/>
      <c r="J636" s="87" t="n"/>
      <c r="K636" s="111" t="n"/>
      <c r="L636" s="86" t="n"/>
      <c r="M636" s="97" t="n"/>
      <c r="N636" s="88" t="n"/>
      <c r="O636" s="20" t="n"/>
      <c r="P636" s="31" t="n"/>
      <c r="Q636" s="89" t="n"/>
      <c r="R636" s="89" t="n"/>
      <c r="S636" s="89" t="n"/>
      <c r="T636" s="59" t="n"/>
      <c r="U636" s="94" t="n"/>
      <c r="V636" s="95">
        <f>U636/B636</f>
        <v/>
      </c>
    </row>
    <row r="637" ht="22.5" customHeight="1" s="150">
      <c r="A637" s="34" t="n">
        <v>635</v>
      </c>
      <c r="B637" s="34" t="n"/>
      <c r="C637" s="34" t="n"/>
      <c r="D637" s="34" t="n"/>
      <c r="E637" s="34" t="n"/>
      <c r="F637" s="86" t="n"/>
      <c r="G637" s="86" t="n"/>
      <c r="H637" s="111" t="n"/>
      <c r="I637" s="87" t="n"/>
      <c r="J637" s="87" t="n"/>
      <c r="K637" s="111" t="n"/>
      <c r="L637" s="86" t="n"/>
      <c r="M637" s="96" t="n"/>
      <c r="N637" s="88" t="n"/>
      <c r="O637" s="20" t="n"/>
      <c r="P637" s="31" t="n"/>
      <c r="Q637" s="89" t="n"/>
      <c r="R637" s="89" t="n"/>
      <c r="S637" s="89" t="n"/>
      <c r="T637" s="59" t="n"/>
      <c r="U637" s="91" t="n"/>
      <c r="V637" s="93">
        <f>U637/B637</f>
        <v/>
      </c>
    </row>
    <row r="638" ht="22.5" customHeight="1" s="150">
      <c r="A638" s="34" t="n">
        <v>636</v>
      </c>
      <c r="B638" s="34" t="n"/>
      <c r="C638" s="34" t="n"/>
      <c r="D638" s="34" t="n"/>
      <c r="E638" s="34" t="n"/>
      <c r="F638" s="86" t="n"/>
      <c r="G638" s="86" t="n"/>
      <c r="H638" s="111" t="n"/>
      <c r="I638" s="87" t="n"/>
      <c r="J638" s="87" t="n"/>
      <c r="K638" s="111" t="n"/>
      <c r="L638" s="86" t="n"/>
      <c r="M638" s="97" t="n"/>
      <c r="N638" s="88" t="n"/>
      <c r="O638" s="20" t="n"/>
      <c r="P638" s="31" t="n"/>
      <c r="Q638" s="89" t="n"/>
      <c r="R638" s="89" t="n"/>
      <c r="S638" s="89" t="n"/>
      <c r="T638" s="59" t="n"/>
      <c r="U638" s="94" t="n"/>
      <c r="V638" s="95">
        <f>U638/B638</f>
        <v/>
      </c>
    </row>
    <row r="639" ht="22.5" customHeight="1" s="150">
      <c r="A639" s="34" t="n">
        <v>637</v>
      </c>
      <c r="B639" s="34" t="n"/>
      <c r="C639" s="34" t="n"/>
      <c r="D639" s="34" t="n"/>
      <c r="E639" s="34" t="n"/>
      <c r="F639" s="86" t="n"/>
      <c r="G639" s="86" t="n"/>
      <c r="H639" s="111" t="n"/>
      <c r="I639" s="87" t="n"/>
      <c r="J639" s="87" t="n"/>
      <c r="K639" s="111" t="n"/>
      <c r="L639" s="86" t="n"/>
      <c r="M639" s="96" t="n"/>
      <c r="N639" s="88" t="n"/>
      <c r="O639" s="20" t="n"/>
      <c r="P639" s="31" t="n"/>
      <c r="Q639" s="89" t="n"/>
      <c r="R639" s="89" t="n"/>
      <c r="S639" s="89" t="n"/>
      <c r="T639" s="59" t="n"/>
      <c r="U639" s="91" t="n"/>
      <c r="V639" s="93">
        <f>U639/B639</f>
        <v/>
      </c>
    </row>
    <row r="640" ht="22.5" customHeight="1" s="150">
      <c r="A640" s="34" t="n">
        <v>638</v>
      </c>
      <c r="B640" s="34" t="n"/>
      <c r="C640" s="34" t="n"/>
      <c r="D640" s="34" t="n"/>
      <c r="E640" s="34" t="n"/>
      <c r="F640" s="86" t="n"/>
      <c r="G640" s="86" t="n"/>
      <c r="H640" s="111" t="n"/>
      <c r="I640" s="87" t="n"/>
      <c r="J640" s="87" t="n"/>
      <c r="K640" s="111" t="n"/>
      <c r="L640" s="86" t="n"/>
      <c r="M640" s="97" t="n"/>
      <c r="N640" s="88" t="n"/>
      <c r="O640" s="20" t="n"/>
      <c r="P640" s="31" t="n"/>
      <c r="Q640" s="89" t="n"/>
      <c r="R640" s="89" t="n"/>
      <c r="S640" s="89" t="n"/>
      <c r="T640" s="59" t="n"/>
      <c r="U640" s="94" t="n"/>
      <c r="V640" s="95">
        <f>U640/B640</f>
        <v/>
      </c>
    </row>
    <row r="641" ht="22.5" customHeight="1" s="150">
      <c r="A641" s="34" t="n">
        <v>639</v>
      </c>
      <c r="B641" s="34" t="n"/>
      <c r="C641" s="34" t="n"/>
      <c r="D641" s="34" t="n"/>
      <c r="E641" s="34" t="n"/>
      <c r="F641" s="86" t="n"/>
      <c r="G641" s="86" t="n"/>
      <c r="H641" s="111" t="n"/>
      <c r="I641" s="87" t="n"/>
      <c r="J641" s="87" t="n"/>
      <c r="K641" s="111" t="n"/>
      <c r="L641" s="86" t="n"/>
      <c r="M641" s="96" t="n"/>
      <c r="N641" s="88" t="n"/>
      <c r="O641" s="20" t="n"/>
      <c r="P641" s="31" t="n"/>
      <c r="Q641" s="89" t="n"/>
      <c r="R641" s="89" t="n"/>
      <c r="S641" s="89" t="n"/>
      <c r="T641" s="59" t="n"/>
      <c r="U641" s="91" t="n"/>
      <c r="V641" s="93">
        <f>U641/B641</f>
        <v/>
      </c>
    </row>
    <row r="642" ht="22.5" customHeight="1" s="150">
      <c r="A642" s="34" t="n">
        <v>640</v>
      </c>
      <c r="B642" s="34" t="n"/>
      <c r="C642" s="34" t="n"/>
      <c r="D642" s="34" t="n"/>
      <c r="E642" s="34" t="n"/>
      <c r="F642" s="86" t="n"/>
      <c r="G642" s="86" t="n"/>
      <c r="H642" s="111" t="n"/>
      <c r="I642" s="87" t="n"/>
      <c r="J642" s="87" t="n"/>
      <c r="K642" s="111" t="n"/>
      <c r="L642" s="86" t="n"/>
      <c r="M642" s="97" t="n"/>
      <c r="N642" s="88" t="n"/>
      <c r="O642" s="20" t="n"/>
      <c r="P642" s="31" t="n"/>
      <c r="Q642" s="89" t="n"/>
      <c r="R642" s="89" t="n"/>
      <c r="S642" s="89" t="n"/>
      <c r="T642" s="59" t="n"/>
      <c r="U642" s="94" t="n"/>
      <c r="V642" s="95">
        <f>U642/B642</f>
        <v/>
      </c>
    </row>
    <row r="643" ht="22.5" customHeight="1" s="150">
      <c r="A643" s="34" t="n">
        <v>641</v>
      </c>
      <c r="B643" s="34" t="n"/>
      <c r="C643" s="34" t="n"/>
      <c r="D643" s="34" t="n"/>
      <c r="E643" s="34" t="n"/>
      <c r="F643" s="86" t="n"/>
      <c r="G643" s="86" t="n"/>
      <c r="H643" s="111" t="n"/>
      <c r="I643" s="87" t="n"/>
      <c r="J643" s="87" t="n"/>
      <c r="K643" s="111" t="n"/>
      <c r="L643" s="86" t="n"/>
      <c r="M643" s="96" t="n"/>
      <c r="N643" s="88" t="n"/>
      <c r="O643" s="20" t="n"/>
      <c r="P643" s="31" t="n"/>
      <c r="Q643" s="89" t="n"/>
      <c r="R643" s="89" t="n"/>
      <c r="S643" s="89" t="n"/>
      <c r="T643" s="59" t="n"/>
      <c r="U643" s="91" t="n"/>
      <c r="V643" s="93">
        <f>U643/B643</f>
        <v/>
      </c>
    </row>
    <row r="644" ht="22.5" customHeight="1" s="150">
      <c r="A644" s="34" t="n">
        <v>642</v>
      </c>
      <c r="B644" s="34" t="n"/>
      <c r="C644" s="34" t="n"/>
      <c r="D644" s="34" t="n"/>
      <c r="E644" s="34" t="n"/>
      <c r="F644" s="86" t="n"/>
      <c r="G644" s="86" t="n"/>
      <c r="H644" s="111" t="n"/>
      <c r="I644" s="87" t="n"/>
      <c r="J644" s="87" t="n"/>
      <c r="K644" s="111" t="n"/>
      <c r="L644" s="86" t="n"/>
      <c r="M644" s="97" t="n"/>
      <c r="N644" s="88" t="n"/>
      <c r="O644" s="20" t="n"/>
      <c r="P644" s="31" t="n"/>
      <c r="Q644" s="89" t="n"/>
      <c r="R644" s="89" t="n"/>
      <c r="S644" s="89" t="n"/>
      <c r="T644" s="59" t="n"/>
      <c r="U644" s="94" t="n"/>
      <c r="V644" s="95">
        <f>U644/B644</f>
        <v/>
      </c>
    </row>
    <row r="645" ht="22.5" customHeight="1" s="150">
      <c r="A645" s="34" t="n">
        <v>643</v>
      </c>
      <c r="B645" s="34" t="n"/>
      <c r="C645" s="34" t="n"/>
      <c r="D645" s="34" t="n"/>
      <c r="E645" s="34" t="n"/>
      <c r="F645" s="86" t="n"/>
      <c r="G645" s="86" t="n"/>
      <c r="H645" s="111" t="n"/>
      <c r="I645" s="87" t="n"/>
      <c r="J645" s="87" t="n"/>
      <c r="K645" s="111" t="n"/>
      <c r="L645" s="86" t="n"/>
      <c r="M645" s="96" t="n"/>
      <c r="N645" s="88" t="n"/>
      <c r="O645" s="20" t="n"/>
      <c r="P645" s="31" t="n"/>
      <c r="Q645" s="89" t="n"/>
      <c r="R645" s="89" t="n"/>
      <c r="S645" s="89" t="n"/>
      <c r="T645" s="59" t="n"/>
      <c r="U645" s="91" t="n"/>
      <c r="V645" s="93">
        <f>U645/B645</f>
        <v/>
      </c>
    </row>
    <row r="646" ht="22.5" customHeight="1" s="150">
      <c r="A646" s="34" t="n">
        <v>644</v>
      </c>
      <c r="B646" s="34" t="n"/>
      <c r="C646" s="34" t="n"/>
      <c r="D646" s="34" t="n"/>
      <c r="E646" s="34" t="n"/>
      <c r="F646" s="86" t="n"/>
      <c r="G646" s="86" t="n"/>
      <c r="H646" s="111" t="n"/>
      <c r="I646" s="87" t="n"/>
      <c r="J646" s="87" t="n"/>
      <c r="K646" s="111" t="n"/>
      <c r="L646" s="86" t="n"/>
      <c r="M646" s="97" t="n"/>
      <c r="N646" s="88" t="n"/>
      <c r="O646" s="20" t="n"/>
      <c r="P646" s="31" t="n"/>
      <c r="Q646" s="89" t="n"/>
      <c r="R646" s="89" t="n"/>
      <c r="S646" s="89" t="n"/>
      <c r="T646" s="59" t="n"/>
      <c r="U646" s="94" t="n"/>
      <c r="V646" s="95">
        <f>U646/B646</f>
        <v/>
      </c>
    </row>
    <row r="647" ht="22.5" customHeight="1" s="150">
      <c r="A647" s="34" t="n">
        <v>645</v>
      </c>
      <c r="B647" s="34" t="n"/>
      <c r="C647" s="34" t="n"/>
      <c r="D647" s="34" t="n"/>
      <c r="E647" s="34" t="n"/>
      <c r="F647" s="86" t="n"/>
      <c r="G647" s="86" t="n"/>
      <c r="H647" s="111" t="n"/>
      <c r="I647" s="87" t="n"/>
      <c r="J647" s="87" t="n"/>
      <c r="K647" s="111" t="n"/>
      <c r="L647" s="86" t="n"/>
      <c r="M647" s="96" t="n"/>
      <c r="N647" s="88" t="n"/>
      <c r="O647" s="20" t="n"/>
      <c r="P647" s="31" t="n"/>
      <c r="Q647" s="89" t="n"/>
      <c r="R647" s="89" t="n"/>
      <c r="S647" s="89" t="n"/>
      <c r="T647" s="59" t="n"/>
      <c r="U647" s="91" t="n"/>
      <c r="V647" s="93">
        <f>U647/B647</f>
        <v/>
      </c>
    </row>
    <row r="648" ht="22.5" customHeight="1" s="150">
      <c r="A648" s="34" t="n">
        <v>646</v>
      </c>
      <c r="B648" s="34" t="n"/>
      <c r="C648" s="34" t="n"/>
      <c r="D648" s="34" t="n"/>
      <c r="E648" s="34" t="n"/>
      <c r="F648" s="86" t="n"/>
      <c r="G648" s="86" t="n"/>
      <c r="H648" s="111" t="n"/>
      <c r="I648" s="87" t="n"/>
      <c r="J648" s="87" t="n"/>
      <c r="K648" s="111" t="n"/>
      <c r="L648" s="86" t="n"/>
      <c r="M648" s="97" t="n"/>
      <c r="N648" s="88" t="n"/>
      <c r="O648" s="20" t="n"/>
      <c r="P648" s="31" t="n"/>
      <c r="Q648" s="89" t="n"/>
      <c r="R648" s="89" t="n"/>
      <c r="S648" s="89" t="n"/>
      <c r="T648" s="59" t="n"/>
      <c r="U648" s="94" t="n"/>
      <c r="V648" s="95">
        <f>U648/B648</f>
        <v/>
      </c>
    </row>
    <row r="649" ht="22.5" customHeight="1" s="150">
      <c r="A649" s="34" t="n">
        <v>647</v>
      </c>
      <c r="B649" s="34" t="n"/>
      <c r="C649" s="34" t="n"/>
      <c r="D649" s="34" t="n"/>
      <c r="E649" s="34" t="n"/>
      <c r="F649" s="86" t="n"/>
      <c r="G649" s="86" t="n"/>
      <c r="H649" s="111" t="n"/>
      <c r="I649" s="87" t="n"/>
      <c r="J649" s="87" t="n"/>
      <c r="K649" s="111" t="n"/>
      <c r="L649" s="86" t="n"/>
      <c r="M649" s="96" t="n"/>
      <c r="N649" s="88" t="n"/>
      <c r="O649" s="20" t="n"/>
      <c r="P649" s="31" t="n"/>
      <c r="Q649" s="89" t="n"/>
      <c r="R649" s="89" t="n"/>
      <c r="S649" s="89" t="n"/>
      <c r="T649" s="59" t="n"/>
      <c r="U649" s="91" t="n"/>
      <c r="V649" s="93">
        <f>U649/B649</f>
        <v/>
      </c>
    </row>
    <row r="650" ht="22.5" customHeight="1" s="150">
      <c r="A650" s="34" t="n">
        <v>648</v>
      </c>
      <c r="B650" s="34" t="n"/>
      <c r="C650" s="34" t="n"/>
      <c r="D650" s="34" t="n"/>
      <c r="E650" s="34" t="n"/>
      <c r="F650" s="86" t="n"/>
      <c r="G650" s="86" t="n"/>
      <c r="H650" s="111" t="n"/>
      <c r="I650" s="87" t="n"/>
      <c r="J650" s="87" t="n"/>
      <c r="K650" s="111" t="n"/>
      <c r="L650" s="86" t="n"/>
      <c r="M650" s="97" t="n"/>
      <c r="N650" s="88" t="n"/>
      <c r="O650" s="20" t="n"/>
      <c r="P650" s="31" t="n"/>
      <c r="Q650" s="89" t="n"/>
      <c r="R650" s="89" t="n"/>
      <c r="S650" s="89" t="n"/>
      <c r="T650" s="59" t="n"/>
      <c r="U650" s="94" t="n"/>
      <c r="V650" s="95">
        <f>U650/B650</f>
        <v/>
      </c>
    </row>
    <row r="651" ht="22.5" customHeight="1" s="150">
      <c r="A651" s="34" t="n">
        <v>649</v>
      </c>
      <c r="B651" s="34" t="n"/>
      <c r="C651" s="34" t="n"/>
      <c r="D651" s="34" t="n"/>
      <c r="E651" s="34" t="n"/>
      <c r="F651" s="86" t="n"/>
      <c r="G651" s="86" t="n"/>
      <c r="H651" s="111" t="n"/>
      <c r="I651" s="87" t="n"/>
      <c r="J651" s="87" t="n"/>
      <c r="K651" s="111" t="n"/>
      <c r="L651" s="86" t="n"/>
      <c r="M651" s="96" t="n"/>
      <c r="N651" s="88" t="n"/>
      <c r="O651" s="20" t="n"/>
      <c r="P651" s="31" t="n"/>
      <c r="Q651" s="89" t="n"/>
      <c r="R651" s="89" t="n"/>
      <c r="S651" s="89" t="n"/>
      <c r="T651" s="59" t="n"/>
      <c r="U651" s="91" t="n"/>
      <c r="V651" s="93">
        <f>U651/B651</f>
        <v/>
      </c>
    </row>
    <row r="652" ht="22.5" customHeight="1" s="150">
      <c r="A652" s="34" t="n">
        <v>650</v>
      </c>
      <c r="B652" s="34" t="n"/>
      <c r="C652" s="34" t="n"/>
      <c r="D652" s="34" t="n"/>
      <c r="E652" s="34" t="n"/>
      <c r="F652" s="86" t="n"/>
      <c r="G652" s="86" t="n"/>
      <c r="H652" s="111" t="n"/>
      <c r="I652" s="87" t="n"/>
      <c r="J652" s="87" t="n"/>
      <c r="K652" s="111" t="n"/>
      <c r="L652" s="86" t="n"/>
      <c r="M652" s="97" t="n"/>
      <c r="N652" s="88" t="n"/>
      <c r="O652" s="20" t="n"/>
      <c r="P652" s="31" t="n"/>
      <c r="Q652" s="89" t="n"/>
      <c r="R652" s="89" t="n"/>
      <c r="S652" s="89" t="n"/>
      <c r="T652" s="59" t="n"/>
      <c r="U652" s="94" t="n"/>
      <c r="V652" s="95">
        <f>U652/B652</f>
        <v/>
      </c>
    </row>
    <row r="653" ht="22.5" customHeight="1" s="150">
      <c r="A653" s="34" t="n">
        <v>651</v>
      </c>
      <c r="B653" s="34" t="n"/>
      <c r="C653" s="34" t="n"/>
      <c r="D653" s="34" t="n"/>
      <c r="E653" s="34" t="n"/>
      <c r="F653" s="86" t="n"/>
      <c r="G653" s="86" t="n"/>
      <c r="H653" s="111" t="n"/>
      <c r="I653" s="87" t="n"/>
      <c r="J653" s="87" t="n"/>
      <c r="K653" s="111" t="n"/>
      <c r="L653" s="86" t="n"/>
      <c r="M653" s="96" t="n"/>
      <c r="N653" s="88" t="n"/>
      <c r="O653" s="20" t="n"/>
      <c r="P653" s="31" t="n"/>
      <c r="Q653" s="89" t="n"/>
      <c r="R653" s="89" t="n"/>
      <c r="S653" s="89" t="n"/>
      <c r="T653" s="59" t="n"/>
      <c r="U653" s="91" t="n"/>
      <c r="V653" s="93">
        <f>U653/B653</f>
        <v/>
      </c>
    </row>
    <row r="654" ht="22.5" customHeight="1" s="150">
      <c r="A654" s="34" t="n">
        <v>652</v>
      </c>
      <c r="B654" s="34" t="n"/>
      <c r="C654" s="34" t="n"/>
      <c r="D654" s="34" t="n"/>
      <c r="E654" s="34" t="n"/>
      <c r="F654" s="86" t="n"/>
      <c r="G654" s="86" t="n"/>
      <c r="H654" s="111" t="n"/>
      <c r="I654" s="87" t="n"/>
      <c r="J654" s="87" t="n"/>
      <c r="K654" s="111" t="n"/>
      <c r="L654" s="86" t="n"/>
      <c r="M654" s="97" t="n"/>
      <c r="N654" s="88" t="n"/>
      <c r="O654" s="20" t="n"/>
      <c r="P654" s="31" t="n"/>
      <c r="Q654" s="89" t="n"/>
      <c r="R654" s="89" t="n"/>
      <c r="S654" s="89" t="n"/>
      <c r="T654" s="59" t="n"/>
      <c r="U654" s="94" t="n"/>
      <c r="V654" s="95">
        <f>U654/B654</f>
        <v/>
      </c>
    </row>
    <row r="655" ht="22.5" customHeight="1" s="150">
      <c r="A655" s="34" t="n">
        <v>653</v>
      </c>
      <c r="B655" s="34" t="n"/>
      <c r="C655" s="34" t="n"/>
      <c r="D655" s="34" t="n"/>
      <c r="E655" s="34" t="n"/>
      <c r="F655" s="86" t="n"/>
      <c r="G655" s="86" t="n"/>
      <c r="H655" s="111" t="n"/>
      <c r="I655" s="87" t="n"/>
      <c r="J655" s="87" t="n"/>
      <c r="K655" s="111" t="n"/>
      <c r="L655" s="86" t="n"/>
      <c r="M655" s="96" t="n"/>
      <c r="N655" s="88" t="n"/>
      <c r="O655" s="20" t="n"/>
      <c r="P655" s="31" t="n"/>
      <c r="Q655" s="89" t="n"/>
      <c r="R655" s="89" t="n"/>
      <c r="S655" s="89" t="n"/>
      <c r="T655" s="59" t="n"/>
      <c r="U655" s="91" t="n"/>
      <c r="V655" s="93">
        <f>U655/B655</f>
        <v/>
      </c>
    </row>
    <row r="656" ht="22.5" customHeight="1" s="150">
      <c r="A656" s="34" t="n">
        <v>654</v>
      </c>
      <c r="B656" s="34" t="n"/>
      <c r="C656" s="34" t="n"/>
      <c r="D656" s="34" t="n"/>
      <c r="E656" s="34" t="n"/>
      <c r="F656" s="86" t="n"/>
      <c r="G656" s="86" t="n"/>
      <c r="H656" s="111" t="n"/>
      <c r="I656" s="87" t="n"/>
      <c r="J656" s="87" t="n"/>
      <c r="K656" s="111" t="n"/>
      <c r="L656" s="86" t="n"/>
      <c r="M656" s="97" t="n"/>
      <c r="N656" s="88" t="n"/>
      <c r="O656" s="20" t="n"/>
      <c r="P656" s="31" t="n"/>
      <c r="Q656" s="89" t="n"/>
      <c r="R656" s="89" t="n"/>
      <c r="S656" s="89" t="n"/>
      <c r="T656" s="59" t="n"/>
      <c r="U656" s="94" t="n"/>
      <c r="V656" s="95">
        <f>U656/B656</f>
        <v/>
      </c>
    </row>
    <row r="657" ht="22.5" customHeight="1" s="150">
      <c r="A657" s="34" t="n">
        <v>655</v>
      </c>
      <c r="B657" s="34" t="n"/>
      <c r="C657" s="34" t="n"/>
      <c r="D657" s="34" t="n"/>
      <c r="E657" s="34" t="n"/>
      <c r="F657" s="86" t="n"/>
      <c r="G657" s="86" t="n"/>
      <c r="H657" s="111" t="n"/>
      <c r="I657" s="87" t="n"/>
      <c r="J657" s="87" t="n"/>
      <c r="K657" s="111" t="n"/>
      <c r="L657" s="86" t="n"/>
      <c r="M657" s="96" t="n"/>
      <c r="N657" s="88" t="n"/>
      <c r="O657" s="20" t="n"/>
      <c r="P657" s="31" t="n"/>
      <c r="Q657" s="89" t="n"/>
      <c r="R657" s="89" t="n"/>
      <c r="S657" s="89" t="n"/>
      <c r="T657" s="59" t="n"/>
      <c r="U657" s="91" t="n"/>
      <c r="V657" s="93">
        <f>U657/B657</f>
        <v/>
      </c>
    </row>
    <row r="658" ht="22.5" customHeight="1" s="150">
      <c r="A658" s="34" t="n">
        <v>656</v>
      </c>
      <c r="B658" s="34" t="n"/>
      <c r="C658" s="34" t="n"/>
      <c r="D658" s="34" t="n"/>
      <c r="E658" s="34" t="n"/>
      <c r="F658" s="86" t="n"/>
      <c r="G658" s="86" t="n"/>
      <c r="H658" s="111" t="n"/>
      <c r="I658" s="87" t="n"/>
      <c r="J658" s="87" t="n"/>
      <c r="K658" s="111" t="n"/>
      <c r="L658" s="86" t="n"/>
      <c r="M658" s="97" t="n"/>
      <c r="N658" s="88" t="n"/>
      <c r="O658" s="20" t="n"/>
      <c r="P658" s="31" t="n"/>
      <c r="Q658" s="89" t="n"/>
      <c r="R658" s="89" t="n"/>
      <c r="S658" s="89" t="n"/>
      <c r="T658" s="59" t="n"/>
      <c r="U658" s="94" t="n"/>
      <c r="V658" s="95">
        <f>U658/B658</f>
        <v/>
      </c>
    </row>
    <row r="659" ht="22.5" customHeight="1" s="150">
      <c r="A659" s="34" t="n">
        <v>657</v>
      </c>
      <c r="B659" s="34" t="n"/>
      <c r="C659" s="34" t="n"/>
      <c r="D659" s="34" t="n"/>
      <c r="E659" s="34" t="n"/>
      <c r="F659" s="86" t="n"/>
      <c r="G659" s="86" t="n"/>
      <c r="H659" s="111" t="n"/>
      <c r="I659" s="87" t="n"/>
      <c r="J659" s="87" t="n"/>
      <c r="K659" s="111" t="n"/>
      <c r="L659" s="86" t="n"/>
      <c r="M659" s="96" t="n"/>
      <c r="N659" s="88" t="n"/>
      <c r="O659" s="20" t="n"/>
      <c r="P659" s="31" t="n"/>
      <c r="Q659" s="89" t="n"/>
      <c r="R659" s="89" t="n"/>
      <c r="S659" s="89" t="n"/>
      <c r="T659" s="59" t="n"/>
      <c r="U659" s="91" t="n"/>
      <c r="V659" s="93">
        <f>U659/B659</f>
        <v/>
      </c>
    </row>
    <row r="660" ht="22.5" customHeight="1" s="150">
      <c r="A660" s="34" t="n">
        <v>658</v>
      </c>
      <c r="B660" s="34" t="n"/>
      <c r="C660" s="34" t="n"/>
      <c r="D660" s="34" t="n"/>
      <c r="E660" s="34" t="n"/>
      <c r="F660" s="86" t="n"/>
      <c r="G660" s="86" t="n"/>
      <c r="H660" s="111" t="n"/>
      <c r="I660" s="87" t="n"/>
      <c r="J660" s="87" t="n"/>
      <c r="K660" s="111" t="n"/>
      <c r="L660" s="86" t="n"/>
      <c r="M660" s="97" t="n"/>
      <c r="N660" s="88" t="n"/>
      <c r="O660" s="20" t="n"/>
      <c r="P660" s="31" t="n"/>
      <c r="Q660" s="89" t="n"/>
      <c r="R660" s="89" t="n"/>
      <c r="S660" s="89" t="n"/>
      <c r="T660" s="59" t="n"/>
      <c r="U660" s="94" t="n"/>
      <c r="V660" s="95">
        <f>U660/B660</f>
        <v/>
      </c>
    </row>
    <row r="661" ht="22.5" customHeight="1" s="150">
      <c r="A661" s="34" t="n">
        <v>659</v>
      </c>
      <c r="B661" s="34" t="n"/>
      <c r="C661" s="34" t="n"/>
      <c r="D661" s="34" t="n"/>
      <c r="E661" s="34" t="n"/>
      <c r="F661" s="86" t="n"/>
      <c r="G661" s="86" t="n"/>
      <c r="H661" s="111" t="n"/>
      <c r="I661" s="87" t="n"/>
      <c r="J661" s="87" t="n"/>
      <c r="K661" s="111" t="n"/>
      <c r="L661" s="86" t="n"/>
      <c r="M661" s="96" t="n"/>
      <c r="N661" s="88" t="n"/>
      <c r="O661" s="20" t="n"/>
      <c r="P661" s="31" t="n"/>
      <c r="Q661" s="89" t="n"/>
      <c r="R661" s="89" t="n"/>
      <c r="S661" s="89" t="n"/>
      <c r="T661" s="59" t="n"/>
      <c r="U661" s="91" t="n"/>
      <c r="V661" s="93">
        <f>U661/B661</f>
        <v/>
      </c>
    </row>
    <row r="662" ht="22.5" customHeight="1" s="150">
      <c r="A662" s="34" t="n">
        <v>660</v>
      </c>
      <c r="B662" s="34" t="n"/>
      <c r="C662" s="34" t="n"/>
      <c r="D662" s="34" t="n"/>
      <c r="E662" s="34" t="n"/>
      <c r="F662" s="86" t="n"/>
      <c r="G662" s="86" t="n"/>
      <c r="H662" s="111" t="n"/>
      <c r="I662" s="87" t="n"/>
      <c r="J662" s="87" t="n"/>
      <c r="K662" s="111" t="n"/>
      <c r="L662" s="86" t="n"/>
      <c r="M662" s="97" t="n"/>
      <c r="N662" s="88" t="n"/>
      <c r="O662" s="20" t="n"/>
      <c r="P662" s="31" t="n"/>
      <c r="Q662" s="89" t="n"/>
      <c r="R662" s="89" t="n"/>
      <c r="S662" s="89" t="n"/>
      <c r="T662" s="59" t="n"/>
      <c r="U662" s="94" t="n"/>
      <c r="V662" s="95">
        <f>U662/B662</f>
        <v/>
      </c>
    </row>
    <row r="663" ht="22.5" customHeight="1" s="150">
      <c r="A663" s="34" t="n">
        <v>661</v>
      </c>
      <c r="B663" s="34" t="n"/>
      <c r="C663" s="34" t="n"/>
      <c r="D663" s="34" t="n"/>
      <c r="E663" s="34" t="n"/>
      <c r="F663" s="86" t="n"/>
      <c r="G663" s="86" t="n"/>
      <c r="H663" s="111" t="n"/>
      <c r="I663" s="87" t="n"/>
      <c r="J663" s="87" t="n"/>
      <c r="K663" s="111" t="n"/>
      <c r="L663" s="86" t="n"/>
      <c r="M663" s="96" t="n"/>
      <c r="N663" s="88" t="n"/>
      <c r="O663" s="20" t="n"/>
      <c r="P663" s="31" t="n"/>
      <c r="Q663" s="89" t="n"/>
      <c r="R663" s="89" t="n"/>
      <c r="S663" s="89" t="n"/>
      <c r="T663" s="59" t="n"/>
      <c r="U663" s="91" t="n"/>
      <c r="V663" s="93">
        <f>U663/B663</f>
        <v/>
      </c>
    </row>
    <row r="664" ht="22.5" customHeight="1" s="150">
      <c r="A664" s="34" t="n">
        <v>662</v>
      </c>
      <c r="B664" s="34" t="n"/>
      <c r="C664" s="34" t="n"/>
      <c r="D664" s="34" t="n"/>
      <c r="E664" s="34" t="n"/>
      <c r="F664" s="86" t="n"/>
      <c r="G664" s="86" t="n"/>
      <c r="H664" s="111" t="n"/>
      <c r="I664" s="87" t="n"/>
      <c r="J664" s="87" t="n"/>
      <c r="K664" s="111" t="n"/>
      <c r="L664" s="86" t="n"/>
      <c r="M664" s="97" t="n"/>
      <c r="N664" s="88" t="n"/>
      <c r="O664" s="20" t="n"/>
      <c r="P664" s="31" t="n"/>
      <c r="Q664" s="89" t="n"/>
      <c r="R664" s="89" t="n"/>
      <c r="S664" s="89" t="n"/>
      <c r="T664" s="59" t="n"/>
      <c r="U664" s="94" t="n"/>
      <c r="V664" s="95">
        <f>U664/B664</f>
        <v/>
      </c>
    </row>
    <row r="665" ht="22.5" customHeight="1" s="150">
      <c r="A665" s="34" t="n">
        <v>663</v>
      </c>
      <c r="B665" s="34" t="n"/>
      <c r="C665" s="34" t="n"/>
      <c r="D665" s="34" t="n"/>
      <c r="E665" s="34" t="n"/>
      <c r="F665" s="86" t="n"/>
      <c r="G665" s="86" t="n"/>
      <c r="H665" s="111" t="n"/>
      <c r="I665" s="87" t="n"/>
      <c r="J665" s="87" t="n"/>
      <c r="K665" s="111" t="n"/>
      <c r="L665" s="86" t="n"/>
      <c r="M665" s="96" t="n"/>
      <c r="N665" s="88" t="n"/>
      <c r="O665" s="20" t="n"/>
      <c r="P665" s="31" t="n"/>
      <c r="Q665" s="89" t="n"/>
      <c r="R665" s="89" t="n"/>
      <c r="S665" s="89" t="n"/>
      <c r="T665" s="59" t="n"/>
      <c r="U665" s="91" t="n"/>
      <c r="V665" s="93">
        <f>U665/B665</f>
        <v/>
      </c>
    </row>
    <row r="666" ht="22.5" customHeight="1" s="150">
      <c r="A666" s="34" t="n">
        <v>664</v>
      </c>
      <c r="B666" s="34" t="n"/>
      <c r="C666" s="34" t="n"/>
      <c r="D666" s="34" t="n"/>
      <c r="E666" s="34" t="n"/>
      <c r="F666" s="86" t="n"/>
      <c r="G666" s="86" t="n"/>
      <c r="H666" s="111" t="n"/>
      <c r="I666" s="87" t="n"/>
      <c r="J666" s="87" t="n"/>
      <c r="K666" s="111" t="n"/>
      <c r="L666" s="86" t="n"/>
      <c r="M666" s="97" t="n"/>
      <c r="N666" s="88" t="n"/>
      <c r="O666" s="20" t="n"/>
      <c r="P666" s="31" t="n"/>
      <c r="Q666" s="89" t="n"/>
      <c r="R666" s="89" t="n"/>
      <c r="S666" s="89" t="n"/>
      <c r="T666" s="59" t="n"/>
      <c r="U666" s="94" t="n"/>
      <c r="V666" s="95">
        <f>U666/B666</f>
        <v/>
      </c>
    </row>
    <row r="667" ht="22.5" customHeight="1" s="150">
      <c r="A667" s="34" t="n">
        <v>665</v>
      </c>
      <c r="B667" s="34" t="n"/>
      <c r="C667" s="34" t="n"/>
      <c r="D667" s="34" t="n"/>
      <c r="E667" s="34" t="n"/>
      <c r="F667" s="86" t="n"/>
      <c r="G667" s="86" t="n"/>
      <c r="H667" s="111" t="n"/>
      <c r="I667" s="87" t="n"/>
      <c r="J667" s="87" t="n"/>
      <c r="K667" s="111" t="n"/>
      <c r="L667" s="86" t="n"/>
      <c r="M667" s="96" t="n"/>
      <c r="N667" s="88" t="n"/>
      <c r="O667" s="20" t="n"/>
      <c r="P667" s="31" t="n"/>
      <c r="Q667" s="89" t="n"/>
      <c r="R667" s="89" t="n"/>
      <c r="S667" s="89" t="n"/>
      <c r="T667" s="59" t="n"/>
      <c r="U667" s="91" t="n"/>
      <c r="V667" s="93">
        <f>U667/B667</f>
        <v/>
      </c>
    </row>
    <row r="668" ht="22.5" customHeight="1" s="150">
      <c r="A668" s="34" t="n">
        <v>666</v>
      </c>
      <c r="B668" s="34" t="n"/>
      <c r="C668" s="34" t="n"/>
      <c r="D668" s="34" t="n"/>
      <c r="E668" s="34" t="n"/>
      <c r="F668" s="86" t="n"/>
      <c r="G668" s="86" t="n"/>
      <c r="H668" s="111" t="n"/>
      <c r="I668" s="87" t="n"/>
      <c r="J668" s="87" t="n"/>
      <c r="K668" s="111" t="n"/>
      <c r="L668" s="86" t="n"/>
      <c r="M668" s="97" t="n"/>
      <c r="N668" s="88" t="n"/>
      <c r="O668" s="20" t="n"/>
      <c r="P668" s="31" t="n"/>
      <c r="Q668" s="89" t="n"/>
      <c r="R668" s="89" t="n"/>
      <c r="S668" s="89" t="n"/>
      <c r="T668" s="59" t="n"/>
      <c r="U668" s="94" t="n"/>
      <c r="V668" s="95">
        <f>U668/B668</f>
        <v/>
      </c>
    </row>
    <row r="669" ht="22.5" customHeight="1" s="150">
      <c r="A669" s="34" t="n">
        <v>667</v>
      </c>
      <c r="B669" s="34" t="n"/>
      <c r="C669" s="34" t="n"/>
      <c r="D669" s="34" t="n"/>
      <c r="E669" s="34" t="n"/>
      <c r="F669" s="86" t="n"/>
      <c r="G669" s="86" t="n"/>
      <c r="H669" s="111" t="n"/>
      <c r="I669" s="87" t="n"/>
      <c r="J669" s="87" t="n"/>
      <c r="K669" s="111" t="n"/>
      <c r="L669" s="86" t="n"/>
      <c r="M669" s="96" t="n"/>
      <c r="N669" s="88" t="n"/>
      <c r="O669" s="20" t="n"/>
      <c r="P669" s="31" t="n"/>
      <c r="Q669" s="89" t="n"/>
      <c r="R669" s="89" t="n"/>
      <c r="S669" s="89" t="n"/>
      <c r="T669" s="59" t="n"/>
      <c r="U669" s="91" t="n"/>
      <c r="V669" s="93">
        <f>U669/B669</f>
        <v/>
      </c>
    </row>
    <row r="670" ht="22.5" customHeight="1" s="150">
      <c r="A670" s="34" t="n">
        <v>668</v>
      </c>
      <c r="B670" s="34" t="n"/>
      <c r="C670" s="34" t="n"/>
      <c r="D670" s="34" t="n"/>
      <c r="E670" s="34" t="n"/>
      <c r="F670" s="86" t="n"/>
      <c r="G670" s="86" t="n"/>
      <c r="H670" s="111" t="n"/>
      <c r="I670" s="87" t="n"/>
      <c r="J670" s="87" t="n"/>
      <c r="K670" s="111" t="n"/>
      <c r="L670" s="86" t="n"/>
      <c r="M670" s="97" t="n"/>
      <c r="N670" s="88" t="n"/>
      <c r="O670" s="20" t="n"/>
      <c r="P670" s="31" t="n"/>
      <c r="Q670" s="89" t="n"/>
      <c r="R670" s="89" t="n"/>
      <c r="S670" s="89" t="n"/>
      <c r="T670" s="59" t="n"/>
      <c r="U670" s="94" t="n"/>
      <c r="V670" s="95">
        <f>U670/B670</f>
        <v/>
      </c>
    </row>
    <row r="671" ht="22.5" customHeight="1" s="150">
      <c r="A671" s="34" t="n">
        <v>669</v>
      </c>
      <c r="B671" s="34" t="n"/>
      <c r="C671" s="34" t="n"/>
      <c r="D671" s="34" t="n"/>
      <c r="E671" s="34" t="n"/>
      <c r="F671" s="86" t="n"/>
      <c r="G671" s="86" t="n"/>
      <c r="H671" s="111" t="n"/>
      <c r="I671" s="87" t="n"/>
      <c r="J671" s="87" t="n"/>
      <c r="K671" s="111" t="n"/>
      <c r="L671" s="86" t="n"/>
      <c r="M671" s="96" t="n"/>
      <c r="N671" s="88" t="n"/>
      <c r="O671" s="20" t="n"/>
      <c r="P671" s="31" t="n"/>
      <c r="Q671" s="89" t="n"/>
      <c r="R671" s="89" t="n"/>
      <c r="S671" s="89" t="n"/>
      <c r="T671" s="59" t="n"/>
      <c r="U671" s="91" t="n"/>
      <c r="V671" s="93">
        <f>U671/B671</f>
        <v/>
      </c>
    </row>
    <row r="672" ht="22.5" customHeight="1" s="150">
      <c r="A672" s="34" t="n">
        <v>670</v>
      </c>
      <c r="B672" s="34" t="n"/>
      <c r="C672" s="34" t="n"/>
      <c r="D672" s="34" t="n"/>
      <c r="E672" s="34" t="n"/>
      <c r="F672" s="86" t="n"/>
      <c r="G672" s="86" t="n"/>
      <c r="H672" s="111" t="n"/>
      <c r="I672" s="87" t="n"/>
      <c r="J672" s="87" t="n"/>
      <c r="K672" s="111" t="n"/>
      <c r="L672" s="86" t="n"/>
      <c r="M672" s="97" t="n"/>
      <c r="N672" s="88" t="n"/>
      <c r="O672" s="20" t="n"/>
      <c r="P672" s="31" t="n"/>
      <c r="Q672" s="89" t="n"/>
      <c r="R672" s="89" t="n"/>
      <c r="S672" s="89" t="n"/>
      <c r="T672" s="59" t="n"/>
      <c r="U672" s="94" t="n"/>
      <c r="V672" s="95">
        <f>U672/B672</f>
        <v/>
      </c>
    </row>
    <row r="673" ht="22.5" customHeight="1" s="150">
      <c r="A673" s="34" t="n">
        <v>671</v>
      </c>
      <c r="B673" s="34" t="n"/>
      <c r="C673" s="34" t="n"/>
      <c r="D673" s="34" t="n"/>
      <c r="E673" s="34" t="n"/>
      <c r="F673" s="86" t="n"/>
      <c r="G673" s="86" t="n"/>
      <c r="H673" s="111" t="n"/>
      <c r="I673" s="87" t="n"/>
      <c r="J673" s="87" t="n"/>
      <c r="K673" s="111" t="n"/>
      <c r="L673" s="86" t="n"/>
      <c r="M673" s="96" t="n"/>
      <c r="N673" s="88" t="n"/>
      <c r="O673" s="20" t="n"/>
      <c r="P673" s="31" t="n"/>
      <c r="Q673" s="89" t="n"/>
      <c r="R673" s="89" t="n"/>
      <c r="S673" s="89" t="n"/>
      <c r="T673" s="59" t="n"/>
      <c r="U673" s="91" t="n"/>
      <c r="V673" s="93">
        <f>U673/B673</f>
        <v/>
      </c>
    </row>
    <row r="674" ht="22.5" customHeight="1" s="150">
      <c r="A674" s="34" t="n">
        <v>672</v>
      </c>
      <c r="B674" s="34" t="n"/>
      <c r="C674" s="34" t="n"/>
      <c r="D674" s="34" t="n"/>
      <c r="E674" s="34" t="n"/>
      <c r="F674" s="86" t="n"/>
      <c r="G674" s="86" t="n"/>
      <c r="H674" s="111" t="n"/>
      <c r="I674" s="87" t="n"/>
      <c r="J674" s="87" t="n"/>
      <c r="K674" s="111" t="n"/>
      <c r="L674" s="86" t="n"/>
      <c r="M674" s="97" t="n"/>
      <c r="N674" s="88" t="n"/>
      <c r="O674" s="20" t="n"/>
      <c r="P674" s="31" t="n"/>
      <c r="Q674" s="89" t="n"/>
      <c r="R674" s="89" t="n"/>
      <c r="S674" s="89" t="n"/>
      <c r="T674" s="59" t="n"/>
      <c r="U674" s="94" t="n"/>
      <c r="V674" s="95">
        <f>U674/B674</f>
        <v/>
      </c>
    </row>
    <row r="675" ht="22.5" customHeight="1" s="150">
      <c r="A675" s="34" t="n">
        <v>673</v>
      </c>
      <c r="B675" s="34" t="n"/>
      <c r="C675" s="34" t="n"/>
      <c r="D675" s="34" t="n"/>
      <c r="E675" s="34" t="n"/>
      <c r="F675" s="86" t="n"/>
      <c r="G675" s="86" t="n"/>
      <c r="H675" s="111" t="n"/>
      <c r="I675" s="87" t="n"/>
      <c r="J675" s="87" t="n"/>
      <c r="K675" s="111" t="n"/>
      <c r="L675" s="86" t="n"/>
      <c r="M675" s="96" t="n"/>
      <c r="N675" s="88" t="n"/>
      <c r="O675" s="20" t="n"/>
      <c r="P675" s="31" t="n"/>
      <c r="Q675" s="89" t="n"/>
      <c r="R675" s="89" t="n"/>
      <c r="S675" s="89" t="n"/>
      <c r="T675" s="59" t="n"/>
      <c r="U675" s="91" t="n"/>
      <c r="V675" s="93">
        <f>U675/B675</f>
        <v/>
      </c>
    </row>
    <row r="676" ht="22.5" customHeight="1" s="150">
      <c r="A676" s="34" t="n">
        <v>674</v>
      </c>
      <c r="B676" s="34" t="n"/>
      <c r="C676" s="34" t="n"/>
      <c r="D676" s="34" t="n"/>
      <c r="E676" s="34" t="n"/>
      <c r="F676" s="86" t="n"/>
      <c r="G676" s="86" t="n"/>
      <c r="H676" s="111" t="n"/>
      <c r="I676" s="87" t="n"/>
      <c r="J676" s="87" t="n"/>
      <c r="K676" s="111" t="n"/>
      <c r="L676" s="86" t="n"/>
      <c r="M676" s="97" t="n"/>
      <c r="N676" s="88" t="n"/>
      <c r="O676" s="20" t="n"/>
      <c r="P676" s="31" t="n"/>
      <c r="Q676" s="89" t="n"/>
      <c r="R676" s="89" t="n"/>
      <c r="S676" s="89" t="n"/>
      <c r="T676" s="59" t="n"/>
      <c r="U676" s="94" t="n"/>
      <c r="V676" s="95">
        <f>U676/B676</f>
        <v/>
      </c>
    </row>
    <row r="677" ht="22.5" customHeight="1" s="150">
      <c r="A677" s="34" t="n">
        <v>675</v>
      </c>
      <c r="B677" s="34" t="n"/>
      <c r="C677" s="34" t="n"/>
      <c r="D677" s="34" t="n"/>
      <c r="E677" s="34" t="n"/>
      <c r="F677" s="86" t="n"/>
      <c r="G677" s="86" t="n"/>
      <c r="H677" s="111" t="n"/>
      <c r="I677" s="87" t="n"/>
      <c r="J677" s="87" t="n"/>
      <c r="K677" s="111" t="n"/>
      <c r="L677" s="86" t="n"/>
      <c r="M677" s="96" t="n"/>
      <c r="N677" s="88" t="n"/>
      <c r="O677" s="20" t="n"/>
      <c r="P677" s="31" t="n"/>
      <c r="Q677" s="89" t="n"/>
      <c r="R677" s="89" t="n"/>
      <c r="S677" s="89" t="n"/>
      <c r="T677" s="59" t="n"/>
      <c r="U677" s="91" t="n"/>
      <c r="V677" s="93">
        <f>U677/B677</f>
        <v/>
      </c>
    </row>
    <row r="678" ht="22.5" customHeight="1" s="150">
      <c r="A678" s="34" t="n">
        <v>676</v>
      </c>
      <c r="B678" s="34" t="n"/>
      <c r="C678" s="34" t="n"/>
      <c r="D678" s="34" t="n"/>
      <c r="E678" s="34" t="n"/>
      <c r="F678" s="86" t="n"/>
      <c r="G678" s="86" t="n"/>
      <c r="H678" s="111" t="n"/>
      <c r="I678" s="87" t="n"/>
      <c r="J678" s="87" t="n"/>
      <c r="K678" s="111" t="n"/>
      <c r="L678" s="86" t="n"/>
      <c r="M678" s="97" t="n"/>
      <c r="N678" s="88" t="n"/>
      <c r="O678" s="20" t="n"/>
      <c r="P678" s="31" t="n"/>
      <c r="Q678" s="89" t="n"/>
      <c r="R678" s="89" t="n"/>
      <c r="S678" s="89" t="n"/>
      <c r="T678" s="59" t="n"/>
      <c r="U678" s="94" t="n"/>
      <c r="V678" s="95">
        <f>U678/B678</f>
        <v/>
      </c>
    </row>
    <row r="679" ht="22.5" customHeight="1" s="150">
      <c r="A679" s="34" t="n">
        <v>677</v>
      </c>
      <c r="B679" s="34" t="n"/>
      <c r="C679" s="34" t="n"/>
      <c r="D679" s="34" t="n"/>
      <c r="E679" s="34" t="n"/>
      <c r="F679" s="86" t="n"/>
      <c r="G679" s="86" t="n"/>
      <c r="H679" s="111" t="n"/>
      <c r="I679" s="87" t="n"/>
      <c r="J679" s="87" t="n"/>
      <c r="K679" s="111" t="n"/>
      <c r="L679" s="86" t="n"/>
      <c r="M679" s="96" t="n"/>
      <c r="N679" s="88" t="n"/>
      <c r="O679" s="20" t="n"/>
      <c r="P679" s="31" t="n"/>
      <c r="Q679" s="89" t="n"/>
      <c r="R679" s="89" t="n"/>
      <c r="S679" s="89" t="n"/>
      <c r="T679" s="59" t="n"/>
      <c r="U679" s="91" t="n"/>
      <c r="V679" s="93">
        <f>U679/B679</f>
        <v/>
      </c>
    </row>
    <row r="680" ht="22.5" customHeight="1" s="150">
      <c r="A680" s="34" t="n">
        <v>678</v>
      </c>
      <c r="B680" s="34" t="n"/>
      <c r="C680" s="34" t="n"/>
      <c r="D680" s="34" t="n"/>
      <c r="E680" s="34" t="n"/>
      <c r="F680" s="86" t="n"/>
      <c r="G680" s="86" t="n"/>
      <c r="H680" s="111" t="n"/>
      <c r="I680" s="87" t="n"/>
      <c r="J680" s="87" t="n"/>
      <c r="K680" s="111" t="n"/>
      <c r="L680" s="86" t="n"/>
      <c r="M680" s="97" t="n"/>
      <c r="N680" s="88" t="n"/>
      <c r="O680" s="20" t="n"/>
      <c r="P680" s="31" t="n"/>
      <c r="Q680" s="89" t="n"/>
      <c r="R680" s="89" t="n"/>
      <c r="S680" s="89" t="n"/>
      <c r="T680" s="59" t="n"/>
      <c r="U680" s="94" t="n"/>
      <c r="V680" s="95">
        <f>U680/B680</f>
        <v/>
      </c>
    </row>
    <row r="681" ht="22.5" customHeight="1" s="150">
      <c r="A681" s="34" t="n">
        <v>679</v>
      </c>
      <c r="B681" s="34" t="n"/>
      <c r="C681" s="34" t="n"/>
      <c r="D681" s="34" t="n"/>
      <c r="E681" s="34" t="n"/>
      <c r="F681" s="86" t="n"/>
      <c r="G681" s="86" t="n"/>
      <c r="H681" s="111" t="n"/>
      <c r="I681" s="87" t="n"/>
      <c r="J681" s="87" t="n"/>
      <c r="K681" s="111" t="n"/>
      <c r="L681" s="86" t="n"/>
      <c r="M681" s="96" t="n"/>
      <c r="N681" s="88" t="n"/>
      <c r="O681" s="20" t="n"/>
      <c r="P681" s="31" t="n"/>
      <c r="Q681" s="89" t="n"/>
      <c r="R681" s="89" t="n"/>
      <c r="S681" s="89" t="n"/>
      <c r="T681" s="59" t="n"/>
      <c r="U681" s="91" t="n"/>
      <c r="V681" s="93">
        <f>U681/B681</f>
        <v/>
      </c>
    </row>
    <row r="682" ht="22.5" customHeight="1" s="150">
      <c r="A682" s="34" t="n">
        <v>680</v>
      </c>
      <c r="B682" s="34" t="n"/>
      <c r="C682" s="34" t="n"/>
      <c r="D682" s="34" t="n"/>
      <c r="E682" s="34" t="n"/>
      <c r="F682" s="86" t="n"/>
      <c r="G682" s="86" t="n"/>
      <c r="H682" s="111" t="n"/>
      <c r="I682" s="87" t="n"/>
      <c r="J682" s="87" t="n"/>
      <c r="K682" s="111" t="n"/>
      <c r="L682" s="86" t="n"/>
      <c r="M682" s="97" t="n"/>
      <c r="N682" s="88" t="n"/>
      <c r="O682" s="20" t="n"/>
      <c r="P682" s="31" t="n"/>
      <c r="Q682" s="89" t="n"/>
      <c r="R682" s="89" t="n"/>
      <c r="S682" s="89" t="n"/>
      <c r="T682" s="59" t="n"/>
      <c r="U682" s="94" t="n"/>
      <c r="V682" s="95">
        <f>U682/B682</f>
        <v/>
      </c>
    </row>
    <row r="683" ht="22.5" customHeight="1" s="150">
      <c r="A683" s="34" t="n">
        <v>681</v>
      </c>
      <c r="B683" s="34" t="n"/>
      <c r="C683" s="34" t="n"/>
      <c r="D683" s="34" t="n"/>
      <c r="E683" s="34" t="n"/>
      <c r="F683" s="86" t="n"/>
      <c r="G683" s="86" t="n"/>
      <c r="H683" s="111" t="n"/>
      <c r="I683" s="87" t="n"/>
      <c r="J683" s="87" t="n"/>
      <c r="K683" s="111" t="n"/>
      <c r="L683" s="86" t="n"/>
      <c r="M683" s="96" t="n"/>
      <c r="N683" s="88" t="n"/>
      <c r="O683" s="20" t="n"/>
      <c r="P683" s="31" t="n"/>
      <c r="Q683" s="89" t="n"/>
      <c r="R683" s="89" t="n"/>
      <c r="S683" s="89" t="n"/>
      <c r="T683" s="59" t="n"/>
      <c r="U683" s="91" t="n"/>
      <c r="V683" s="93">
        <f>U683/B683</f>
        <v/>
      </c>
    </row>
    <row r="684" ht="22.5" customHeight="1" s="150">
      <c r="A684" s="34" t="n">
        <v>682</v>
      </c>
      <c r="B684" s="34" t="n"/>
      <c r="C684" s="34" t="n"/>
      <c r="D684" s="34" t="n"/>
      <c r="E684" s="34" t="n"/>
      <c r="F684" s="86" t="n"/>
      <c r="G684" s="86" t="n"/>
      <c r="H684" s="111" t="n"/>
      <c r="I684" s="87" t="n"/>
      <c r="J684" s="87" t="n"/>
      <c r="K684" s="111" t="n"/>
      <c r="L684" s="86" t="n"/>
      <c r="M684" s="97" t="n"/>
      <c r="N684" s="88" t="n"/>
      <c r="O684" s="20" t="n"/>
      <c r="P684" s="31" t="n"/>
      <c r="Q684" s="89" t="n"/>
      <c r="R684" s="89" t="n"/>
      <c r="S684" s="89" t="n"/>
      <c r="T684" s="59" t="n"/>
      <c r="U684" s="94" t="n"/>
      <c r="V684" s="95">
        <f>U684/B684</f>
        <v/>
      </c>
    </row>
    <row r="685" ht="22.5" customHeight="1" s="150">
      <c r="A685" s="34" t="n">
        <v>683</v>
      </c>
      <c r="B685" s="34" t="n"/>
      <c r="C685" s="34" t="n"/>
      <c r="D685" s="34" t="n"/>
      <c r="E685" s="34" t="n"/>
      <c r="F685" s="86" t="n"/>
      <c r="G685" s="86" t="n"/>
      <c r="H685" s="111" t="n"/>
      <c r="I685" s="87" t="n"/>
      <c r="J685" s="87" t="n"/>
      <c r="K685" s="111" t="n"/>
      <c r="L685" s="86" t="n"/>
      <c r="M685" s="96" t="n"/>
      <c r="N685" s="88" t="n"/>
      <c r="O685" s="20" t="n"/>
      <c r="P685" s="31" t="n"/>
      <c r="Q685" s="89" t="n"/>
      <c r="R685" s="89" t="n"/>
      <c r="S685" s="89" t="n"/>
      <c r="T685" s="59" t="n"/>
      <c r="U685" s="91" t="n"/>
      <c r="V685" s="93">
        <f>U685/B685</f>
        <v/>
      </c>
    </row>
    <row r="686" ht="22.5" customHeight="1" s="150">
      <c r="A686" s="34" t="n">
        <v>684</v>
      </c>
      <c r="B686" s="34" t="n"/>
      <c r="C686" s="34" t="n"/>
      <c r="D686" s="34" t="n"/>
      <c r="E686" s="34" t="n"/>
      <c r="F686" s="86" t="n"/>
      <c r="G686" s="86" t="n"/>
      <c r="H686" s="111" t="n"/>
      <c r="I686" s="87" t="n"/>
      <c r="J686" s="87" t="n"/>
      <c r="K686" s="111" t="n"/>
      <c r="L686" s="86" t="n"/>
      <c r="M686" s="97" t="n"/>
      <c r="N686" s="88" t="n"/>
      <c r="O686" s="20" t="n"/>
      <c r="P686" s="31" t="n"/>
      <c r="Q686" s="89" t="n"/>
      <c r="R686" s="89" t="n"/>
      <c r="S686" s="89" t="n"/>
      <c r="T686" s="59" t="n"/>
      <c r="U686" s="94" t="n"/>
      <c r="V686" s="95">
        <f>U686/B686</f>
        <v/>
      </c>
    </row>
    <row r="687" ht="22.5" customHeight="1" s="150">
      <c r="A687" s="34" t="n">
        <v>685</v>
      </c>
      <c r="B687" s="34" t="n"/>
      <c r="C687" s="34" t="n"/>
      <c r="D687" s="34" t="n"/>
      <c r="E687" s="34" t="n"/>
      <c r="F687" s="86" t="n"/>
      <c r="G687" s="86" t="n"/>
      <c r="H687" s="111" t="n"/>
      <c r="I687" s="87" t="n"/>
      <c r="J687" s="87" t="n"/>
      <c r="K687" s="111" t="n"/>
      <c r="L687" s="86" t="n"/>
      <c r="M687" s="96" t="n"/>
      <c r="N687" s="88" t="n"/>
      <c r="O687" s="20" t="n"/>
      <c r="P687" s="31" t="n"/>
      <c r="Q687" s="89" t="n"/>
      <c r="R687" s="89" t="n"/>
      <c r="S687" s="89" t="n"/>
      <c r="T687" s="59" t="n"/>
      <c r="U687" s="91" t="n"/>
      <c r="V687" s="93">
        <f>U687/B687</f>
        <v/>
      </c>
    </row>
    <row r="688" ht="22.5" customHeight="1" s="150">
      <c r="A688" s="34" t="n">
        <v>686</v>
      </c>
      <c r="B688" s="34" t="n"/>
      <c r="C688" s="34" t="n"/>
      <c r="D688" s="34" t="n"/>
      <c r="E688" s="34" t="n"/>
      <c r="F688" s="86" t="n"/>
      <c r="G688" s="86" t="n"/>
      <c r="H688" s="111" t="n"/>
      <c r="I688" s="87" t="n"/>
      <c r="J688" s="87" t="n"/>
      <c r="K688" s="111" t="n"/>
      <c r="L688" s="86" t="n"/>
      <c r="M688" s="97" t="n"/>
      <c r="N688" s="88" t="n"/>
      <c r="O688" s="20" t="n"/>
      <c r="P688" s="31" t="n"/>
      <c r="Q688" s="89" t="n"/>
      <c r="R688" s="89" t="n"/>
      <c r="S688" s="89" t="n"/>
      <c r="T688" s="59" t="n"/>
      <c r="U688" s="94" t="n"/>
      <c r="V688" s="95">
        <f>U688/B688</f>
        <v/>
      </c>
    </row>
    <row r="689" ht="22.5" customHeight="1" s="150">
      <c r="A689" s="34" t="n">
        <v>687</v>
      </c>
      <c r="B689" s="34" t="n"/>
      <c r="C689" s="34" t="n"/>
      <c r="D689" s="34" t="n"/>
      <c r="E689" s="34" t="n"/>
      <c r="F689" s="86" t="n"/>
      <c r="G689" s="86" t="n"/>
      <c r="H689" s="111" t="n"/>
      <c r="I689" s="87" t="n"/>
      <c r="J689" s="87" t="n"/>
      <c r="K689" s="111" t="n"/>
      <c r="L689" s="86" t="n"/>
      <c r="M689" s="96" t="n"/>
      <c r="N689" s="88" t="n"/>
      <c r="O689" s="20" t="n"/>
      <c r="P689" s="31" t="n"/>
      <c r="Q689" s="89" t="n"/>
      <c r="R689" s="89" t="n"/>
      <c r="S689" s="89" t="n"/>
      <c r="T689" s="59" t="n"/>
      <c r="U689" s="91" t="n"/>
      <c r="V689" s="93">
        <f>U689/B689</f>
        <v/>
      </c>
    </row>
    <row r="690" ht="22.5" customHeight="1" s="150">
      <c r="A690" s="34" t="n">
        <v>688</v>
      </c>
      <c r="B690" s="34" t="n"/>
      <c r="C690" s="34" t="n"/>
      <c r="D690" s="34" t="n"/>
      <c r="E690" s="34" t="n"/>
      <c r="F690" s="86" t="n"/>
      <c r="G690" s="86" t="n"/>
      <c r="H690" s="111" t="n"/>
      <c r="I690" s="87" t="n"/>
      <c r="J690" s="87" t="n"/>
      <c r="K690" s="111" t="n"/>
      <c r="L690" s="86" t="n"/>
      <c r="M690" s="97" t="n"/>
      <c r="N690" s="88" t="n"/>
      <c r="O690" s="20" t="n"/>
      <c r="P690" s="31" t="n"/>
      <c r="Q690" s="89" t="n"/>
      <c r="R690" s="89" t="n"/>
      <c r="S690" s="89" t="n"/>
      <c r="T690" s="59" t="n"/>
      <c r="U690" s="94" t="n"/>
      <c r="V690" s="95">
        <f>U690/B690</f>
        <v/>
      </c>
    </row>
    <row r="691" ht="22.5" customHeight="1" s="150">
      <c r="A691" s="34" t="n">
        <v>689</v>
      </c>
      <c r="B691" s="34" t="n"/>
      <c r="C691" s="34" t="n"/>
      <c r="D691" s="34" t="n"/>
      <c r="E691" s="34" t="n"/>
      <c r="F691" s="86" t="n"/>
      <c r="G691" s="86" t="n"/>
      <c r="H691" s="111" t="n"/>
      <c r="I691" s="87" t="n"/>
      <c r="J691" s="87" t="n"/>
      <c r="K691" s="111" t="n"/>
      <c r="L691" s="86" t="n"/>
      <c r="M691" s="96" t="n"/>
      <c r="N691" s="88" t="n"/>
      <c r="O691" s="20" t="n"/>
      <c r="P691" s="31" t="n"/>
      <c r="Q691" s="89" t="n"/>
      <c r="R691" s="89" t="n"/>
      <c r="S691" s="89" t="n"/>
      <c r="T691" s="59" t="n"/>
      <c r="U691" s="91" t="n"/>
      <c r="V691" s="93">
        <f>U691/B691</f>
        <v/>
      </c>
    </row>
    <row r="692" ht="22.5" customHeight="1" s="150">
      <c r="A692" s="34" t="n">
        <v>690</v>
      </c>
      <c r="B692" s="34" t="n"/>
      <c r="C692" s="34" t="n"/>
      <c r="D692" s="34" t="n"/>
      <c r="E692" s="34" t="n"/>
      <c r="F692" s="86" t="n"/>
      <c r="G692" s="86" t="n"/>
      <c r="H692" s="111" t="n"/>
      <c r="I692" s="87" t="n"/>
      <c r="J692" s="87" t="n"/>
      <c r="K692" s="111" t="n"/>
      <c r="L692" s="86" t="n"/>
      <c r="M692" s="97" t="n"/>
      <c r="N692" s="88" t="n"/>
      <c r="O692" s="20" t="n"/>
      <c r="P692" s="31" t="n"/>
      <c r="Q692" s="89" t="n"/>
      <c r="R692" s="89" t="n"/>
      <c r="S692" s="89" t="n"/>
      <c r="T692" s="59" t="n"/>
      <c r="U692" s="94" t="n"/>
      <c r="V692" s="95">
        <f>U692/B692</f>
        <v/>
      </c>
    </row>
    <row r="693" ht="22.5" customHeight="1" s="150">
      <c r="A693" s="34" t="n">
        <v>691</v>
      </c>
      <c r="B693" s="34" t="n"/>
      <c r="C693" s="34" t="n"/>
      <c r="D693" s="34" t="n"/>
      <c r="E693" s="34" t="n"/>
      <c r="F693" s="86" t="n"/>
      <c r="G693" s="86" t="n"/>
      <c r="H693" s="111" t="n"/>
      <c r="I693" s="87" t="n"/>
      <c r="J693" s="87" t="n"/>
      <c r="K693" s="111" t="n"/>
      <c r="L693" s="86" t="n"/>
      <c r="M693" s="96" t="n"/>
      <c r="N693" s="88" t="n"/>
      <c r="O693" s="20" t="n"/>
      <c r="P693" s="31" t="n"/>
      <c r="Q693" s="89" t="n"/>
      <c r="R693" s="89" t="n"/>
      <c r="S693" s="89" t="n"/>
      <c r="T693" s="59" t="n"/>
      <c r="U693" s="91" t="n"/>
      <c r="V693" s="93">
        <f>U693/B693</f>
        <v/>
      </c>
    </row>
    <row r="694" ht="22.5" customHeight="1" s="150">
      <c r="A694" s="34" t="n">
        <v>692</v>
      </c>
      <c r="B694" s="34" t="n"/>
      <c r="C694" s="34" t="n"/>
      <c r="D694" s="34" t="n"/>
      <c r="E694" s="34" t="n"/>
      <c r="F694" s="86" t="n"/>
      <c r="G694" s="86" t="n"/>
      <c r="H694" s="111" t="n"/>
      <c r="I694" s="87" t="n"/>
      <c r="J694" s="87" t="n"/>
      <c r="K694" s="111" t="n"/>
      <c r="L694" s="86" t="n"/>
      <c r="M694" s="97" t="n"/>
      <c r="N694" s="88" t="n"/>
      <c r="O694" s="20" t="n"/>
      <c r="P694" s="31" t="n"/>
      <c r="Q694" s="89" t="n"/>
      <c r="R694" s="89" t="n"/>
      <c r="S694" s="89" t="n"/>
      <c r="T694" s="59" t="n"/>
      <c r="U694" s="94" t="n"/>
      <c r="V694" s="95">
        <f>U694/B694</f>
        <v/>
      </c>
    </row>
    <row r="695" ht="22.5" customHeight="1" s="150">
      <c r="A695" s="34" t="n">
        <v>693</v>
      </c>
      <c r="B695" s="34" t="n"/>
      <c r="C695" s="34" t="n"/>
      <c r="D695" s="34" t="n"/>
      <c r="E695" s="34" t="n"/>
      <c r="F695" s="86" t="n"/>
      <c r="G695" s="86" t="n"/>
      <c r="H695" s="111" t="n"/>
      <c r="I695" s="87" t="n"/>
      <c r="J695" s="87" t="n"/>
      <c r="K695" s="111" t="n"/>
      <c r="L695" s="86" t="n"/>
      <c r="M695" s="96" t="n"/>
      <c r="N695" s="88" t="n"/>
      <c r="O695" s="20" t="n"/>
      <c r="P695" s="31" t="n"/>
      <c r="Q695" s="89" t="n"/>
      <c r="R695" s="89" t="n"/>
      <c r="S695" s="89" t="n"/>
      <c r="T695" s="59" t="n"/>
      <c r="U695" s="91" t="n"/>
      <c r="V695" s="93">
        <f>U695/B695</f>
        <v/>
      </c>
    </row>
    <row r="696" ht="22.5" customHeight="1" s="150">
      <c r="A696" s="34" t="n">
        <v>694</v>
      </c>
      <c r="B696" s="34" t="n"/>
      <c r="C696" s="34" t="n"/>
      <c r="D696" s="34" t="n"/>
      <c r="E696" s="34" t="n"/>
      <c r="F696" s="86" t="n"/>
      <c r="G696" s="86" t="n"/>
      <c r="H696" s="111" t="n"/>
      <c r="I696" s="87" t="n"/>
      <c r="J696" s="87" t="n"/>
      <c r="K696" s="111" t="n"/>
      <c r="L696" s="86" t="n"/>
      <c r="M696" s="97" t="n"/>
      <c r="N696" s="88" t="n"/>
      <c r="O696" s="20" t="n"/>
      <c r="P696" s="31" t="n"/>
      <c r="Q696" s="89" t="n"/>
      <c r="R696" s="89" t="n"/>
      <c r="S696" s="89" t="n"/>
      <c r="T696" s="59" t="n"/>
      <c r="U696" s="94" t="n"/>
      <c r="V696" s="95">
        <f>U696/B696</f>
        <v/>
      </c>
    </row>
    <row r="697" ht="22.5" customHeight="1" s="150">
      <c r="A697" s="34" t="n">
        <v>695</v>
      </c>
      <c r="B697" s="34" t="n"/>
      <c r="C697" s="34" t="n"/>
      <c r="D697" s="34" t="n"/>
      <c r="E697" s="34" t="n"/>
      <c r="F697" s="86" t="n"/>
      <c r="G697" s="86" t="n"/>
      <c r="H697" s="111" t="n"/>
      <c r="I697" s="87" t="n"/>
      <c r="J697" s="87" t="n"/>
      <c r="K697" s="111" t="n"/>
      <c r="L697" s="86" t="n"/>
      <c r="M697" s="96" t="n"/>
      <c r="N697" s="88" t="n"/>
      <c r="O697" s="20" t="n"/>
      <c r="P697" s="31" t="n"/>
      <c r="Q697" s="89" t="n"/>
      <c r="R697" s="89" t="n"/>
      <c r="S697" s="89" t="n"/>
      <c r="T697" s="59" t="n"/>
      <c r="U697" s="91" t="n"/>
      <c r="V697" s="93">
        <f>U697/B697</f>
        <v/>
      </c>
    </row>
    <row r="698" ht="22.5" customHeight="1" s="150">
      <c r="A698" s="34" t="n">
        <v>696</v>
      </c>
      <c r="B698" s="34" t="n"/>
      <c r="C698" s="34" t="n"/>
      <c r="D698" s="34" t="n"/>
      <c r="E698" s="34" t="n"/>
      <c r="F698" s="86" t="n"/>
      <c r="G698" s="86" t="n"/>
      <c r="H698" s="111" t="n"/>
      <c r="I698" s="87" t="n"/>
      <c r="J698" s="87" t="n"/>
      <c r="K698" s="111" t="n"/>
      <c r="L698" s="86" t="n"/>
      <c r="M698" s="97" t="n"/>
      <c r="N698" s="88" t="n"/>
      <c r="O698" s="20" t="n"/>
      <c r="P698" s="31" t="n"/>
      <c r="Q698" s="89" t="n"/>
      <c r="R698" s="89" t="n"/>
      <c r="S698" s="89" t="n"/>
      <c r="T698" s="59" t="n"/>
      <c r="U698" s="94" t="n"/>
      <c r="V698" s="95">
        <f>U698/B698</f>
        <v/>
      </c>
    </row>
    <row r="699" ht="22.5" customHeight="1" s="150">
      <c r="A699" s="34" t="n">
        <v>697</v>
      </c>
      <c r="B699" s="34" t="n"/>
      <c r="C699" s="34" t="n"/>
      <c r="D699" s="34" t="n"/>
      <c r="E699" s="34" t="n"/>
      <c r="F699" s="86" t="n"/>
      <c r="G699" s="86" t="n"/>
      <c r="H699" s="111" t="n"/>
      <c r="I699" s="87" t="n"/>
      <c r="J699" s="87" t="n"/>
      <c r="K699" s="111" t="n"/>
      <c r="L699" s="86" t="n"/>
      <c r="M699" s="96" t="n"/>
      <c r="N699" s="88" t="n"/>
      <c r="O699" s="20" t="n"/>
      <c r="P699" s="31" t="n"/>
      <c r="Q699" s="89" t="n"/>
      <c r="R699" s="89" t="n"/>
      <c r="S699" s="89" t="n"/>
      <c r="T699" s="59" t="n"/>
      <c r="U699" s="91" t="n"/>
      <c r="V699" s="93">
        <f>U699/B699</f>
        <v/>
      </c>
    </row>
    <row r="700" ht="22.5" customHeight="1" s="150">
      <c r="A700" s="34" t="n">
        <v>698</v>
      </c>
      <c r="B700" s="34" t="n"/>
      <c r="C700" s="34" t="n"/>
      <c r="D700" s="34" t="n"/>
      <c r="E700" s="34" t="n"/>
      <c r="F700" s="86" t="n"/>
      <c r="G700" s="86" t="n"/>
      <c r="H700" s="111" t="n"/>
      <c r="I700" s="87" t="n"/>
      <c r="J700" s="87" t="n"/>
      <c r="K700" s="111" t="n"/>
      <c r="L700" s="86" t="n"/>
      <c r="M700" s="97" t="n"/>
      <c r="N700" s="88" t="n"/>
      <c r="O700" s="20" t="n"/>
      <c r="P700" s="31" t="n"/>
      <c r="Q700" s="89" t="n"/>
      <c r="R700" s="89" t="n"/>
      <c r="S700" s="89" t="n"/>
      <c r="T700" s="59" t="n"/>
      <c r="U700" s="94" t="n"/>
      <c r="V700" s="95">
        <f>U700/B700</f>
        <v/>
      </c>
    </row>
    <row r="701" ht="22.5" customHeight="1" s="150">
      <c r="A701" s="34" t="n">
        <v>699</v>
      </c>
      <c r="B701" s="34" t="n"/>
      <c r="C701" s="34" t="n"/>
      <c r="D701" s="34" t="n"/>
      <c r="E701" s="34" t="n"/>
      <c r="F701" s="86" t="n"/>
      <c r="G701" s="86" t="n"/>
      <c r="H701" s="111" t="n"/>
      <c r="I701" s="87" t="n"/>
      <c r="J701" s="87" t="n"/>
      <c r="K701" s="111" t="n"/>
      <c r="L701" s="86" t="n"/>
      <c r="M701" s="96" t="n"/>
      <c r="N701" s="88" t="n"/>
      <c r="O701" s="20" t="n"/>
      <c r="P701" s="31" t="n"/>
      <c r="Q701" s="89" t="n"/>
      <c r="R701" s="89" t="n"/>
      <c r="S701" s="89" t="n"/>
      <c r="T701" s="59" t="n"/>
      <c r="U701" s="91" t="n"/>
      <c r="V701" s="93">
        <f>U701/B701</f>
        <v/>
      </c>
    </row>
    <row r="702" ht="22.5" customHeight="1" s="150">
      <c r="A702" s="34" t="n">
        <v>700</v>
      </c>
      <c r="B702" s="34" t="n"/>
      <c r="C702" s="34" t="n"/>
      <c r="D702" s="34" t="n"/>
      <c r="E702" s="34" t="n"/>
      <c r="F702" s="86" t="n"/>
      <c r="G702" s="86" t="n"/>
      <c r="H702" s="111" t="n"/>
      <c r="I702" s="87" t="n"/>
      <c r="J702" s="87" t="n"/>
      <c r="K702" s="111" t="n"/>
      <c r="L702" s="86" t="n"/>
      <c r="M702" s="97" t="n"/>
      <c r="N702" s="88" t="n"/>
      <c r="O702" s="20" t="n"/>
      <c r="P702" s="31" t="n"/>
      <c r="Q702" s="89" t="n"/>
      <c r="R702" s="89" t="n"/>
      <c r="S702" s="89" t="n"/>
      <c r="T702" s="59" t="n"/>
      <c r="U702" s="94" t="n"/>
      <c r="V702" s="95">
        <f>U702/B702</f>
        <v/>
      </c>
    </row>
    <row r="703" ht="22.5" customHeight="1" s="150">
      <c r="A703" s="34" t="n">
        <v>701</v>
      </c>
      <c r="B703" s="34" t="n"/>
      <c r="C703" s="34" t="n"/>
      <c r="D703" s="34" t="n"/>
      <c r="E703" s="34" t="n"/>
      <c r="F703" s="86" t="n"/>
      <c r="G703" s="86" t="n"/>
      <c r="H703" s="111" t="n"/>
      <c r="I703" s="87" t="n"/>
      <c r="J703" s="87" t="n"/>
      <c r="K703" s="111" t="n"/>
      <c r="L703" s="86" t="n"/>
      <c r="M703" s="96" t="n"/>
      <c r="N703" s="88" t="n"/>
      <c r="O703" s="20" t="n"/>
      <c r="P703" s="31" t="n"/>
      <c r="Q703" s="89" t="n"/>
      <c r="R703" s="89" t="n"/>
      <c r="S703" s="89" t="n"/>
      <c r="T703" s="59" t="n"/>
      <c r="U703" s="91" t="n"/>
      <c r="V703" s="93">
        <f>U703/B703</f>
        <v/>
      </c>
    </row>
    <row r="704" ht="22.5" customHeight="1" s="150">
      <c r="A704" s="34" t="n">
        <v>702</v>
      </c>
      <c r="B704" s="34" t="n"/>
      <c r="C704" s="34" t="n"/>
      <c r="D704" s="34" t="n"/>
      <c r="E704" s="34" t="n"/>
      <c r="F704" s="86" t="n"/>
      <c r="G704" s="86" t="n"/>
      <c r="H704" s="111" t="n"/>
      <c r="I704" s="87" t="n"/>
      <c r="J704" s="87" t="n"/>
      <c r="K704" s="111" t="n"/>
      <c r="L704" s="86" t="n"/>
      <c r="M704" s="97" t="n"/>
      <c r="N704" s="88" t="n"/>
      <c r="O704" s="20" t="n"/>
      <c r="P704" s="31" t="n"/>
      <c r="Q704" s="89" t="n"/>
      <c r="R704" s="89" t="n"/>
      <c r="S704" s="89" t="n"/>
      <c r="T704" s="59" t="n"/>
      <c r="U704" s="94" t="n"/>
      <c r="V704" s="95">
        <f>U704/B704</f>
        <v/>
      </c>
    </row>
    <row r="705" ht="22.5" customHeight="1" s="150">
      <c r="A705" s="34" t="n">
        <v>703</v>
      </c>
      <c r="B705" s="34" t="n"/>
      <c r="C705" s="34" t="n"/>
      <c r="D705" s="34" t="n"/>
      <c r="E705" s="34" t="n"/>
      <c r="F705" s="86" t="n"/>
      <c r="G705" s="86" t="n"/>
      <c r="H705" s="111" t="n"/>
      <c r="I705" s="87" t="n"/>
      <c r="J705" s="87" t="n"/>
      <c r="K705" s="111" t="n"/>
      <c r="L705" s="86" t="n"/>
      <c r="M705" s="96" t="n"/>
      <c r="N705" s="88" t="n"/>
      <c r="O705" s="20" t="n"/>
      <c r="P705" s="31" t="n"/>
      <c r="Q705" s="89" t="n"/>
      <c r="R705" s="89" t="n"/>
      <c r="S705" s="89" t="n"/>
      <c r="T705" s="59" t="n"/>
      <c r="U705" s="91" t="n"/>
      <c r="V705" s="93">
        <f>U705/B705</f>
        <v/>
      </c>
    </row>
    <row r="706" ht="22.5" customHeight="1" s="150">
      <c r="A706" s="34" t="n">
        <v>704</v>
      </c>
      <c r="B706" s="34" t="n"/>
      <c r="C706" s="34" t="n"/>
      <c r="D706" s="34" t="n"/>
      <c r="E706" s="34" t="n"/>
      <c r="F706" s="86" t="n"/>
      <c r="G706" s="86" t="n"/>
      <c r="H706" s="111" t="n"/>
      <c r="I706" s="87" t="n"/>
      <c r="J706" s="87" t="n"/>
      <c r="K706" s="111" t="n"/>
      <c r="L706" s="86" t="n"/>
      <c r="M706" s="97" t="n"/>
      <c r="N706" s="88" t="n"/>
      <c r="O706" s="20" t="n"/>
      <c r="P706" s="31" t="n"/>
      <c r="Q706" s="89" t="n"/>
      <c r="R706" s="89" t="n"/>
      <c r="S706" s="89" t="n"/>
      <c r="T706" s="59" t="n"/>
      <c r="U706" s="94" t="n"/>
      <c r="V706" s="95">
        <f>U706/B706</f>
        <v/>
      </c>
    </row>
    <row r="707" ht="22.5" customHeight="1" s="150">
      <c r="A707" s="34" t="n">
        <v>705</v>
      </c>
      <c r="B707" s="34" t="n"/>
      <c r="C707" s="34" t="n"/>
      <c r="D707" s="34" t="n"/>
      <c r="E707" s="34" t="n"/>
      <c r="F707" s="86" t="n"/>
      <c r="G707" s="86" t="n"/>
      <c r="H707" s="111" t="n"/>
      <c r="I707" s="87" t="n"/>
      <c r="J707" s="87" t="n"/>
      <c r="K707" s="111" t="n"/>
      <c r="L707" s="86" t="n"/>
      <c r="M707" s="96" t="n"/>
      <c r="N707" s="88" t="n"/>
      <c r="O707" s="20" t="n"/>
      <c r="P707" s="31" t="n"/>
      <c r="Q707" s="89" t="n"/>
      <c r="R707" s="89" t="n"/>
      <c r="S707" s="89" t="n"/>
      <c r="T707" s="59" t="n"/>
      <c r="U707" s="91" t="n"/>
      <c r="V707" s="93">
        <f>U707/B707</f>
        <v/>
      </c>
    </row>
    <row r="708" ht="22.5" customHeight="1" s="150">
      <c r="A708" s="34" t="n">
        <v>706</v>
      </c>
      <c r="B708" s="34" t="n"/>
      <c r="C708" s="34" t="n"/>
      <c r="D708" s="34" t="n"/>
      <c r="E708" s="34" t="n"/>
      <c r="F708" s="86" t="n"/>
      <c r="G708" s="86" t="n"/>
      <c r="H708" s="111" t="n"/>
      <c r="I708" s="87" t="n"/>
      <c r="J708" s="87" t="n"/>
      <c r="K708" s="111" t="n"/>
      <c r="L708" s="86" t="n"/>
      <c r="M708" s="97" t="n"/>
      <c r="N708" s="88" t="n"/>
      <c r="O708" s="20" t="n"/>
      <c r="P708" s="31" t="n"/>
      <c r="Q708" s="89" t="n"/>
      <c r="R708" s="89" t="n"/>
      <c r="S708" s="89" t="n"/>
      <c r="T708" s="59" t="n"/>
      <c r="U708" s="94" t="n"/>
      <c r="V708" s="95">
        <f>U708/B708</f>
        <v/>
      </c>
    </row>
    <row r="709" ht="22.5" customHeight="1" s="150">
      <c r="A709" s="34" t="n">
        <v>707</v>
      </c>
      <c r="B709" s="34" t="n"/>
      <c r="C709" s="34" t="n"/>
      <c r="D709" s="34" t="n"/>
      <c r="E709" s="34" t="n"/>
      <c r="F709" s="86" t="n"/>
      <c r="G709" s="86" t="n"/>
      <c r="H709" s="111" t="n"/>
      <c r="I709" s="87" t="n"/>
      <c r="J709" s="87" t="n"/>
      <c r="K709" s="111" t="n"/>
      <c r="L709" s="86" t="n"/>
      <c r="M709" s="96" t="n"/>
      <c r="N709" s="88" t="n"/>
      <c r="O709" s="20" t="n"/>
      <c r="P709" s="31" t="n"/>
      <c r="Q709" s="89" t="n"/>
      <c r="R709" s="89" t="n"/>
      <c r="S709" s="89" t="n"/>
      <c r="T709" s="59" t="n"/>
      <c r="U709" s="91" t="n"/>
      <c r="V709" s="93">
        <f>U709/B709</f>
        <v/>
      </c>
    </row>
    <row r="710" ht="22.5" customHeight="1" s="150">
      <c r="A710" s="34" t="n">
        <v>708</v>
      </c>
      <c r="B710" s="34" t="n"/>
      <c r="C710" s="34" t="n"/>
      <c r="D710" s="34" t="n"/>
      <c r="E710" s="34" t="n"/>
      <c r="F710" s="86" t="n"/>
      <c r="G710" s="86" t="n"/>
      <c r="H710" s="111" t="n"/>
      <c r="I710" s="87" t="n"/>
      <c r="J710" s="87" t="n"/>
      <c r="K710" s="111" t="n"/>
      <c r="L710" s="86" t="n"/>
      <c r="M710" s="97" t="n"/>
      <c r="N710" s="88" t="n"/>
      <c r="O710" s="20" t="n"/>
      <c r="P710" s="31" t="n"/>
      <c r="Q710" s="89" t="n"/>
      <c r="R710" s="89" t="n"/>
      <c r="S710" s="89" t="n"/>
      <c r="T710" s="59" t="n"/>
      <c r="U710" s="94" t="n"/>
      <c r="V710" s="95">
        <f>U710/B710</f>
        <v/>
      </c>
    </row>
    <row r="711" ht="22.5" customHeight="1" s="150">
      <c r="A711" s="34" t="n">
        <v>709</v>
      </c>
      <c r="B711" s="34" t="n"/>
      <c r="C711" s="34" t="n"/>
      <c r="D711" s="34" t="n"/>
      <c r="E711" s="34" t="n"/>
      <c r="F711" s="86" t="n"/>
      <c r="G711" s="86" t="n"/>
      <c r="H711" s="111" t="n"/>
      <c r="I711" s="87" t="n"/>
      <c r="J711" s="87" t="n"/>
      <c r="K711" s="111" t="n"/>
      <c r="L711" s="86" t="n"/>
      <c r="M711" s="96" t="n"/>
      <c r="N711" s="88" t="n"/>
      <c r="O711" s="20" t="n"/>
      <c r="P711" s="31" t="n"/>
      <c r="Q711" s="89" t="n"/>
      <c r="R711" s="89" t="n"/>
      <c r="S711" s="89" t="n"/>
      <c r="T711" s="59" t="n"/>
      <c r="U711" s="91" t="n"/>
      <c r="V711" s="93">
        <f>U711/B711</f>
        <v/>
      </c>
    </row>
    <row r="712" ht="22.5" customHeight="1" s="150">
      <c r="A712" s="34" t="n">
        <v>710</v>
      </c>
      <c r="B712" s="34" t="n"/>
      <c r="C712" s="34" t="n"/>
      <c r="D712" s="34" t="n"/>
      <c r="E712" s="34" t="n"/>
      <c r="F712" s="86" t="n"/>
      <c r="G712" s="86" t="n"/>
      <c r="H712" s="111" t="n"/>
      <c r="I712" s="87" t="n"/>
      <c r="J712" s="87" t="n"/>
      <c r="K712" s="111" t="n"/>
      <c r="L712" s="86" t="n"/>
      <c r="M712" s="97" t="n"/>
      <c r="N712" s="88" t="n"/>
      <c r="O712" s="20" t="n"/>
      <c r="P712" s="31" t="n"/>
      <c r="Q712" s="89" t="n"/>
      <c r="R712" s="89" t="n"/>
      <c r="S712" s="89" t="n"/>
      <c r="T712" s="59" t="n"/>
      <c r="U712" s="94" t="n"/>
      <c r="V712" s="95">
        <f>U712/B712</f>
        <v/>
      </c>
    </row>
    <row r="713" ht="22.5" customHeight="1" s="150">
      <c r="A713" s="34" t="n">
        <v>711</v>
      </c>
      <c r="B713" s="34" t="n"/>
      <c r="C713" s="34" t="n"/>
      <c r="D713" s="34" t="n"/>
      <c r="E713" s="34" t="n"/>
      <c r="F713" s="86" t="n"/>
      <c r="G713" s="86" t="n"/>
      <c r="H713" s="111" t="n"/>
      <c r="I713" s="87" t="n"/>
      <c r="J713" s="87" t="n"/>
      <c r="K713" s="111" t="n"/>
      <c r="L713" s="86" t="n"/>
      <c r="M713" s="96" t="n"/>
      <c r="N713" s="88" t="n"/>
      <c r="O713" s="20" t="n"/>
      <c r="P713" s="31" t="n"/>
      <c r="Q713" s="89" t="n"/>
      <c r="R713" s="89" t="n"/>
      <c r="S713" s="89" t="n"/>
      <c r="T713" s="59" t="n"/>
      <c r="U713" s="91" t="n"/>
      <c r="V713" s="93">
        <f>U713/B713</f>
        <v/>
      </c>
    </row>
    <row r="714" ht="22.5" customHeight="1" s="150">
      <c r="A714" s="34" t="n">
        <v>712</v>
      </c>
      <c r="B714" s="34" t="n"/>
      <c r="C714" s="34" t="n"/>
      <c r="D714" s="34" t="n"/>
      <c r="E714" s="34" t="n"/>
      <c r="F714" s="86" t="n"/>
      <c r="G714" s="86" t="n"/>
      <c r="H714" s="111" t="n"/>
      <c r="I714" s="87" t="n"/>
      <c r="J714" s="87" t="n"/>
      <c r="K714" s="111" t="n"/>
      <c r="L714" s="86" t="n"/>
      <c r="M714" s="97" t="n"/>
      <c r="N714" s="88" t="n"/>
      <c r="O714" s="20" t="n"/>
      <c r="P714" s="31" t="n"/>
      <c r="Q714" s="89" t="n"/>
      <c r="R714" s="89" t="n"/>
      <c r="S714" s="89" t="n"/>
      <c r="T714" s="59" t="n"/>
      <c r="U714" s="94" t="n"/>
      <c r="V714" s="95">
        <f>U714/B714</f>
        <v/>
      </c>
    </row>
    <row r="715" ht="22.5" customHeight="1" s="150">
      <c r="A715" s="34" t="n">
        <v>713</v>
      </c>
      <c r="B715" s="34" t="n"/>
      <c r="C715" s="34" t="n"/>
      <c r="D715" s="34" t="n"/>
      <c r="E715" s="34" t="n"/>
      <c r="F715" s="86" t="n"/>
      <c r="G715" s="86" t="n"/>
      <c r="H715" s="111" t="n"/>
      <c r="I715" s="87" t="n"/>
      <c r="J715" s="87" t="n"/>
      <c r="K715" s="111" t="n"/>
      <c r="L715" s="86" t="n"/>
      <c r="M715" s="96" t="n"/>
      <c r="N715" s="88" t="n"/>
      <c r="O715" s="20" t="n"/>
      <c r="P715" s="31" t="n"/>
      <c r="Q715" s="89" t="n"/>
      <c r="R715" s="89" t="n"/>
      <c r="S715" s="89" t="n"/>
      <c r="T715" s="59" t="n"/>
      <c r="U715" s="91" t="n"/>
      <c r="V715" s="93">
        <f>U715/B715</f>
        <v/>
      </c>
    </row>
    <row r="716" ht="22.5" customHeight="1" s="150">
      <c r="A716" s="34" t="n">
        <v>714</v>
      </c>
      <c r="B716" s="34" t="n"/>
      <c r="C716" s="34" t="n"/>
      <c r="D716" s="34" t="n"/>
      <c r="E716" s="34" t="n"/>
      <c r="F716" s="86" t="n"/>
      <c r="G716" s="86" t="n"/>
      <c r="H716" s="111" t="n"/>
      <c r="I716" s="87" t="n"/>
      <c r="J716" s="87" t="n"/>
      <c r="K716" s="111" t="n"/>
      <c r="L716" s="86" t="n"/>
      <c r="M716" s="97" t="n"/>
      <c r="N716" s="88" t="n"/>
      <c r="O716" s="20" t="n"/>
      <c r="P716" s="31" t="n"/>
      <c r="Q716" s="89" t="n"/>
      <c r="R716" s="89" t="n"/>
      <c r="S716" s="89" t="n"/>
      <c r="T716" s="59" t="n"/>
      <c r="U716" s="94" t="n"/>
      <c r="V716" s="95">
        <f>U716/B716</f>
        <v/>
      </c>
    </row>
    <row r="717" ht="22.5" customHeight="1" s="150">
      <c r="A717" s="34" t="n">
        <v>715</v>
      </c>
      <c r="B717" s="34" t="n"/>
      <c r="C717" s="34" t="n"/>
      <c r="D717" s="34" t="n"/>
      <c r="E717" s="34" t="n"/>
      <c r="F717" s="86" t="n"/>
      <c r="G717" s="86" t="n"/>
      <c r="H717" s="111" t="n"/>
      <c r="I717" s="87" t="n"/>
      <c r="J717" s="87" t="n"/>
      <c r="K717" s="111" t="n"/>
      <c r="L717" s="86" t="n"/>
      <c r="M717" s="96" t="n"/>
      <c r="N717" s="88" t="n"/>
      <c r="O717" s="20" t="n"/>
      <c r="P717" s="31" t="n"/>
      <c r="Q717" s="89" t="n"/>
      <c r="R717" s="89" t="n"/>
      <c r="S717" s="89" t="n"/>
      <c r="T717" s="59" t="n"/>
      <c r="U717" s="91" t="n"/>
      <c r="V717" s="93">
        <f>U717/B717</f>
        <v/>
      </c>
    </row>
    <row r="718" ht="22.5" customHeight="1" s="150">
      <c r="A718" s="34" t="n">
        <v>716</v>
      </c>
      <c r="B718" s="34" t="n"/>
      <c r="C718" s="34" t="n"/>
      <c r="D718" s="34" t="n"/>
      <c r="E718" s="34" t="n"/>
      <c r="F718" s="86" t="n"/>
      <c r="G718" s="86" t="n"/>
      <c r="H718" s="111" t="n"/>
      <c r="I718" s="87" t="n"/>
      <c r="J718" s="87" t="n"/>
      <c r="K718" s="111" t="n"/>
      <c r="L718" s="86" t="n"/>
      <c r="M718" s="97" t="n"/>
      <c r="N718" s="88" t="n"/>
      <c r="O718" s="20" t="n"/>
      <c r="P718" s="31" t="n"/>
      <c r="Q718" s="89" t="n"/>
      <c r="R718" s="89" t="n"/>
      <c r="S718" s="89" t="n"/>
      <c r="T718" s="59" t="n"/>
      <c r="U718" s="94" t="n"/>
      <c r="V718" s="95">
        <f>U718/B718</f>
        <v/>
      </c>
    </row>
    <row r="719" ht="22.5" customHeight="1" s="150">
      <c r="A719" s="34" t="n">
        <v>717</v>
      </c>
      <c r="B719" s="34" t="n"/>
      <c r="C719" s="34" t="n"/>
      <c r="D719" s="34" t="n"/>
      <c r="E719" s="34" t="n"/>
      <c r="F719" s="86" t="n"/>
      <c r="G719" s="86" t="n"/>
      <c r="H719" s="111" t="n"/>
      <c r="I719" s="87" t="n"/>
      <c r="J719" s="87" t="n"/>
      <c r="K719" s="111" t="n"/>
      <c r="L719" s="86" t="n"/>
      <c r="M719" s="96" t="n"/>
      <c r="N719" s="88" t="n"/>
      <c r="O719" s="20" t="n"/>
      <c r="P719" s="31" t="n"/>
      <c r="Q719" s="89" t="n"/>
      <c r="R719" s="89" t="n"/>
      <c r="S719" s="89" t="n"/>
      <c r="T719" s="59" t="n"/>
      <c r="U719" s="91" t="n"/>
      <c r="V719" s="93">
        <f>U719/B719</f>
        <v/>
      </c>
    </row>
    <row r="720" ht="22.5" customHeight="1" s="150">
      <c r="A720" s="34" t="n">
        <v>718</v>
      </c>
      <c r="B720" s="34" t="n"/>
      <c r="C720" s="34" t="n"/>
      <c r="D720" s="34" t="n"/>
      <c r="E720" s="34" t="n"/>
      <c r="F720" s="86" t="n"/>
      <c r="G720" s="86" t="n"/>
      <c r="H720" s="111" t="n"/>
      <c r="I720" s="87" t="n"/>
      <c r="J720" s="87" t="n"/>
      <c r="K720" s="111" t="n"/>
      <c r="L720" s="86" t="n"/>
      <c r="M720" s="97" t="n"/>
      <c r="N720" s="88" t="n"/>
      <c r="O720" s="20" t="n"/>
      <c r="P720" s="31" t="n"/>
      <c r="Q720" s="89" t="n"/>
      <c r="R720" s="89" t="n"/>
      <c r="S720" s="89" t="n"/>
      <c r="T720" s="59" t="n"/>
      <c r="U720" s="94" t="n"/>
      <c r="V720" s="95">
        <f>U720/B720</f>
        <v/>
      </c>
    </row>
    <row r="721" ht="22.5" customHeight="1" s="150">
      <c r="A721" s="34" t="n">
        <v>719</v>
      </c>
      <c r="B721" s="34" t="n"/>
      <c r="C721" s="34" t="n"/>
      <c r="D721" s="34" t="n"/>
      <c r="E721" s="34" t="n"/>
      <c r="F721" s="86" t="n"/>
      <c r="G721" s="86" t="n"/>
      <c r="H721" s="111" t="n"/>
      <c r="I721" s="87" t="n"/>
      <c r="J721" s="87" t="n"/>
      <c r="K721" s="111" t="n"/>
      <c r="L721" s="86" t="n"/>
      <c r="M721" s="96" t="n"/>
      <c r="N721" s="88" t="n"/>
      <c r="O721" s="20" t="n"/>
      <c r="P721" s="31" t="n"/>
      <c r="Q721" s="89" t="n"/>
      <c r="R721" s="89" t="n"/>
      <c r="S721" s="89" t="n"/>
      <c r="T721" s="59" t="n"/>
      <c r="U721" s="91" t="n"/>
      <c r="V721" s="93">
        <f>U721/B721</f>
        <v/>
      </c>
    </row>
    <row r="722" ht="22.5" customHeight="1" s="150">
      <c r="A722" s="34" t="n">
        <v>720</v>
      </c>
      <c r="B722" s="34" t="n"/>
      <c r="C722" s="34" t="n"/>
      <c r="D722" s="34" t="n"/>
      <c r="E722" s="34" t="n"/>
      <c r="F722" s="86" t="n"/>
      <c r="G722" s="86" t="n"/>
      <c r="H722" s="111" t="n"/>
      <c r="I722" s="87" t="n"/>
      <c r="J722" s="87" t="n"/>
      <c r="K722" s="111" t="n"/>
      <c r="L722" s="86" t="n"/>
      <c r="M722" s="97" t="n"/>
      <c r="N722" s="88" t="n"/>
      <c r="O722" s="20" t="n"/>
      <c r="P722" s="31" t="n"/>
      <c r="Q722" s="89" t="n"/>
      <c r="R722" s="89" t="n"/>
      <c r="S722" s="89" t="n"/>
      <c r="T722" s="59" t="n"/>
      <c r="U722" s="94" t="n"/>
      <c r="V722" s="95">
        <f>U722/B722</f>
        <v/>
      </c>
    </row>
    <row r="723" ht="22.5" customHeight="1" s="150">
      <c r="A723" s="34" t="n">
        <v>721</v>
      </c>
      <c r="B723" s="34" t="n"/>
      <c r="C723" s="34" t="n"/>
      <c r="D723" s="34" t="n"/>
      <c r="E723" s="34" t="n"/>
      <c r="F723" s="86" t="n"/>
      <c r="G723" s="86" t="n"/>
      <c r="H723" s="111" t="n"/>
      <c r="I723" s="87" t="n"/>
      <c r="J723" s="87" t="n"/>
      <c r="K723" s="111" t="n"/>
      <c r="L723" s="86" t="n"/>
      <c r="M723" s="96" t="n"/>
      <c r="N723" s="88" t="n"/>
      <c r="O723" s="20" t="n"/>
      <c r="P723" s="31" t="n"/>
      <c r="Q723" s="89" t="n"/>
      <c r="R723" s="89" t="n"/>
      <c r="S723" s="89" t="n"/>
      <c r="T723" s="59" t="n"/>
      <c r="U723" s="91" t="n"/>
      <c r="V723" s="93">
        <f>U723/B723</f>
        <v/>
      </c>
    </row>
    <row r="724" ht="22.5" customHeight="1" s="150">
      <c r="A724" s="34" t="n">
        <v>722</v>
      </c>
      <c r="B724" s="34" t="n"/>
      <c r="C724" s="34" t="n"/>
      <c r="D724" s="34" t="n"/>
      <c r="E724" s="34" t="n"/>
      <c r="F724" s="86" t="n"/>
      <c r="G724" s="86" t="n"/>
      <c r="H724" s="111" t="n"/>
      <c r="I724" s="87" t="n"/>
      <c r="J724" s="87" t="n"/>
      <c r="K724" s="111" t="n"/>
      <c r="L724" s="86" t="n"/>
      <c r="M724" s="97" t="n"/>
      <c r="N724" s="88" t="n"/>
      <c r="O724" s="20" t="n"/>
      <c r="P724" s="31" t="n"/>
      <c r="Q724" s="89" t="n"/>
      <c r="R724" s="89" t="n"/>
      <c r="S724" s="89" t="n"/>
      <c r="T724" s="59" t="n"/>
      <c r="U724" s="94" t="n"/>
      <c r="V724" s="95">
        <f>U724/B724</f>
        <v/>
      </c>
    </row>
    <row r="725" ht="22.5" customHeight="1" s="150">
      <c r="A725" s="34" t="n">
        <v>723</v>
      </c>
      <c r="B725" s="34" t="n"/>
      <c r="C725" s="34" t="n"/>
      <c r="D725" s="34" t="n"/>
      <c r="E725" s="34" t="n"/>
      <c r="F725" s="86" t="n"/>
      <c r="G725" s="86" t="n"/>
      <c r="H725" s="111" t="n"/>
      <c r="I725" s="87" t="n"/>
      <c r="J725" s="87" t="n"/>
      <c r="K725" s="111" t="n"/>
      <c r="L725" s="86" t="n"/>
      <c r="M725" s="96" t="n"/>
      <c r="N725" s="88" t="n"/>
      <c r="O725" s="20" t="n"/>
      <c r="P725" s="31" t="n"/>
      <c r="Q725" s="89" t="n"/>
      <c r="R725" s="89" t="n"/>
      <c r="S725" s="89" t="n"/>
      <c r="T725" s="59" t="n"/>
      <c r="U725" s="91" t="n"/>
      <c r="V725" s="93">
        <f>U725/B725</f>
        <v/>
      </c>
    </row>
    <row r="726" ht="22.5" customHeight="1" s="150">
      <c r="A726" s="34" t="n">
        <v>724</v>
      </c>
      <c r="B726" s="34" t="n"/>
      <c r="C726" s="34" t="n"/>
      <c r="D726" s="34" t="n"/>
      <c r="E726" s="34" t="n"/>
      <c r="F726" s="86" t="n"/>
      <c r="G726" s="86" t="n"/>
      <c r="H726" s="111" t="n"/>
      <c r="I726" s="87" t="n"/>
      <c r="J726" s="87" t="n"/>
      <c r="K726" s="111" t="n"/>
      <c r="L726" s="86" t="n"/>
      <c r="M726" s="97" t="n"/>
      <c r="N726" s="88" t="n"/>
      <c r="O726" s="20" t="n"/>
      <c r="P726" s="31" t="n"/>
      <c r="Q726" s="89" t="n"/>
      <c r="R726" s="89" t="n"/>
      <c r="S726" s="89" t="n"/>
      <c r="T726" s="59" t="n"/>
      <c r="U726" s="94" t="n"/>
      <c r="V726" s="95">
        <f>U726/B726</f>
        <v/>
      </c>
    </row>
    <row r="727" ht="22.5" customHeight="1" s="150">
      <c r="A727" s="34" t="n">
        <v>725</v>
      </c>
      <c r="B727" s="34" t="n"/>
      <c r="C727" s="34" t="n"/>
      <c r="D727" s="34" t="n"/>
      <c r="E727" s="34" t="n"/>
      <c r="F727" s="86" t="n"/>
      <c r="G727" s="86" t="n"/>
      <c r="H727" s="111" t="n"/>
      <c r="I727" s="87" t="n"/>
      <c r="J727" s="87" t="n"/>
      <c r="K727" s="111" t="n"/>
      <c r="L727" s="86" t="n"/>
      <c r="M727" s="96" t="n"/>
      <c r="N727" s="88" t="n"/>
      <c r="O727" s="20" t="n"/>
      <c r="P727" s="31" t="n"/>
      <c r="Q727" s="89" t="n"/>
      <c r="R727" s="89" t="n"/>
      <c r="S727" s="89" t="n"/>
      <c r="T727" s="59" t="n"/>
      <c r="U727" s="91" t="n"/>
      <c r="V727" s="93">
        <f>U727/B727</f>
        <v/>
      </c>
    </row>
    <row r="728" ht="22.5" customHeight="1" s="150">
      <c r="A728" s="34" t="n">
        <v>726</v>
      </c>
      <c r="B728" s="34" t="n"/>
      <c r="C728" s="34" t="n"/>
      <c r="D728" s="34" t="n"/>
      <c r="E728" s="34" t="n"/>
      <c r="F728" s="86" t="n"/>
      <c r="G728" s="86" t="n"/>
      <c r="H728" s="111" t="n"/>
      <c r="I728" s="87" t="n"/>
      <c r="J728" s="87" t="n"/>
      <c r="K728" s="111" t="n"/>
      <c r="L728" s="86" t="n"/>
      <c r="M728" s="97" t="n"/>
      <c r="N728" s="88" t="n"/>
      <c r="O728" s="20" t="n"/>
      <c r="P728" s="31" t="n"/>
      <c r="Q728" s="89" t="n"/>
      <c r="R728" s="89" t="n"/>
      <c r="S728" s="89" t="n"/>
      <c r="T728" s="59" t="n"/>
      <c r="U728" s="94" t="n"/>
      <c r="V728" s="95">
        <f>U728/B728</f>
        <v/>
      </c>
    </row>
    <row r="729" ht="22.5" customHeight="1" s="150">
      <c r="A729" s="34" t="n">
        <v>727</v>
      </c>
      <c r="B729" s="34" t="n"/>
      <c r="C729" s="34" t="n"/>
      <c r="D729" s="34" t="n"/>
      <c r="E729" s="34" t="n"/>
      <c r="F729" s="86" t="n"/>
      <c r="G729" s="86" t="n"/>
      <c r="H729" s="111" t="n"/>
      <c r="I729" s="87" t="n"/>
      <c r="J729" s="87" t="n"/>
      <c r="K729" s="111" t="n"/>
      <c r="L729" s="86" t="n"/>
      <c r="M729" s="96" t="n"/>
      <c r="N729" s="88" t="n"/>
      <c r="O729" s="20" t="n"/>
      <c r="P729" s="31" t="n"/>
      <c r="Q729" s="89" t="n"/>
      <c r="R729" s="89" t="n"/>
      <c r="S729" s="89" t="n"/>
      <c r="T729" s="59" t="n"/>
      <c r="U729" s="91" t="n"/>
      <c r="V729" s="93">
        <f>U729/B729</f>
        <v/>
      </c>
    </row>
    <row r="730" ht="22.5" customHeight="1" s="150">
      <c r="A730" s="34" t="n">
        <v>728</v>
      </c>
      <c r="B730" s="34" t="n"/>
      <c r="C730" s="34" t="n"/>
      <c r="D730" s="34" t="n"/>
      <c r="E730" s="34" t="n"/>
      <c r="F730" s="86" t="n"/>
      <c r="G730" s="86" t="n"/>
      <c r="H730" s="111" t="n"/>
      <c r="I730" s="87" t="n"/>
      <c r="J730" s="87" t="n"/>
      <c r="K730" s="111" t="n"/>
      <c r="L730" s="86" t="n"/>
      <c r="M730" s="97" t="n"/>
      <c r="N730" s="88" t="n"/>
      <c r="O730" s="20" t="n"/>
      <c r="P730" s="31" t="n"/>
      <c r="Q730" s="89" t="n"/>
      <c r="R730" s="89" t="n"/>
      <c r="S730" s="89" t="n"/>
      <c r="T730" s="59" t="n"/>
      <c r="U730" s="94" t="n"/>
      <c r="V730" s="95">
        <f>U730/B730</f>
        <v/>
      </c>
    </row>
    <row r="731" ht="22.5" customHeight="1" s="150">
      <c r="A731" s="34" t="n">
        <v>729</v>
      </c>
      <c r="B731" s="34" t="n"/>
      <c r="C731" s="34" t="n"/>
      <c r="D731" s="34" t="n"/>
      <c r="E731" s="34" t="n"/>
      <c r="F731" s="86" t="n"/>
      <c r="G731" s="86" t="n"/>
      <c r="H731" s="111" t="n"/>
      <c r="I731" s="87" t="n"/>
      <c r="J731" s="87" t="n"/>
      <c r="K731" s="111" t="n"/>
      <c r="L731" s="86" t="n"/>
      <c r="M731" s="96" t="n"/>
      <c r="N731" s="88" t="n"/>
      <c r="O731" s="20" t="n"/>
      <c r="P731" s="31" t="n"/>
      <c r="Q731" s="89" t="n"/>
      <c r="R731" s="89" t="n"/>
      <c r="S731" s="89" t="n"/>
      <c r="T731" s="59" t="n"/>
      <c r="U731" s="91" t="n"/>
      <c r="V731" s="93">
        <f>U731/B731</f>
        <v/>
      </c>
    </row>
    <row r="732" ht="22.5" customHeight="1" s="150">
      <c r="A732" s="34" t="n">
        <v>730</v>
      </c>
      <c r="B732" s="34" t="n"/>
      <c r="C732" s="34" t="n"/>
      <c r="D732" s="34" t="n"/>
      <c r="E732" s="34" t="n"/>
      <c r="F732" s="86" t="n"/>
      <c r="G732" s="86" t="n"/>
      <c r="H732" s="111" t="n"/>
      <c r="I732" s="87" t="n"/>
      <c r="J732" s="87" t="n"/>
      <c r="K732" s="111" t="n"/>
      <c r="L732" s="86" t="n"/>
      <c r="M732" s="97" t="n"/>
      <c r="N732" s="88" t="n"/>
      <c r="O732" s="20" t="n"/>
      <c r="P732" s="31" t="n"/>
      <c r="Q732" s="89" t="n"/>
      <c r="R732" s="89" t="n"/>
      <c r="S732" s="89" t="n"/>
      <c r="T732" s="59" t="n"/>
      <c r="U732" s="94" t="n"/>
      <c r="V732" s="95">
        <f>U732/B732</f>
        <v/>
      </c>
    </row>
    <row r="733" ht="22.5" customHeight="1" s="150">
      <c r="A733" s="34" t="n">
        <v>731</v>
      </c>
      <c r="B733" s="34" t="n"/>
      <c r="C733" s="34" t="n"/>
      <c r="D733" s="34" t="n"/>
      <c r="E733" s="34" t="n"/>
      <c r="F733" s="86" t="n"/>
      <c r="G733" s="86" t="n"/>
      <c r="H733" s="111" t="n"/>
      <c r="I733" s="87" t="n"/>
      <c r="J733" s="87" t="n"/>
      <c r="K733" s="111" t="n"/>
      <c r="L733" s="86" t="n"/>
      <c r="M733" s="96" t="n"/>
      <c r="N733" s="88" t="n"/>
      <c r="O733" s="20" t="n"/>
      <c r="P733" s="31" t="n"/>
      <c r="Q733" s="89" t="n"/>
      <c r="R733" s="89" t="n"/>
      <c r="S733" s="89" t="n"/>
      <c r="T733" s="59" t="n"/>
      <c r="U733" s="91" t="n"/>
      <c r="V733" s="93">
        <f>U733/B733</f>
        <v/>
      </c>
    </row>
    <row r="734" ht="22.5" customHeight="1" s="150">
      <c r="A734" s="34" t="n">
        <v>732</v>
      </c>
      <c r="B734" s="34" t="n"/>
      <c r="C734" s="34" t="n"/>
      <c r="D734" s="34" t="n"/>
      <c r="E734" s="34" t="n"/>
      <c r="F734" s="86" t="n"/>
      <c r="G734" s="86" t="n"/>
      <c r="H734" s="111" t="n"/>
      <c r="I734" s="87" t="n"/>
      <c r="J734" s="87" t="n"/>
      <c r="K734" s="111" t="n"/>
      <c r="L734" s="86" t="n"/>
      <c r="M734" s="97" t="n"/>
      <c r="N734" s="88" t="n"/>
      <c r="O734" s="20" t="n"/>
      <c r="P734" s="31" t="n"/>
      <c r="Q734" s="89" t="n"/>
      <c r="R734" s="89" t="n"/>
      <c r="S734" s="89" t="n"/>
      <c r="T734" s="59" t="n"/>
      <c r="U734" s="94" t="n"/>
      <c r="V734" s="95">
        <f>U734/B734</f>
        <v/>
      </c>
    </row>
    <row r="735" ht="22.5" customHeight="1" s="150">
      <c r="A735" s="34" t="n">
        <v>733</v>
      </c>
      <c r="B735" s="34" t="n"/>
      <c r="C735" s="34" t="n"/>
      <c r="D735" s="34" t="n"/>
      <c r="E735" s="34" t="n"/>
      <c r="F735" s="86" t="n"/>
      <c r="G735" s="86" t="n"/>
      <c r="H735" s="111" t="n"/>
      <c r="I735" s="87" t="n"/>
      <c r="J735" s="87" t="n"/>
      <c r="K735" s="111" t="n"/>
      <c r="L735" s="86" t="n"/>
      <c r="M735" s="96" t="n"/>
      <c r="N735" s="88" t="n"/>
      <c r="O735" s="20" t="n"/>
      <c r="P735" s="31" t="n"/>
      <c r="Q735" s="89" t="n"/>
      <c r="R735" s="89" t="n"/>
      <c r="S735" s="89" t="n"/>
      <c r="T735" s="59" t="n"/>
      <c r="U735" s="91" t="n"/>
      <c r="V735" s="93">
        <f>U735/B735</f>
        <v/>
      </c>
    </row>
    <row r="736" ht="22.5" customHeight="1" s="150">
      <c r="A736" s="34" t="n">
        <v>734</v>
      </c>
      <c r="B736" s="34" t="n"/>
      <c r="C736" s="34" t="n"/>
      <c r="D736" s="34" t="n"/>
      <c r="E736" s="34" t="n"/>
      <c r="F736" s="86" t="n"/>
      <c r="G736" s="86" t="n"/>
      <c r="H736" s="111" t="n"/>
      <c r="I736" s="87" t="n"/>
      <c r="J736" s="87" t="n"/>
      <c r="K736" s="111" t="n"/>
      <c r="L736" s="86" t="n"/>
      <c r="M736" s="97" t="n"/>
      <c r="N736" s="88" t="n"/>
      <c r="O736" s="20" t="n"/>
      <c r="P736" s="31" t="n"/>
      <c r="Q736" s="89" t="n"/>
      <c r="R736" s="89" t="n"/>
      <c r="S736" s="89" t="n"/>
      <c r="T736" s="59" t="n"/>
      <c r="U736" s="94" t="n"/>
      <c r="V736" s="95">
        <f>U736/B736</f>
        <v/>
      </c>
    </row>
    <row r="737" ht="22.5" customHeight="1" s="150">
      <c r="A737" s="34" t="n">
        <v>735</v>
      </c>
      <c r="B737" s="34" t="n"/>
      <c r="C737" s="34" t="n"/>
      <c r="D737" s="34" t="n"/>
      <c r="E737" s="34" t="n"/>
      <c r="F737" s="86" t="n"/>
      <c r="G737" s="86" t="n"/>
      <c r="H737" s="111" t="n"/>
      <c r="I737" s="87" t="n"/>
      <c r="J737" s="87" t="n"/>
      <c r="K737" s="111" t="n"/>
      <c r="L737" s="86" t="n"/>
      <c r="M737" s="96" t="n"/>
      <c r="N737" s="88" t="n"/>
      <c r="O737" s="20" t="n"/>
      <c r="P737" s="31" t="n"/>
      <c r="Q737" s="89" t="n"/>
      <c r="R737" s="89" t="n"/>
      <c r="S737" s="89" t="n"/>
      <c r="T737" s="59" t="n"/>
      <c r="U737" s="91" t="n"/>
      <c r="V737" s="93">
        <f>U737/B737</f>
        <v/>
      </c>
    </row>
    <row r="738" ht="22.5" customHeight="1" s="150">
      <c r="A738" s="34" t="n">
        <v>736</v>
      </c>
      <c r="B738" s="34" t="n"/>
      <c r="C738" s="34" t="n"/>
      <c r="D738" s="34" t="n"/>
      <c r="E738" s="34" t="n"/>
      <c r="F738" s="86" t="n"/>
      <c r="G738" s="86" t="n"/>
      <c r="H738" s="111" t="n"/>
      <c r="I738" s="87" t="n"/>
      <c r="J738" s="87" t="n"/>
      <c r="K738" s="111" t="n"/>
      <c r="L738" s="86" t="n"/>
      <c r="M738" s="97" t="n"/>
      <c r="N738" s="88" t="n"/>
      <c r="O738" s="20" t="n"/>
      <c r="P738" s="31" t="n"/>
      <c r="Q738" s="89" t="n"/>
      <c r="R738" s="89" t="n"/>
      <c r="S738" s="89" t="n"/>
      <c r="T738" s="59" t="n"/>
      <c r="U738" s="94" t="n"/>
      <c r="V738" s="95">
        <f>U738/B738</f>
        <v/>
      </c>
    </row>
    <row r="739" ht="22.5" customHeight="1" s="150">
      <c r="A739" s="34" t="n">
        <v>737</v>
      </c>
      <c r="B739" s="34" t="n"/>
      <c r="C739" s="34" t="n"/>
      <c r="D739" s="34" t="n"/>
      <c r="E739" s="34" t="n"/>
      <c r="F739" s="86" t="n"/>
      <c r="G739" s="86" t="n"/>
      <c r="H739" s="111" t="n"/>
      <c r="I739" s="87" t="n"/>
      <c r="J739" s="87" t="n"/>
      <c r="K739" s="111" t="n"/>
      <c r="L739" s="86" t="n"/>
      <c r="M739" s="96" t="n"/>
      <c r="N739" s="88" t="n"/>
      <c r="O739" s="20" t="n"/>
      <c r="P739" s="31" t="n"/>
      <c r="Q739" s="89" t="n"/>
      <c r="R739" s="89" t="n"/>
      <c r="S739" s="89" t="n"/>
      <c r="T739" s="59" t="n"/>
      <c r="U739" s="91" t="n"/>
      <c r="V739" s="93">
        <f>U739/B739</f>
        <v/>
      </c>
    </row>
    <row r="740" ht="22.5" customHeight="1" s="150">
      <c r="A740" s="34" t="n">
        <v>738</v>
      </c>
      <c r="B740" s="34" t="n"/>
      <c r="C740" s="34" t="n"/>
      <c r="D740" s="34" t="n"/>
      <c r="E740" s="34" t="n"/>
      <c r="F740" s="86" t="n"/>
      <c r="G740" s="86" t="n"/>
      <c r="H740" s="111" t="n"/>
      <c r="I740" s="87" t="n"/>
      <c r="J740" s="87" t="n"/>
      <c r="K740" s="111" t="n"/>
      <c r="L740" s="86" t="n"/>
      <c r="M740" s="97" t="n"/>
      <c r="N740" s="88" t="n"/>
      <c r="O740" s="20" t="n"/>
      <c r="P740" s="31" t="n"/>
      <c r="Q740" s="89" t="n"/>
      <c r="R740" s="89" t="n"/>
      <c r="S740" s="89" t="n"/>
      <c r="T740" s="59" t="n"/>
      <c r="U740" s="94" t="n"/>
      <c r="V740" s="95">
        <f>U740/B740</f>
        <v/>
      </c>
    </row>
    <row r="741" ht="22.5" customHeight="1" s="150">
      <c r="A741" s="34" t="n">
        <v>739</v>
      </c>
      <c r="B741" s="34" t="n"/>
      <c r="C741" s="34" t="n"/>
      <c r="D741" s="34" t="n"/>
      <c r="E741" s="34" t="n"/>
      <c r="F741" s="86" t="n"/>
      <c r="G741" s="86" t="n"/>
      <c r="H741" s="111" t="n"/>
      <c r="I741" s="87" t="n"/>
      <c r="J741" s="87" t="n"/>
      <c r="K741" s="111" t="n"/>
      <c r="L741" s="86" t="n"/>
      <c r="M741" s="96" t="n"/>
      <c r="N741" s="88" t="n"/>
      <c r="O741" s="20" t="n"/>
      <c r="P741" s="31" t="n"/>
      <c r="Q741" s="89" t="n"/>
      <c r="R741" s="89" t="n"/>
      <c r="S741" s="89" t="n"/>
      <c r="T741" s="59" t="n"/>
      <c r="U741" s="91" t="n"/>
      <c r="V741" s="93">
        <f>U741/B741</f>
        <v/>
      </c>
    </row>
    <row r="742" ht="22.5" customHeight="1" s="150">
      <c r="A742" s="34" t="n">
        <v>740</v>
      </c>
      <c r="B742" s="34" t="n"/>
      <c r="C742" s="34" t="n"/>
      <c r="D742" s="34" t="n"/>
      <c r="E742" s="34" t="n"/>
      <c r="F742" s="86" t="n"/>
      <c r="G742" s="86" t="n"/>
      <c r="H742" s="111" t="n"/>
      <c r="I742" s="87" t="n"/>
      <c r="J742" s="87" t="n"/>
      <c r="K742" s="111" t="n"/>
      <c r="L742" s="86" t="n"/>
      <c r="M742" s="97" t="n"/>
      <c r="N742" s="88" t="n"/>
      <c r="O742" s="20" t="n"/>
      <c r="P742" s="31" t="n"/>
      <c r="Q742" s="89" t="n"/>
      <c r="R742" s="89" t="n"/>
      <c r="S742" s="89" t="n"/>
      <c r="T742" s="59" t="n"/>
      <c r="U742" s="94" t="n"/>
      <c r="V742" s="95">
        <f>U742/B742</f>
        <v/>
      </c>
    </row>
    <row r="743" ht="22.5" customHeight="1" s="150">
      <c r="A743" s="34" t="n">
        <v>741</v>
      </c>
      <c r="B743" s="34" t="n"/>
      <c r="C743" s="34" t="n"/>
      <c r="D743" s="34" t="n"/>
      <c r="E743" s="34" t="n"/>
      <c r="F743" s="86" t="n"/>
      <c r="G743" s="86" t="n"/>
      <c r="H743" s="111" t="n"/>
      <c r="I743" s="87" t="n"/>
      <c r="J743" s="87" t="n"/>
      <c r="K743" s="111" t="n"/>
      <c r="L743" s="86" t="n"/>
      <c r="M743" s="96" t="n"/>
      <c r="N743" s="88" t="n"/>
      <c r="O743" s="20" t="n"/>
      <c r="P743" s="31" t="n"/>
      <c r="Q743" s="89" t="n"/>
      <c r="R743" s="89" t="n"/>
      <c r="S743" s="89" t="n"/>
      <c r="T743" s="59" t="n"/>
      <c r="U743" s="91" t="n"/>
      <c r="V743" s="93">
        <f>U743/B743</f>
        <v/>
      </c>
    </row>
    <row r="744" ht="22.5" customHeight="1" s="150">
      <c r="A744" s="34" t="n">
        <v>742</v>
      </c>
      <c r="B744" s="34" t="n"/>
      <c r="C744" s="34" t="n"/>
      <c r="D744" s="34" t="n"/>
      <c r="E744" s="34" t="n"/>
      <c r="F744" s="86" t="n"/>
      <c r="G744" s="86" t="n"/>
      <c r="H744" s="111" t="n"/>
      <c r="I744" s="87" t="n"/>
      <c r="J744" s="87" t="n"/>
      <c r="K744" s="111" t="n"/>
      <c r="L744" s="86" t="n"/>
      <c r="M744" s="97" t="n"/>
      <c r="N744" s="88" t="n"/>
      <c r="O744" s="20" t="n"/>
      <c r="P744" s="31" t="n"/>
      <c r="Q744" s="89" t="n"/>
      <c r="R744" s="89" t="n"/>
      <c r="S744" s="89" t="n"/>
      <c r="T744" s="59" t="n"/>
      <c r="U744" s="94" t="n"/>
      <c r="V744" s="95">
        <f>U744/B744</f>
        <v/>
      </c>
    </row>
    <row r="745" ht="22.5" customHeight="1" s="150">
      <c r="A745" s="34" t="n">
        <v>743</v>
      </c>
      <c r="B745" s="34" t="n"/>
      <c r="C745" s="34" t="n"/>
      <c r="D745" s="34" t="n"/>
      <c r="E745" s="34" t="n"/>
      <c r="F745" s="86" t="n"/>
      <c r="G745" s="86" t="n"/>
      <c r="H745" s="111" t="n"/>
      <c r="I745" s="87" t="n"/>
      <c r="J745" s="87" t="n"/>
      <c r="K745" s="111" t="n"/>
      <c r="L745" s="86" t="n"/>
      <c r="M745" s="96" t="n"/>
      <c r="N745" s="88" t="n"/>
      <c r="O745" s="20" t="n"/>
      <c r="P745" s="31" t="n"/>
      <c r="Q745" s="89" t="n"/>
      <c r="R745" s="89" t="n"/>
      <c r="S745" s="89" t="n"/>
      <c r="T745" s="59" t="n"/>
      <c r="U745" s="91" t="n"/>
      <c r="V745" s="93">
        <f>U745/B745</f>
        <v/>
      </c>
    </row>
    <row r="746" ht="22.5" customHeight="1" s="150">
      <c r="A746" s="34" t="n">
        <v>744</v>
      </c>
      <c r="B746" s="34" t="n"/>
      <c r="C746" s="34" t="n"/>
      <c r="D746" s="34" t="n"/>
      <c r="E746" s="34" t="n"/>
      <c r="F746" s="86" t="n"/>
      <c r="G746" s="86" t="n"/>
      <c r="H746" s="111" t="n"/>
      <c r="I746" s="87" t="n"/>
      <c r="J746" s="87" t="n"/>
      <c r="K746" s="111" t="n"/>
      <c r="L746" s="86" t="n"/>
      <c r="M746" s="97" t="n"/>
      <c r="N746" s="88" t="n"/>
      <c r="O746" s="20" t="n"/>
      <c r="P746" s="31" t="n"/>
      <c r="Q746" s="89" t="n"/>
      <c r="R746" s="89" t="n"/>
      <c r="S746" s="89" t="n"/>
      <c r="T746" s="59" t="n"/>
      <c r="U746" s="94" t="n"/>
      <c r="V746" s="95">
        <f>U746/B746</f>
        <v/>
      </c>
    </row>
    <row r="747" ht="22.5" customHeight="1" s="150">
      <c r="A747" s="34" t="n">
        <v>745</v>
      </c>
      <c r="B747" s="34" t="n"/>
      <c r="C747" s="34" t="n"/>
      <c r="D747" s="34" t="n"/>
      <c r="E747" s="34" t="n"/>
      <c r="F747" s="86" t="n"/>
      <c r="G747" s="86" t="n"/>
      <c r="H747" s="111" t="n"/>
      <c r="I747" s="87" t="n"/>
      <c r="J747" s="87" t="n"/>
      <c r="K747" s="111" t="n"/>
      <c r="L747" s="86" t="n"/>
      <c r="M747" s="96" t="n"/>
      <c r="N747" s="88" t="n"/>
      <c r="O747" s="20" t="n"/>
      <c r="P747" s="31" t="n"/>
      <c r="Q747" s="89" t="n"/>
      <c r="R747" s="89" t="n"/>
      <c r="S747" s="89" t="n"/>
      <c r="T747" s="59" t="n"/>
      <c r="U747" s="91" t="n"/>
      <c r="V747" s="93">
        <f>U747/B747</f>
        <v/>
      </c>
    </row>
    <row r="748" ht="22.5" customHeight="1" s="150">
      <c r="A748" s="34" t="n">
        <v>746</v>
      </c>
      <c r="B748" s="34" t="n"/>
      <c r="C748" s="34" t="n"/>
      <c r="D748" s="34" t="n"/>
      <c r="E748" s="34" t="n"/>
      <c r="F748" s="86" t="n"/>
      <c r="G748" s="86" t="n"/>
      <c r="H748" s="111" t="n"/>
      <c r="I748" s="87" t="n"/>
      <c r="J748" s="87" t="n"/>
      <c r="K748" s="111" t="n"/>
      <c r="L748" s="86" t="n"/>
      <c r="M748" s="97" t="n"/>
      <c r="N748" s="88" t="n"/>
      <c r="O748" s="20" t="n"/>
      <c r="P748" s="31" t="n"/>
      <c r="Q748" s="89" t="n"/>
      <c r="R748" s="89" t="n"/>
      <c r="S748" s="89" t="n"/>
      <c r="T748" s="59" t="n"/>
      <c r="U748" s="94" t="n"/>
      <c r="V748" s="95">
        <f>U748/B748</f>
        <v/>
      </c>
    </row>
    <row r="749" ht="22.5" customHeight="1" s="150">
      <c r="A749" s="34" t="n">
        <v>747</v>
      </c>
      <c r="B749" s="34" t="n"/>
      <c r="C749" s="34" t="n"/>
      <c r="D749" s="34" t="n"/>
      <c r="E749" s="34" t="n"/>
      <c r="F749" s="86" t="n"/>
      <c r="G749" s="86" t="n"/>
      <c r="H749" s="111" t="n"/>
      <c r="I749" s="87" t="n"/>
      <c r="J749" s="87" t="n"/>
      <c r="K749" s="111" t="n"/>
      <c r="L749" s="86" t="n"/>
      <c r="M749" s="96" t="n"/>
      <c r="N749" s="88" t="n"/>
      <c r="O749" s="20" t="n"/>
      <c r="P749" s="31" t="n"/>
      <c r="Q749" s="89" t="n"/>
      <c r="R749" s="89" t="n"/>
      <c r="S749" s="89" t="n"/>
      <c r="T749" s="59" t="n"/>
      <c r="U749" s="91" t="n"/>
      <c r="V749" s="93">
        <f>U749/B749</f>
        <v/>
      </c>
    </row>
    <row r="750" ht="22.5" customHeight="1" s="150">
      <c r="A750" s="34" t="n">
        <v>748</v>
      </c>
      <c r="B750" s="34" t="n"/>
      <c r="C750" s="34" t="n"/>
      <c r="D750" s="34" t="n"/>
      <c r="E750" s="34" t="n"/>
      <c r="F750" s="86" t="n"/>
      <c r="G750" s="86" t="n"/>
      <c r="H750" s="111" t="n"/>
      <c r="I750" s="87" t="n"/>
      <c r="J750" s="87" t="n"/>
      <c r="K750" s="111" t="n"/>
      <c r="L750" s="86" t="n"/>
      <c r="M750" s="97" t="n"/>
      <c r="N750" s="88" t="n"/>
      <c r="O750" s="20" t="n"/>
      <c r="P750" s="31" t="n"/>
      <c r="Q750" s="89" t="n"/>
      <c r="R750" s="89" t="n"/>
      <c r="S750" s="89" t="n"/>
      <c r="T750" s="59" t="n"/>
      <c r="U750" s="94" t="n"/>
      <c r="V750" s="95">
        <f>U750/B750</f>
        <v/>
      </c>
    </row>
    <row r="751" ht="22.5" customHeight="1" s="150">
      <c r="A751" s="34" t="n">
        <v>749</v>
      </c>
      <c r="B751" s="34" t="n"/>
      <c r="C751" s="34" t="n"/>
      <c r="D751" s="34" t="n"/>
      <c r="E751" s="34" t="n"/>
      <c r="F751" s="86" t="n"/>
      <c r="G751" s="86" t="n"/>
      <c r="H751" s="111" t="n"/>
      <c r="I751" s="87" t="n"/>
      <c r="J751" s="87" t="n"/>
      <c r="K751" s="111" t="n"/>
      <c r="L751" s="86" t="n"/>
      <c r="M751" s="96" t="n"/>
      <c r="N751" s="88" t="n"/>
      <c r="O751" s="20" t="n"/>
      <c r="P751" s="31" t="n"/>
      <c r="Q751" s="89" t="n"/>
      <c r="R751" s="89" t="n"/>
      <c r="S751" s="89" t="n"/>
      <c r="T751" s="59" t="n"/>
      <c r="U751" s="91" t="n"/>
      <c r="V751" s="93">
        <f>U751/B751</f>
        <v/>
      </c>
    </row>
    <row r="752" ht="22.5" customHeight="1" s="150">
      <c r="A752" s="34" t="n">
        <v>750</v>
      </c>
      <c r="B752" s="34" t="n"/>
      <c r="C752" s="34" t="n"/>
      <c r="D752" s="34" t="n"/>
      <c r="E752" s="34" t="n"/>
      <c r="F752" s="86" t="n"/>
      <c r="G752" s="86" t="n"/>
      <c r="H752" s="111" t="n"/>
      <c r="I752" s="87" t="n"/>
      <c r="J752" s="87" t="n"/>
      <c r="K752" s="111" t="n"/>
      <c r="L752" s="86" t="n"/>
      <c r="M752" s="97" t="n"/>
      <c r="N752" s="88" t="n"/>
      <c r="O752" s="20" t="n"/>
      <c r="P752" s="31" t="n"/>
      <c r="Q752" s="89" t="n"/>
      <c r="R752" s="89" t="n"/>
      <c r="S752" s="89" t="n"/>
      <c r="T752" s="59" t="n"/>
      <c r="U752" s="94" t="n"/>
      <c r="V752" s="95">
        <f>U752/B752</f>
        <v/>
      </c>
    </row>
    <row r="753" ht="22.5" customHeight="1" s="150">
      <c r="A753" s="34" t="n">
        <v>751</v>
      </c>
      <c r="B753" s="34" t="n"/>
      <c r="C753" s="34" t="n"/>
      <c r="D753" s="34" t="n"/>
      <c r="E753" s="34" t="n"/>
      <c r="F753" s="86" t="n"/>
      <c r="G753" s="86" t="n"/>
      <c r="H753" s="111" t="n"/>
      <c r="I753" s="87" t="n"/>
      <c r="J753" s="87" t="n"/>
      <c r="K753" s="111" t="n"/>
      <c r="L753" s="86" t="n"/>
      <c r="M753" s="96" t="n"/>
      <c r="N753" s="88" t="n"/>
      <c r="O753" s="20" t="n"/>
      <c r="P753" s="31" t="n"/>
      <c r="Q753" s="89" t="n"/>
      <c r="R753" s="89" t="n"/>
      <c r="S753" s="89" t="n"/>
      <c r="T753" s="59" t="n"/>
      <c r="U753" s="91" t="n"/>
      <c r="V753" s="93">
        <f>U753/B753</f>
        <v/>
      </c>
    </row>
    <row r="754" ht="22.5" customHeight="1" s="150">
      <c r="A754" s="34" t="n">
        <v>752</v>
      </c>
      <c r="B754" s="34" t="n"/>
      <c r="C754" s="34" t="n"/>
      <c r="D754" s="34" t="n"/>
      <c r="E754" s="34" t="n"/>
      <c r="F754" s="86" t="n"/>
      <c r="G754" s="86" t="n"/>
      <c r="H754" s="111" t="n"/>
      <c r="I754" s="87" t="n"/>
      <c r="J754" s="87" t="n"/>
      <c r="K754" s="111" t="n"/>
      <c r="L754" s="86" t="n"/>
      <c r="M754" s="97" t="n"/>
      <c r="N754" s="88" t="n"/>
      <c r="O754" s="20" t="n"/>
      <c r="P754" s="31" t="n"/>
      <c r="Q754" s="89" t="n"/>
      <c r="R754" s="89" t="n"/>
      <c r="S754" s="89" t="n"/>
      <c r="T754" s="59" t="n"/>
      <c r="U754" s="94" t="n"/>
      <c r="V754" s="95">
        <f>U754/B754</f>
        <v/>
      </c>
    </row>
    <row r="755" ht="22.5" customHeight="1" s="150">
      <c r="A755" s="34" t="n">
        <v>753</v>
      </c>
      <c r="B755" s="34" t="n"/>
      <c r="C755" s="34" t="n"/>
      <c r="D755" s="34" t="n"/>
      <c r="E755" s="34" t="n"/>
      <c r="F755" s="86" t="n"/>
      <c r="G755" s="86" t="n"/>
      <c r="H755" s="111" t="n"/>
      <c r="I755" s="87" t="n"/>
      <c r="J755" s="87" t="n"/>
      <c r="K755" s="111" t="n"/>
      <c r="L755" s="86" t="n"/>
      <c r="M755" s="96" t="n"/>
      <c r="N755" s="88" t="n"/>
      <c r="O755" s="20" t="n"/>
      <c r="P755" s="31" t="n"/>
      <c r="Q755" s="89" t="n"/>
      <c r="R755" s="89" t="n"/>
      <c r="S755" s="89" t="n"/>
      <c r="T755" s="59" t="n"/>
      <c r="U755" s="91" t="n"/>
      <c r="V755" s="93">
        <f>U755/B755</f>
        <v/>
      </c>
    </row>
    <row r="756" ht="22.5" customHeight="1" s="150">
      <c r="A756" s="34" t="n">
        <v>754</v>
      </c>
      <c r="B756" s="34" t="n"/>
      <c r="C756" s="34" t="n"/>
      <c r="D756" s="34" t="n"/>
      <c r="E756" s="34" t="n"/>
      <c r="F756" s="86" t="n"/>
      <c r="G756" s="86" t="n"/>
      <c r="H756" s="111" t="n"/>
      <c r="I756" s="87" t="n"/>
      <c r="J756" s="87" t="n"/>
      <c r="K756" s="111" t="n"/>
      <c r="L756" s="86" t="n"/>
      <c r="M756" s="97" t="n"/>
      <c r="N756" s="88" t="n"/>
      <c r="O756" s="20" t="n"/>
      <c r="P756" s="31" t="n"/>
      <c r="Q756" s="89" t="n"/>
      <c r="R756" s="89" t="n"/>
      <c r="S756" s="89" t="n"/>
      <c r="T756" s="59" t="n"/>
      <c r="U756" s="94" t="n"/>
      <c r="V756" s="95">
        <f>U756/B756</f>
        <v/>
      </c>
    </row>
    <row r="757" ht="22.5" customHeight="1" s="150">
      <c r="A757" s="34" t="n">
        <v>755</v>
      </c>
      <c r="B757" s="34" t="n"/>
      <c r="C757" s="34" t="n"/>
      <c r="D757" s="34" t="n"/>
      <c r="E757" s="34" t="n"/>
      <c r="F757" s="86" t="n"/>
      <c r="G757" s="86" t="n"/>
      <c r="H757" s="111" t="n"/>
      <c r="I757" s="87" t="n"/>
      <c r="J757" s="87" t="n"/>
      <c r="K757" s="111" t="n"/>
      <c r="L757" s="86" t="n"/>
      <c r="M757" s="96" t="n"/>
      <c r="N757" s="88" t="n"/>
      <c r="O757" s="20" t="n"/>
      <c r="P757" s="31" t="n"/>
      <c r="Q757" s="89" t="n"/>
      <c r="R757" s="89" t="n"/>
      <c r="S757" s="89" t="n"/>
      <c r="T757" s="59" t="n"/>
      <c r="U757" s="91" t="n"/>
      <c r="V757" s="93">
        <f>U757/B757</f>
        <v/>
      </c>
    </row>
    <row r="758" ht="22.5" customHeight="1" s="150">
      <c r="A758" s="34" t="n">
        <v>756</v>
      </c>
      <c r="B758" s="34" t="n"/>
      <c r="C758" s="34" t="n"/>
      <c r="D758" s="34" t="n"/>
      <c r="E758" s="34" t="n"/>
      <c r="F758" s="86" t="n"/>
      <c r="G758" s="86" t="n"/>
      <c r="H758" s="111" t="n"/>
      <c r="I758" s="87" t="n"/>
      <c r="J758" s="87" t="n"/>
      <c r="K758" s="111" t="n"/>
      <c r="L758" s="86" t="n"/>
      <c r="M758" s="97" t="n"/>
      <c r="N758" s="88" t="n"/>
      <c r="O758" s="20" t="n"/>
      <c r="P758" s="31" t="n"/>
      <c r="Q758" s="89" t="n"/>
      <c r="R758" s="89" t="n"/>
      <c r="S758" s="89" t="n"/>
      <c r="T758" s="59" t="n"/>
      <c r="U758" s="94" t="n"/>
      <c r="V758" s="95">
        <f>U758/B758</f>
        <v/>
      </c>
    </row>
    <row r="759" ht="22.5" customHeight="1" s="150">
      <c r="A759" s="34" t="n">
        <v>757</v>
      </c>
      <c r="B759" s="34" t="n"/>
      <c r="C759" s="34" t="n"/>
      <c r="D759" s="34" t="n"/>
      <c r="E759" s="34" t="n"/>
      <c r="F759" s="86" t="n"/>
      <c r="G759" s="86" t="n"/>
      <c r="H759" s="111" t="n"/>
      <c r="I759" s="87" t="n"/>
      <c r="J759" s="87" t="n"/>
      <c r="K759" s="111" t="n"/>
      <c r="L759" s="86" t="n"/>
      <c r="M759" s="96" t="n"/>
      <c r="N759" s="88" t="n"/>
      <c r="O759" s="20" t="n"/>
      <c r="P759" s="31" t="n"/>
      <c r="Q759" s="89" t="n"/>
      <c r="R759" s="89" t="n"/>
      <c r="S759" s="89" t="n"/>
      <c r="T759" s="59" t="n"/>
      <c r="U759" s="91" t="n"/>
      <c r="V759" s="93">
        <f>U759/B759</f>
        <v/>
      </c>
    </row>
    <row r="760" ht="22.5" customHeight="1" s="150">
      <c r="A760" s="34" t="n">
        <v>758</v>
      </c>
      <c r="B760" s="34" t="n"/>
      <c r="C760" s="34" t="n"/>
      <c r="D760" s="34" t="n"/>
      <c r="E760" s="34" t="n"/>
      <c r="F760" s="86" t="n"/>
      <c r="G760" s="86" t="n"/>
      <c r="H760" s="111" t="n"/>
      <c r="I760" s="87" t="n"/>
      <c r="J760" s="87" t="n"/>
      <c r="K760" s="111" t="n"/>
      <c r="L760" s="86" t="n"/>
      <c r="M760" s="97" t="n"/>
      <c r="N760" s="88" t="n"/>
      <c r="O760" s="20" t="n"/>
      <c r="P760" s="31" t="n"/>
      <c r="Q760" s="89" t="n"/>
      <c r="R760" s="89" t="n"/>
      <c r="S760" s="89" t="n"/>
      <c r="T760" s="59" t="n"/>
      <c r="U760" s="94" t="n"/>
      <c r="V760" s="95">
        <f>U760/B760</f>
        <v/>
      </c>
    </row>
    <row r="761" ht="22.5" customHeight="1" s="150">
      <c r="A761" s="34" t="n">
        <v>759</v>
      </c>
      <c r="B761" s="34" t="n"/>
      <c r="C761" s="34" t="n"/>
      <c r="D761" s="34" t="n"/>
      <c r="E761" s="34" t="n"/>
      <c r="F761" s="86" t="n"/>
      <c r="G761" s="86" t="n"/>
      <c r="H761" s="111" t="n"/>
      <c r="I761" s="87" t="n"/>
      <c r="J761" s="87" t="n"/>
      <c r="K761" s="111" t="n"/>
      <c r="L761" s="86" t="n"/>
      <c r="M761" s="96" t="n"/>
      <c r="N761" s="88" t="n"/>
      <c r="O761" s="20" t="n"/>
      <c r="P761" s="31" t="n"/>
      <c r="Q761" s="89" t="n"/>
      <c r="R761" s="89" t="n"/>
      <c r="S761" s="89" t="n"/>
      <c r="T761" s="59" t="n"/>
      <c r="U761" s="91" t="n"/>
      <c r="V761" s="93">
        <f>U761/B761</f>
        <v/>
      </c>
    </row>
    <row r="762" ht="22.5" customHeight="1" s="150">
      <c r="A762" s="34" t="n">
        <v>760</v>
      </c>
      <c r="B762" s="34" t="n"/>
      <c r="C762" s="34" t="n"/>
      <c r="D762" s="34" t="n"/>
      <c r="E762" s="34" t="n"/>
      <c r="F762" s="86" t="n"/>
      <c r="G762" s="86" t="n"/>
      <c r="H762" s="111" t="n"/>
      <c r="I762" s="87" t="n"/>
      <c r="J762" s="87" t="n"/>
      <c r="K762" s="111" t="n"/>
      <c r="L762" s="86" t="n"/>
      <c r="M762" s="97" t="n"/>
      <c r="N762" s="88" t="n"/>
      <c r="O762" s="20" t="n"/>
      <c r="P762" s="31" t="n"/>
      <c r="Q762" s="89" t="n"/>
      <c r="R762" s="89" t="n"/>
      <c r="S762" s="89" t="n"/>
      <c r="T762" s="59" t="n"/>
      <c r="U762" s="94" t="n"/>
      <c r="V762" s="95">
        <f>U762/B762</f>
        <v/>
      </c>
    </row>
    <row r="763" ht="22.5" customHeight="1" s="150">
      <c r="A763" s="34" t="n">
        <v>761</v>
      </c>
      <c r="B763" s="34" t="n"/>
      <c r="C763" s="34" t="n"/>
      <c r="D763" s="34" t="n"/>
      <c r="E763" s="34" t="n"/>
      <c r="F763" s="86" t="n"/>
      <c r="G763" s="86" t="n"/>
      <c r="H763" s="111" t="n"/>
      <c r="I763" s="87" t="n"/>
      <c r="J763" s="87" t="n"/>
      <c r="K763" s="111" t="n"/>
      <c r="L763" s="86" t="n"/>
      <c r="M763" s="96" t="n"/>
      <c r="N763" s="88" t="n"/>
      <c r="O763" s="20" t="n"/>
      <c r="P763" s="31" t="n"/>
      <c r="Q763" s="89" t="n"/>
      <c r="R763" s="89" t="n"/>
      <c r="S763" s="89" t="n"/>
      <c r="T763" s="59" t="n"/>
      <c r="U763" s="91" t="n"/>
      <c r="V763" s="93">
        <f>U763/B763</f>
        <v/>
      </c>
    </row>
    <row r="764" ht="22.5" customHeight="1" s="150">
      <c r="A764" s="34" t="n">
        <v>762</v>
      </c>
      <c r="B764" s="34" t="n"/>
      <c r="C764" s="34" t="n"/>
      <c r="D764" s="34" t="n"/>
      <c r="E764" s="34" t="n"/>
      <c r="F764" s="86" t="n"/>
      <c r="G764" s="86" t="n"/>
      <c r="H764" s="111" t="n"/>
      <c r="I764" s="87" t="n"/>
      <c r="J764" s="87" t="n"/>
      <c r="K764" s="111" t="n"/>
      <c r="L764" s="86" t="n"/>
      <c r="M764" s="97" t="n"/>
      <c r="N764" s="88" t="n"/>
      <c r="O764" s="20" t="n"/>
      <c r="P764" s="31" t="n"/>
      <c r="Q764" s="89" t="n"/>
      <c r="R764" s="89" t="n"/>
      <c r="S764" s="89" t="n"/>
      <c r="T764" s="59" t="n"/>
      <c r="U764" s="94" t="n"/>
      <c r="V764" s="95">
        <f>U764/B764</f>
        <v/>
      </c>
    </row>
    <row r="765" ht="22.5" customHeight="1" s="150">
      <c r="A765" s="34" t="n">
        <v>763</v>
      </c>
      <c r="B765" s="34" t="n"/>
      <c r="C765" s="34" t="n"/>
      <c r="D765" s="34" t="n"/>
      <c r="E765" s="34" t="n"/>
      <c r="F765" s="86" t="n"/>
      <c r="G765" s="86" t="n"/>
      <c r="H765" s="111" t="n"/>
      <c r="I765" s="87" t="n"/>
      <c r="J765" s="87" t="n"/>
      <c r="K765" s="111" t="n"/>
      <c r="L765" s="86" t="n"/>
      <c r="M765" s="96" t="n"/>
      <c r="N765" s="88" t="n"/>
      <c r="O765" s="20" t="n"/>
      <c r="P765" s="31" t="n"/>
      <c r="Q765" s="89" t="n"/>
      <c r="R765" s="89" t="n"/>
      <c r="S765" s="89" t="n"/>
      <c r="T765" s="59" t="n"/>
      <c r="U765" s="91" t="n"/>
      <c r="V765" s="93">
        <f>U765/B765</f>
        <v/>
      </c>
    </row>
    <row r="766" ht="22.5" customHeight="1" s="150">
      <c r="A766" s="34" t="n">
        <v>764</v>
      </c>
      <c r="B766" s="34" t="n"/>
      <c r="C766" s="34" t="n"/>
      <c r="D766" s="34" t="n"/>
      <c r="E766" s="34" t="n"/>
      <c r="F766" s="86" t="n"/>
      <c r="G766" s="86" t="n"/>
      <c r="H766" s="111" t="n"/>
      <c r="I766" s="87" t="n"/>
      <c r="J766" s="87" t="n"/>
      <c r="K766" s="111" t="n"/>
      <c r="L766" s="86" t="n"/>
      <c r="M766" s="97" t="n"/>
      <c r="N766" s="88" t="n"/>
      <c r="O766" s="20" t="n"/>
      <c r="P766" s="31" t="n"/>
      <c r="Q766" s="89" t="n"/>
      <c r="R766" s="89" t="n"/>
      <c r="S766" s="89" t="n"/>
      <c r="T766" s="59" t="n"/>
      <c r="U766" s="94" t="n"/>
      <c r="V766" s="95">
        <f>U766/B766</f>
        <v/>
      </c>
    </row>
    <row r="767" ht="22.5" customHeight="1" s="150">
      <c r="A767" s="34" t="n">
        <v>765</v>
      </c>
      <c r="B767" s="34" t="n"/>
      <c r="C767" s="34" t="n"/>
      <c r="D767" s="34" t="n"/>
      <c r="E767" s="34" t="n"/>
      <c r="F767" s="86" t="n"/>
      <c r="G767" s="86" t="n"/>
      <c r="H767" s="111" t="n"/>
      <c r="I767" s="87" t="n"/>
      <c r="J767" s="87" t="n"/>
      <c r="K767" s="111" t="n"/>
      <c r="L767" s="86" t="n"/>
      <c r="M767" s="96" t="n"/>
      <c r="N767" s="88" t="n"/>
      <c r="O767" s="20" t="n"/>
      <c r="P767" s="31" t="n"/>
      <c r="Q767" s="89" t="n"/>
      <c r="R767" s="89" t="n"/>
      <c r="S767" s="89" t="n"/>
      <c r="T767" s="59" t="n"/>
      <c r="U767" s="91" t="n"/>
      <c r="V767" s="93">
        <f>U767/B767</f>
        <v/>
      </c>
    </row>
    <row r="768" ht="22.5" customHeight="1" s="150">
      <c r="A768" s="34" t="n">
        <v>766</v>
      </c>
      <c r="B768" s="34" t="n"/>
      <c r="C768" s="34" t="n"/>
      <c r="D768" s="34" t="n"/>
      <c r="E768" s="34" t="n"/>
      <c r="F768" s="86" t="n"/>
      <c r="G768" s="86" t="n"/>
      <c r="H768" s="111" t="n"/>
      <c r="I768" s="87" t="n"/>
      <c r="J768" s="87" t="n"/>
      <c r="K768" s="111" t="n"/>
      <c r="L768" s="86" t="n"/>
      <c r="M768" s="97" t="n"/>
      <c r="N768" s="88" t="n"/>
      <c r="O768" s="20" t="n"/>
      <c r="P768" s="31" t="n"/>
      <c r="Q768" s="89" t="n"/>
      <c r="R768" s="89" t="n"/>
      <c r="S768" s="89" t="n"/>
      <c r="T768" s="59" t="n"/>
      <c r="U768" s="94" t="n"/>
      <c r="V768" s="95">
        <f>U768/B768</f>
        <v/>
      </c>
    </row>
    <row r="769" ht="22.5" customHeight="1" s="150">
      <c r="A769" s="34" t="n">
        <v>767</v>
      </c>
      <c r="B769" s="34" t="n"/>
      <c r="C769" s="34" t="n"/>
      <c r="D769" s="34" t="n"/>
      <c r="E769" s="34" t="n"/>
      <c r="F769" s="86" t="n"/>
      <c r="G769" s="86" t="n"/>
      <c r="H769" s="111" t="n"/>
      <c r="I769" s="87" t="n"/>
      <c r="J769" s="87" t="n"/>
      <c r="K769" s="111" t="n"/>
      <c r="L769" s="86" t="n"/>
      <c r="M769" s="96" t="n"/>
      <c r="N769" s="88" t="n"/>
      <c r="O769" s="20" t="n"/>
      <c r="P769" s="31" t="n"/>
      <c r="Q769" s="89" t="n"/>
      <c r="R769" s="89" t="n"/>
      <c r="S769" s="89" t="n"/>
      <c r="T769" s="59" t="n"/>
      <c r="U769" s="91" t="n"/>
      <c r="V769" s="93">
        <f>U769/B769</f>
        <v/>
      </c>
    </row>
    <row r="770" ht="22.5" customHeight="1" s="150">
      <c r="A770" s="34" t="n">
        <v>768</v>
      </c>
      <c r="B770" s="34" t="n"/>
      <c r="C770" s="34" t="n"/>
      <c r="D770" s="34" t="n"/>
      <c r="E770" s="34" t="n"/>
      <c r="F770" s="86" t="n"/>
      <c r="G770" s="86" t="n"/>
      <c r="H770" s="111" t="n"/>
      <c r="I770" s="87" t="n"/>
      <c r="J770" s="87" t="n"/>
      <c r="K770" s="111" t="n"/>
      <c r="L770" s="86" t="n"/>
      <c r="M770" s="97" t="n"/>
      <c r="N770" s="88" t="n"/>
      <c r="O770" s="20" t="n"/>
      <c r="P770" s="31" t="n"/>
      <c r="Q770" s="89" t="n"/>
      <c r="R770" s="89" t="n"/>
      <c r="S770" s="89" t="n"/>
      <c r="T770" s="59" t="n"/>
      <c r="U770" s="94" t="n"/>
      <c r="V770" s="95">
        <f>U770/B770</f>
        <v/>
      </c>
    </row>
    <row r="771" ht="22.5" customHeight="1" s="150">
      <c r="A771" s="34" t="n">
        <v>769</v>
      </c>
      <c r="B771" s="34" t="n"/>
      <c r="C771" s="34" t="n"/>
      <c r="D771" s="34" t="n"/>
      <c r="E771" s="34" t="n"/>
      <c r="F771" s="86" t="n"/>
      <c r="G771" s="86" t="n"/>
      <c r="H771" s="111" t="n"/>
      <c r="I771" s="87" t="n"/>
      <c r="J771" s="87" t="n"/>
      <c r="K771" s="111" t="n"/>
      <c r="L771" s="86" t="n"/>
      <c r="M771" s="96" t="n"/>
      <c r="N771" s="88" t="n"/>
      <c r="O771" s="20" t="n"/>
      <c r="P771" s="31" t="n"/>
      <c r="Q771" s="89" t="n"/>
      <c r="R771" s="89" t="n"/>
      <c r="S771" s="89" t="n"/>
      <c r="T771" s="59" t="n"/>
      <c r="U771" s="91" t="n"/>
      <c r="V771" s="93">
        <f>U771/B771</f>
        <v/>
      </c>
    </row>
    <row r="772" ht="22.5" customHeight="1" s="150">
      <c r="A772" s="34" t="n">
        <v>770</v>
      </c>
      <c r="B772" s="34" t="n"/>
      <c r="C772" s="34" t="n"/>
      <c r="D772" s="34" t="n"/>
      <c r="E772" s="34" t="n"/>
      <c r="F772" s="86" t="n"/>
      <c r="G772" s="86" t="n"/>
      <c r="H772" s="111" t="n"/>
      <c r="I772" s="87" t="n"/>
      <c r="J772" s="87" t="n"/>
      <c r="K772" s="111" t="n"/>
      <c r="L772" s="86" t="n"/>
      <c r="M772" s="97" t="n"/>
      <c r="N772" s="88" t="n"/>
      <c r="O772" s="20" t="n"/>
      <c r="P772" s="31" t="n"/>
      <c r="Q772" s="89" t="n"/>
      <c r="R772" s="89" t="n"/>
      <c r="S772" s="89" t="n"/>
      <c r="T772" s="59" t="n"/>
      <c r="U772" s="94" t="n"/>
      <c r="V772" s="95">
        <f>U772/B772</f>
        <v/>
      </c>
    </row>
    <row r="773" ht="22.5" customHeight="1" s="150">
      <c r="A773" s="34" t="n">
        <v>771</v>
      </c>
      <c r="B773" s="34" t="n"/>
      <c r="C773" s="34" t="n"/>
      <c r="D773" s="34" t="n"/>
      <c r="E773" s="34" t="n"/>
      <c r="F773" s="86" t="n"/>
      <c r="G773" s="86" t="n"/>
      <c r="H773" s="111" t="n"/>
      <c r="I773" s="87" t="n"/>
      <c r="J773" s="87" t="n"/>
      <c r="K773" s="111" t="n"/>
      <c r="L773" s="86" t="n"/>
      <c r="M773" s="96" t="n"/>
      <c r="N773" s="88" t="n"/>
      <c r="O773" s="20" t="n"/>
      <c r="P773" s="31" t="n"/>
      <c r="Q773" s="89" t="n"/>
      <c r="R773" s="89" t="n"/>
      <c r="S773" s="89" t="n"/>
      <c r="T773" s="59" t="n"/>
      <c r="U773" s="91" t="n"/>
      <c r="V773" s="93">
        <f>U773/B773</f>
        <v/>
      </c>
    </row>
    <row r="774" ht="22.5" customHeight="1" s="150">
      <c r="A774" s="34" t="n">
        <v>772</v>
      </c>
      <c r="B774" s="34" t="n"/>
      <c r="C774" s="34" t="n"/>
      <c r="D774" s="34" t="n"/>
      <c r="E774" s="34" t="n"/>
      <c r="F774" s="86" t="n"/>
      <c r="G774" s="86" t="n"/>
      <c r="H774" s="111" t="n"/>
      <c r="I774" s="87" t="n"/>
      <c r="J774" s="87" t="n"/>
      <c r="K774" s="111" t="n"/>
      <c r="L774" s="86" t="n"/>
      <c r="M774" s="97" t="n"/>
      <c r="N774" s="88" t="n"/>
      <c r="O774" s="20" t="n"/>
      <c r="P774" s="31" t="n"/>
      <c r="Q774" s="89" t="n"/>
      <c r="R774" s="89" t="n"/>
      <c r="S774" s="89" t="n"/>
      <c r="T774" s="59" t="n"/>
      <c r="U774" s="94" t="n"/>
      <c r="V774" s="95">
        <f>U774/B774</f>
        <v/>
      </c>
    </row>
    <row r="775" ht="22.5" customHeight="1" s="150">
      <c r="A775" s="34" t="n">
        <v>773</v>
      </c>
      <c r="B775" s="34" t="n"/>
      <c r="C775" s="34" t="n"/>
      <c r="D775" s="34" t="n"/>
      <c r="E775" s="34" t="n"/>
      <c r="F775" s="86" t="n"/>
      <c r="G775" s="86" t="n"/>
      <c r="H775" s="111" t="n"/>
      <c r="I775" s="87" t="n"/>
      <c r="J775" s="87" t="n"/>
      <c r="K775" s="111" t="n"/>
      <c r="L775" s="86" t="n"/>
      <c r="M775" s="96" t="n"/>
      <c r="N775" s="88" t="n"/>
      <c r="O775" s="20" t="n"/>
      <c r="P775" s="31" t="n"/>
      <c r="Q775" s="89" t="n"/>
      <c r="R775" s="89" t="n"/>
      <c r="S775" s="89" t="n"/>
      <c r="T775" s="59" t="n"/>
      <c r="U775" s="91" t="n"/>
      <c r="V775" s="93">
        <f>U775/B775</f>
        <v/>
      </c>
    </row>
    <row r="776" ht="22.5" customHeight="1" s="150">
      <c r="A776" s="34" t="n">
        <v>774</v>
      </c>
      <c r="B776" s="34" t="n"/>
      <c r="C776" s="34" t="n"/>
      <c r="D776" s="34" t="n"/>
      <c r="E776" s="34" t="n"/>
      <c r="F776" s="86" t="n"/>
      <c r="G776" s="86" t="n"/>
      <c r="H776" s="111" t="n"/>
      <c r="I776" s="87" t="n"/>
      <c r="J776" s="87" t="n"/>
      <c r="K776" s="111" t="n"/>
      <c r="L776" s="86" t="n"/>
      <c r="M776" s="97" t="n"/>
      <c r="N776" s="88" t="n"/>
      <c r="O776" s="20" t="n"/>
      <c r="P776" s="31" t="n"/>
      <c r="Q776" s="89" t="n"/>
      <c r="R776" s="89" t="n"/>
      <c r="S776" s="89" t="n"/>
      <c r="T776" s="59" t="n"/>
      <c r="U776" s="94" t="n"/>
      <c r="V776" s="95">
        <f>U776/B776</f>
        <v/>
      </c>
    </row>
    <row r="777" ht="22.5" customHeight="1" s="150">
      <c r="A777" s="34" t="n">
        <v>775</v>
      </c>
      <c r="B777" s="34" t="n"/>
      <c r="C777" s="34" t="n"/>
      <c r="D777" s="34" t="n"/>
      <c r="E777" s="34" t="n"/>
      <c r="F777" s="86" t="n"/>
      <c r="G777" s="86" t="n"/>
      <c r="H777" s="111" t="n"/>
      <c r="I777" s="87" t="n"/>
      <c r="J777" s="87" t="n"/>
      <c r="K777" s="111" t="n"/>
      <c r="L777" s="86" t="n"/>
      <c r="M777" s="96" t="n"/>
      <c r="N777" s="88" t="n"/>
      <c r="O777" s="20" t="n"/>
      <c r="P777" s="31" t="n"/>
      <c r="Q777" s="89" t="n"/>
      <c r="R777" s="89" t="n"/>
      <c r="S777" s="89" t="n"/>
      <c r="T777" s="59" t="n"/>
      <c r="U777" s="91" t="n"/>
      <c r="V777" s="93">
        <f>U777/B777</f>
        <v/>
      </c>
    </row>
    <row r="778" ht="22.5" customHeight="1" s="150">
      <c r="A778" s="34" t="n">
        <v>776</v>
      </c>
      <c r="B778" s="34" t="n"/>
      <c r="C778" s="34" t="n"/>
      <c r="D778" s="34" t="n"/>
      <c r="E778" s="34" t="n"/>
      <c r="F778" s="86" t="n"/>
      <c r="G778" s="86" t="n"/>
      <c r="H778" s="111" t="n"/>
      <c r="I778" s="87" t="n"/>
      <c r="J778" s="87" t="n"/>
      <c r="K778" s="111" t="n"/>
      <c r="L778" s="86" t="n"/>
      <c r="M778" s="97" t="n"/>
      <c r="N778" s="88" t="n"/>
      <c r="O778" s="20" t="n"/>
      <c r="P778" s="31" t="n"/>
      <c r="Q778" s="89" t="n"/>
      <c r="R778" s="89" t="n"/>
      <c r="S778" s="89" t="n"/>
      <c r="T778" s="59" t="n"/>
      <c r="U778" s="94" t="n"/>
      <c r="V778" s="95">
        <f>U778/B778</f>
        <v/>
      </c>
    </row>
    <row r="779" ht="22.5" customHeight="1" s="150">
      <c r="A779" s="34" t="n">
        <v>777</v>
      </c>
      <c r="B779" s="34" t="n"/>
      <c r="C779" s="34" t="n"/>
      <c r="D779" s="34" t="n"/>
      <c r="E779" s="34" t="n"/>
      <c r="F779" s="86" t="n"/>
      <c r="G779" s="86" t="n"/>
      <c r="H779" s="111" t="n"/>
      <c r="I779" s="87" t="n"/>
      <c r="J779" s="87" t="n"/>
      <c r="K779" s="111" t="n"/>
      <c r="L779" s="86" t="n"/>
      <c r="M779" s="96" t="n"/>
      <c r="N779" s="88" t="n"/>
      <c r="O779" s="20" t="n"/>
      <c r="P779" s="31" t="n"/>
      <c r="Q779" s="89" t="n"/>
      <c r="R779" s="89" t="n"/>
      <c r="S779" s="89" t="n"/>
      <c r="T779" s="59" t="n"/>
      <c r="U779" s="91" t="n"/>
      <c r="V779" s="93">
        <f>U779/B779</f>
        <v/>
      </c>
    </row>
    <row r="780" ht="22.5" customHeight="1" s="150">
      <c r="A780" s="34" t="n">
        <v>778</v>
      </c>
      <c r="B780" s="34" t="n"/>
      <c r="C780" s="34" t="n"/>
      <c r="D780" s="34" t="n"/>
      <c r="E780" s="34" t="n"/>
      <c r="F780" s="86" t="n"/>
      <c r="G780" s="86" t="n"/>
      <c r="H780" s="111" t="n"/>
      <c r="I780" s="87" t="n"/>
      <c r="J780" s="87" t="n"/>
      <c r="K780" s="111" t="n"/>
      <c r="L780" s="86" t="n"/>
      <c r="M780" s="97" t="n"/>
      <c r="N780" s="88" t="n"/>
      <c r="O780" s="20" t="n"/>
      <c r="P780" s="31" t="n"/>
      <c r="Q780" s="89" t="n"/>
      <c r="R780" s="89" t="n"/>
      <c r="S780" s="89" t="n"/>
      <c r="T780" s="59" t="n"/>
      <c r="U780" s="94" t="n"/>
      <c r="V780" s="95">
        <f>U780/B780</f>
        <v/>
      </c>
    </row>
    <row r="781" ht="22.5" customHeight="1" s="150">
      <c r="A781" s="34" t="n">
        <v>779</v>
      </c>
      <c r="B781" s="34" t="n"/>
      <c r="C781" s="34" t="n"/>
      <c r="D781" s="34" t="n"/>
      <c r="E781" s="34" t="n"/>
      <c r="F781" s="86" t="n"/>
      <c r="G781" s="86" t="n"/>
      <c r="H781" s="111" t="n"/>
      <c r="I781" s="87" t="n"/>
      <c r="J781" s="87" t="n"/>
      <c r="K781" s="111" t="n"/>
      <c r="L781" s="86" t="n"/>
      <c r="M781" s="96" t="n"/>
      <c r="N781" s="88" t="n"/>
      <c r="O781" s="20" t="n"/>
      <c r="P781" s="31" t="n"/>
      <c r="Q781" s="89" t="n"/>
      <c r="R781" s="89" t="n"/>
      <c r="S781" s="89" t="n"/>
      <c r="T781" s="59" t="n"/>
      <c r="U781" s="91" t="n"/>
      <c r="V781" s="93">
        <f>U781/B781</f>
        <v/>
      </c>
    </row>
    <row r="782" ht="22.5" customHeight="1" s="150">
      <c r="A782" s="34" t="n">
        <v>780</v>
      </c>
      <c r="B782" s="34" t="n"/>
      <c r="C782" s="34" t="n"/>
      <c r="D782" s="34" t="n"/>
      <c r="E782" s="34" t="n"/>
      <c r="F782" s="86" t="n"/>
      <c r="G782" s="86" t="n"/>
      <c r="H782" s="111" t="n"/>
      <c r="I782" s="87" t="n"/>
      <c r="J782" s="87" t="n"/>
      <c r="K782" s="111" t="n"/>
      <c r="L782" s="86" t="n"/>
      <c r="M782" s="97" t="n"/>
      <c r="N782" s="88" t="n"/>
      <c r="O782" s="20" t="n"/>
      <c r="P782" s="31" t="n"/>
      <c r="Q782" s="89" t="n"/>
      <c r="R782" s="89" t="n"/>
      <c r="S782" s="89" t="n"/>
      <c r="T782" s="59" t="n"/>
      <c r="U782" s="94" t="n"/>
      <c r="V782" s="95">
        <f>U782/B782</f>
        <v/>
      </c>
    </row>
    <row r="783" ht="22.5" customHeight="1" s="150">
      <c r="A783" s="34" t="n">
        <v>781</v>
      </c>
      <c r="B783" s="34" t="n"/>
      <c r="C783" s="34" t="n"/>
      <c r="D783" s="34" t="n"/>
      <c r="E783" s="34" t="n"/>
      <c r="F783" s="86" t="n"/>
      <c r="G783" s="86" t="n"/>
      <c r="H783" s="111" t="n"/>
      <c r="I783" s="87" t="n"/>
      <c r="J783" s="87" t="n"/>
      <c r="K783" s="111" t="n"/>
      <c r="L783" s="86" t="n"/>
      <c r="M783" s="96" t="n"/>
      <c r="N783" s="88" t="n"/>
      <c r="O783" s="20" t="n"/>
      <c r="P783" s="31" t="n"/>
      <c r="Q783" s="89" t="n"/>
      <c r="R783" s="89" t="n"/>
      <c r="S783" s="89" t="n"/>
      <c r="T783" s="59" t="n"/>
      <c r="U783" s="91" t="n"/>
      <c r="V783" s="93">
        <f>U783/B783</f>
        <v/>
      </c>
    </row>
    <row r="784" ht="22.5" customHeight="1" s="150">
      <c r="A784" s="34" t="n">
        <v>782</v>
      </c>
      <c r="B784" s="34" t="n"/>
      <c r="C784" s="34" t="n"/>
      <c r="D784" s="34" t="n"/>
      <c r="E784" s="34" t="n"/>
      <c r="F784" s="86" t="n"/>
      <c r="G784" s="86" t="n"/>
      <c r="H784" s="111" t="n"/>
      <c r="I784" s="87" t="n"/>
      <c r="J784" s="87" t="n"/>
      <c r="K784" s="111" t="n"/>
      <c r="L784" s="86" t="n"/>
      <c r="M784" s="97" t="n"/>
      <c r="N784" s="88" t="n"/>
      <c r="O784" s="20" t="n"/>
      <c r="P784" s="31" t="n"/>
      <c r="Q784" s="89" t="n"/>
      <c r="R784" s="89" t="n"/>
      <c r="S784" s="89" t="n"/>
      <c r="T784" s="59" t="n"/>
      <c r="U784" s="94" t="n"/>
      <c r="V784" s="95">
        <f>U784/B784</f>
        <v/>
      </c>
    </row>
    <row r="785" ht="22.5" customHeight="1" s="150">
      <c r="A785" s="34" t="n">
        <v>783</v>
      </c>
      <c r="B785" s="34" t="n"/>
      <c r="C785" s="34" t="n"/>
      <c r="D785" s="34" t="n"/>
      <c r="E785" s="34" t="n"/>
      <c r="F785" s="86" t="n"/>
      <c r="G785" s="86" t="n"/>
      <c r="H785" s="111" t="n"/>
      <c r="I785" s="87" t="n"/>
      <c r="J785" s="87" t="n"/>
      <c r="K785" s="111" t="n"/>
      <c r="L785" s="86" t="n"/>
      <c r="M785" s="96" t="n"/>
      <c r="N785" s="88" t="n"/>
      <c r="O785" s="20" t="n"/>
      <c r="P785" s="31" t="n"/>
      <c r="Q785" s="89" t="n"/>
      <c r="R785" s="89" t="n"/>
      <c r="S785" s="89" t="n"/>
      <c r="T785" s="59" t="n"/>
      <c r="U785" s="91" t="n"/>
      <c r="V785" s="93">
        <f>U785/B785</f>
        <v/>
      </c>
    </row>
    <row r="786" ht="22.5" customHeight="1" s="150">
      <c r="A786" s="34" t="n">
        <v>784</v>
      </c>
      <c r="B786" s="34" t="n"/>
      <c r="C786" s="34" t="n"/>
      <c r="D786" s="34" t="n"/>
      <c r="E786" s="34" t="n"/>
      <c r="F786" s="86" t="n"/>
      <c r="G786" s="86" t="n"/>
      <c r="H786" s="111" t="n"/>
      <c r="I786" s="87" t="n"/>
      <c r="J786" s="87" t="n"/>
      <c r="K786" s="111" t="n"/>
      <c r="L786" s="86" t="n"/>
      <c r="M786" s="97" t="n"/>
      <c r="N786" s="88" t="n"/>
      <c r="O786" s="20" t="n"/>
      <c r="P786" s="31" t="n"/>
      <c r="Q786" s="89" t="n"/>
      <c r="R786" s="89" t="n"/>
      <c r="S786" s="89" t="n"/>
      <c r="T786" s="59" t="n"/>
      <c r="U786" s="94" t="n"/>
      <c r="V786" s="95">
        <f>U786/B786</f>
        <v/>
      </c>
    </row>
    <row r="787" ht="22.5" customHeight="1" s="150">
      <c r="A787" s="34" t="n">
        <v>785</v>
      </c>
      <c r="B787" s="34" t="n"/>
      <c r="C787" s="34" t="n"/>
      <c r="D787" s="34" t="n"/>
      <c r="E787" s="34" t="n"/>
      <c r="F787" s="86" t="n"/>
      <c r="G787" s="86" t="n"/>
      <c r="H787" s="111" t="n"/>
      <c r="I787" s="87" t="n"/>
      <c r="J787" s="87" t="n"/>
      <c r="K787" s="111" t="n"/>
      <c r="L787" s="86" t="n"/>
      <c r="M787" s="96" t="n"/>
      <c r="N787" s="88" t="n"/>
      <c r="O787" s="20" t="n"/>
      <c r="P787" s="31" t="n"/>
      <c r="Q787" s="89" t="n"/>
      <c r="R787" s="89" t="n"/>
      <c r="S787" s="89" t="n"/>
      <c r="T787" s="59" t="n"/>
      <c r="U787" s="91" t="n"/>
      <c r="V787" s="93">
        <f>U787/B787</f>
        <v/>
      </c>
    </row>
    <row r="788" ht="22.5" customHeight="1" s="150">
      <c r="A788" s="34" t="n">
        <v>786</v>
      </c>
      <c r="B788" s="34" t="n"/>
      <c r="C788" s="34" t="n"/>
      <c r="D788" s="34" t="n"/>
      <c r="E788" s="34" t="n"/>
      <c r="F788" s="86" t="n"/>
      <c r="G788" s="86" t="n"/>
      <c r="H788" s="111" t="n"/>
      <c r="I788" s="87" t="n"/>
      <c r="J788" s="87" t="n"/>
      <c r="K788" s="111" t="n"/>
      <c r="L788" s="86" t="n"/>
      <c r="M788" s="97" t="n"/>
      <c r="N788" s="88" t="n"/>
      <c r="O788" s="20" t="n"/>
      <c r="P788" s="31" t="n"/>
      <c r="Q788" s="89" t="n"/>
      <c r="R788" s="89" t="n"/>
      <c r="S788" s="89" t="n"/>
      <c r="T788" s="59" t="n"/>
      <c r="U788" s="94" t="n"/>
      <c r="V788" s="95">
        <f>U788/B788</f>
        <v/>
      </c>
    </row>
    <row r="789" ht="22.5" customHeight="1" s="150">
      <c r="A789" s="34" t="n">
        <v>787</v>
      </c>
      <c r="B789" s="34" t="n"/>
      <c r="C789" s="34" t="n"/>
      <c r="D789" s="34" t="n"/>
      <c r="E789" s="34" t="n"/>
      <c r="F789" s="86" t="n"/>
      <c r="G789" s="86" t="n"/>
      <c r="H789" s="111" t="n"/>
      <c r="I789" s="87" t="n"/>
      <c r="J789" s="87" t="n"/>
      <c r="K789" s="111" t="n"/>
      <c r="L789" s="86" t="n"/>
      <c r="M789" s="96" t="n"/>
      <c r="N789" s="88" t="n"/>
      <c r="O789" s="20" t="n"/>
      <c r="P789" s="31" t="n"/>
      <c r="Q789" s="89" t="n"/>
      <c r="R789" s="89" t="n"/>
      <c r="S789" s="89" t="n"/>
      <c r="T789" s="59" t="n"/>
      <c r="U789" s="91" t="n"/>
      <c r="V789" s="93">
        <f>U789/B789</f>
        <v/>
      </c>
    </row>
    <row r="790" ht="22.5" customHeight="1" s="150">
      <c r="A790" s="34" t="n">
        <v>788</v>
      </c>
      <c r="B790" s="34" t="n"/>
      <c r="C790" s="34" t="n"/>
      <c r="D790" s="34" t="n"/>
      <c r="E790" s="34" t="n"/>
      <c r="F790" s="86" t="n"/>
      <c r="G790" s="86" t="n"/>
      <c r="H790" s="111" t="n"/>
      <c r="I790" s="87" t="n"/>
      <c r="J790" s="87" t="n"/>
      <c r="K790" s="111" t="n"/>
      <c r="L790" s="86" t="n"/>
      <c r="M790" s="97" t="n"/>
      <c r="N790" s="88" t="n"/>
      <c r="O790" s="20" t="n"/>
      <c r="P790" s="31" t="n"/>
      <c r="Q790" s="89" t="n"/>
      <c r="R790" s="89" t="n"/>
      <c r="S790" s="89" t="n"/>
      <c r="T790" s="59" t="n"/>
      <c r="U790" s="94" t="n"/>
      <c r="V790" s="95">
        <f>U790/B790</f>
        <v/>
      </c>
    </row>
    <row r="791" ht="22.5" customHeight="1" s="150">
      <c r="A791" s="34" t="n">
        <v>789</v>
      </c>
      <c r="B791" s="34" t="n"/>
      <c r="C791" s="34" t="n"/>
      <c r="D791" s="34" t="n"/>
      <c r="E791" s="34" t="n"/>
      <c r="F791" s="86" t="n"/>
      <c r="G791" s="86" t="n"/>
      <c r="H791" s="111" t="n"/>
      <c r="I791" s="87" t="n"/>
      <c r="J791" s="87" t="n"/>
      <c r="K791" s="111" t="n"/>
      <c r="L791" s="86" t="n"/>
      <c r="M791" s="96" t="n"/>
      <c r="N791" s="88" t="n"/>
      <c r="O791" s="20" t="n"/>
      <c r="P791" s="31" t="n"/>
      <c r="Q791" s="89" t="n"/>
      <c r="R791" s="89" t="n"/>
      <c r="S791" s="89" t="n"/>
      <c r="T791" s="59" t="n"/>
      <c r="U791" s="91" t="n"/>
      <c r="V791" s="93">
        <f>U791/B791</f>
        <v/>
      </c>
    </row>
    <row r="792" ht="22.5" customHeight="1" s="150">
      <c r="A792" s="34" t="n">
        <v>790</v>
      </c>
      <c r="B792" s="34" t="n"/>
      <c r="C792" s="34" t="n"/>
      <c r="D792" s="34" t="n"/>
      <c r="E792" s="34" t="n"/>
      <c r="F792" s="86" t="n"/>
      <c r="G792" s="86" t="n"/>
      <c r="H792" s="111" t="n"/>
      <c r="I792" s="87" t="n"/>
      <c r="J792" s="87" t="n"/>
      <c r="K792" s="111" t="n"/>
      <c r="L792" s="86" t="n"/>
      <c r="M792" s="97" t="n"/>
      <c r="N792" s="88" t="n"/>
      <c r="O792" s="20" t="n"/>
      <c r="P792" s="31" t="n"/>
      <c r="Q792" s="89" t="n"/>
      <c r="R792" s="89" t="n"/>
      <c r="S792" s="89" t="n"/>
      <c r="T792" s="59" t="n"/>
      <c r="U792" s="94" t="n"/>
      <c r="V792" s="95">
        <f>U792/B792</f>
        <v/>
      </c>
    </row>
    <row r="793" ht="22.5" customHeight="1" s="150">
      <c r="A793" s="34" t="n">
        <v>791</v>
      </c>
      <c r="B793" s="34" t="n"/>
      <c r="C793" s="34" t="n"/>
      <c r="D793" s="34" t="n"/>
      <c r="E793" s="34" t="n"/>
      <c r="F793" s="86" t="n"/>
      <c r="G793" s="86" t="n"/>
      <c r="H793" s="111" t="n"/>
      <c r="I793" s="87" t="n"/>
      <c r="J793" s="87" t="n"/>
      <c r="K793" s="111" t="n"/>
      <c r="L793" s="86" t="n"/>
      <c r="M793" s="96" t="n"/>
      <c r="N793" s="88" t="n"/>
      <c r="O793" s="20" t="n"/>
      <c r="P793" s="31" t="n"/>
      <c r="Q793" s="89" t="n"/>
      <c r="R793" s="89" t="n"/>
      <c r="S793" s="89" t="n"/>
      <c r="T793" s="59" t="n"/>
      <c r="U793" s="91" t="n"/>
      <c r="V793" s="93">
        <f>U793/B793</f>
        <v/>
      </c>
    </row>
    <row r="794" ht="22.5" customHeight="1" s="150">
      <c r="A794" s="34" t="n">
        <v>792</v>
      </c>
      <c r="B794" s="34" t="n"/>
      <c r="C794" s="34" t="n"/>
      <c r="D794" s="34" t="n"/>
      <c r="E794" s="34" t="n"/>
      <c r="F794" s="86" t="n"/>
      <c r="G794" s="86" t="n"/>
      <c r="H794" s="111" t="n"/>
      <c r="I794" s="87" t="n"/>
      <c r="J794" s="87" t="n"/>
      <c r="K794" s="111" t="n"/>
      <c r="L794" s="86" t="n"/>
      <c r="M794" s="97" t="n"/>
      <c r="N794" s="88" t="n"/>
      <c r="O794" s="20" t="n"/>
      <c r="P794" s="31" t="n"/>
      <c r="Q794" s="89" t="n"/>
      <c r="R794" s="89" t="n"/>
      <c r="S794" s="89" t="n"/>
      <c r="T794" s="59" t="n"/>
      <c r="U794" s="94" t="n"/>
      <c r="V794" s="95">
        <f>U794/B794</f>
        <v/>
      </c>
    </row>
    <row r="795" ht="22.5" customHeight="1" s="150">
      <c r="A795" s="34" t="n">
        <v>793</v>
      </c>
      <c r="B795" s="34" t="n"/>
      <c r="C795" s="34" t="n"/>
      <c r="D795" s="34" t="n"/>
      <c r="E795" s="34" t="n"/>
      <c r="F795" s="86" t="n"/>
      <c r="G795" s="86" t="n"/>
      <c r="H795" s="111" t="n"/>
      <c r="I795" s="87" t="n"/>
      <c r="J795" s="87" t="n"/>
      <c r="K795" s="111" t="n"/>
      <c r="L795" s="86" t="n"/>
      <c r="M795" s="96" t="n"/>
      <c r="N795" s="88" t="n"/>
      <c r="O795" s="20" t="n"/>
      <c r="P795" s="31" t="n"/>
      <c r="Q795" s="89" t="n"/>
      <c r="R795" s="89" t="n"/>
      <c r="S795" s="89" t="n"/>
      <c r="T795" s="59" t="n"/>
      <c r="U795" s="91" t="n"/>
      <c r="V795" s="93">
        <f>U795/B795</f>
        <v/>
      </c>
    </row>
    <row r="796" ht="22.5" customHeight="1" s="150">
      <c r="A796" s="34" t="n">
        <v>794</v>
      </c>
      <c r="B796" s="34" t="n"/>
      <c r="C796" s="34" t="n"/>
      <c r="D796" s="34" t="n"/>
      <c r="E796" s="34" t="n"/>
      <c r="F796" s="86" t="n"/>
      <c r="G796" s="86" t="n"/>
      <c r="H796" s="111" t="n"/>
      <c r="I796" s="87" t="n"/>
      <c r="J796" s="87" t="n"/>
      <c r="K796" s="111" t="n"/>
      <c r="L796" s="86" t="n"/>
      <c r="M796" s="97" t="n"/>
      <c r="N796" s="88" t="n"/>
      <c r="O796" s="20" t="n"/>
      <c r="P796" s="31" t="n"/>
      <c r="Q796" s="89" t="n"/>
      <c r="R796" s="89" t="n"/>
      <c r="S796" s="89" t="n"/>
      <c r="T796" s="59" t="n"/>
      <c r="U796" s="94" t="n"/>
      <c r="V796" s="95">
        <f>U796/B796</f>
        <v/>
      </c>
    </row>
    <row r="797" ht="22.5" customHeight="1" s="150">
      <c r="A797" s="34" t="n">
        <v>795</v>
      </c>
      <c r="B797" s="34" t="n"/>
      <c r="C797" s="34" t="n"/>
      <c r="D797" s="34" t="n"/>
      <c r="E797" s="34" t="n"/>
      <c r="F797" s="86" t="n"/>
      <c r="G797" s="86" t="n"/>
      <c r="H797" s="111" t="n"/>
      <c r="I797" s="87" t="n"/>
      <c r="J797" s="87" t="n"/>
      <c r="K797" s="111" t="n"/>
      <c r="L797" s="86" t="n"/>
      <c r="M797" s="96" t="n"/>
      <c r="N797" s="88" t="n"/>
      <c r="O797" s="20" t="n"/>
      <c r="P797" s="31" t="n"/>
      <c r="Q797" s="89" t="n"/>
      <c r="R797" s="89" t="n"/>
      <c r="S797" s="89" t="n"/>
      <c r="T797" s="59" t="n"/>
      <c r="U797" s="91" t="n"/>
      <c r="V797" s="93">
        <f>U797/B797</f>
        <v/>
      </c>
    </row>
    <row r="798" ht="22.5" customHeight="1" s="150">
      <c r="A798" s="34" t="n">
        <v>796</v>
      </c>
      <c r="B798" s="34" t="n"/>
      <c r="C798" s="34" t="n"/>
      <c r="D798" s="34" t="n"/>
      <c r="E798" s="34" t="n"/>
      <c r="F798" s="86" t="n"/>
      <c r="G798" s="86" t="n"/>
      <c r="H798" s="111" t="n"/>
      <c r="I798" s="87" t="n"/>
      <c r="J798" s="87" t="n"/>
      <c r="K798" s="111" t="n"/>
      <c r="L798" s="86" t="n"/>
      <c r="M798" s="97" t="n"/>
      <c r="N798" s="88" t="n"/>
      <c r="O798" s="20" t="n"/>
      <c r="P798" s="31" t="n"/>
      <c r="Q798" s="89" t="n"/>
      <c r="R798" s="89" t="n"/>
      <c r="S798" s="89" t="n"/>
      <c r="T798" s="59" t="n"/>
      <c r="U798" s="94" t="n"/>
      <c r="V798" s="95">
        <f>U798/B798</f>
        <v/>
      </c>
    </row>
    <row r="799" ht="22.5" customHeight="1" s="150">
      <c r="A799" s="34" t="n">
        <v>797</v>
      </c>
      <c r="B799" s="34" t="n"/>
      <c r="C799" s="34" t="n"/>
      <c r="D799" s="34" t="n"/>
      <c r="E799" s="34" t="n"/>
      <c r="F799" s="86" t="n"/>
      <c r="G799" s="86" t="n"/>
      <c r="H799" s="111" t="n"/>
      <c r="I799" s="87" t="n"/>
      <c r="J799" s="87" t="n"/>
      <c r="K799" s="111" t="n"/>
      <c r="L799" s="86" t="n"/>
      <c r="M799" s="96" t="n"/>
      <c r="N799" s="88" t="n"/>
      <c r="O799" s="20" t="n"/>
      <c r="P799" s="31" t="n"/>
      <c r="Q799" s="89" t="n"/>
      <c r="R799" s="89" t="n"/>
      <c r="S799" s="89" t="n"/>
      <c r="T799" s="59" t="n"/>
      <c r="U799" s="91" t="n"/>
      <c r="V799" s="93">
        <f>U799/B799</f>
        <v/>
      </c>
    </row>
    <row r="800" ht="22.5" customHeight="1" s="150">
      <c r="A800" s="34" t="n">
        <v>798</v>
      </c>
      <c r="B800" s="34" t="n"/>
      <c r="C800" s="34" t="n"/>
      <c r="D800" s="34" t="n"/>
      <c r="E800" s="34" t="n"/>
      <c r="F800" s="86" t="n"/>
      <c r="G800" s="86" t="n"/>
      <c r="H800" s="111" t="n"/>
      <c r="I800" s="87" t="n"/>
      <c r="J800" s="87" t="n"/>
      <c r="K800" s="111" t="n"/>
      <c r="L800" s="86" t="n"/>
      <c r="M800" s="97" t="n"/>
      <c r="N800" s="88" t="n"/>
      <c r="O800" s="20" t="n"/>
      <c r="P800" s="31" t="n"/>
      <c r="Q800" s="89" t="n"/>
      <c r="R800" s="89" t="n"/>
      <c r="S800" s="89" t="n"/>
      <c r="T800" s="59" t="n"/>
      <c r="U800" s="94" t="n"/>
      <c r="V800" s="95">
        <f>U800/B800</f>
        <v/>
      </c>
    </row>
    <row r="801" ht="22.5" customHeight="1" s="150">
      <c r="A801" s="34" t="n">
        <v>799</v>
      </c>
      <c r="B801" s="34" t="n"/>
      <c r="C801" s="34" t="n"/>
      <c r="D801" s="34" t="n"/>
      <c r="E801" s="34" t="n"/>
      <c r="F801" s="86" t="n"/>
      <c r="G801" s="86" t="n"/>
      <c r="H801" s="111" t="n"/>
      <c r="I801" s="87" t="n"/>
      <c r="J801" s="87" t="n"/>
      <c r="K801" s="111" t="n"/>
      <c r="L801" s="86" t="n"/>
      <c r="M801" s="96" t="n"/>
      <c r="N801" s="88" t="n"/>
      <c r="O801" s="20" t="n"/>
      <c r="P801" s="31" t="n"/>
      <c r="Q801" s="89" t="n"/>
      <c r="R801" s="89" t="n"/>
      <c r="S801" s="89" t="n"/>
      <c r="T801" s="59" t="n"/>
      <c r="U801" s="91" t="n"/>
      <c r="V801" s="93">
        <f>U801/B801</f>
        <v/>
      </c>
    </row>
    <row r="802" ht="22.5" customHeight="1" s="150">
      <c r="A802" s="34" t="n">
        <v>800</v>
      </c>
      <c r="B802" s="34" t="n"/>
      <c r="C802" s="34" t="n"/>
      <c r="D802" s="34" t="n"/>
      <c r="E802" s="34" t="n"/>
      <c r="F802" s="86" t="n"/>
      <c r="G802" s="86" t="n"/>
      <c r="H802" s="111" t="n"/>
      <c r="I802" s="87" t="n"/>
      <c r="J802" s="87" t="n"/>
      <c r="K802" s="111" t="n"/>
      <c r="L802" s="86" t="n"/>
      <c r="M802" s="97" t="n"/>
      <c r="N802" s="88" t="n"/>
      <c r="O802" s="20" t="n"/>
      <c r="P802" s="31" t="n"/>
      <c r="Q802" s="89" t="n"/>
      <c r="R802" s="89" t="n"/>
      <c r="S802" s="89" t="n"/>
      <c r="T802" s="59" t="n"/>
      <c r="U802" s="94" t="n"/>
      <c r="V802" s="95">
        <f>U802/B802</f>
        <v/>
      </c>
    </row>
    <row r="803" ht="22.5" customHeight="1" s="150">
      <c r="A803" s="34" t="n">
        <v>801</v>
      </c>
      <c r="B803" s="34" t="n"/>
      <c r="C803" s="34" t="n"/>
      <c r="D803" s="34" t="n"/>
      <c r="E803" s="34" t="n"/>
      <c r="F803" s="86" t="n"/>
      <c r="G803" s="86" t="n"/>
      <c r="H803" s="111" t="n"/>
      <c r="I803" s="87" t="n"/>
      <c r="J803" s="87" t="n"/>
      <c r="K803" s="111" t="n"/>
      <c r="L803" s="86" t="n"/>
      <c r="M803" s="96" t="n"/>
      <c r="N803" s="88" t="n"/>
      <c r="O803" s="20" t="n"/>
      <c r="P803" s="31" t="n"/>
      <c r="Q803" s="89" t="n"/>
      <c r="R803" s="89" t="n"/>
      <c r="S803" s="89" t="n"/>
      <c r="T803" s="59" t="n"/>
      <c r="U803" s="91" t="n"/>
      <c r="V803" s="93">
        <f>U803/B803</f>
        <v/>
      </c>
    </row>
    <row r="804" ht="22.5" customHeight="1" s="150">
      <c r="A804" s="34" t="n">
        <v>802</v>
      </c>
      <c r="B804" s="34" t="n"/>
      <c r="C804" s="34" t="n"/>
      <c r="D804" s="34" t="n"/>
      <c r="E804" s="34" t="n"/>
      <c r="F804" s="86" t="n"/>
      <c r="G804" s="86" t="n"/>
      <c r="H804" s="111" t="n"/>
      <c r="I804" s="87" t="n"/>
      <c r="J804" s="87" t="n"/>
      <c r="K804" s="111" t="n"/>
      <c r="L804" s="86" t="n"/>
      <c r="M804" s="97" t="n"/>
      <c r="N804" s="88" t="n"/>
      <c r="O804" s="20" t="n"/>
      <c r="P804" s="31" t="n"/>
      <c r="Q804" s="89" t="n"/>
      <c r="R804" s="89" t="n"/>
      <c r="S804" s="89" t="n"/>
      <c r="T804" s="59" t="n"/>
      <c r="U804" s="94" t="n"/>
      <c r="V804" s="95">
        <f>U804/B804</f>
        <v/>
      </c>
    </row>
    <row r="805" ht="22.5" customHeight="1" s="150">
      <c r="A805" s="34" t="n">
        <v>803</v>
      </c>
      <c r="B805" s="34" t="n"/>
      <c r="C805" s="34" t="n"/>
      <c r="D805" s="34" t="n"/>
      <c r="E805" s="34" t="n"/>
      <c r="F805" s="86" t="n"/>
      <c r="G805" s="86" t="n"/>
      <c r="H805" s="111" t="n"/>
      <c r="I805" s="87" t="n"/>
      <c r="J805" s="87" t="n"/>
      <c r="K805" s="111" t="n"/>
      <c r="L805" s="86" t="n"/>
      <c r="M805" s="96" t="n"/>
      <c r="N805" s="88" t="n"/>
      <c r="O805" s="20" t="n"/>
      <c r="P805" s="31" t="n"/>
      <c r="Q805" s="89" t="n"/>
      <c r="R805" s="89" t="n"/>
      <c r="S805" s="89" t="n"/>
      <c r="T805" s="59" t="n"/>
      <c r="U805" s="91" t="n"/>
      <c r="V805" s="93">
        <f>U805/B805</f>
        <v/>
      </c>
    </row>
    <row r="806" ht="22.5" customHeight="1" s="150">
      <c r="A806" s="34" t="n">
        <v>804</v>
      </c>
      <c r="B806" s="34" t="n"/>
      <c r="C806" s="34" t="n"/>
      <c r="D806" s="34" t="n"/>
      <c r="E806" s="34" t="n"/>
      <c r="F806" s="86" t="n"/>
      <c r="G806" s="86" t="n"/>
      <c r="H806" s="111" t="n"/>
      <c r="I806" s="87" t="n"/>
      <c r="J806" s="87" t="n"/>
      <c r="K806" s="111" t="n"/>
      <c r="L806" s="86" t="n"/>
      <c r="M806" s="97" t="n"/>
      <c r="N806" s="88" t="n"/>
      <c r="O806" s="20" t="n"/>
      <c r="P806" s="31" t="n"/>
      <c r="Q806" s="89" t="n"/>
      <c r="R806" s="89" t="n"/>
      <c r="S806" s="89" t="n"/>
      <c r="T806" s="59" t="n"/>
      <c r="U806" s="94" t="n"/>
      <c r="V806" s="95">
        <f>U806/B806</f>
        <v/>
      </c>
    </row>
    <row r="807" ht="22.5" customHeight="1" s="150">
      <c r="A807" s="34" t="n">
        <v>805</v>
      </c>
      <c r="B807" s="34" t="n"/>
      <c r="C807" s="34" t="n"/>
      <c r="D807" s="34" t="n"/>
      <c r="E807" s="34" t="n"/>
      <c r="F807" s="86" t="n"/>
      <c r="G807" s="86" t="n"/>
      <c r="H807" s="111" t="n"/>
      <c r="I807" s="87" t="n"/>
      <c r="J807" s="87" t="n"/>
      <c r="K807" s="111" t="n"/>
      <c r="L807" s="86" t="n"/>
      <c r="M807" s="96" t="n"/>
      <c r="N807" s="88" t="n"/>
      <c r="O807" s="20" t="n"/>
      <c r="P807" s="31" t="n"/>
      <c r="Q807" s="89" t="n"/>
      <c r="R807" s="89" t="n"/>
      <c r="S807" s="89" t="n"/>
      <c r="T807" s="59" t="n"/>
      <c r="U807" s="91" t="n"/>
      <c r="V807" s="93">
        <f>U807/B807</f>
        <v/>
      </c>
    </row>
    <row r="808" ht="22.5" customHeight="1" s="150">
      <c r="A808" s="34" t="n">
        <v>806</v>
      </c>
      <c r="B808" s="34" t="n"/>
      <c r="C808" s="34" t="n"/>
      <c r="D808" s="34" t="n"/>
      <c r="E808" s="34" t="n"/>
      <c r="F808" s="86" t="n"/>
      <c r="G808" s="86" t="n"/>
      <c r="H808" s="111" t="n"/>
      <c r="I808" s="87" t="n"/>
      <c r="J808" s="87" t="n"/>
      <c r="K808" s="111" t="n"/>
      <c r="L808" s="86" t="n"/>
      <c r="M808" s="97" t="n"/>
      <c r="N808" s="88" t="n"/>
      <c r="O808" s="20" t="n"/>
      <c r="P808" s="31" t="n"/>
      <c r="Q808" s="89" t="n"/>
      <c r="R808" s="89" t="n"/>
      <c r="S808" s="89" t="n"/>
      <c r="T808" s="59" t="n"/>
      <c r="U808" s="94" t="n"/>
      <c r="V808" s="95">
        <f>U808/B808</f>
        <v/>
      </c>
    </row>
    <row r="809" ht="22.5" customHeight="1" s="150">
      <c r="A809" s="34" t="n">
        <v>807</v>
      </c>
      <c r="B809" s="34" t="n"/>
      <c r="C809" s="34" t="n"/>
      <c r="D809" s="34" t="n"/>
      <c r="E809" s="34" t="n"/>
      <c r="F809" s="86" t="n"/>
      <c r="G809" s="86" t="n"/>
      <c r="H809" s="111" t="n"/>
      <c r="I809" s="87" t="n"/>
      <c r="J809" s="87" t="n"/>
      <c r="K809" s="111" t="n"/>
      <c r="L809" s="86" t="n"/>
      <c r="M809" s="96" t="n"/>
      <c r="N809" s="88" t="n"/>
      <c r="O809" s="20" t="n"/>
      <c r="P809" s="31" t="n"/>
      <c r="Q809" s="89" t="n"/>
      <c r="R809" s="89" t="n"/>
      <c r="S809" s="89" t="n"/>
      <c r="T809" s="59" t="n"/>
      <c r="U809" s="91" t="n"/>
      <c r="V809" s="93">
        <f>U809/B809</f>
        <v/>
      </c>
    </row>
    <row r="810" ht="22.5" customHeight="1" s="150">
      <c r="A810" s="34" t="n">
        <v>808</v>
      </c>
      <c r="B810" s="34" t="n"/>
      <c r="C810" s="34" t="n"/>
      <c r="D810" s="34" t="n"/>
      <c r="E810" s="34" t="n"/>
      <c r="F810" s="86" t="n"/>
      <c r="G810" s="86" t="n"/>
      <c r="H810" s="111" t="n"/>
      <c r="I810" s="87" t="n"/>
      <c r="J810" s="87" t="n"/>
      <c r="K810" s="111" t="n"/>
      <c r="L810" s="86" t="n"/>
      <c r="M810" s="97" t="n"/>
      <c r="N810" s="88" t="n"/>
      <c r="O810" s="20" t="n"/>
      <c r="P810" s="31" t="n"/>
      <c r="Q810" s="89" t="n"/>
      <c r="R810" s="89" t="n"/>
      <c r="S810" s="89" t="n"/>
      <c r="T810" s="59" t="n"/>
      <c r="U810" s="94" t="n"/>
      <c r="V810" s="95">
        <f>U810/B810</f>
        <v/>
      </c>
    </row>
    <row r="811" ht="22.5" customHeight="1" s="150">
      <c r="A811" s="34" t="n">
        <v>809</v>
      </c>
      <c r="B811" s="34" t="n"/>
      <c r="C811" s="34" t="n"/>
      <c r="D811" s="34" t="n"/>
      <c r="E811" s="34" t="n"/>
      <c r="F811" s="86" t="n"/>
      <c r="G811" s="86" t="n"/>
      <c r="H811" s="111" t="n"/>
      <c r="I811" s="87" t="n"/>
      <c r="J811" s="87" t="n"/>
      <c r="K811" s="111" t="n"/>
      <c r="L811" s="86" t="n"/>
      <c r="M811" s="96" t="n"/>
      <c r="N811" s="88" t="n"/>
      <c r="O811" s="20" t="n"/>
      <c r="P811" s="31" t="n"/>
      <c r="Q811" s="89" t="n"/>
      <c r="R811" s="89" t="n"/>
      <c r="S811" s="89" t="n"/>
      <c r="T811" s="59" t="n"/>
      <c r="U811" s="91" t="n"/>
      <c r="V811" s="93">
        <f>U811/B811</f>
        <v/>
      </c>
    </row>
    <row r="812" ht="22.5" customHeight="1" s="150">
      <c r="A812" s="34" t="n">
        <v>810</v>
      </c>
      <c r="B812" s="34" t="n"/>
      <c r="C812" s="34" t="n"/>
      <c r="D812" s="34" t="n"/>
      <c r="E812" s="34" t="n"/>
      <c r="F812" s="86" t="n"/>
      <c r="G812" s="86" t="n"/>
      <c r="H812" s="111" t="n"/>
      <c r="I812" s="87" t="n"/>
      <c r="J812" s="87" t="n"/>
      <c r="K812" s="111" t="n"/>
      <c r="L812" s="86" t="n"/>
      <c r="M812" s="97" t="n"/>
      <c r="N812" s="88" t="n"/>
      <c r="O812" s="20" t="n"/>
      <c r="P812" s="31" t="n"/>
      <c r="Q812" s="89" t="n"/>
      <c r="R812" s="89" t="n"/>
      <c r="S812" s="89" t="n"/>
      <c r="T812" s="59" t="n"/>
      <c r="U812" s="94" t="n"/>
      <c r="V812" s="95">
        <f>U812/B812</f>
        <v/>
      </c>
    </row>
    <row r="813" ht="22.5" customHeight="1" s="150">
      <c r="A813" s="34" t="n">
        <v>811</v>
      </c>
      <c r="B813" s="34" t="n"/>
      <c r="C813" s="34" t="n"/>
      <c r="D813" s="34" t="n"/>
      <c r="E813" s="34" t="n"/>
      <c r="F813" s="86" t="n"/>
      <c r="G813" s="86" t="n"/>
      <c r="H813" s="111" t="n"/>
      <c r="I813" s="87" t="n"/>
      <c r="J813" s="87" t="n"/>
      <c r="K813" s="111" t="n"/>
      <c r="L813" s="86" t="n"/>
      <c r="M813" s="96" t="n"/>
      <c r="N813" s="88" t="n"/>
      <c r="O813" s="20" t="n"/>
      <c r="P813" s="31" t="n"/>
      <c r="Q813" s="89" t="n"/>
      <c r="R813" s="89" t="n"/>
      <c r="S813" s="89" t="n"/>
      <c r="T813" s="59" t="n"/>
      <c r="U813" s="91" t="n"/>
      <c r="V813" s="93">
        <f>U813/B813</f>
        <v/>
      </c>
    </row>
    <row r="814" ht="22.5" customHeight="1" s="150">
      <c r="A814" s="34" t="n">
        <v>812</v>
      </c>
      <c r="B814" s="34" t="n"/>
      <c r="C814" s="34" t="n"/>
      <c r="D814" s="34" t="n"/>
      <c r="E814" s="34" t="n"/>
      <c r="F814" s="86" t="n"/>
      <c r="G814" s="86" t="n"/>
      <c r="H814" s="111" t="n"/>
      <c r="I814" s="87" t="n"/>
      <c r="J814" s="87" t="n"/>
      <c r="K814" s="111" t="n"/>
      <c r="L814" s="86" t="n"/>
      <c r="M814" s="97" t="n"/>
      <c r="N814" s="88" t="n"/>
      <c r="O814" s="20" t="n"/>
      <c r="P814" s="31" t="n"/>
      <c r="Q814" s="89" t="n"/>
      <c r="R814" s="89" t="n"/>
      <c r="S814" s="89" t="n"/>
      <c r="T814" s="59" t="n"/>
      <c r="U814" s="94" t="n"/>
      <c r="V814" s="95">
        <f>U814/B814</f>
        <v/>
      </c>
    </row>
    <row r="815" ht="22.5" customHeight="1" s="150">
      <c r="A815" s="34" t="n">
        <v>813</v>
      </c>
      <c r="B815" s="34" t="n"/>
      <c r="C815" s="34" t="n"/>
      <c r="D815" s="34" t="n"/>
      <c r="E815" s="34" t="n"/>
      <c r="F815" s="86" t="n"/>
      <c r="G815" s="86" t="n"/>
      <c r="H815" s="111" t="n"/>
      <c r="I815" s="87" t="n"/>
      <c r="J815" s="87" t="n"/>
      <c r="K815" s="111" t="n"/>
      <c r="L815" s="86" t="n"/>
      <c r="M815" s="96" t="n"/>
      <c r="N815" s="88" t="n"/>
      <c r="O815" s="20" t="n"/>
      <c r="P815" s="31" t="n"/>
      <c r="Q815" s="89" t="n"/>
      <c r="R815" s="89" t="n"/>
      <c r="S815" s="89" t="n"/>
      <c r="T815" s="59" t="n"/>
      <c r="U815" s="91" t="n"/>
      <c r="V815" s="93">
        <f>U815/B815</f>
        <v/>
      </c>
    </row>
    <row r="816" ht="22.5" customHeight="1" s="150">
      <c r="A816" s="34" t="n">
        <v>814</v>
      </c>
      <c r="B816" s="34" t="n"/>
      <c r="C816" s="34" t="n"/>
      <c r="D816" s="34" t="n"/>
      <c r="E816" s="34" t="n"/>
      <c r="F816" s="86" t="n"/>
      <c r="G816" s="86" t="n"/>
      <c r="H816" s="111" t="n"/>
      <c r="I816" s="87" t="n"/>
      <c r="J816" s="87" t="n"/>
      <c r="K816" s="111" t="n"/>
      <c r="L816" s="86" t="n"/>
      <c r="M816" s="97" t="n"/>
      <c r="N816" s="88" t="n"/>
      <c r="O816" s="20" t="n"/>
      <c r="P816" s="31" t="n"/>
      <c r="Q816" s="89" t="n"/>
      <c r="R816" s="89" t="n"/>
      <c r="S816" s="89" t="n"/>
      <c r="T816" s="59" t="n"/>
      <c r="U816" s="94" t="n"/>
      <c r="V816" s="95">
        <f>U816/B816</f>
        <v/>
      </c>
    </row>
    <row r="817" ht="22.5" customHeight="1" s="150">
      <c r="A817" s="34" t="n">
        <v>815</v>
      </c>
      <c r="B817" s="34" t="n"/>
      <c r="C817" s="34" t="n"/>
      <c r="D817" s="34" t="n"/>
      <c r="E817" s="34" t="n"/>
      <c r="F817" s="86" t="n"/>
      <c r="G817" s="86" t="n"/>
      <c r="H817" s="111" t="n"/>
      <c r="I817" s="87" t="n"/>
      <c r="J817" s="87" t="n"/>
      <c r="K817" s="111" t="n"/>
      <c r="L817" s="86" t="n"/>
      <c r="M817" s="96" t="n"/>
      <c r="N817" s="88" t="n"/>
      <c r="O817" s="20" t="n"/>
      <c r="P817" s="31" t="n"/>
      <c r="Q817" s="89" t="n"/>
      <c r="R817" s="89" t="n"/>
      <c r="S817" s="89" t="n"/>
      <c r="T817" s="59" t="n"/>
      <c r="U817" s="91" t="n"/>
      <c r="V817" s="93">
        <f>U817/B817</f>
        <v/>
      </c>
    </row>
    <row r="818" ht="22.5" customHeight="1" s="150">
      <c r="A818" s="34" t="n">
        <v>816</v>
      </c>
      <c r="B818" s="34" t="n"/>
      <c r="C818" s="34" t="n"/>
      <c r="D818" s="34" t="n"/>
      <c r="E818" s="34" t="n"/>
      <c r="F818" s="86" t="n"/>
      <c r="G818" s="86" t="n"/>
      <c r="H818" s="111" t="n"/>
      <c r="I818" s="87" t="n"/>
      <c r="J818" s="87" t="n"/>
      <c r="K818" s="111" t="n"/>
      <c r="L818" s="86" t="n"/>
      <c r="M818" s="97" t="n"/>
      <c r="N818" s="88" t="n"/>
      <c r="O818" s="20" t="n"/>
      <c r="P818" s="31" t="n"/>
      <c r="Q818" s="89" t="n"/>
      <c r="R818" s="89" t="n"/>
      <c r="S818" s="89" t="n"/>
      <c r="T818" s="59" t="n"/>
      <c r="U818" s="94" t="n"/>
      <c r="V818" s="95">
        <f>U818/B818</f>
        <v/>
      </c>
    </row>
    <row r="819" ht="22.5" customHeight="1" s="150">
      <c r="A819" s="34" t="n">
        <v>817</v>
      </c>
      <c r="B819" s="34" t="n"/>
      <c r="C819" s="34" t="n"/>
      <c r="D819" s="34" t="n"/>
      <c r="E819" s="34" t="n"/>
      <c r="F819" s="86" t="n"/>
      <c r="G819" s="86" t="n"/>
      <c r="H819" s="111" t="n"/>
      <c r="I819" s="87" t="n"/>
      <c r="J819" s="87" t="n"/>
      <c r="K819" s="111" t="n"/>
      <c r="L819" s="86" t="n"/>
      <c r="M819" s="96" t="n"/>
      <c r="N819" s="88" t="n"/>
      <c r="O819" s="20" t="n"/>
      <c r="P819" s="31" t="n"/>
      <c r="Q819" s="89" t="n"/>
      <c r="R819" s="89" t="n"/>
      <c r="S819" s="89" t="n"/>
      <c r="T819" s="59" t="n"/>
      <c r="U819" s="91" t="n"/>
      <c r="V819" s="93">
        <f>U819/B819</f>
        <v/>
      </c>
    </row>
    <row r="820" ht="22.5" customHeight="1" s="150">
      <c r="A820" s="34" t="n">
        <v>818</v>
      </c>
      <c r="B820" s="34" t="n"/>
      <c r="C820" s="34" t="n"/>
      <c r="D820" s="34" t="n"/>
      <c r="E820" s="34" t="n"/>
      <c r="F820" s="86" t="n"/>
      <c r="G820" s="86" t="n"/>
      <c r="H820" s="111" t="n"/>
      <c r="I820" s="87" t="n"/>
      <c r="J820" s="87" t="n"/>
      <c r="K820" s="111" t="n"/>
      <c r="L820" s="86" t="n"/>
      <c r="M820" s="97" t="n"/>
      <c r="N820" s="88" t="n"/>
      <c r="O820" s="20" t="n"/>
      <c r="P820" s="31" t="n"/>
      <c r="Q820" s="89" t="n"/>
      <c r="R820" s="89" t="n"/>
      <c r="S820" s="89" t="n"/>
      <c r="T820" s="59" t="n"/>
      <c r="U820" s="94" t="n"/>
      <c r="V820" s="95">
        <f>U820/B820</f>
        <v/>
      </c>
    </row>
    <row r="821" ht="22.5" customHeight="1" s="150">
      <c r="A821" s="34" t="n">
        <v>819</v>
      </c>
      <c r="B821" s="34" t="n"/>
      <c r="C821" s="34" t="n"/>
      <c r="D821" s="34" t="n"/>
      <c r="E821" s="34" t="n"/>
      <c r="F821" s="86" t="n"/>
      <c r="G821" s="86" t="n"/>
      <c r="H821" s="111" t="n"/>
      <c r="I821" s="87" t="n"/>
      <c r="J821" s="87" t="n"/>
      <c r="K821" s="111" t="n"/>
      <c r="L821" s="86" t="n"/>
      <c r="M821" s="96" t="n"/>
      <c r="N821" s="88" t="n"/>
      <c r="O821" s="20" t="n"/>
      <c r="P821" s="31" t="n"/>
      <c r="Q821" s="89" t="n"/>
      <c r="R821" s="89" t="n"/>
      <c r="S821" s="89" t="n"/>
      <c r="T821" s="59" t="n"/>
      <c r="U821" s="91" t="n"/>
      <c r="V821" s="93">
        <f>U821/B821</f>
        <v/>
      </c>
    </row>
    <row r="822" ht="22.5" customHeight="1" s="150">
      <c r="A822" s="34" t="n">
        <v>820</v>
      </c>
      <c r="B822" s="34" t="n"/>
      <c r="C822" s="34" t="n"/>
      <c r="D822" s="34" t="n"/>
      <c r="E822" s="34" t="n"/>
      <c r="F822" s="86" t="n"/>
      <c r="G822" s="86" t="n"/>
      <c r="H822" s="111" t="n"/>
      <c r="I822" s="87" t="n"/>
      <c r="J822" s="87" t="n"/>
      <c r="K822" s="111" t="n"/>
      <c r="L822" s="86" t="n"/>
      <c r="M822" s="97" t="n"/>
      <c r="N822" s="88" t="n"/>
      <c r="O822" s="20" t="n"/>
      <c r="P822" s="31" t="n"/>
      <c r="Q822" s="89" t="n"/>
      <c r="R822" s="89" t="n"/>
      <c r="S822" s="89" t="n"/>
      <c r="T822" s="59" t="n"/>
      <c r="U822" s="94" t="n"/>
      <c r="V822" s="95">
        <f>U822/B822</f>
        <v/>
      </c>
    </row>
    <row r="823" ht="22.5" customHeight="1" s="150">
      <c r="A823" s="34" t="n">
        <v>821</v>
      </c>
      <c r="B823" s="34" t="n"/>
      <c r="C823" s="34" t="n"/>
      <c r="D823" s="34" t="n"/>
      <c r="E823" s="34" t="n"/>
      <c r="F823" s="86" t="n"/>
      <c r="G823" s="86" t="n"/>
      <c r="H823" s="111" t="n"/>
      <c r="I823" s="87" t="n"/>
      <c r="J823" s="87" t="n"/>
      <c r="K823" s="111" t="n"/>
      <c r="L823" s="86" t="n"/>
      <c r="M823" s="96" t="n"/>
      <c r="N823" s="88" t="n"/>
      <c r="O823" s="20" t="n"/>
      <c r="P823" s="31" t="n"/>
      <c r="Q823" s="89" t="n"/>
      <c r="R823" s="89" t="n"/>
      <c r="S823" s="89" t="n"/>
      <c r="T823" s="59" t="n"/>
      <c r="U823" s="91" t="n"/>
      <c r="V823" s="93">
        <f>U823/B823</f>
        <v/>
      </c>
    </row>
    <row r="824" ht="22.5" customHeight="1" s="150">
      <c r="A824" s="34" t="n">
        <v>822</v>
      </c>
      <c r="B824" s="34" t="n"/>
      <c r="C824" s="34" t="n"/>
      <c r="D824" s="34" t="n"/>
      <c r="E824" s="34" t="n"/>
      <c r="F824" s="86" t="n"/>
      <c r="G824" s="86" t="n"/>
      <c r="H824" s="111" t="n"/>
      <c r="I824" s="87" t="n"/>
      <c r="J824" s="87" t="n"/>
      <c r="K824" s="111" t="n"/>
      <c r="L824" s="86" t="n"/>
      <c r="M824" s="97" t="n"/>
      <c r="N824" s="88" t="n"/>
      <c r="O824" s="20" t="n"/>
      <c r="P824" s="31" t="n"/>
      <c r="Q824" s="89" t="n"/>
      <c r="R824" s="89" t="n"/>
      <c r="S824" s="89" t="n"/>
      <c r="T824" s="59" t="n"/>
      <c r="U824" s="94" t="n"/>
      <c r="V824" s="95">
        <f>U824/B824</f>
        <v/>
      </c>
    </row>
    <row r="825" ht="22.5" customHeight="1" s="150">
      <c r="A825" s="34" t="n">
        <v>823</v>
      </c>
      <c r="B825" s="34" t="n"/>
      <c r="C825" s="34" t="n"/>
      <c r="D825" s="34" t="n"/>
      <c r="E825" s="34" t="n"/>
      <c r="F825" s="86" t="n"/>
      <c r="G825" s="86" t="n"/>
      <c r="H825" s="111" t="n"/>
      <c r="I825" s="87" t="n"/>
      <c r="J825" s="87" t="n"/>
      <c r="K825" s="111" t="n"/>
      <c r="L825" s="86" t="n"/>
      <c r="M825" s="96" t="n"/>
      <c r="N825" s="88" t="n"/>
      <c r="O825" s="20" t="n"/>
      <c r="P825" s="31" t="n"/>
      <c r="Q825" s="89" t="n"/>
      <c r="R825" s="89" t="n"/>
      <c r="S825" s="89" t="n"/>
      <c r="T825" s="59" t="n"/>
      <c r="U825" s="91" t="n"/>
      <c r="V825" s="93">
        <f>U825/B825</f>
        <v/>
      </c>
    </row>
    <row r="826" ht="22.5" customHeight="1" s="150">
      <c r="A826" s="34" t="n">
        <v>824</v>
      </c>
      <c r="B826" s="34" t="n"/>
      <c r="C826" s="34" t="n"/>
      <c r="D826" s="34" t="n"/>
      <c r="E826" s="34" t="n"/>
      <c r="F826" s="86" t="n"/>
      <c r="G826" s="86" t="n"/>
      <c r="H826" s="111" t="n"/>
      <c r="I826" s="87" t="n"/>
      <c r="J826" s="87" t="n"/>
      <c r="K826" s="111" t="n"/>
      <c r="L826" s="86" t="n"/>
      <c r="M826" s="97" t="n"/>
      <c r="N826" s="88" t="n"/>
      <c r="O826" s="20" t="n"/>
      <c r="P826" s="31" t="n"/>
      <c r="Q826" s="89" t="n"/>
      <c r="R826" s="89" t="n"/>
      <c r="S826" s="89" t="n"/>
      <c r="T826" s="59" t="n"/>
      <c r="U826" s="94" t="n"/>
      <c r="V826" s="95">
        <f>U826/B826</f>
        <v/>
      </c>
    </row>
    <row r="827" ht="22.5" customHeight="1" s="150">
      <c r="A827" s="34" t="n">
        <v>825</v>
      </c>
      <c r="B827" s="34" t="n"/>
      <c r="C827" s="34" t="n"/>
      <c r="D827" s="34" t="n"/>
      <c r="E827" s="34" t="n"/>
      <c r="F827" s="86" t="n"/>
      <c r="G827" s="86" t="n"/>
      <c r="H827" s="111" t="n"/>
      <c r="I827" s="87" t="n"/>
      <c r="J827" s="87" t="n"/>
      <c r="K827" s="111" t="n"/>
      <c r="L827" s="86" t="n"/>
      <c r="M827" s="96" t="n"/>
      <c r="N827" s="88" t="n"/>
      <c r="O827" s="20" t="n"/>
      <c r="P827" s="31" t="n"/>
      <c r="Q827" s="89" t="n"/>
      <c r="R827" s="89" t="n"/>
      <c r="S827" s="89" t="n"/>
      <c r="T827" s="59" t="n"/>
      <c r="U827" s="91" t="n"/>
      <c r="V827" s="93">
        <f>U827/B827</f>
        <v/>
      </c>
    </row>
    <row r="828" ht="22.5" customHeight="1" s="150">
      <c r="A828" s="34" t="n">
        <v>826</v>
      </c>
      <c r="B828" s="34" t="n"/>
      <c r="C828" s="34" t="n"/>
      <c r="D828" s="34" t="n"/>
      <c r="E828" s="34" t="n"/>
      <c r="F828" s="86" t="n"/>
      <c r="G828" s="86" t="n"/>
      <c r="H828" s="111" t="n"/>
      <c r="I828" s="87" t="n"/>
      <c r="J828" s="87" t="n"/>
      <c r="K828" s="111" t="n"/>
      <c r="L828" s="86" t="n"/>
      <c r="M828" s="97" t="n"/>
      <c r="N828" s="88" t="n"/>
      <c r="O828" s="20" t="n"/>
      <c r="P828" s="31" t="n"/>
      <c r="Q828" s="89" t="n"/>
      <c r="R828" s="89" t="n"/>
      <c r="S828" s="89" t="n"/>
      <c r="T828" s="59" t="n"/>
      <c r="U828" s="94" t="n"/>
      <c r="V828" s="95">
        <f>U828/B828</f>
        <v/>
      </c>
    </row>
    <row r="829" ht="22.5" customHeight="1" s="150">
      <c r="A829" s="34" t="n">
        <v>827</v>
      </c>
      <c r="B829" s="34" t="n"/>
      <c r="C829" s="34" t="n"/>
      <c r="D829" s="34" t="n"/>
      <c r="E829" s="34" t="n"/>
      <c r="F829" s="86" t="n"/>
      <c r="G829" s="86" t="n"/>
      <c r="H829" s="111" t="n"/>
      <c r="I829" s="87" t="n"/>
      <c r="J829" s="87" t="n"/>
      <c r="K829" s="111" t="n"/>
      <c r="L829" s="86" t="n"/>
      <c r="M829" s="96" t="n"/>
      <c r="N829" s="88" t="n"/>
      <c r="O829" s="20" t="n"/>
      <c r="P829" s="31" t="n"/>
      <c r="Q829" s="89" t="n"/>
      <c r="R829" s="89" t="n"/>
      <c r="S829" s="89" t="n"/>
      <c r="T829" s="59" t="n"/>
      <c r="U829" s="91" t="n"/>
      <c r="V829" s="93">
        <f>U829/B829</f>
        <v/>
      </c>
    </row>
    <row r="830" ht="22.5" customHeight="1" s="150">
      <c r="A830" s="34" t="n">
        <v>828</v>
      </c>
      <c r="B830" s="34" t="n"/>
      <c r="C830" s="34" t="n"/>
      <c r="D830" s="34" t="n"/>
      <c r="E830" s="34" t="n"/>
      <c r="F830" s="86" t="n"/>
      <c r="G830" s="86" t="n"/>
      <c r="H830" s="111" t="n"/>
      <c r="I830" s="87" t="n"/>
      <c r="J830" s="87" t="n"/>
      <c r="K830" s="111" t="n"/>
      <c r="L830" s="86" t="n"/>
      <c r="M830" s="97" t="n"/>
      <c r="N830" s="88" t="n"/>
      <c r="O830" s="20" t="n"/>
      <c r="P830" s="31" t="n"/>
      <c r="Q830" s="89" t="n"/>
      <c r="R830" s="89" t="n"/>
      <c r="S830" s="89" t="n"/>
      <c r="T830" s="59" t="n"/>
      <c r="U830" s="94" t="n"/>
      <c r="V830" s="95">
        <f>U830/B830</f>
        <v/>
      </c>
    </row>
    <row r="831" ht="22.5" customHeight="1" s="150">
      <c r="A831" s="34" t="n">
        <v>829</v>
      </c>
      <c r="B831" s="34" t="n"/>
      <c r="C831" s="34" t="n"/>
      <c r="D831" s="34" t="n"/>
      <c r="E831" s="34" t="n"/>
      <c r="F831" s="86" t="n"/>
      <c r="G831" s="86" t="n"/>
      <c r="H831" s="111" t="n"/>
      <c r="I831" s="87" t="n"/>
      <c r="J831" s="87" t="n"/>
      <c r="K831" s="111" t="n"/>
      <c r="L831" s="86" t="n"/>
      <c r="M831" s="96" t="n"/>
      <c r="N831" s="88" t="n"/>
      <c r="O831" s="20" t="n"/>
      <c r="P831" s="31" t="n"/>
      <c r="Q831" s="89" t="n"/>
      <c r="R831" s="89" t="n"/>
      <c r="S831" s="89" t="n"/>
      <c r="T831" s="59" t="n"/>
      <c r="U831" s="91" t="n"/>
      <c r="V831" s="93">
        <f>U831/B831</f>
        <v/>
      </c>
    </row>
    <row r="832" ht="22.5" customHeight="1" s="150">
      <c r="A832" s="34" t="n">
        <v>830</v>
      </c>
      <c r="B832" s="34" t="n"/>
      <c r="C832" s="34" t="n"/>
      <c r="D832" s="34" t="n"/>
      <c r="E832" s="34" t="n"/>
      <c r="F832" s="86" t="n"/>
      <c r="G832" s="86" t="n"/>
      <c r="H832" s="111" t="n"/>
      <c r="I832" s="87" t="n"/>
      <c r="J832" s="87" t="n"/>
      <c r="K832" s="111" t="n"/>
      <c r="L832" s="86" t="n"/>
      <c r="M832" s="97" t="n"/>
      <c r="N832" s="88" t="n"/>
      <c r="O832" s="20" t="n"/>
      <c r="P832" s="31" t="n"/>
      <c r="Q832" s="89" t="n"/>
      <c r="R832" s="89" t="n"/>
      <c r="S832" s="89" t="n"/>
      <c r="T832" s="59" t="n"/>
      <c r="U832" s="94" t="n"/>
      <c r="V832" s="95">
        <f>U832/B832</f>
        <v/>
      </c>
    </row>
    <row r="833" ht="22.5" customHeight="1" s="150">
      <c r="A833" s="34" t="n">
        <v>831</v>
      </c>
      <c r="B833" s="34" t="n"/>
      <c r="C833" s="34" t="n"/>
      <c r="D833" s="34" t="n"/>
      <c r="E833" s="34" t="n"/>
      <c r="F833" s="86" t="n"/>
      <c r="G833" s="86" t="n"/>
      <c r="H833" s="111" t="n"/>
      <c r="I833" s="87" t="n"/>
      <c r="J833" s="87" t="n"/>
      <c r="K833" s="111" t="n"/>
      <c r="L833" s="86" t="n"/>
      <c r="M833" s="96" t="n"/>
      <c r="N833" s="88" t="n"/>
      <c r="O833" s="20" t="n"/>
      <c r="P833" s="31" t="n"/>
      <c r="Q833" s="89" t="n"/>
      <c r="R833" s="89" t="n"/>
      <c r="S833" s="89" t="n"/>
      <c r="T833" s="59" t="n"/>
      <c r="U833" s="91" t="n"/>
      <c r="V833" s="93">
        <f>U833/B833</f>
        <v/>
      </c>
    </row>
    <row r="834" ht="22.5" customHeight="1" s="150">
      <c r="A834" s="34" t="n">
        <v>832</v>
      </c>
      <c r="B834" s="34" t="n"/>
      <c r="C834" s="34" t="n"/>
      <c r="D834" s="34" t="n"/>
      <c r="E834" s="34" t="n"/>
      <c r="F834" s="86" t="n"/>
      <c r="G834" s="86" t="n"/>
      <c r="H834" s="111" t="n"/>
      <c r="I834" s="87" t="n"/>
      <c r="J834" s="87" t="n"/>
      <c r="K834" s="111" t="n"/>
      <c r="L834" s="86" t="n"/>
      <c r="M834" s="97" t="n"/>
      <c r="N834" s="88" t="n"/>
      <c r="O834" s="20" t="n"/>
      <c r="P834" s="31" t="n"/>
      <c r="Q834" s="89" t="n"/>
      <c r="R834" s="89" t="n"/>
      <c r="S834" s="89" t="n"/>
      <c r="T834" s="59" t="n"/>
      <c r="U834" s="94" t="n"/>
      <c r="V834" s="95">
        <f>U834/B834</f>
        <v/>
      </c>
    </row>
    <row r="835" ht="22.5" customHeight="1" s="150">
      <c r="A835" s="34" t="n">
        <v>833</v>
      </c>
      <c r="B835" s="34" t="n"/>
      <c r="C835" s="34" t="n"/>
      <c r="D835" s="34" t="n"/>
      <c r="E835" s="34" t="n"/>
      <c r="F835" s="86" t="n"/>
      <c r="G835" s="86" t="n"/>
      <c r="H835" s="111" t="n"/>
      <c r="I835" s="87" t="n"/>
      <c r="J835" s="87" t="n"/>
      <c r="K835" s="111" t="n"/>
      <c r="L835" s="86" t="n"/>
      <c r="M835" s="96" t="n"/>
      <c r="N835" s="88" t="n"/>
      <c r="O835" s="20" t="n"/>
      <c r="P835" s="31" t="n"/>
      <c r="Q835" s="89" t="n"/>
      <c r="R835" s="89" t="n"/>
      <c r="S835" s="89" t="n"/>
      <c r="T835" s="59" t="n"/>
      <c r="U835" s="91" t="n"/>
      <c r="V835" s="93">
        <f>U835/B835</f>
        <v/>
      </c>
    </row>
    <row r="836" ht="22.5" customHeight="1" s="150">
      <c r="A836" s="34" t="n">
        <v>834</v>
      </c>
      <c r="B836" s="34" t="n"/>
      <c r="C836" s="34" t="n"/>
      <c r="D836" s="34" t="n"/>
      <c r="E836" s="34" t="n"/>
      <c r="F836" s="86" t="n"/>
      <c r="G836" s="86" t="n"/>
      <c r="H836" s="111" t="n"/>
      <c r="I836" s="87" t="n"/>
      <c r="J836" s="87" t="n"/>
      <c r="K836" s="111" t="n"/>
      <c r="L836" s="86" t="n"/>
      <c r="M836" s="97" t="n"/>
      <c r="N836" s="88" t="n"/>
      <c r="O836" s="20" t="n"/>
      <c r="P836" s="31" t="n"/>
      <c r="Q836" s="89" t="n"/>
      <c r="R836" s="89" t="n"/>
      <c r="S836" s="89" t="n"/>
      <c r="T836" s="59" t="n"/>
      <c r="U836" s="94" t="n"/>
      <c r="V836" s="95">
        <f>U836/B836</f>
        <v/>
      </c>
    </row>
    <row r="837" ht="22.5" customHeight="1" s="150">
      <c r="A837" s="34" t="n">
        <v>835</v>
      </c>
      <c r="B837" s="34" t="n"/>
      <c r="C837" s="34" t="n"/>
      <c r="D837" s="34" t="n"/>
      <c r="E837" s="34" t="n"/>
      <c r="F837" s="86" t="n"/>
      <c r="G837" s="86" t="n"/>
      <c r="H837" s="111" t="n"/>
      <c r="I837" s="87" t="n"/>
      <c r="J837" s="87" t="n"/>
      <c r="K837" s="111" t="n"/>
      <c r="L837" s="86" t="n"/>
      <c r="M837" s="96" t="n"/>
      <c r="N837" s="88" t="n"/>
      <c r="O837" s="20" t="n"/>
      <c r="P837" s="31" t="n"/>
      <c r="Q837" s="89" t="n"/>
      <c r="R837" s="89" t="n"/>
      <c r="S837" s="89" t="n"/>
      <c r="T837" s="59" t="n"/>
      <c r="U837" s="91" t="n"/>
      <c r="V837" s="93">
        <f>U837/B837</f>
        <v/>
      </c>
    </row>
    <row r="838" ht="22.5" customHeight="1" s="150">
      <c r="A838" s="34" t="n">
        <v>836</v>
      </c>
      <c r="B838" s="34" t="n"/>
      <c r="C838" s="34" t="n"/>
      <c r="D838" s="34" t="n"/>
      <c r="E838" s="34" t="n"/>
      <c r="F838" s="86" t="n"/>
      <c r="G838" s="86" t="n"/>
      <c r="H838" s="111" t="n"/>
      <c r="I838" s="87" t="n"/>
      <c r="J838" s="87" t="n"/>
      <c r="K838" s="111" t="n"/>
      <c r="L838" s="86" t="n"/>
      <c r="M838" s="97" t="n"/>
      <c r="N838" s="88" t="n"/>
      <c r="O838" s="20" t="n"/>
      <c r="P838" s="31" t="n"/>
      <c r="Q838" s="89" t="n"/>
      <c r="R838" s="89" t="n"/>
      <c r="S838" s="89" t="n"/>
      <c r="T838" s="59" t="n"/>
      <c r="U838" s="94" t="n"/>
      <c r="V838" s="95">
        <f>U838/B838</f>
        <v/>
      </c>
    </row>
    <row r="839" ht="22.5" customHeight="1" s="150">
      <c r="A839" s="34" t="n">
        <v>837</v>
      </c>
      <c r="B839" s="34" t="n"/>
      <c r="C839" s="34" t="n"/>
      <c r="D839" s="34" t="n"/>
      <c r="E839" s="34" t="n"/>
      <c r="F839" s="86" t="n"/>
      <c r="G839" s="86" t="n"/>
      <c r="H839" s="111" t="n"/>
      <c r="I839" s="87" t="n"/>
      <c r="J839" s="87" t="n"/>
      <c r="K839" s="111" t="n"/>
      <c r="L839" s="86" t="n"/>
      <c r="M839" s="96" t="n"/>
      <c r="N839" s="88" t="n"/>
      <c r="O839" s="20" t="n"/>
      <c r="P839" s="31" t="n"/>
      <c r="Q839" s="89" t="n"/>
      <c r="R839" s="89" t="n"/>
      <c r="S839" s="89" t="n"/>
      <c r="T839" s="59" t="n"/>
      <c r="U839" s="91" t="n"/>
      <c r="V839" s="93">
        <f>U839/B839</f>
        <v/>
      </c>
    </row>
    <row r="840" ht="22.5" customHeight="1" s="150">
      <c r="A840" s="34" t="n">
        <v>838</v>
      </c>
      <c r="B840" s="34" t="n"/>
      <c r="C840" s="34" t="n"/>
      <c r="D840" s="34" t="n"/>
      <c r="E840" s="34" t="n"/>
      <c r="F840" s="86" t="n"/>
      <c r="G840" s="86" t="n"/>
      <c r="H840" s="111" t="n"/>
      <c r="I840" s="87" t="n"/>
      <c r="J840" s="87" t="n"/>
      <c r="K840" s="111" t="n"/>
      <c r="L840" s="86" t="n"/>
      <c r="M840" s="97" t="n"/>
      <c r="N840" s="88" t="n"/>
      <c r="O840" s="20" t="n"/>
      <c r="P840" s="31" t="n"/>
      <c r="Q840" s="89" t="n"/>
      <c r="R840" s="89" t="n"/>
      <c r="S840" s="89" t="n"/>
      <c r="T840" s="59" t="n"/>
      <c r="U840" s="94" t="n"/>
      <c r="V840" s="95">
        <f>U840/B840</f>
        <v/>
      </c>
    </row>
    <row r="841" ht="22.5" customHeight="1" s="150">
      <c r="A841" s="34" t="n">
        <v>839</v>
      </c>
      <c r="B841" s="34" t="n"/>
      <c r="C841" s="34" t="n"/>
      <c r="D841" s="34" t="n"/>
      <c r="E841" s="34" t="n"/>
      <c r="F841" s="86" t="n"/>
      <c r="G841" s="86" t="n"/>
      <c r="H841" s="111" t="n"/>
      <c r="I841" s="87" t="n"/>
      <c r="J841" s="87" t="n"/>
      <c r="K841" s="111" t="n"/>
      <c r="L841" s="86" t="n"/>
      <c r="M841" s="96" t="n"/>
      <c r="N841" s="88" t="n"/>
      <c r="O841" s="20" t="n"/>
      <c r="P841" s="31" t="n"/>
      <c r="Q841" s="89" t="n"/>
      <c r="R841" s="89" t="n"/>
      <c r="S841" s="89" t="n"/>
      <c r="T841" s="59" t="n"/>
      <c r="U841" s="91" t="n"/>
      <c r="V841" s="93">
        <f>U841/B841</f>
        <v/>
      </c>
    </row>
    <row r="842" ht="22.5" customHeight="1" s="150">
      <c r="A842" s="34" t="n">
        <v>840</v>
      </c>
      <c r="B842" s="34" t="n"/>
      <c r="C842" s="34" t="n"/>
      <c r="D842" s="34" t="n"/>
      <c r="E842" s="34" t="n"/>
      <c r="F842" s="86" t="n"/>
      <c r="G842" s="86" t="n"/>
      <c r="H842" s="111" t="n"/>
      <c r="I842" s="87" t="n"/>
      <c r="J842" s="87" t="n"/>
      <c r="K842" s="111" t="n"/>
      <c r="L842" s="86" t="n"/>
      <c r="M842" s="97" t="n"/>
      <c r="N842" s="88" t="n"/>
      <c r="O842" s="20" t="n"/>
      <c r="P842" s="31" t="n"/>
      <c r="Q842" s="89" t="n"/>
      <c r="R842" s="89" t="n"/>
      <c r="S842" s="89" t="n"/>
      <c r="T842" s="59" t="n"/>
      <c r="U842" s="94" t="n"/>
      <c r="V842" s="95">
        <f>U842/B842</f>
        <v/>
      </c>
    </row>
    <row r="843" ht="22.5" customHeight="1" s="150">
      <c r="A843" s="34" t="n">
        <v>841</v>
      </c>
      <c r="B843" s="34" t="n"/>
      <c r="C843" s="34" t="n"/>
      <c r="D843" s="34" t="n"/>
      <c r="E843" s="34" t="n"/>
      <c r="F843" s="86" t="n"/>
      <c r="G843" s="86" t="n"/>
      <c r="H843" s="111" t="n"/>
      <c r="I843" s="87" t="n"/>
      <c r="J843" s="87" t="n"/>
      <c r="K843" s="111" t="n"/>
      <c r="L843" s="86" t="n"/>
      <c r="M843" s="96" t="n"/>
      <c r="N843" s="88" t="n"/>
      <c r="O843" s="20" t="n"/>
      <c r="P843" s="31" t="n"/>
      <c r="Q843" s="89" t="n"/>
      <c r="R843" s="89" t="n"/>
      <c r="S843" s="89" t="n"/>
      <c r="T843" s="59" t="n"/>
      <c r="U843" s="91" t="n"/>
      <c r="V843" s="93">
        <f>U843/B843</f>
        <v/>
      </c>
    </row>
    <row r="844" ht="22.5" customHeight="1" s="150">
      <c r="A844" s="34" t="n">
        <v>842</v>
      </c>
      <c r="B844" s="34" t="n"/>
      <c r="C844" s="34" t="n"/>
      <c r="D844" s="34" t="n"/>
      <c r="E844" s="34" t="n"/>
      <c r="F844" s="86" t="n"/>
      <c r="G844" s="86" t="n"/>
      <c r="H844" s="111" t="n"/>
      <c r="I844" s="87" t="n"/>
      <c r="J844" s="87" t="n"/>
      <c r="K844" s="111" t="n"/>
      <c r="L844" s="86" t="n"/>
      <c r="M844" s="97" t="n"/>
      <c r="N844" s="88" t="n"/>
      <c r="O844" s="20" t="n"/>
      <c r="P844" s="31" t="n"/>
      <c r="Q844" s="89" t="n"/>
      <c r="R844" s="89" t="n"/>
      <c r="S844" s="89" t="n"/>
      <c r="T844" s="59" t="n"/>
      <c r="U844" s="94" t="n"/>
      <c r="V844" s="95">
        <f>U844/B844</f>
        <v/>
      </c>
    </row>
    <row r="845" ht="22.5" customHeight="1" s="150">
      <c r="A845" s="34" t="n">
        <v>843</v>
      </c>
      <c r="B845" s="34" t="n"/>
      <c r="C845" s="34" t="n"/>
      <c r="D845" s="34" t="n"/>
      <c r="E845" s="34" t="n"/>
      <c r="F845" s="86" t="n"/>
      <c r="G845" s="86" t="n"/>
      <c r="H845" s="111" t="n"/>
      <c r="I845" s="87" t="n"/>
      <c r="J845" s="87" t="n"/>
      <c r="K845" s="111" t="n"/>
      <c r="L845" s="86" t="n"/>
      <c r="M845" s="96" t="n"/>
      <c r="N845" s="88" t="n"/>
      <c r="O845" s="20" t="n"/>
      <c r="P845" s="31" t="n"/>
      <c r="Q845" s="89" t="n"/>
      <c r="R845" s="89" t="n"/>
      <c r="S845" s="89" t="n"/>
      <c r="T845" s="59" t="n"/>
      <c r="U845" s="91" t="n"/>
      <c r="V845" s="93">
        <f>U845/B845</f>
        <v/>
      </c>
    </row>
    <row r="846" ht="22.5" customHeight="1" s="150">
      <c r="A846" s="34" t="n">
        <v>844</v>
      </c>
      <c r="B846" s="34" t="n"/>
      <c r="C846" s="34" t="n"/>
      <c r="D846" s="34" t="n"/>
      <c r="E846" s="34" t="n"/>
      <c r="F846" s="86" t="n"/>
      <c r="G846" s="86" t="n"/>
      <c r="H846" s="111" t="n"/>
      <c r="I846" s="87" t="n"/>
      <c r="J846" s="87" t="n"/>
      <c r="K846" s="111" t="n"/>
      <c r="L846" s="86" t="n"/>
      <c r="M846" s="97" t="n"/>
      <c r="N846" s="88" t="n"/>
      <c r="O846" s="20" t="n"/>
      <c r="P846" s="31" t="n"/>
      <c r="Q846" s="89" t="n"/>
      <c r="R846" s="89" t="n"/>
      <c r="S846" s="89" t="n"/>
      <c r="T846" s="59" t="n"/>
      <c r="U846" s="94" t="n"/>
      <c r="V846" s="95">
        <f>U846/B846</f>
        <v/>
      </c>
    </row>
    <row r="847" ht="22.5" customHeight="1" s="150">
      <c r="A847" s="34" t="n">
        <v>845</v>
      </c>
      <c r="B847" s="34" t="n"/>
      <c r="C847" s="34" t="n"/>
      <c r="D847" s="34" t="n"/>
      <c r="E847" s="34" t="n"/>
      <c r="F847" s="86" t="n"/>
      <c r="G847" s="86" t="n"/>
      <c r="H847" s="111" t="n"/>
      <c r="I847" s="87" t="n"/>
      <c r="J847" s="87" t="n"/>
      <c r="K847" s="111" t="n"/>
      <c r="L847" s="86" t="n"/>
      <c r="M847" s="96" t="n"/>
      <c r="N847" s="88" t="n"/>
      <c r="O847" s="20" t="n"/>
      <c r="P847" s="31" t="n"/>
      <c r="Q847" s="89" t="n"/>
      <c r="R847" s="89" t="n"/>
      <c r="S847" s="89" t="n"/>
      <c r="T847" s="59" t="n"/>
      <c r="U847" s="91" t="n"/>
      <c r="V847" s="93">
        <f>U847/B847</f>
        <v/>
      </c>
    </row>
    <row r="848" ht="22.5" customHeight="1" s="150">
      <c r="A848" s="34" t="n">
        <v>846</v>
      </c>
      <c r="B848" s="34" t="n"/>
      <c r="C848" s="34" t="n"/>
      <c r="D848" s="34" t="n"/>
      <c r="E848" s="34" t="n"/>
      <c r="F848" s="86" t="n"/>
      <c r="G848" s="86" t="n"/>
      <c r="H848" s="111" t="n"/>
      <c r="I848" s="87" t="n"/>
      <c r="J848" s="87" t="n"/>
      <c r="K848" s="111" t="n"/>
      <c r="L848" s="86" t="n"/>
      <c r="M848" s="97" t="n"/>
      <c r="N848" s="88" t="n"/>
      <c r="O848" s="20" t="n"/>
      <c r="P848" s="31" t="n"/>
      <c r="Q848" s="89" t="n"/>
      <c r="R848" s="89" t="n"/>
      <c r="S848" s="89" t="n"/>
      <c r="T848" s="59" t="n"/>
      <c r="U848" s="94" t="n"/>
      <c r="V848" s="95">
        <f>U848/B848</f>
        <v/>
      </c>
    </row>
    <row r="849" ht="22.5" customHeight="1" s="150">
      <c r="A849" s="34" t="n">
        <v>847</v>
      </c>
      <c r="B849" s="34" t="n"/>
      <c r="C849" s="34" t="n"/>
      <c r="D849" s="34" t="n"/>
      <c r="E849" s="34" t="n"/>
      <c r="F849" s="86" t="n"/>
      <c r="G849" s="86" t="n"/>
      <c r="H849" s="111" t="n"/>
      <c r="I849" s="87" t="n"/>
      <c r="J849" s="87" t="n"/>
      <c r="K849" s="111" t="n"/>
      <c r="L849" s="86" t="n"/>
      <c r="M849" s="96" t="n"/>
      <c r="N849" s="88" t="n"/>
      <c r="O849" s="20" t="n"/>
      <c r="P849" s="31" t="n"/>
      <c r="Q849" s="89" t="n"/>
      <c r="R849" s="89" t="n"/>
      <c r="S849" s="89" t="n"/>
      <c r="T849" s="59" t="n"/>
      <c r="U849" s="91" t="n"/>
      <c r="V849" s="93">
        <f>U849/B849</f>
        <v/>
      </c>
    </row>
    <row r="850" ht="22.5" customHeight="1" s="150">
      <c r="A850" s="34" t="n">
        <v>848</v>
      </c>
      <c r="B850" s="34" t="n"/>
      <c r="C850" s="34" t="n"/>
      <c r="D850" s="34" t="n"/>
      <c r="E850" s="34" t="n"/>
      <c r="F850" s="86" t="n"/>
      <c r="G850" s="86" t="n"/>
      <c r="H850" s="111" t="n"/>
      <c r="I850" s="87" t="n"/>
      <c r="J850" s="87" t="n"/>
      <c r="K850" s="111" t="n"/>
      <c r="L850" s="86" t="n"/>
      <c r="M850" s="97" t="n"/>
      <c r="N850" s="88" t="n"/>
      <c r="O850" s="20" t="n"/>
      <c r="P850" s="31" t="n"/>
      <c r="Q850" s="89" t="n"/>
      <c r="R850" s="89" t="n"/>
      <c r="S850" s="89" t="n"/>
      <c r="T850" s="59" t="n"/>
      <c r="U850" s="94" t="n"/>
      <c r="V850" s="95">
        <f>U850/B850</f>
        <v/>
      </c>
    </row>
    <row r="851" ht="22.5" customHeight="1" s="150">
      <c r="A851" s="34" t="n">
        <v>849</v>
      </c>
      <c r="B851" s="34" t="n"/>
      <c r="C851" s="34" t="n"/>
      <c r="D851" s="34" t="n"/>
      <c r="E851" s="34" t="n"/>
      <c r="F851" s="86" t="n"/>
      <c r="G851" s="86" t="n"/>
      <c r="H851" s="111" t="n"/>
      <c r="I851" s="87" t="n"/>
      <c r="J851" s="87" t="n"/>
      <c r="K851" s="111" t="n"/>
      <c r="L851" s="86" t="n"/>
      <c r="M851" s="96" t="n"/>
      <c r="N851" s="88" t="n"/>
      <c r="O851" s="20" t="n"/>
      <c r="P851" s="31" t="n"/>
      <c r="Q851" s="89" t="n"/>
      <c r="R851" s="89" t="n"/>
      <c r="S851" s="89" t="n"/>
      <c r="T851" s="59" t="n"/>
      <c r="U851" s="91" t="n"/>
      <c r="V851" s="93">
        <f>U851/B851</f>
        <v/>
      </c>
    </row>
    <row r="852" ht="22.5" customHeight="1" s="150">
      <c r="A852" s="34" t="n">
        <v>850</v>
      </c>
      <c r="B852" s="34" t="n"/>
      <c r="C852" s="34" t="n"/>
      <c r="D852" s="34" t="n"/>
      <c r="E852" s="34" t="n"/>
      <c r="F852" s="86" t="n"/>
      <c r="G852" s="86" t="n"/>
      <c r="H852" s="111" t="n"/>
      <c r="I852" s="87" t="n"/>
      <c r="J852" s="87" t="n"/>
      <c r="K852" s="111" t="n"/>
      <c r="L852" s="86" t="n"/>
      <c r="M852" s="97" t="n"/>
      <c r="N852" s="88" t="n"/>
      <c r="O852" s="20" t="n"/>
      <c r="P852" s="31" t="n"/>
      <c r="Q852" s="89" t="n"/>
      <c r="R852" s="89" t="n"/>
      <c r="S852" s="89" t="n"/>
      <c r="T852" s="59" t="n"/>
      <c r="U852" s="94" t="n"/>
      <c r="V852" s="95">
        <f>U852/B852</f>
        <v/>
      </c>
    </row>
    <row r="853" ht="22.5" customHeight="1" s="150">
      <c r="A853" s="34" t="n">
        <v>851</v>
      </c>
      <c r="B853" s="34" t="n"/>
      <c r="C853" s="34" t="n"/>
      <c r="D853" s="34" t="n"/>
      <c r="E853" s="34" t="n"/>
      <c r="F853" s="86" t="n"/>
      <c r="G853" s="86" t="n"/>
      <c r="H853" s="111" t="n"/>
      <c r="I853" s="87" t="n"/>
      <c r="J853" s="87" t="n"/>
      <c r="K853" s="111" t="n"/>
      <c r="L853" s="86" t="n"/>
      <c r="M853" s="96" t="n"/>
      <c r="N853" s="88" t="n"/>
      <c r="O853" s="20" t="n"/>
      <c r="P853" s="31" t="n"/>
      <c r="Q853" s="89" t="n"/>
      <c r="R853" s="89" t="n"/>
      <c r="S853" s="89" t="n"/>
      <c r="T853" s="59" t="n"/>
      <c r="U853" s="91" t="n"/>
      <c r="V853" s="93">
        <f>U853/B853</f>
        <v/>
      </c>
    </row>
    <row r="854" ht="22.5" customHeight="1" s="150">
      <c r="A854" s="34" t="n">
        <v>852</v>
      </c>
      <c r="B854" s="34" t="n"/>
      <c r="C854" s="34" t="n"/>
      <c r="D854" s="34" t="n"/>
      <c r="E854" s="34" t="n"/>
      <c r="F854" s="86" t="n"/>
      <c r="G854" s="86" t="n"/>
      <c r="H854" s="111" t="n"/>
      <c r="I854" s="87" t="n"/>
      <c r="J854" s="87" t="n"/>
      <c r="K854" s="111" t="n"/>
      <c r="L854" s="86" t="n"/>
      <c r="M854" s="97" t="n"/>
      <c r="N854" s="88" t="n"/>
      <c r="O854" s="20" t="n"/>
      <c r="P854" s="31" t="n"/>
      <c r="Q854" s="89" t="n"/>
      <c r="R854" s="89" t="n"/>
      <c r="S854" s="89" t="n"/>
      <c r="T854" s="59" t="n"/>
      <c r="U854" s="94" t="n"/>
      <c r="V854" s="95">
        <f>U854/B854</f>
        <v/>
      </c>
    </row>
    <row r="855" ht="22.5" customHeight="1" s="150">
      <c r="A855" s="34" t="n">
        <v>853</v>
      </c>
      <c r="B855" s="34" t="n"/>
      <c r="C855" s="34" t="n"/>
      <c r="D855" s="34" t="n"/>
      <c r="E855" s="34" t="n"/>
      <c r="F855" s="86" t="n"/>
      <c r="G855" s="86" t="n"/>
      <c r="H855" s="111" t="n"/>
      <c r="I855" s="87" t="n"/>
      <c r="J855" s="87" t="n"/>
      <c r="K855" s="111" t="n"/>
      <c r="L855" s="86" t="n"/>
      <c r="M855" s="96" t="n"/>
      <c r="N855" s="88" t="n"/>
      <c r="O855" s="20" t="n"/>
      <c r="P855" s="31" t="n"/>
      <c r="Q855" s="89" t="n"/>
      <c r="R855" s="89" t="n"/>
      <c r="S855" s="89" t="n"/>
      <c r="T855" s="59" t="n"/>
      <c r="U855" s="91" t="n"/>
      <c r="V855" s="93">
        <f>U855/B855</f>
        <v/>
      </c>
    </row>
    <row r="856" ht="22.5" customHeight="1" s="150">
      <c r="A856" s="34" t="n">
        <v>854</v>
      </c>
      <c r="B856" s="34" t="n"/>
      <c r="C856" s="34" t="n"/>
      <c r="D856" s="34" t="n"/>
      <c r="E856" s="34" t="n"/>
      <c r="F856" s="86" t="n"/>
      <c r="G856" s="86" t="n"/>
      <c r="H856" s="111" t="n"/>
      <c r="I856" s="87" t="n"/>
      <c r="J856" s="87" t="n"/>
      <c r="K856" s="111" t="n"/>
      <c r="L856" s="86" t="n"/>
      <c r="M856" s="97" t="n"/>
      <c r="N856" s="88" t="n"/>
      <c r="O856" s="20" t="n"/>
      <c r="P856" s="31" t="n"/>
      <c r="Q856" s="89" t="n"/>
      <c r="R856" s="89" t="n"/>
      <c r="S856" s="89" t="n"/>
      <c r="T856" s="59" t="n"/>
      <c r="U856" s="94" t="n"/>
      <c r="V856" s="95">
        <f>U856/B856</f>
        <v/>
      </c>
    </row>
    <row r="857" ht="22.5" customHeight="1" s="150">
      <c r="A857" s="34" t="n">
        <v>855</v>
      </c>
      <c r="B857" s="34" t="n"/>
      <c r="C857" s="34" t="n"/>
      <c r="D857" s="34" t="n"/>
      <c r="E857" s="34" t="n"/>
      <c r="F857" s="86" t="n"/>
      <c r="G857" s="86" t="n"/>
      <c r="H857" s="111" t="n"/>
      <c r="I857" s="87" t="n"/>
      <c r="J857" s="87" t="n"/>
      <c r="K857" s="111" t="n"/>
      <c r="L857" s="86" t="n"/>
      <c r="M857" s="96" t="n"/>
      <c r="N857" s="88" t="n"/>
      <c r="O857" s="20" t="n"/>
      <c r="P857" s="31" t="n"/>
      <c r="Q857" s="89" t="n"/>
      <c r="R857" s="89" t="n"/>
      <c r="S857" s="89" t="n"/>
      <c r="T857" s="59" t="n"/>
      <c r="U857" s="91" t="n"/>
      <c r="V857" s="93">
        <f>U857/B857</f>
        <v/>
      </c>
    </row>
    <row r="858" ht="22.5" customHeight="1" s="150">
      <c r="A858" s="34" t="n">
        <v>856</v>
      </c>
      <c r="B858" s="34" t="n"/>
      <c r="C858" s="34" t="n"/>
      <c r="D858" s="34" t="n"/>
      <c r="E858" s="34" t="n"/>
      <c r="F858" s="86" t="n"/>
      <c r="G858" s="86" t="n"/>
      <c r="H858" s="111" t="n"/>
      <c r="I858" s="87" t="n"/>
      <c r="J858" s="87" t="n"/>
      <c r="K858" s="111" t="n"/>
      <c r="L858" s="86" t="n"/>
      <c r="M858" s="97" t="n"/>
      <c r="N858" s="88" t="n"/>
      <c r="O858" s="20" t="n"/>
      <c r="P858" s="31" t="n"/>
      <c r="Q858" s="89" t="n"/>
      <c r="R858" s="89" t="n"/>
      <c r="S858" s="89" t="n"/>
      <c r="T858" s="59" t="n"/>
      <c r="U858" s="94" t="n"/>
      <c r="V858" s="95">
        <f>U858/B858</f>
        <v/>
      </c>
    </row>
    <row r="859" ht="22.5" customHeight="1" s="150">
      <c r="A859" s="34" t="n">
        <v>857</v>
      </c>
      <c r="B859" s="34" t="n"/>
      <c r="C859" s="34" t="n"/>
      <c r="D859" s="34" t="n"/>
      <c r="E859" s="34" t="n"/>
      <c r="F859" s="86" t="n"/>
      <c r="G859" s="86" t="n"/>
      <c r="H859" s="111" t="n"/>
      <c r="I859" s="87" t="n"/>
      <c r="J859" s="87" t="n"/>
      <c r="K859" s="111" t="n"/>
      <c r="L859" s="86" t="n"/>
      <c r="M859" s="96" t="n"/>
      <c r="N859" s="88" t="n"/>
      <c r="O859" s="20" t="n"/>
      <c r="P859" s="31" t="n"/>
      <c r="Q859" s="89" t="n"/>
      <c r="R859" s="89" t="n"/>
      <c r="S859" s="89" t="n"/>
      <c r="T859" s="59" t="n"/>
      <c r="U859" s="91" t="n"/>
      <c r="V859" s="93">
        <f>U859/B859</f>
        <v/>
      </c>
    </row>
    <row r="860" ht="22.5" customHeight="1" s="150">
      <c r="A860" s="34" t="n">
        <v>858</v>
      </c>
      <c r="B860" s="34" t="n"/>
      <c r="C860" s="34" t="n"/>
      <c r="D860" s="34" t="n"/>
      <c r="E860" s="34" t="n"/>
      <c r="F860" s="86" t="n"/>
      <c r="G860" s="86" t="n"/>
      <c r="H860" s="111" t="n"/>
      <c r="I860" s="87" t="n"/>
      <c r="J860" s="87" t="n"/>
      <c r="K860" s="111" t="n"/>
      <c r="L860" s="86" t="n"/>
      <c r="M860" s="97" t="n"/>
      <c r="N860" s="88" t="n"/>
      <c r="O860" s="20" t="n"/>
      <c r="P860" s="31" t="n"/>
      <c r="Q860" s="89" t="n"/>
      <c r="R860" s="89" t="n"/>
      <c r="S860" s="89" t="n"/>
      <c r="T860" s="59" t="n"/>
      <c r="U860" s="94" t="n"/>
      <c r="V860" s="95">
        <f>U860/B860</f>
        <v/>
      </c>
    </row>
    <row r="861" ht="22.5" customHeight="1" s="150">
      <c r="A861" s="34" t="n">
        <v>859</v>
      </c>
      <c r="B861" s="34" t="n"/>
      <c r="C861" s="34" t="n"/>
      <c r="D861" s="34" t="n"/>
      <c r="E861" s="34" t="n"/>
      <c r="F861" s="86" t="n"/>
      <c r="G861" s="86" t="n"/>
      <c r="H861" s="111" t="n"/>
      <c r="I861" s="87" t="n"/>
      <c r="J861" s="87" t="n"/>
      <c r="K861" s="111" t="n"/>
      <c r="L861" s="86" t="n"/>
      <c r="M861" s="96" t="n"/>
      <c r="N861" s="88" t="n"/>
      <c r="O861" s="20" t="n"/>
      <c r="P861" s="31" t="n"/>
      <c r="Q861" s="89" t="n"/>
      <c r="R861" s="89" t="n"/>
      <c r="S861" s="89" t="n"/>
      <c r="T861" s="59" t="n"/>
      <c r="U861" s="91" t="n"/>
      <c r="V861" s="93">
        <f>U861/B861</f>
        <v/>
      </c>
    </row>
    <row r="862" ht="22.5" customHeight="1" s="150">
      <c r="A862" s="34" t="n">
        <v>860</v>
      </c>
      <c r="B862" s="34" t="n"/>
      <c r="C862" s="34" t="n"/>
      <c r="D862" s="34" t="n"/>
      <c r="E862" s="34" t="n"/>
      <c r="F862" s="86" t="n"/>
      <c r="G862" s="86" t="n"/>
      <c r="H862" s="111" t="n"/>
      <c r="I862" s="87" t="n"/>
      <c r="J862" s="87" t="n"/>
      <c r="K862" s="111" t="n"/>
      <c r="L862" s="86" t="n"/>
      <c r="M862" s="97" t="n"/>
      <c r="N862" s="88" t="n"/>
      <c r="O862" s="20" t="n"/>
      <c r="P862" s="31" t="n"/>
      <c r="Q862" s="89" t="n"/>
      <c r="R862" s="89" t="n"/>
      <c r="S862" s="89" t="n"/>
      <c r="T862" s="59" t="n"/>
      <c r="U862" s="94" t="n"/>
      <c r="V862" s="95">
        <f>U862/B862</f>
        <v/>
      </c>
    </row>
    <row r="863" ht="22.5" customHeight="1" s="150">
      <c r="A863" s="34" t="n">
        <v>861</v>
      </c>
      <c r="B863" s="34" t="n"/>
      <c r="C863" s="34" t="n"/>
      <c r="D863" s="34" t="n"/>
      <c r="E863" s="34" t="n"/>
      <c r="F863" s="86" t="n"/>
      <c r="G863" s="86" t="n"/>
      <c r="H863" s="111" t="n"/>
      <c r="I863" s="87" t="n"/>
      <c r="J863" s="87" t="n"/>
      <c r="K863" s="111" t="n"/>
      <c r="L863" s="86" t="n"/>
      <c r="M863" s="96" t="n"/>
      <c r="N863" s="88" t="n"/>
      <c r="O863" s="20" t="n"/>
      <c r="P863" s="31" t="n"/>
      <c r="Q863" s="89" t="n"/>
      <c r="R863" s="89" t="n"/>
      <c r="S863" s="89" t="n"/>
      <c r="T863" s="59" t="n"/>
      <c r="U863" s="91" t="n"/>
      <c r="V863" s="93">
        <f>U863/B863</f>
        <v/>
      </c>
    </row>
    <row r="864" ht="22.5" customHeight="1" s="150">
      <c r="A864" s="34" t="n">
        <v>862</v>
      </c>
      <c r="B864" s="34" t="n"/>
      <c r="C864" s="34" t="n"/>
      <c r="D864" s="34" t="n"/>
      <c r="E864" s="34" t="n"/>
      <c r="F864" s="86" t="n"/>
      <c r="G864" s="86" t="n"/>
      <c r="H864" s="111" t="n"/>
      <c r="I864" s="87" t="n"/>
      <c r="J864" s="87" t="n"/>
      <c r="K864" s="111" t="n"/>
      <c r="L864" s="86" t="n"/>
      <c r="M864" s="97" t="n"/>
      <c r="N864" s="88" t="n"/>
      <c r="O864" s="20" t="n"/>
      <c r="P864" s="31" t="n"/>
      <c r="Q864" s="89" t="n"/>
      <c r="R864" s="89" t="n"/>
      <c r="S864" s="89" t="n"/>
      <c r="T864" s="59" t="n"/>
      <c r="U864" s="94" t="n"/>
      <c r="V864" s="95">
        <f>U864/B864</f>
        <v/>
      </c>
    </row>
    <row r="865" ht="22.5" customHeight="1" s="150">
      <c r="A865" s="34" t="n">
        <v>863</v>
      </c>
      <c r="B865" s="34" t="n"/>
      <c r="C865" s="34" t="n"/>
      <c r="D865" s="34" t="n"/>
      <c r="E865" s="34" t="n"/>
      <c r="F865" s="86" t="n"/>
      <c r="G865" s="86" t="n"/>
      <c r="H865" s="111" t="n"/>
      <c r="I865" s="87" t="n"/>
      <c r="J865" s="87" t="n"/>
      <c r="K865" s="111" t="n"/>
      <c r="L865" s="86" t="n"/>
      <c r="M865" s="96" t="n"/>
      <c r="N865" s="88" t="n"/>
      <c r="O865" s="20" t="n"/>
      <c r="P865" s="31" t="n"/>
      <c r="Q865" s="89" t="n"/>
      <c r="R865" s="89" t="n"/>
      <c r="S865" s="89" t="n"/>
      <c r="T865" s="59" t="n"/>
      <c r="U865" s="91" t="n"/>
      <c r="V865" s="93">
        <f>U865/B865</f>
        <v/>
      </c>
    </row>
    <row r="866" ht="22.5" customHeight="1" s="150">
      <c r="A866" s="34" t="n">
        <v>864</v>
      </c>
      <c r="B866" s="34" t="n"/>
      <c r="C866" s="34" t="n"/>
      <c r="D866" s="34" t="n"/>
      <c r="E866" s="34" t="n"/>
      <c r="F866" s="86" t="n"/>
      <c r="G866" s="86" t="n"/>
      <c r="H866" s="111" t="n"/>
      <c r="I866" s="87" t="n"/>
      <c r="J866" s="87" t="n"/>
      <c r="K866" s="111" t="n"/>
      <c r="L866" s="86" t="n"/>
      <c r="M866" s="97" t="n"/>
      <c r="N866" s="88" t="n"/>
      <c r="O866" s="20" t="n"/>
      <c r="P866" s="31" t="n"/>
      <c r="Q866" s="89" t="n"/>
      <c r="R866" s="89" t="n"/>
      <c r="S866" s="89" t="n"/>
      <c r="T866" s="59" t="n"/>
      <c r="U866" s="94" t="n"/>
      <c r="V866" s="95">
        <f>U866/B866</f>
        <v/>
      </c>
    </row>
    <row r="867" ht="22.5" customHeight="1" s="150">
      <c r="A867" s="34" t="n">
        <v>865</v>
      </c>
      <c r="B867" s="34" t="n"/>
      <c r="C867" s="34" t="n"/>
      <c r="D867" s="34" t="n"/>
      <c r="E867" s="34" t="n"/>
      <c r="F867" s="86" t="n"/>
      <c r="G867" s="86" t="n"/>
      <c r="H867" s="111" t="n"/>
      <c r="I867" s="87" t="n"/>
      <c r="J867" s="87" t="n"/>
      <c r="K867" s="111" t="n"/>
      <c r="L867" s="86" t="n"/>
      <c r="M867" s="96" t="n"/>
      <c r="N867" s="88" t="n"/>
      <c r="O867" s="20" t="n"/>
      <c r="P867" s="31" t="n"/>
      <c r="Q867" s="89" t="n"/>
      <c r="R867" s="89" t="n"/>
      <c r="S867" s="89" t="n"/>
      <c r="T867" s="59" t="n"/>
      <c r="U867" s="91" t="n"/>
      <c r="V867" s="93">
        <f>U867/B867</f>
        <v/>
      </c>
    </row>
    <row r="868" ht="22.5" customHeight="1" s="150">
      <c r="A868" s="34" t="n">
        <v>866</v>
      </c>
      <c r="B868" s="34" t="n"/>
      <c r="C868" s="34" t="n"/>
      <c r="D868" s="34" t="n"/>
      <c r="E868" s="34" t="n"/>
      <c r="F868" s="86" t="n"/>
      <c r="G868" s="86" t="n"/>
      <c r="H868" s="111" t="n"/>
      <c r="I868" s="87" t="n"/>
      <c r="J868" s="87" t="n"/>
      <c r="K868" s="111" t="n"/>
      <c r="L868" s="86" t="n"/>
      <c r="M868" s="97" t="n"/>
      <c r="N868" s="88" t="n"/>
      <c r="O868" s="20" t="n"/>
      <c r="P868" s="31" t="n"/>
      <c r="Q868" s="89" t="n"/>
      <c r="R868" s="89" t="n"/>
      <c r="S868" s="89" t="n"/>
      <c r="T868" s="59" t="n"/>
      <c r="U868" s="94" t="n"/>
      <c r="V868" s="95">
        <f>U868/B868</f>
        <v/>
      </c>
    </row>
    <row r="869" ht="22.5" customHeight="1" s="150">
      <c r="A869" s="34" t="n">
        <v>867</v>
      </c>
      <c r="B869" s="34" t="n"/>
      <c r="C869" s="34" t="n"/>
      <c r="D869" s="34" t="n"/>
      <c r="E869" s="34" t="n"/>
      <c r="F869" s="86" t="n"/>
      <c r="G869" s="86" t="n"/>
      <c r="H869" s="111" t="n"/>
      <c r="I869" s="87" t="n"/>
      <c r="J869" s="87" t="n"/>
      <c r="K869" s="111" t="n"/>
      <c r="L869" s="86" t="n"/>
      <c r="M869" s="96" t="n"/>
      <c r="N869" s="88" t="n"/>
      <c r="O869" s="20" t="n"/>
      <c r="P869" s="31" t="n"/>
      <c r="Q869" s="89" t="n"/>
      <c r="R869" s="89" t="n"/>
      <c r="S869" s="89" t="n"/>
      <c r="T869" s="59" t="n"/>
      <c r="U869" s="91" t="n"/>
      <c r="V869" s="93">
        <f>U869/B869</f>
        <v/>
      </c>
    </row>
    <row r="870" ht="22.5" customHeight="1" s="150">
      <c r="A870" s="34" t="n">
        <v>868</v>
      </c>
      <c r="B870" s="34" t="n"/>
      <c r="C870" s="34" t="n"/>
      <c r="D870" s="34" t="n"/>
      <c r="E870" s="34" t="n"/>
      <c r="F870" s="86" t="n"/>
      <c r="G870" s="86" t="n"/>
      <c r="H870" s="111" t="n"/>
      <c r="I870" s="87" t="n"/>
      <c r="J870" s="87" t="n"/>
      <c r="K870" s="111" t="n"/>
      <c r="L870" s="86" t="n"/>
      <c r="M870" s="97" t="n"/>
      <c r="N870" s="88" t="n"/>
      <c r="O870" s="20" t="n"/>
      <c r="P870" s="31" t="n"/>
      <c r="Q870" s="89" t="n"/>
      <c r="R870" s="89" t="n"/>
      <c r="S870" s="89" t="n"/>
      <c r="T870" s="59" t="n"/>
      <c r="U870" s="94" t="n"/>
      <c r="V870" s="95">
        <f>U870/B870</f>
        <v/>
      </c>
    </row>
    <row r="871" ht="22.5" customHeight="1" s="150">
      <c r="A871" s="34" t="n">
        <v>869</v>
      </c>
      <c r="B871" s="34" t="n"/>
      <c r="C871" s="34" t="n"/>
      <c r="D871" s="34" t="n"/>
      <c r="E871" s="34" t="n"/>
      <c r="F871" s="86" t="n"/>
      <c r="G871" s="86" t="n"/>
      <c r="H871" s="111" t="n"/>
      <c r="I871" s="87" t="n"/>
      <c r="J871" s="87" t="n"/>
      <c r="K871" s="111" t="n"/>
      <c r="L871" s="86" t="n"/>
      <c r="M871" s="96" t="n"/>
      <c r="N871" s="88" t="n"/>
      <c r="O871" s="20" t="n"/>
      <c r="P871" s="31" t="n"/>
      <c r="Q871" s="89" t="n"/>
      <c r="R871" s="89" t="n"/>
      <c r="S871" s="89" t="n"/>
      <c r="T871" s="59" t="n"/>
      <c r="U871" s="91" t="n"/>
      <c r="V871" s="93">
        <f>U871/B871</f>
        <v/>
      </c>
    </row>
    <row r="872" ht="22.5" customHeight="1" s="150">
      <c r="A872" s="34" t="n">
        <v>870</v>
      </c>
      <c r="B872" s="34" t="n"/>
      <c r="C872" s="34" t="n"/>
      <c r="D872" s="34" t="n"/>
      <c r="E872" s="34" t="n"/>
      <c r="F872" s="86" t="n"/>
      <c r="G872" s="86" t="n"/>
      <c r="H872" s="111" t="n"/>
      <c r="I872" s="87" t="n"/>
      <c r="J872" s="87" t="n"/>
      <c r="K872" s="111" t="n"/>
      <c r="L872" s="86" t="n"/>
      <c r="M872" s="97" t="n"/>
      <c r="N872" s="88" t="n"/>
      <c r="O872" s="20" t="n"/>
      <c r="P872" s="31" t="n"/>
      <c r="Q872" s="89" t="n"/>
      <c r="R872" s="89" t="n"/>
      <c r="S872" s="89" t="n"/>
      <c r="T872" s="59" t="n"/>
      <c r="U872" s="94" t="n"/>
      <c r="V872" s="95">
        <f>U872/B872</f>
        <v/>
      </c>
    </row>
    <row r="873" ht="22.5" customHeight="1" s="150">
      <c r="A873" s="34" t="n">
        <v>871</v>
      </c>
      <c r="B873" s="34" t="n"/>
      <c r="C873" s="34" t="n"/>
      <c r="D873" s="34" t="n"/>
      <c r="E873" s="34" t="n"/>
      <c r="F873" s="86" t="n"/>
      <c r="G873" s="86" t="n"/>
      <c r="H873" s="111" t="n"/>
      <c r="I873" s="87" t="n"/>
      <c r="J873" s="87" t="n"/>
      <c r="K873" s="111" t="n"/>
      <c r="L873" s="86" t="n"/>
      <c r="M873" s="96" t="n"/>
      <c r="N873" s="88" t="n"/>
      <c r="O873" s="20" t="n"/>
      <c r="P873" s="31" t="n"/>
      <c r="Q873" s="89" t="n"/>
      <c r="R873" s="89" t="n"/>
      <c r="S873" s="89" t="n"/>
      <c r="T873" s="59" t="n"/>
      <c r="U873" s="91" t="n"/>
      <c r="V873" s="93">
        <f>U873/B873</f>
        <v/>
      </c>
    </row>
    <row r="874" ht="22.5" customHeight="1" s="150">
      <c r="A874" s="34" t="n">
        <v>872</v>
      </c>
      <c r="B874" s="34" t="n"/>
      <c r="C874" s="34" t="n"/>
      <c r="D874" s="34" t="n"/>
      <c r="E874" s="34" t="n"/>
      <c r="F874" s="86" t="n"/>
      <c r="G874" s="86" t="n"/>
      <c r="H874" s="111" t="n"/>
      <c r="I874" s="87" t="n"/>
      <c r="J874" s="87" t="n"/>
      <c r="K874" s="111" t="n"/>
      <c r="L874" s="86" t="n"/>
      <c r="M874" s="97" t="n"/>
      <c r="N874" s="88" t="n"/>
      <c r="O874" s="20" t="n"/>
      <c r="P874" s="31" t="n"/>
      <c r="Q874" s="89" t="n"/>
      <c r="R874" s="89" t="n"/>
      <c r="S874" s="89" t="n"/>
      <c r="T874" s="59" t="n"/>
      <c r="U874" s="94" t="n"/>
      <c r="V874" s="95">
        <f>U874/B874</f>
        <v/>
      </c>
    </row>
    <row r="875" ht="22.5" customHeight="1" s="150">
      <c r="A875" s="34" t="n">
        <v>873</v>
      </c>
      <c r="B875" s="34" t="n"/>
      <c r="C875" s="34" t="n"/>
      <c r="D875" s="34" t="n"/>
      <c r="E875" s="34" t="n"/>
      <c r="F875" s="86" t="n"/>
      <c r="G875" s="86" t="n"/>
      <c r="H875" s="111" t="n"/>
      <c r="I875" s="87" t="n"/>
      <c r="J875" s="87" t="n"/>
      <c r="K875" s="111" t="n"/>
      <c r="L875" s="86" t="n"/>
      <c r="M875" s="96" t="n"/>
      <c r="N875" s="88" t="n"/>
      <c r="O875" s="20" t="n"/>
      <c r="P875" s="31" t="n"/>
      <c r="Q875" s="89" t="n"/>
      <c r="R875" s="89" t="n"/>
      <c r="S875" s="89" t="n"/>
      <c r="T875" s="59" t="n"/>
      <c r="U875" s="91" t="n"/>
      <c r="V875" s="93">
        <f>U875/B875</f>
        <v/>
      </c>
    </row>
    <row r="876" ht="22.5" customHeight="1" s="150">
      <c r="A876" s="34" t="n">
        <v>874</v>
      </c>
      <c r="B876" s="34" t="n"/>
      <c r="C876" s="34" t="n"/>
      <c r="D876" s="34" t="n"/>
      <c r="E876" s="34" t="n"/>
      <c r="F876" s="86" t="n"/>
      <c r="G876" s="86" t="n"/>
      <c r="H876" s="111" t="n"/>
      <c r="I876" s="87" t="n"/>
      <c r="J876" s="87" t="n"/>
      <c r="K876" s="111" t="n"/>
      <c r="L876" s="86" t="n"/>
      <c r="M876" s="97" t="n"/>
      <c r="N876" s="88" t="n"/>
      <c r="O876" s="20" t="n"/>
      <c r="P876" s="31" t="n"/>
      <c r="Q876" s="89" t="n"/>
      <c r="R876" s="89" t="n"/>
      <c r="S876" s="89" t="n"/>
      <c r="T876" s="59" t="n"/>
      <c r="U876" s="94" t="n"/>
      <c r="V876" s="95">
        <f>U876/B876</f>
        <v/>
      </c>
    </row>
    <row r="877" ht="22.5" customHeight="1" s="150">
      <c r="A877" s="34" t="n">
        <v>875</v>
      </c>
      <c r="B877" s="34" t="n"/>
      <c r="C877" s="34" t="n"/>
      <c r="D877" s="34" t="n"/>
      <c r="E877" s="34" t="n"/>
      <c r="F877" s="86" t="n"/>
      <c r="G877" s="86" t="n"/>
      <c r="H877" s="111" t="n"/>
      <c r="I877" s="87" t="n"/>
      <c r="J877" s="87" t="n"/>
      <c r="K877" s="111" t="n"/>
      <c r="L877" s="86" t="n"/>
      <c r="M877" s="96" t="n"/>
      <c r="N877" s="88" t="n"/>
      <c r="O877" s="20" t="n"/>
      <c r="P877" s="31" t="n"/>
      <c r="Q877" s="89" t="n"/>
      <c r="R877" s="89" t="n"/>
      <c r="S877" s="89" t="n"/>
      <c r="T877" s="59" t="n"/>
      <c r="U877" s="91" t="n"/>
      <c r="V877" s="93">
        <f>U877/B877</f>
        <v/>
      </c>
    </row>
    <row r="878" ht="22.5" customHeight="1" s="150">
      <c r="A878" s="34" t="n">
        <v>876</v>
      </c>
      <c r="B878" s="34" t="n"/>
      <c r="C878" s="34" t="n"/>
      <c r="D878" s="34" t="n"/>
      <c r="E878" s="34" t="n"/>
      <c r="F878" s="86" t="n"/>
      <c r="G878" s="86" t="n"/>
      <c r="H878" s="111" t="n"/>
      <c r="I878" s="87" t="n"/>
      <c r="J878" s="87" t="n"/>
      <c r="K878" s="111" t="n"/>
      <c r="L878" s="86" t="n"/>
      <c r="M878" s="97" t="n"/>
      <c r="N878" s="88" t="n"/>
      <c r="O878" s="20" t="n"/>
      <c r="P878" s="31" t="n"/>
      <c r="Q878" s="89" t="n"/>
      <c r="R878" s="89" t="n"/>
      <c r="S878" s="89" t="n"/>
      <c r="T878" s="59" t="n"/>
      <c r="U878" s="94" t="n"/>
      <c r="V878" s="95">
        <f>U878/B878</f>
        <v/>
      </c>
    </row>
    <row r="879" ht="22.5" customHeight="1" s="150">
      <c r="A879" s="34" t="n">
        <v>877</v>
      </c>
      <c r="B879" s="34" t="n"/>
      <c r="C879" s="34" t="n"/>
      <c r="D879" s="34" t="n"/>
      <c r="E879" s="34" t="n"/>
      <c r="F879" s="86" t="n"/>
      <c r="G879" s="86" t="n"/>
      <c r="H879" s="111" t="n"/>
      <c r="I879" s="87" t="n"/>
      <c r="J879" s="87" t="n"/>
      <c r="K879" s="111" t="n"/>
      <c r="L879" s="86" t="n"/>
      <c r="M879" s="96" t="n"/>
      <c r="N879" s="88" t="n"/>
      <c r="O879" s="20" t="n"/>
      <c r="P879" s="31" t="n"/>
      <c r="Q879" s="89" t="n"/>
      <c r="R879" s="89" t="n"/>
      <c r="S879" s="89" t="n"/>
      <c r="T879" s="59" t="n"/>
      <c r="U879" s="91" t="n"/>
      <c r="V879" s="93">
        <f>U879/B879</f>
        <v/>
      </c>
    </row>
    <row r="880" ht="22.5" customHeight="1" s="150">
      <c r="A880" s="34" t="n">
        <v>878</v>
      </c>
      <c r="B880" s="34" t="n"/>
      <c r="C880" s="34" t="n"/>
      <c r="D880" s="34" t="n"/>
      <c r="E880" s="34" t="n"/>
      <c r="F880" s="86" t="n"/>
      <c r="G880" s="86" t="n"/>
      <c r="H880" s="111" t="n"/>
      <c r="I880" s="87" t="n"/>
      <c r="J880" s="87" t="n"/>
      <c r="K880" s="111" t="n"/>
      <c r="L880" s="86" t="n"/>
      <c r="M880" s="97" t="n"/>
      <c r="N880" s="88" t="n"/>
      <c r="O880" s="20" t="n"/>
      <c r="P880" s="31" t="n"/>
      <c r="Q880" s="89" t="n"/>
      <c r="R880" s="89" t="n"/>
      <c r="S880" s="89" t="n"/>
      <c r="T880" s="59" t="n"/>
      <c r="U880" s="94" t="n"/>
      <c r="V880" s="95">
        <f>U880/B880</f>
        <v/>
      </c>
    </row>
    <row r="881" ht="22.5" customHeight="1" s="150">
      <c r="A881" s="34" t="n">
        <v>879</v>
      </c>
      <c r="B881" s="34" t="n"/>
      <c r="C881" s="34" t="n"/>
      <c r="D881" s="34" t="n"/>
      <c r="E881" s="34" t="n"/>
      <c r="F881" s="86" t="n"/>
      <c r="G881" s="86" t="n"/>
      <c r="H881" s="111" t="n"/>
      <c r="I881" s="87" t="n"/>
      <c r="J881" s="87" t="n"/>
      <c r="K881" s="111" t="n"/>
      <c r="L881" s="86" t="n"/>
      <c r="M881" s="96" t="n"/>
      <c r="N881" s="88" t="n"/>
      <c r="O881" s="20" t="n"/>
      <c r="P881" s="31" t="n"/>
      <c r="Q881" s="89" t="n"/>
      <c r="R881" s="89" t="n"/>
      <c r="S881" s="89" t="n"/>
      <c r="T881" s="59" t="n"/>
      <c r="U881" s="91" t="n"/>
      <c r="V881" s="93">
        <f>U881/B881</f>
        <v/>
      </c>
    </row>
    <row r="882" ht="22.5" customHeight="1" s="150">
      <c r="A882" s="34" t="n">
        <v>880</v>
      </c>
      <c r="B882" s="34" t="n"/>
      <c r="C882" s="34" t="n"/>
      <c r="D882" s="34" t="n"/>
      <c r="E882" s="34" t="n"/>
      <c r="F882" s="86" t="n"/>
      <c r="G882" s="86" t="n"/>
      <c r="H882" s="111" t="n"/>
      <c r="I882" s="87" t="n"/>
      <c r="J882" s="87" t="n"/>
      <c r="K882" s="111" t="n"/>
      <c r="L882" s="86" t="n"/>
      <c r="M882" s="97" t="n"/>
      <c r="N882" s="88" t="n"/>
      <c r="O882" s="20" t="n"/>
      <c r="P882" s="31" t="n"/>
      <c r="Q882" s="89" t="n"/>
      <c r="R882" s="89" t="n"/>
      <c r="S882" s="89" t="n"/>
      <c r="T882" s="59" t="n"/>
      <c r="U882" s="94" t="n"/>
      <c r="V882" s="95">
        <f>U882/B882</f>
        <v/>
      </c>
    </row>
    <row r="883" ht="22.5" customHeight="1" s="150">
      <c r="A883" s="34" t="n">
        <v>881</v>
      </c>
      <c r="B883" s="34" t="n"/>
      <c r="C883" s="34" t="n"/>
      <c r="D883" s="34" t="n"/>
      <c r="E883" s="34" t="n"/>
      <c r="F883" s="86" t="n"/>
      <c r="G883" s="86" t="n"/>
      <c r="H883" s="111" t="n"/>
      <c r="I883" s="87" t="n"/>
      <c r="J883" s="87" t="n"/>
      <c r="K883" s="111" t="n"/>
      <c r="L883" s="86" t="n"/>
      <c r="M883" s="96" t="n"/>
      <c r="N883" s="88" t="n"/>
      <c r="O883" s="20" t="n"/>
      <c r="P883" s="31" t="n"/>
      <c r="Q883" s="89" t="n"/>
      <c r="R883" s="89" t="n"/>
      <c r="S883" s="89" t="n"/>
      <c r="T883" s="59" t="n"/>
      <c r="U883" s="91" t="n"/>
      <c r="V883" s="93">
        <f>U883/B883</f>
        <v/>
      </c>
    </row>
    <row r="884" ht="22.5" customHeight="1" s="150">
      <c r="A884" s="34" t="n">
        <v>882</v>
      </c>
      <c r="B884" s="34" t="n"/>
      <c r="C884" s="34" t="n"/>
      <c r="D884" s="34" t="n"/>
      <c r="E884" s="34" t="n"/>
      <c r="F884" s="86" t="n"/>
      <c r="G884" s="86" t="n"/>
      <c r="H884" s="111" t="n"/>
      <c r="I884" s="87" t="n"/>
      <c r="J884" s="87" t="n"/>
      <c r="K884" s="111" t="n"/>
      <c r="L884" s="86" t="n"/>
      <c r="M884" s="97" t="n"/>
      <c r="N884" s="88" t="n"/>
      <c r="O884" s="20" t="n"/>
      <c r="P884" s="31" t="n"/>
      <c r="Q884" s="89" t="n"/>
      <c r="R884" s="89" t="n"/>
      <c r="S884" s="89" t="n"/>
      <c r="T884" s="59" t="n"/>
      <c r="U884" s="94" t="n"/>
      <c r="V884" s="95">
        <f>U884/B884</f>
        <v/>
      </c>
    </row>
    <row r="885" ht="22.5" customHeight="1" s="150">
      <c r="A885" s="34" t="n">
        <v>883</v>
      </c>
      <c r="B885" s="34" t="n"/>
      <c r="C885" s="34" t="n"/>
      <c r="D885" s="34" t="n"/>
      <c r="E885" s="34" t="n"/>
      <c r="F885" s="86" t="n"/>
      <c r="G885" s="86" t="n"/>
      <c r="H885" s="111" t="n"/>
      <c r="I885" s="87" t="n"/>
      <c r="J885" s="87" t="n"/>
      <c r="K885" s="111" t="n"/>
      <c r="L885" s="86" t="n"/>
      <c r="M885" s="96" t="n"/>
      <c r="N885" s="88" t="n"/>
      <c r="O885" s="20" t="n"/>
      <c r="P885" s="31" t="n"/>
      <c r="Q885" s="89" t="n"/>
      <c r="R885" s="89" t="n"/>
      <c r="S885" s="89" t="n"/>
      <c r="T885" s="59" t="n"/>
      <c r="U885" s="91" t="n"/>
      <c r="V885" s="93">
        <f>U885/B885</f>
        <v/>
      </c>
    </row>
    <row r="886" ht="22.5" customHeight="1" s="150">
      <c r="A886" s="34" t="n">
        <v>884</v>
      </c>
      <c r="B886" s="34" t="n"/>
      <c r="C886" s="34" t="n"/>
      <c r="D886" s="34" t="n"/>
      <c r="E886" s="34" t="n"/>
      <c r="F886" s="86" t="n"/>
      <c r="G886" s="86" t="n"/>
      <c r="H886" s="111" t="n"/>
      <c r="I886" s="87" t="n"/>
      <c r="J886" s="87" t="n"/>
      <c r="K886" s="111" t="n"/>
      <c r="L886" s="86" t="n"/>
      <c r="M886" s="97" t="n"/>
      <c r="N886" s="88" t="n"/>
      <c r="O886" s="20" t="n"/>
      <c r="P886" s="31" t="n"/>
      <c r="Q886" s="89" t="n"/>
      <c r="R886" s="89" t="n"/>
      <c r="S886" s="89" t="n"/>
      <c r="T886" s="59" t="n"/>
      <c r="U886" s="94" t="n"/>
      <c r="V886" s="95">
        <f>U886/B886</f>
        <v/>
      </c>
    </row>
    <row r="887" ht="22.5" customHeight="1" s="150">
      <c r="A887" s="34" t="n">
        <v>885</v>
      </c>
      <c r="B887" s="34" t="n"/>
      <c r="C887" s="34" t="n"/>
      <c r="D887" s="34" t="n"/>
      <c r="E887" s="34" t="n"/>
      <c r="F887" s="86" t="n"/>
      <c r="G887" s="86" t="n"/>
      <c r="H887" s="111" t="n"/>
      <c r="I887" s="87" t="n"/>
      <c r="J887" s="87" t="n"/>
      <c r="K887" s="111" t="n"/>
      <c r="L887" s="86" t="n"/>
      <c r="M887" s="96" t="n"/>
      <c r="N887" s="88" t="n"/>
      <c r="O887" s="20" t="n"/>
      <c r="P887" s="31" t="n"/>
      <c r="Q887" s="89" t="n"/>
      <c r="R887" s="89" t="n"/>
      <c r="S887" s="89" t="n"/>
      <c r="T887" s="59" t="n"/>
      <c r="U887" s="91" t="n"/>
      <c r="V887" s="93">
        <f>U887/B887</f>
        <v/>
      </c>
    </row>
    <row r="888" ht="22.5" customHeight="1" s="150">
      <c r="A888" s="34" t="n">
        <v>886</v>
      </c>
      <c r="B888" s="34" t="n"/>
      <c r="C888" s="34" t="n"/>
      <c r="D888" s="34" t="n"/>
      <c r="E888" s="34" t="n"/>
      <c r="F888" s="86" t="n"/>
      <c r="G888" s="86" t="n"/>
      <c r="H888" s="111" t="n"/>
      <c r="I888" s="87" t="n"/>
      <c r="J888" s="87" t="n"/>
      <c r="K888" s="111" t="n"/>
      <c r="L888" s="86" t="n"/>
      <c r="M888" s="97" t="n"/>
      <c r="N888" s="88" t="n"/>
      <c r="O888" s="20" t="n"/>
      <c r="P888" s="31" t="n"/>
      <c r="Q888" s="89" t="n"/>
      <c r="R888" s="89" t="n"/>
      <c r="S888" s="89" t="n"/>
      <c r="T888" s="59" t="n"/>
      <c r="U888" s="94" t="n"/>
      <c r="V888" s="95">
        <f>U888/B888</f>
        <v/>
      </c>
    </row>
    <row r="889" ht="22.5" customHeight="1" s="150">
      <c r="A889" s="34" t="n">
        <v>887</v>
      </c>
      <c r="B889" s="34" t="n"/>
      <c r="C889" s="34" t="n"/>
      <c r="D889" s="34" t="n"/>
      <c r="E889" s="34" t="n"/>
      <c r="F889" s="86" t="n"/>
      <c r="G889" s="86" t="n"/>
      <c r="H889" s="111" t="n"/>
      <c r="I889" s="87" t="n"/>
      <c r="J889" s="87" t="n"/>
      <c r="K889" s="111" t="n"/>
      <c r="L889" s="86" t="n"/>
      <c r="M889" s="96" t="n"/>
      <c r="N889" s="88" t="n"/>
      <c r="O889" s="20" t="n"/>
      <c r="P889" s="31" t="n"/>
      <c r="Q889" s="89" t="n"/>
      <c r="R889" s="89" t="n"/>
      <c r="S889" s="89" t="n"/>
      <c r="T889" s="59" t="n"/>
      <c r="U889" s="91" t="n"/>
      <c r="V889" s="93">
        <f>U889/B889</f>
        <v/>
      </c>
    </row>
    <row r="890" ht="22.5" customHeight="1" s="150">
      <c r="A890" s="34" t="n">
        <v>888</v>
      </c>
      <c r="B890" s="34" t="n"/>
      <c r="C890" s="34" t="n"/>
      <c r="D890" s="34" t="n"/>
      <c r="E890" s="34" t="n"/>
      <c r="F890" s="86" t="n"/>
      <c r="G890" s="86" t="n"/>
      <c r="H890" s="111" t="n"/>
      <c r="I890" s="87" t="n"/>
      <c r="J890" s="87" t="n"/>
      <c r="K890" s="111" t="n"/>
      <c r="L890" s="86" t="n"/>
      <c r="M890" s="97" t="n"/>
      <c r="N890" s="88" t="n"/>
      <c r="O890" s="20" t="n"/>
      <c r="P890" s="31" t="n"/>
      <c r="Q890" s="89" t="n"/>
      <c r="R890" s="89" t="n"/>
      <c r="S890" s="89" t="n"/>
      <c r="T890" s="59" t="n"/>
      <c r="U890" s="94" t="n"/>
      <c r="V890" s="95">
        <f>U890/B890</f>
        <v/>
      </c>
    </row>
    <row r="891" ht="22.5" customHeight="1" s="150">
      <c r="A891" s="34" t="n">
        <v>889</v>
      </c>
      <c r="B891" s="34" t="n"/>
      <c r="C891" s="34" t="n"/>
      <c r="D891" s="34" t="n"/>
      <c r="E891" s="34" t="n"/>
      <c r="F891" s="86" t="n"/>
      <c r="G891" s="86" t="n"/>
      <c r="H891" s="111" t="n"/>
      <c r="I891" s="87" t="n"/>
      <c r="J891" s="87" t="n"/>
      <c r="K891" s="111" t="n"/>
      <c r="L891" s="86" t="n"/>
      <c r="M891" s="96" t="n"/>
      <c r="N891" s="88" t="n"/>
      <c r="O891" s="20" t="n"/>
      <c r="P891" s="31" t="n"/>
      <c r="Q891" s="89" t="n"/>
      <c r="R891" s="89" t="n"/>
      <c r="S891" s="89" t="n"/>
      <c r="T891" s="59" t="n"/>
      <c r="U891" s="91" t="n"/>
      <c r="V891" s="93">
        <f>U891/B891</f>
        <v/>
      </c>
    </row>
    <row r="892" ht="22.5" customHeight="1" s="150">
      <c r="A892" s="34" t="n">
        <v>890</v>
      </c>
      <c r="B892" s="34" t="n"/>
      <c r="C892" s="34" t="n"/>
      <c r="D892" s="34" t="n"/>
      <c r="E892" s="34" t="n"/>
      <c r="F892" s="86" t="n"/>
      <c r="G892" s="86" t="n"/>
      <c r="H892" s="111" t="n"/>
      <c r="I892" s="87" t="n"/>
      <c r="J892" s="87" t="n"/>
      <c r="K892" s="111" t="n"/>
      <c r="L892" s="86" t="n"/>
      <c r="M892" s="97" t="n"/>
      <c r="N892" s="88" t="n"/>
      <c r="O892" s="20" t="n"/>
      <c r="P892" s="31" t="n"/>
      <c r="Q892" s="89" t="n"/>
      <c r="R892" s="89" t="n"/>
      <c r="S892" s="89" t="n"/>
      <c r="T892" s="59" t="n"/>
      <c r="U892" s="94" t="n"/>
      <c r="V892" s="95">
        <f>U892/B892</f>
        <v/>
      </c>
    </row>
    <row r="893" ht="22.5" customHeight="1" s="150">
      <c r="A893" s="34" t="n">
        <v>891</v>
      </c>
      <c r="B893" s="34" t="n"/>
      <c r="C893" s="34" t="n"/>
      <c r="D893" s="34" t="n"/>
      <c r="E893" s="34" t="n"/>
      <c r="F893" s="86" t="n"/>
      <c r="G893" s="86" t="n"/>
      <c r="H893" s="111" t="n"/>
      <c r="I893" s="87" t="n"/>
      <c r="J893" s="87" t="n"/>
      <c r="K893" s="111" t="n"/>
      <c r="L893" s="86" t="n"/>
      <c r="M893" s="96" t="n"/>
      <c r="N893" s="88" t="n"/>
      <c r="O893" s="20" t="n"/>
      <c r="P893" s="31" t="n"/>
      <c r="Q893" s="89" t="n"/>
      <c r="R893" s="89" t="n"/>
      <c r="S893" s="89" t="n"/>
      <c r="T893" s="59" t="n"/>
      <c r="U893" s="91" t="n"/>
      <c r="V893" s="93">
        <f>U893/B893</f>
        <v/>
      </c>
    </row>
    <row r="894" ht="22.5" customHeight="1" s="150">
      <c r="A894" s="34" t="n">
        <v>892</v>
      </c>
      <c r="B894" s="34" t="n"/>
      <c r="C894" s="34" t="n"/>
      <c r="D894" s="34" t="n"/>
      <c r="E894" s="34" t="n"/>
      <c r="F894" s="86" t="n"/>
      <c r="G894" s="86" t="n"/>
      <c r="H894" s="111" t="n"/>
      <c r="I894" s="87" t="n"/>
      <c r="J894" s="87" t="n"/>
      <c r="K894" s="111" t="n"/>
      <c r="L894" s="86" t="n"/>
      <c r="M894" s="97" t="n"/>
      <c r="N894" s="88" t="n"/>
      <c r="O894" s="20" t="n"/>
      <c r="P894" s="31" t="n"/>
      <c r="Q894" s="89" t="n"/>
      <c r="R894" s="89" t="n"/>
      <c r="S894" s="89" t="n"/>
      <c r="T894" s="59" t="n"/>
      <c r="U894" s="94" t="n"/>
      <c r="V894" s="95">
        <f>U894/B894</f>
        <v/>
      </c>
    </row>
    <row r="895" ht="22.5" customHeight="1" s="150">
      <c r="A895" s="34" t="n">
        <v>893</v>
      </c>
      <c r="B895" s="34" t="n"/>
      <c r="C895" s="34" t="n"/>
      <c r="D895" s="34" t="n"/>
      <c r="E895" s="34" t="n"/>
      <c r="F895" s="86" t="n"/>
      <c r="G895" s="86" t="n"/>
      <c r="H895" s="111" t="n"/>
      <c r="I895" s="87" t="n"/>
      <c r="J895" s="87" t="n"/>
      <c r="K895" s="111" t="n"/>
      <c r="L895" s="86" t="n"/>
      <c r="M895" s="96" t="n"/>
      <c r="N895" s="88" t="n"/>
      <c r="O895" s="20" t="n"/>
      <c r="P895" s="31" t="n"/>
      <c r="Q895" s="89" t="n"/>
      <c r="R895" s="89" t="n"/>
      <c r="S895" s="89" t="n"/>
      <c r="T895" s="59" t="n"/>
      <c r="U895" s="91" t="n"/>
      <c r="V895" s="93">
        <f>U895/B895</f>
        <v/>
      </c>
    </row>
    <row r="896" ht="22.5" customHeight="1" s="150">
      <c r="A896" s="34" t="n">
        <v>894</v>
      </c>
      <c r="B896" s="34" t="n"/>
      <c r="C896" s="34" t="n"/>
      <c r="D896" s="34" t="n"/>
      <c r="E896" s="34" t="n"/>
      <c r="F896" s="86" t="n"/>
      <c r="G896" s="86" t="n"/>
      <c r="H896" s="111" t="n"/>
      <c r="I896" s="87" t="n"/>
      <c r="J896" s="87" t="n"/>
      <c r="K896" s="111" t="n"/>
      <c r="L896" s="86" t="n"/>
      <c r="M896" s="97" t="n"/>
      <c r="N896" s="88" t="n"/>
      <c r="O896" s="20" t="n"/>
      <c r="P896" s="31" t="n"/>
      <c r="Q896" s="89" t="n"/>
      <c r="R896" s="89" t="n"/>
      <c r="S896" s="89" t="n"/>
      <c r="T896" s="59" t="n"/>
      <c r="U896" s="94" t="n"/>
      <c r="V896" s="95">
        <f>U896/B896</f>
        <v/>
      </c>
    </row>
    <row r="897" ht="22.5" customHeight="1" s="150">
      <c r="A897" s="34" t="n">
        <v>895</v>
      </c>
      <c r="B897" s="34" t="n"/>
      <c r="C897" s="34" t="n"/>
      <c r="D897" s="34" t="n"/>
      <c r="E897" s="34" t="n"/>
      <c r="F897" s="86" t="n"/>
      <c r="G897" s="86" t="n"/>
      <c r="H897" s="111" t="n"/>
      <c r="I897" s="87" t="n"/>
      <c r="J897" s="87" t="n"/>
      <c r="K897" s="111" t="n"/>
      <c r="L897" s="86" t="n"/>
      <c r="M897" s="96" t="n"/>
      <c r="N897" s="88" t="n"/>
      <c r="O897" s="20" t="n"/>
      <c r="P897" s="31" t="n"/>
      <c r="Q897" s="89" t="n"/>
      <c r="R897" s="89" t="n"/>
      <c r="S897" s="89" t="n"/>
      <c r="T897" s="59" t="n"/>
      <c r="U897" s="91" t="n"/>
      <c r="V897" s="93">
        <f>U897/B897</f>
        <v/>
      </c>
    </row>
    <row r="898" ht="22.5" customHeight="1" s="150">
      <c r="A898" s="34" t="n">
        <v>896</v>
      </c>
      <c r="B898" s="34" t="n"/>
      <c r="C898" s="34" t="n"/>
      <c r="D898" s="34" t="n"/>
      <c r="E898" s="34" t="n"/>
      <c r="F898" s="86" t="n"/>
      <c r="G898" s="86" t="n"/>
      <c r="H898" s="111" t="n"/>
      <c r="I898" s="87" t="n"/>
      <c r="J898" s="87" t="n"/>
      <c r="K898" s="111" t="n"/>
      <c r="L898" s="86" t="n"/>
      <c r="M898" s="97" t="n"/>
      <c r="N898" s="88" t="n"/>
      <c r="O898" s="20" t="n"/>
      <c r="P898" s="31" t="n"/>
      <c r="Q898" s="89" t="n"/>
      <c r="R898" s="89" t="n"/>
      <c r="S898" s="89" t="n"/>
      <c r="T898" s="59" t="n"/>
      <c r="U898" s="94" t="n"/>
      <c r="V898" s="95">
        <f>U898/B898</f>
        <v/>
      </c>
    </row>
    <row r="899" ht="22.5" customHeight="1" s="150">
      <c r="A899" s="34" t="n">
        <v>897</v>
      </c>
      <c r="B899" s="34" t="n"/>
      <c r="C899" s="34" t="n"/>
      <c r="D899" s="34" t="n"/>
      <c r="E899" s="34" t="n"/>
      <c r="F899" s="86" t="n"/>
      <c r="G899" s="86" t="n"/>
      <c r="H899" s="111" t="n"/>
      <c r="I899" s="87" t="n"/>
      <c r="J899" s="87" t="n"/>
      <c r="K899" s="111" t="n"/>
      <c r="L899" s="86" t="n"/>
      <c r="M899" s="96" t="n"/>
      <c r="N899" s="88" t="n"/>
      <c r="O899" s="20" t="n"/>
      <c r="P899" s="31" t="n"/>
      <c r="Q899" s="89" t="n"/>
      <c r="R899" s="89" t="n"/>
      <c r="S899" s="89" t="n"/>
      <c r="T899" s="59" t="n"/>
      <c r="U899" s="91" t="n"/>
      <c r="V899" s="93">
        <f>U899/B899</f>
        <v/>
      </c>
    </row>
    <row r="900" ht="22.5" customHeight="1" s="150">
      <c r="A900" s="34" t="n">
        <v>898</v>
      </c>
      <c r="B900" s="34" t="n"/>
      <c r="C900" s="34" t="n"/>
      <c r="D900" s="34" t="n"/>
      <c r="E900" s="34" t="n"/>
      <c r="F900" s="86" t="n"/>
      <c r="G900" s="86" t="n"/>
      <c r="H900" s="111" t="n"/>
      <c r="I900" s="87" t="n"/>
      <c r="J900" s="87" t="n"/>
      <c r="K900" s="111" t="n"/>
      <c r="L900" s="86" t="n"/>
      <c r="M900" s="97" t="n"/>
      <c r="N900" s="88" t="n"/>
      <c r="O900" s="20" t="n"/>
      <c r="P900" s="31" t="n"/>
      <c r="Q900" s="89" t="n"/>
      <c r="R900" s="89" t="n"/>
      <c r="S900" s="89" t="n"/>
      <c r="T900" s="59" t="n"/>
      <c r="U900" s="94" t="n"/>
      <c r="V900" s="95">
        <f>U900/B900</f>
        <v/>
      </c>
    </row>
    <row r="901" ht="22.5" customHeight="1" s="150">
      <c r="A901" s="34" t="n">
        <v>899</v>
      </c>
      <c r="B901" s="34" t="n"/>
      <c r="C901" s="34" t="n"/>
      <c r="D901" s="34" t="n"/>
      <c r="E901" s="34" t="n"/>
      <c r="F901" s="86" t="n"/>
      <c r="G901" s="86" t="n"/>
      <c r="H901" s="111" t="n"/>
      <c r="I901" s="87" t="n"/>
      <c r="J901" s="87" t="n"/>
      <c r="K901" s="111" t="n"/>
      <c r="L901" s="86" t="n"/>
      <c r="M901" s="96" t="n"/>
      <c r="N901" s="88" t="n"/>
      <c r="O901" s="20" t="n"/>
      <c r="P901" s="31" t="n"/>
      <c r="Q901" s="89" t="n"/>
      <c r="R901" s="89" t="n"/>
      <c r="S901" s="89" t="n"/>
      <c r="T901" s="59" t="n"/>
      <c r="U901" s="91" t="n"/>
      <c r="V901" s="93">
        <f>U901/B901</f>
        <v/>
      </c>
    </row>
    <row r="902" ht="22.5" customHeight="1" s="150">
      <c r="A902" s="34" t="n">
        <v>900</v>
      </c>
      <c r="B902" s="34" t="n"/>
      <c r="C902" s="34" t="n"/>
      <c r="D902" s="34" t="n"/>
      <c r="E902" s="34" t="n"/>
      <c r="F902" s="86" t="n"/>
      <c r="G902" s="86" t="n"/>
      <c r="H902" s="111" t="n"/>
      <c r="I902" s="87" t="n"/>
      <c r="J902" s="87" t="n"/>
      <c r="K902" s="111" t="n"/>
      <c r="L902" s="86" t="n"/>
      <c r="M902" s="97" t="n"/>
      <c r="N902" s="88" t="n"/>
      <c r="O902" s="20" t="n"/>
      <c r="P902" s="31" t="n"/>
      <c r="Q902" s="89" t="n"/>
      <c r="R902" s="89" t="n"/>
      <c r="S902" s="89" t="n"/>
      <c r="T902" s="59" t="n"/>
      <c r="U902" s="94" t="n"/>
      <c r="V902" s="95">
        <f>U902/B902</f>
        <v/>
      </c>
    </row>
    <row r="903" ht="22.5" customHeight="1" s="150">
      <c r="A903" s="34" t="n">
        <v>901</v>
      </c>
      <c r="B903" s="34" t="n"/>
      <c r="C903" s="34" t="n"/>
      <c r="D903" s="34" t="n"/>
      <c r="E903" s="34" t="n"/>
      <c r="F903" s="86" t="n"/>
      <c r="G903" s="86" t="n"/>
      <c r="H903" s="111" t="n"/>
      <c r="I903" s="87" t="n"/>
      <c r="J903" s="87" t="n"/>
      <c r="K903" s="111" t="n"/>
      <c r="L903" s="86" t="n"/>
      <c r="M903" s="96" t="n"/>
      <c r="N903" s="88" t="n"/>
      <c r="O903" s="20" t="n"/>
      <c r="P903" s="31" t="n"/>
      <c r="Q903" s="89" t="n"/>
      <c r="R903" s="89" t="n"/>
      <c r="S903" s="89" t="n"/>
      <c r="T903" s="59" t="n"/>
      <c r="U903" s="91" t="n"/>
      <c r="V903" s="93">
        <f>U903/B903</f>
        <v/>
      </c>
    </row>
    <row r="904" ht="22.5" customHeight="1" s="150">
      <c r="A904" s="34" t="n">
        <v>902</v>
      </c>
      <c r="B904" s="34" t="n"/>
      <c r="C904" s="34" t="n"/>
      <c r="D904" s="34" t="n"/>
      <c r="E904" s="34" t="n"/>
      <c r="F904" s="86" t="n"/>
      <c r="G904" s="86" t="n"/>
      <c r="H904" s="111" t="n"/>
      <c r="I904" s="87" t="n"/>
      <c r="J904" s="87" t="n"/>
      <c r="K904" s="111" t="n"/>
      <c r="L904" s="86" t="n"/>
      <c r="M904" s="97" t="n"/>
      <c r="N904" s="88" t="n"/>
      <c r="O904" s="20" t="n"/>
      <c r="P904" s="31" t="n"/>
      <c r="Q904" s="89" t="n"/>
      <c r="R904" s="89" t="n"/>
      <c r="S904" s="89" t="n"/>
      <c r="T904" s="59" t="n"/>
      <c r="U904" s="94" t="n"/>
      <c r="V904" s="95">
        <f>U904/B904</f>
        <v/>
      </c>
    </row>
    <row r="905" ht="22.5" customHeight="1" s="150">
      <c r="A905" s="34" t="n">
        <v>903</v>
      </c>
      <c r="B905" s="34" t="n"/>
      <c r="C905" s="34" t="n"/>
      <c r="D905" s="34" t="n"/>
      <c r="E905" s="34" t="n"/>
      <c r="F905" s="86" t="n"/>
      <c r="G905" s="86" t="n"/>
      <c r="H905" s="111" t="n"/>
      <c r="I905" s="87" t="n"/>
      <c r="J905" s="87" t="n"/>
      <c r="K905" s="111" t="n"/>
      <c r="L905" s="86" t="n"/>
      <c r="M905" s="96" t="n"/>
      <c r="N905" s="88" t="n"/>
      <c r="O905" s="20" t="n"/>
      <c r="P905" s="31" t="n"/>
      <c r="Q905" s="89" t="n"/>
      <c r="R905" s="89" t="n"/>
      <c r="S905" s="89" t="n"/>
      <c r="T905" s="59" t="n"/>
      <c r="U905" s="91" t="n"/>
      <c r="V905" s="93">
        <f>U905/B905</f>
        <v/>
      </c>
    </row>
    <row r="906" ht="22.5" customHeight="1" s="150">
      <c r="A906" s="34" t="n">
        <v>904</v>
      </c>
      <c r="B906" s="34" t="n"/>
      <c r="C906" s="34" t="n"/>
      <c r="D906" s="34" t="n"/>
      <c r="E906" s="34" t="n"/>
      <c r="F906" s="86" t="n"/>
      <c r="G906" s="86" t="n"/>
      <c r="H906" s="111" t="n"/>
      <c r="I906" s="87" t="n"/>
      <c r="J906" s="87" t="n"/>
      <c r="K906" s="111" t="n"/>
      <c r="L906" s="86" t="n"/>
      <c r="M906" s="97" t="n"/>
      <c r="N906" s="88" t="n"/>
      <c r="O906" s="20" t="n"/>
      <c r="P906" s="31" t="n"/>
      <c r="Q906" s="89" t="n"/>
      <c r="R906" s="89" t="n"/>
      <c r="S906" s="89" t="n"/>
      <c r="T906" s="59" t="n"/>
      <c r="U906" s="94" t="n"/>
      <c r="V906" s="95">
        <f>U906/B906</f>
        <v/>
      </c>
    </row>
    <row r="907" ht="22.5" customHeight="1" s="150">
      <c r="A907" s="34" t="n">
        <v>905</v>
      </c>
      <c r="B907" s="34" t="n"/>
      <c r="C907" s="34" t="n"/>
      <c r="D907" s="34" t="n"/>
      <c r="E907" s="34" t="n"/>
      <c r="F907" s="86" t="n"/>
      <c r="G907" s="86" t="n"/>
      <c r="H907" s="111" t="n"/>
      <c r="I907" s="87" t="n"/>
      <c r="J907" s="87" t="n"/>
      <c r="K907" s="111" t="n"/>
      <c r="L907" s="86" t="n"/>
      <c r="M907" s="96" t="n"/>
      <c r="N907" s="88" t="n"/>
      <c r="O907" s="20" t="n"/>
      <c r="P907" s="31" t="n"/>
      <c r="Q907" s="89" t="n"/>
      <c r="R907" s="89" t="n"/>
      <c r="S907" s="89" t="n"/>
      <c r="T907" s="59" t="n"/>
      <c r="U907" s="91" t="n"/>
      <c r="V907" s="93">
        <f>U907/B907</f>
        <v/>
      </c>
    </row>
    <row r="908" ht="22.5" customHeight="1" s="150">
      <c r="A908" s="34" t="n">
        <v>906</v>
      </c>
      <c r="B908" s="34" t="n"/>
      <c r="C908" s="34" t="n"/>
      <c r="D908" s="34" t="n"/>
      <c r="E908" s="34" t="n"/>
      <c r="F908" s="86" t="n"/>
      <c r="G908" s="86" t="n"/>
      <c r="H908" s="111" t="n"/>
      <c r="I908" s="87" t="n"/>
      <c r="J908" s="87" t="n"/>
      <c r="K908" s="111" t="n"/>
      <c r="L908" s="86" t="n"/>
      <c r="M908" s="97" t="n"/>
      <c r="N908" s="88" t="n"/>
      <c r="O908" s="20" t="n"/>
      <c r="P908" s="31" t="n"/>
      <c r="Q908" s="89" t="n"/>
      <c r="R908" s="89" t="n"/>
      <c r="S908" s="89" t="n"/>
      <c r="T908" s="59" t="n"/>
      <c r="U908" s="94" t="n"/>
      <c r="V908" s="95">
        <f>U908/B908</f>
        <v/>
      </c>
    </row>
    <row r="909" ht="22.5" customHeight="1" s="150">
      <c r="A909" s="34" t="n">
        <v>907</v>
      </c>
      <c r="B909" s="34" t="n"/>
      <c r="C909" s="34" t="n"/>
      <c r="D909" s="34" t="n"/>
      <c r="E909" s="34" t="n"/>
      <c r="F909" s="86" t="n"/>
      <c r="G909" s="86" t="n"/>
      <c r="H909" s="111" t="n"/>
      <c r="I909" s="87" t="n"/>
      <c r="J909" s="87" t="n"/>
      <c r="K909" s="111" t="n"/>
      <c r="L909" s="86" t="n"/>
      <c r="M909" s="96" t="n"/>
      <c r="N909" s="88" t="n"/>
      <c r="O909" s="20" t="n"/>
      <c r="P909" s="31" t="n"/>
      <c r="Q909" s="89" t="n"/>
      <c r="R909" s="89" t="n"/>
      <c r="S909" s="89" t="n"/>
      <c r="T909" s="59" t="n"/>
      <c r="U909" s="91" t="n"/>
      <c r="V909" s="93">
        <f>U909/B909</f>
        <v/>
      </c>
    </row>
    <row r="910" ht="22.5" customHeight="1" s="150">
      <c r="A910" s="34" t="n">
        <v>908</v>
      </c>
      <c r="B910" s="34" t="n"/>
      <c r="C910" s="34" t="n"/>
      <c r="D910" s="34" t="n"/>
      <c r="E910" s="34" t="n"/>
      <c r="F910" s="86" t="n"/>
      <c r="G910" s="86" t="n"/>
      <c r="H910" s="111" t="n"/>
      <c r="I910" s="87" t="n"/>
      <c r="J910" s="87" t="n"/>
      <c r="K910" s="111" t="n"/>
      <c r="L910" s="86" t="n"/>
      <c r="M910" s="97" t="n"/>
      <c r="N910" s="88" t="n"/>
      <c r="O910" s="20" t="n"/>
      <c r="P910" s="31" t="n"/>
      <c r="Q910" s="89" t="n"/>
      <c r="R910" s="89" t="n"/>
      <c r="S910" s="89" t="n"/>
      <c r="T910" s="59" t="n"/>
      <c r="U910" s="94" t="n"/>
      <c r="V910" s="95">
        <f>U910/B910</f>
        <v/>
      </c>
    </row>
    <row r="911" ht="22.5" customHeight="1" s="150">
      <c r="A911" s="34" t="n">
        <v>909</v>
      </c>
      <c r="B911" s="34" t="n"/>
      <c r="C911" s="34" t="n"/>
      <c r="D911" s="34" t="n"/>
      <c r="E911" s="34" t="n"/>
      <c r="F911" s="86" t="n"/>
      <c r="G911" s="86" t="n"/>
      <c r="H911" s="111" t="n"/>
      <c r="I911" s="87" t="n"/>
      <c r="J911" s="87" t="n"/>
      <c r="K911" s="111" t="n"/>
      <c r="L911" s="86" t="n"/>
      <c r="M911" s="96" t="n"/>
      <c r="N911" s="88" t="n"/>
      <c r="O911" s="20" t="n"/>
      <c r="P911" s="31" t="n"/>
      <c r="Q911" s="89" t="n"/>
      <c r="R911" s="89" t="n"/>
      <c r="S911" s="89" t="n"/>
      <c r="T911" s="59" t="n"/>
      <c r="U911" s="91" t="n"/>
      <c r="V911" s="93">
        <f>U911/B911</f>
        <v/>
      </c>
    </row>
    <row r="912" ht="22.5" customHeight="1" s="150">
      <c r="A912" s="34" t="n">
        <v>910</v>
      </c>
      <c r="B912" s="34" t="n"/>
      <c r="C912" s="34" t="n"/>
      <c r="D912" s="34" t="n"/>
      <c r="E912" s="34" t="n"/>
      <c r="F912" s="86" t="n"/>
      <c r="G912" s="86" t="n"/>
      <c r="H912" s="111" t="n"/>
      <c r="I912" s="87" t="n"/>
      <c r="J912" s="87" t="n"/>
      <c r="K912" s="111" t="n"/>
      <c r="L912" s="86" t="n"/>
      <c r="M912" s="97" t="n"/>
      <c r="N912" s="88" t="n"/>
      <c r="O912" s="20" t="n"/>
      <c r="P912" s="31" t="n"/>
      <c r="Q912" s="89" t="n"/>
      <c r="R912" s="89" t="n"/>
      <c r="S912" s="89" t="n"/>
      <c r="T912" s="59" t="n"/>
      <c r="U912" s="94" t="n"/>
      <c r="V912" s="95">
        <f>U912/B912</f>
        <v/>
      </c>
    </row>
    <row r="913" ht="22.5" customHeight="1" s="150">
      <c r="A913" s="34" t="n">
        <v>911</v>
      </c>
      <c r="B913" s="34" t="n"/>
      <c r="C913" s="34" t="n"/>
      <c r="D913" s="34" t="n"/>
      <c r="E913" s="34" t="n"/>
      <c r="F913" s="86" t="n"/>
      <c r="G913" s="86" t="n"/>
      <c r="H913" s="111" t="n"/>
      <c r="I913" s="87" t="n"/>
      <c r="J913" s="87" t="n"/>
      <c r="K913" s="111" t="n"/>
      <c r="L913" s="86" t="n"/>
      <c r="M913" s="96" t="n"/>
      <c r="N913" s="88" t="n"/>
      <c r="O913" s="20" t="n"/>
      <c r="P913" s="31" t="n"/>
      <c r="Q913" s="89" t="n"/>
      <c r="R913" s="89" t="n"/>
      <c r="S913" s="89" t="n"/>
      <c r="T913" s="59" t="n"/>
      <c r="U913" s="91" t="n"/>
      <c r="V913" s="93">
        <f>U913/B913</f>
        <v/>
      </c>
    </row>
    <row r="914" ht="22.5" customHeight="1" s="150">
      <c r="A914" s="34" t="n">
        <v>912</v>
      </c>
      <c r="B914" s="34" t="n"/>
      <c r="C914" s="34" t="n"/>
      <c r="D914" s="34" t="n"/>
      <c r="E914" s="34" t="n"/>
      <c r="F914" s="86" t="n"/>
      <c r="G914" s="86" t="n"/>
      <c r="H914" s="111" t="n"/>
      <c r="I914" s="87" t="n"/>
      <c r="J914" s="87" t="n"/>
      <c r="K914" s="111" t="n"/>
      <c r="L914" s="86" t="n"/>
      <c r="M914" s="97" t="n"/>
      <c r="N914" s="88" t="n"/>
      <c r="O914" s="20" t="n"/>
      <c r="P914" s="31" t="n"/>
      <c r="Q914" s="89" t="n"/>
      <c r="R914" s="89" t="n"/>
      <c r="S914" s="89" t="n"/>
      <c r="T914" s="59" t="n"/>
      <c r="U914" s="94" t="n"/>
      <c r="V914" s="95">
        <f>U914/B914</f>
        <v/>
      </c>
    </row>
    <row r="915" ht="22.5" customHeight="1" s="150">
      <c r="A915" s="34" t="n">
        <v>913</v>
      </c>
      <c r="B915" s="34" t="n"/>
      <c r="C915" s="34" t="n"/>
      <c r="D915" s="34" t="n"/>
      <c r="E915" s="34" t="n"/>
      <c r="F915" s="86" t="n"/>
      <c r="G915" s="86" t="n"/>
      <c r="H915" s="111" t="n"/>
      <c r="I915" s="87" t="n"/>
      <c r="J915" s="87" t="n"/>
      <c r="K915" s="111" t="n"/>
      <c r="L915" s="86" t="n"/>
      <c r="M915" s="96" t="n"/>
      <c r="N915" s="88" t="n"/>
      <c r="O915" s="20" t="n"/>
      <c r="P915" s="31" t="n"/>
      <c r="Q915" s="89" t="n"/>
      <c r="R915" s="89" t="n"/>
      <c r="S915" s="89" t="n"/>
      <c r="T915" s="59" t="n"/>
      <c r="U915" s="91" t="n"/>
      <c r="V915" s="93">
        <f>U915/B915</f>
        <v/>
      </c>
    </row>
    <row r="916" ht="22.5" customHeight="1" s="150">
      <c r="A916" s="34" t="n">
        <v>914</v>
      </c>
      <c r="B916" s="34" t="n"/>
      <c r="C916" s="34" t="n"/>
      <c r="D916" s="34" t="n"/>
      <c r="E916" s="34" t="n"/>
      <c r="F916" s="86" t="n"/>
      <c r="G916" s="86" t="n"/>
      <c r="H916" s="111" t="n"/>
      <c r="I916" s="87" t="n"/>
      <c r="J916" s="87" t="n"/>
      <c r="K916" s="111" t="n"/>
      <c r="L916" s="86" t="n"/>
      <c r="M916" s="97" t="n"/>
      <c r="N916" s="88" t="n"/>
      <c r="O916" s="20" t="n"/>
      <c r="P916" s="31" t="n"/>
      <c r="Q916" s="89" t="n"/>
      <c r="R916" s="89" t="n"/>
      <c r="S916" s="89" t="n"/>
      <c r="T916" s="59" t="n"/>
      <c r="U916" s="94" t="n"/>
      <c r="V916" s="95">
        <f>U916/B916</f>
        <v/>
      </c>
    </row>
    <row r="917" ht="22.5" customHeight="1" s="150">
      <c r="A917" s="34" t="n">
        <v>915</v>
      </c>
      <c r="B917" s="34" t="n"/>
      <c r="C917" s="34" t="n"/>
      <c r="D917" s="34" t="n"/>
      <c r="E917" s="34" t="n"/>
      <c r="F917" s="86" t="n"/>
      <c r="G917" s="86" t="n"/>
      <c r="H917" s="111" t="n"/>
      <c r="I917" s="87" t="n"/>
      <c r="J917" s="87" t="n"/>
      <c r="K917" s="111" t="n"/>
      <c r="L917" s="86" t="n"/>
      <c r="M917" s="96" t="n"/>
      <c r="N917" s="88" t="n"/>
      <c r="O917" s="20" t="n"/>
      <c r="P917" s="31" t="n"/>
      <c r="Q917" s="89" t="n"/>
      <c r="R917" s="89" t="n"/>
      <c r="S917" s="89" t="n"/>
      <c r="T917" s="59" t="n"/>
      <c r="U917" s="91" t="n"/>
      <c r="V917" s="93">
        <f>U917/B917</f>
        <v/>
      </c>
    </row>
    <row r="918" ht="22.5" customHeight="1" s="150">
      <c r="A918" s="34" t="n">
        <v>916</v>
      </c>
      <c r="B918" s="34" t="n"/>
      <c r="C918" s="34" t="n"/>
      <c r="D918" s="34" t="n"/>
      <c r="E918" s="34" t="n"/>
      <c r="F918" s="86" t="n"/>
      <c r="G918" s="86" t="n"/>
      <c r="H918" s="111" t="n"/>
      <c r="I918" s="87" t="n"/>
      <c r="J918" s="87" t="n"/>
      <c r="K918" s="111" t="n"/>
      <c r="L918" s="86" t="n"/>
      <c r="M918" s="97" t="n"/>
      <c r="N918" s="88" t="n"/>
      <c r="O918" s="20" t="n"/>
      <c r="P918" s="31" t="n"/>
      <c r="Q918" s="89" t="n"/>
      <c r="R918" s="89" t="n"/>
      <c r="S918" s="89" t="n"/>
      <c r="T918" s="59" t="n"/>
      <c r="U918" s="94" t="n"/>
      <c r="V918" s="95">
        <f>U918/B918</f>
        <v/>
      </c>
    </row>
    <row r="919" ht="22.5" customHeight="1" s="150">
      <c r="A919" s="34" t="n">
        <v>917</v>
      </c>
      <c r="B919" s="34" t="n"/>
      <c r="C919" s="34" t="n"/>
      <c r="D919" s="34" t="n"/>
      <c r="E919" s="34" t="n"/>
      <c r="F919" s="86" t="n"/>
      <c r="G919" s="86" t="n"/>
      <c r="H919" s="111" t="n"/>
      <c r="I919" s="87" t="n"/>
      <c r="J919" s="87" t="n"/>
      <c r="K919" s="111" t="n"/>
      <c r="L919" s="86" t="n"/>
      <c r="M919" s="96" t="n"/>
      <c r="N919" s="88" t="n"/>
      <c r="O919" s="20" t="n"/>
      <c r="P919" s="31" t="n"/>
      <c r="Q919" s="89" t="n"/>
      <c r="R919" s="89" t="n"/>
      <c r="S919" s="89" t="n"/>
      <c r="T919" s="59" t="n"/>
      <c r="U919" s="91" t="n"/>
      <c r="V919" s="93">
        <f>U919/B919</f>
        <v/>
      </c>
    </row>
    <row r="920" ht="22.5" customHeight="1" s="150">
      <c r="A920" s="34" t="n">
        <v>918</v>
      </c>
      <c r="B920" s="34" t="n"/>
      <c r="C920" s="34" t="n"/>
      <c r="D920" s="34" t="n"/>
      <c r="E920" s="34" t="n"/>
      <c r="F920" s="86" t="n"/>
      <c r="G920" s="86" t="n"/>
      <c r="H920" s="111" t="n"/>
      <c r="I920" s="87" t="n"/>
      <c r="J920" s="87" t="n"/>
      <c r="K920" s="111" t="n"/>
      <c r="L920" s="86" t="n"/>
      <c r="M920" s="97" t="n"/>
      <c r="N920" s="88" t="n"/>
      <c r="O920" s="20" t="n"/>
      <c r="P920" s="31" t="n"/>
      <c r="Q920" s="89" t="n"/>
      <c r="R920" s="89" t="n"/>
      <c r="S920" s="89" t="n"/>
      <c r="T920" s="59" t="n"/>
      <c r="U920" s="94" t="n"/>
      <c r="V920" s="95">
        <f>U920/B920</f>
        <v/>
      </c>
    </row>
    <row r="921" ht="22.5" customHeight="1" s="150">
      <c r="A921" s="34" t="n">
        <v>919</v>
      </c>
      <c r="B921" s="34" t="n"/>
      <c r="C921" s="34" t="n"/>
      <c r="D921" s="34" t="n"/>
      <c r="E921" s="34" t="n"/>
      <c r="F921" s="86" t="n"/>
      <c r="G921" s="86" t="n"/>
      <c r="H921" s="111" t="n"/>
      <c r="I921" s="87" t="n"/>
      <c r="J921" s="87" t="n"/>
      <c r="K921" s="111" t="n"/>
      <c r="L921" s="86" t="n"/>
      <c r="M921" s="96" t="n"/>
      <c r="N921" s="88" t="n"/>
      <c r="O921" s="20" t="n"/>
      <c r="P921" s="31" t="n"/>
      <c r="Q921" s="89" t="n"/>
      <c r="R921" s="89" t="n"/>
      <c r="S921" s="89" t="n"/>
      <c r="T921" s="59" t="n"/>
      <c r="U921" s="91" t="n"/>
      <c r="V921" s="93">
        <f>U921/B921</f>
        <v/>
      </c>
    </row>
    <row r="922" ht="22.5" customHeight="1" s="150">
      <c r="A922" s="34" t="n">
        <v>920</v>
      </c>
      <c r="B922" s="34" t="n"/>
      <c r="C922" s="34" t="n"/>
      <c r="D922" s="34" t="n"/>
      <c r="E922" s="34" t="n"/>
      <c r="F922" s="86" t="n"/>
      <c r="G922" s="86" t="n"/>
      <c r="H922" s="111" t="n"/>
      <c r="I922" s="87" t="n"/>
      <c r="J922" s="87" t="n"/>
      <c r="K922" s="111" t="n"/>
      <c r="L922" s="86" t="n"/>
      <c r="M922" s="97" t="n"/>
      <c r="N922" s="88" t="n"/>
      <c r="O922" s="20" t="n"/>
      <c r="P922" s="31" t="n"/>
      <c r="Q922" s="89" t="n"/>
      <c r="R922" s="89" t="n"/>
      <c r="S922" s="89" t="n"/>
      <c r="T922" s="59" t="n"/>
      <c r="U922" s="94" t="n"/>
      <c r="V922" s="95">
        <f>U922/B922</f>
        <v/>
      </c>
    </row>
    <row r="923" ht="22.5" customHeight="1" s="150">
      <c r="A923" s="34" t="n">
        <v>921</v>
      </c>
      <c r="B923" s="34" t="n"/>
      <c r="C923" s="34" t="n"/>
      <c r="D923" s="34" t="n"/>
      <c r="E923" s="34" t="n"/>
      <c r="F923" s="86" t="n"/>
      <c r="G923" s="86" t="n"/>
      <c r="H923" s="111" t="n"/>
      <c r="I923" s="87" t="n"/>
      <c r="J923" s="87" t="n"/>
      <c r="K923" s="111" t="n"/>
      <c r="L923" s="86" t="n"/>
      <c r="M923" s="96" t="n"/>
      <c r="N923" s="88" t="n"/>
      <c r="O923" s="20" t="n"/>
      <c r="P923" s="31" t="n"/>
      <c r="Q923" s="89" t="n"/>
      <c r="R923" s="89" t="n"/>
      <c r="S923" s="89" t="n"/>
      <c r="T923" s="59" t="n"/>
      <c r="U923" s="91" t="n"/>
      <c r="V923" s="93">
        <f>U923/B923</f>
        <v/>
      </c>
    </row>
    <row r="924" ht="22.5" customHeight="1" s="150">
      <c r="A924" s="34" t="n">
        <v>922</v>
      </c>
      <c r="B924" s="34" t="n"/>
      <c r="C924" s="34" t="n"/>
      <c r="D924" s="34" t="n"/>
      <c r="E924" s="34" t="n"/>
      <c r="F924" s="86" t="n"/>
      <c r="G924" s="86" t="n"/>
      <c r="H924" s="111" t="n"/>
      <c r="I924" s="87" t="n"/>
      <c r="J924" s="87" t="n"/>
      <c r="K924" s="111" t="n"/>
      <c r="L924" s="86" t="n"/>
      <c r="M924" s="97" t="n"/>
      <c r="N924" s="88" t="n"/>
      <c r="O924" s="20" t="n"/>
      <c r="P924" s="31" t="n"/>
      <c r="Q924" s="89" t="n"/>
      <c r="R924" s="89" t="n"/>
      <c r="S924" s="89" t="n"/>
      <c r="T924" s="59" t="n"/>
      <c r="U924" s="94" t="n"/>
      <c r="V924" s="95">
        <f>U924/B924</f>
        <v/>
      </c>
    </row>
    <row r="925" ht="22.5" customHeight="1" s="150">
      <c r="A925" s="34" t="n">
        <v>923</v>
      </c>
      <c r="B925" s="34" t="n"/>
      <c r="C925" s="34" t="n"/>
      <c r="D925" s="34" t="n"/>
      <c r="E925" s="34" t="n"/>
      <c r="F925" s="86" t="n"/>
      <c r="G925" s="86" t="n"/>
      <c r="H925" s="111" t="n"/>
      <c r="I925" s="87" t="n"/>
      <c r="J925" s="87" t="n"/>
      <c r="K925" s="111" t="n"/>
      <c r="L925" s="86" t="n"/>
      <c r="M925" s="96" t="n"/>
      <c r="N925" s="88" t="n"/>
      <c r="O925" s="20" t="n"/>
      <c r="P925" s="31" t="n"/>
      <c r="Q925" s="89" t="n"/>
      <c r="R925" s="89" t="n"/>
      <c r="S925" s="89" t="n"/>
      <c r="T925" s="59" t="n"/>
      <c r="U925" s="91" t="n"/>
      <c r="V925" s="93">
        <f>U925/B925</f>
        <v/>
      </c>
    </row>
    <row r="926" ht="22.5" customHeight="1" s="150">
      <c r="A926" s="34" t="n">
        <v>924</v>
      </c>
      <c r="B926" s="34" t="n"/>
      <c r="C926" s="34" t="n"/>
      <c r="D926" s="34" t="n"/>
      <c r="E926" s="34" t="n"/>
      <c r="F926" s="86" t="n"/>
      <c r="G926" s="86" t="n"/>
      <c r="H926" s="111" t="n"/>
      <c r="I926" s="87" t="n"/>
      <c r="J926" s="87" t="n"/>
      <c r="K926" s="111" t="n"/>
      <c r="L926" s="86" t="n"/>
      <c r="M926" s="97" t="n"/>
      <c r="N926" s="88" t="n"/>
      <c r="O926" s="20" t="n"/>
      <c r="P926" s="31" t="n"/>
      <c r="Q926" s="89" t="n"/>
      <c r="R926" s="89" t="n"/>
      <c r="S926" s="89" t="n"/>
      <c r="T926" s="59" t="n"/>
      <c r="U926" s="94" t="n"/>
      <c r="V926" s="95">
        <f>U926/B926</f>
        <v/>
      </c>
    </row>
    <row r="927" ht="22.5" customHeight="1" s="150">
      <c r="A927" s="34" t="n">
        <v>925</v>
      </c>
      <c r="B927" s="34" t="n"/>
      <c r="C927" s="34" t="n"/>
      <c r="D927" s="34" t="n"/>
      <c r="E927" s="34" t="n"/>
      <c r="F927" s="86" t="n"/>
      <c r="G927" s="86" t="n"/>
      <c r="H927" s="111" t="n"/>
      <c r="I927" s="87" t="n"/>
      <c r="J927" s="87" t="n"/>
      <c r="K927" s="111" t="n"/>
      <c r="L927" s="86" t="n"/>
      <c r="M927" s="96" t="n"/>
      <c r="N927" s="88" t="n"/>
      <c r="O927" s="20" t="n"/>
      <c r="P927" s="31" t="n"/>
      <c r="Q927" s="89" t="n"/>
      <c r="R927" s="89" t="n"/>
      <c r="S927" s="89" t="n"/>
      <c r="T927" s="59" t="n"/>
      <c r="U927" s="91" t="n"/>
      <c r="V927" s="93">
        <f>U927/B927</f>
        <v/>
      </c>
    </row>
    <row r="928" ht="22.5" customHeight="1" s="150">
      <c r="A928" s="34" t="n">
        <v>926</v>
      </c>
      <c r="B928" s="34" t="n"/>
      <c r="C928" s="34" t="n"/>
      <c r="D928" s="34" t="n"/>
      <c r="E928" s="34" t="n"/>
      <c r="F928" s="86" t="n"/>
      <c r="G928" s="86" t="n"/>
      <c r="H928" s="111" t="n"/>
      <c r="I928" s="87" t="n"/>
      <c r="J928" s="87" t="n"/>
      <c r="K928" s="111" t="n"/>
      <c r="L928" s="86" t="n"/>
      <c r="M928" s="97" t="n"/>
      <c r="N928" s="88" t="n"/>
      <c r="O928" s="20" t="n"/>
      <c r="P928" s="31" t="n"/>
      <c r="Q928" s="89" t="n"/>
      <c r="R928" s="89" t="n"/>
      <c r="S928" s="89" t="n"/>
      <c r="T928" s="59" t="n"/>
      <c r="U928" s="94" t="n"/>
      <c r="V928" s="95">
        <f>U928/B928</f>
        <v/>
      </c>
    </row>
    <row r="929" ht="22.5" customHeight="1" s="150">
      <c r="A929" s="34" t="n">
        <v>927</v>
      </c>
      <c r="B929" s="34" t="n"/>
      <c r="C929" s="34" t="n"/>
      <c r="D929" s="34" t="n"/>
      <c r="E929" s="34" t="n"/>
      <c r="F929" s="86" t="n"/>
      <c r="G929" s="86" t="n"/>
      <c r="H929" s="111" t="n"/>
      <c r="I929" s="87" t="n"/>
      <c r="J929" s="87" t="n"/>
      <c r="K929" s="111" t="n"/>
      <c r="L929" s="86" t="n"/>
      <c r="M929" s="96" t="n"/>
      <c r="N929" s="88" t="n"/>
      <c r="O929" s="20" t="n"/>
      <c r="P929" s="31" t="n"/>
      <c r="Q929" s="89" t="n"/>
      <c r="R929" s="89" t="n"/>
      <c r="S929" s="89" t="n"/>
      <c r="T929" s="59" t="n"/>
      <c r="U929" s="91" t="n"/>
      <c r="V929" s="93">
        <f>U929/B929</f>
        <v/>
      </c>
    </row>
    <row r="930" ht="22.5" customHeight="1" s="150">
      <c r="A930" s="34" t="n">
        <v>928</v>
      </c>
      <c r="B930" s="34" t="n"/>
      <c r="C930" s="34" t="n"/>
      <c r="D930" s="34" t="n"/>
      <c r="E930" s="34" t="n"/>
      <c r="F930" s="86" t="n"/>
      <c r="G930" s="86" t="n"/>
      <c r="H930" s="111" t="n"/>
      <c r="I930" s="87" t="n"/>
      <c r="J930" s="87" t="n"/>
      <c r="K930" s="111" t="n"/>
      <c r="L930" s="86" t="n"/>
      <c r="M930" s="97" t="n"/>
      <c r="N930" s="88" t="n"/>
      <c r="O930" s="20" t="n"/>
      <c r="P930" s="31" t="n"/>
      <c r="Q930" s="89" t="n"/>
      <c r="R930" s="89" t="n"/>
      <c r="S930" s="89" t="n"/>
      <c r="T930" s="59" t="n"/>
      <c r="U930" s="94" t="n"/>
      <c r="V930" s="95">
        <f>U930/B930</f>
        <v/>
      </c>
    </row>
    <row r="931" ht="22.5" customHeight="1" s="150">
      <c r="A931" s="34" t="n">
        <v>929</v>
      </c>
      <c r="B931" s="34" t="n"/>
      <c r="C931" s="34" t="n"/>
      <c r="D931" s="34" t="n"/>
      <c r="E931" s="34" t="n"/>
      <c r="F931" s="86" t="n"/>
      <c r="G931" s="86" t="n"/>
      <c r="H931" s="111" t="n"/>
      <c r="I931" s="87" t="n"/>
      <c r="J931" s="87" t="n"/>
      <c r="K931" s="111" t="n"/>
      <c r="L931" s="86" t="n"/>
      <c r="M931" s="96" t="n"/>
      <c r="N931" s="88" t="n"/>
      <c r="O931" s="20" t="n"/>
      <c r="P931" s="31" t="n"/>
      <c r="Q931" s="89" t="n"/>
      <c r="R931" s="89" t="n"/>
      <c r="S931" s="89" t="n"/>
      <c r="T931" s="59" t="n"/>
      <c r="U931" s="91" t="n"/>
      <c r="V931" s="93">
        <f>U931/B931</f>
        <v/>
      </c>
    </row>
    <row r="932" ht="22.5" customHeight="1" s="150">
      <c r="A932" s="34" t="n">
        <v>930</v>
      </c>
      <c r="B932" s="34" t="n"/>
      <c r="C932" s="34" t="n"/>
      <c r="D932" s="34" t="n"/>
      <c r="E932" s="34" t="n"/>
      <c r="F932" s="86" t="n"/>
      <c r="G932" s="86" t="n"/>
      <c r="H932" s="111" t="n"/>
      <c r="I932" s="87" t="n"/>
      <c r="J932" s="87" t="n"/>
      <c r="K932" s="111" t="n"/>
      <c r="L932" s="86" t="n"/>
      <c r="M932" s="97" t="n"/>
      <c r="N932" s="88" t="n"/>
      <c r="O932" s="20" t="n"/>
      <c r="P932" s="31" t="n"/>
      <c r="Q932" s="89" t="n"/>
      <c r="R932" s="89" t="n"/>
      <c r="S932" s="89" t="n"/>
      <c r="T932" s="59" t="n"/>
      <c r="U932" s="94" t="n"/>
      <c r="V932" s="95">
        <f>U932/B932</f>
        <v/>
      </c>
    </row>
    <row r="933" ht="22.5" customHeight="1" s="150">
      <c r="A933" s="34" t="n">
        <v>931</v>
      </c>
      <c r="B933" s="34" t="n"/>
      <c r="C933" s="34" t="n"/>
      <c r="D933" s="34" t="n"/>
      <c r="E933" s="34" t="n"/>
      <c r="F933" s="86" t="n"/>
      <c r="G933" s="86" t="n"/>
      <c r="H933" s="111" t="n"/>
      <c r="I933" s="87" t="n"/>
      <c r="J933" s="87" t="n"/>
      <c r="K933" s="111" t="n"/>
      <c r="L933" s="86" t="n"/>
      <c r="M933" s="96" t="n"/>
      <c r="N933" s="88" t="n"/>
      <c r="O933" s="20" t="n"/>
      <c r="P933" s="31" t="n"/>
      <c r="Q933" s="89" t="n"/>
      <c r="R933" s="89" t="n"/>
      <c r="S933" s="89" t="n"/>
      <c r="T933" s="59" t="n"/>
      <c r="U933" s="91" t="n"/>
      <c r="V933" s="93">
        <f>U933/B933</f>
        <v/>
      </c>
    </row>
    <row r="934" ht="22.5" customHeight="1" s="150">
      <c r="A934" s="34" t="n">
        <v>932</v>
      </c>
      <c r="B934" s="34" t="n"/>
      <c r="C934" s="34" t="n"/>
      <c r="D934" s="34" t="n"/>
      <c r="E934" s="34" t="n"/>
      <c r="F934" s="86" t="n"/>
      <c r="G934" s="86" t="n"/>
      <c r="H934" s="111" t="n"/>
      <c r="I934" s="87" t="n"/>
      <c r="J934" s="87" t="n"/>
      <c r="K934" s="111" t="n"/>
      <c r="L934" s="86" t="n"/>
      <c r="M934" s="97" t="n"/>
      <c r="N934" s="88" t="n"/>
      <c r="O934" s="20" t="n"/>
      <c r="P934" s="31" t="n"/>
      <c r="Q934" s="89" t="n"/>
      <c r="R934" s="89" t="n"/>
      <c r="S934" s="89" t="n"/>
      <c r="T934" s="59" t="n"/>
      <c r="U934" s="94" t="n"/>
      <c r="V934" s="95">
        <f>U934/B934</f>
        <v/>
      </c>
    </row>
    <row r="935" ht="22.5" customHeight="1" s="150">
      <c r="A935" s="34" t="n">
        <v>933</v>
      </c>
      <c r="B935" s="34" t="n"/>
      <c r="C935" s="34" t="n"/>
      <c r="D935" s="34" t="n"/>
      <c r="E935" s="34" t="n"/>
      <c r="F935" s="86" t="n"/>
      <c r="G935" s="86" t="n"/>
      <c r="H935" s="111" t="n"/>
      <c r="I935" s="87" t="n"/>
      <c r="J935" s="87" t="n"/>
      <c r="K935" s="111" t="n"/>
      <c r="L935" s="86" t="n"/>
      <c r="M935" s="96" t="n"/>
      <c r="N935" s="88" t="n"/>
      <c r="O935" s="20" t="n"/>
      <c r="P935" s="31" t="n"/>
      <c r="Q935" s="89" t="n"/>
      <c r="R935" s="89" t="n"/>
      <c r="S935" s="89" t="n"/>
      <c r="T935" s="59" t="n"/>
      <c r="U935" s="91" t="n"/>
      <c r="V935" s="93">
        <f>U935/B935</f>
        <v/>
      </c>
    </row>
    <row r="936" ht="22.5" customHeight="1" s="150">
      <c r="A936" s="34" t="n">
        <v>934</v>
      </c>
      <c r="B936" s="34" t="n"/>
      <c r="C936" s="34" t="n"/>
      <c r="D936" s="34" t="n"/>
      <c r="E936" s="34" t="n"/>
      <c r="F936" s="86" t="n"/>
      <c r="G936" s="86" t="n"/>
      <c r="H936" s="111" t="n"/>
      <c r="I936" s="87" t="n"/>
      <c r="J936" s="87" t="n"/>
      <c r="K936" s="111" t="n"/>
      <c r="L936" s="86" t="n"/>
      <c r="M936" s="97" t="n"/>
      <c r="N936" s="88" t="n"/>
      <c r="O936" s="20" t="n"/>
      <c r="P936" s="31" t="n"/>
      <c r="Q936" s="89" t="n"/>
      <c r="R936" s="89" t="n"/>
      <c r="S936" s="89" t="n"/>
      <c r="T936" s="59" t="n"/>
      <c r="U936" s="94" t="n"/>
      <c r="V936" s="95">
        <f>U936/B936</f>
        <v/>
      </c>
    </row>
    <row r="937" ht="22.5" customHeight="1" s="150">
      <c r="A937" s="34" t="n">
        <v>935</v>
      </c>
      <c r="B937" s="34" t="n"/>
      <c r="C937" s="34" t="n"/>
      <c r="D937" s="34" t="n"/>
      <c r="E937" s="34" t="n"/>
      <c r="F937" s="86" t="n"/>
      <c r="G937" s="86" t="n"/>
      <c r="H937" s="111" t="n"/>
      <c r="I937" s="87" t="n"/>
      <c r="J937" s="87" t="n"/>
      <c r="K937" s="111" t="n"/>
      <c r="L937" s="86" t="n"/>
      <c r="M937" s="96" t="n"/>
      <c r="N937" s="88" t="n"/>
      <c r="O937" s="20" t="n"/>
      <c r="P937" s="31" t="n"/>
      <c r="Q937" s="89" t="n"/>
      <c r="R937" s="89" t="n"/>
      <c r="S937" s="89" t="n"/>
      <c r="T937" s="59" t="n"/>
      <c r="U937" s="91" t="n"/>
      <c r="V937" s="93">
        <f>U937/B937</f>
        <v/>
      </c>
    </row>
    <row r="938" ht="22.5" customHeight="1" s="150">
      <c r="A938" s="34" t="n">
        <v>936</v>
      </c>
      <c r="B938" s="34" t="n"/>
      <c r="C938" s="34" t="n"/>
      <c r="D938" s="34" t="n"/>
      <c r="E938" s="34" t="n"/>
      <c r="F938" s="86" t="n"/>
      <c r="G938" s="86" t="n"/>
      <c r="H938" s="111" t="n"/>
      <c r="I938" s="87" t="n"/>
      <c r="J938" s="87" t="n"/>
      <c r="K938" s="111" t="n"/>
      <c r="L938" s="86" t="n"/>
      <c r="M938" s="97" t="n"/>
      <c r="N938" s="88" t="n"/>
      <c r="O938" s="20" t="n"/>
      <c r="P938" s="31" t="n"/>
      <c r="Q938" s="89" t="n"/>
      <c r="R938" s="89" t="n"/>
      <c r="S938" s="89" t="n"/>
      <c r="T938" s="59" t="n"/>
      <c r="U938" s="94" t="n"/>
      <c r="V938" s="95">
        <f>U938/B938</f>
        <v/>
      </c>
    </row>
    <row r="939" ht="22.5" customHeight="1" s="150">
      <c r="A939" s="34" t="n">
        <v>937</v>
      </c>
      <c r="B939" s="34" t="n"/>
      <c r="C939" s="34" t="n"/>
      <c r="D939" s="34" t="n"/>
      <c r="E939" s="34" t="n"/>
      <c r="F939" s="86" t="n"/>
      <c r="G939" s="86" t="n"/>
      <c r="H939" s="111" t="n"/>
      <c r="I939" s="87" t="n"/>
      <c r="J939" s="87" t="n"/>
      <c r="K939" s="111" t="n"/>
      <c r="L939" s="86" t="n"/>
      <c r="M939" s="96" t="n"/>
      <c r="N939" s="88" t="n"/>
      <c r="O939" s="20" t="n"/>
      <c r="P939" s="31" t="n"/>
      <c r="Q939" s="89" t="n"/>
      <c r="R939" s="89" t="n"/>
      <c r="S939" s="89" t="n"/>
      <c r="T939" s="59" t="n"/>
      <c r="U939" s="91" t="n"/>
      <c r="V939" s="93">
        <f>U939/B939</f>
        <v/>
      </c>
    </row>
    <row r="940" ht="22.5" customHeight="1" s="150">
      <c r="A940" s="34" t="n">
        <v>938</v>
      </c>
      <c r="B940" s="34" t="n"/>
      <c r="C940" s="34" t="n"/>
      <c r="D940" s="34" t="n"/>
      <c r="E940" s="34" t="n"/>
      <c r="F940" s="86" t="n"/>
      <c r="G940" s="86" t="n"/>
      <c r="H940" s="111" t="n"/>
      <c r="I940" s="87" t="n"/>
      <c r="J940" s="87" t="n"/>
      <c r="K940" s="111" t="n"/>
      <c r="L940" s="86" t="n"/>
      <c r="M940" s="97" t="n"/>
      <c r="N940" s="88" t="n"/>
      <c r="O940" s="20" t="n"/>
      <c r="P940" s="31" t="n"/>
      <c r="Q940" s="89" t="n"/>
      <c r="R940" s="89" t="n"/>
      <c r="S940" s="89" t="n"/>
      <c r="T940" s="59" t="n"/>
      <c r="U940" s="94" t="n"/>
      <c r="V940" s="95">
        <f>U940/B940</f>
        <v/>
      </c>
    </row>
    <row r="941" ht="22.5" customHeight="1" s="150">
      <c r="A941" s="34" t="n">
        <v>939</v>
      </c>
      <c r="B941" s="34" t="n"/>
      <c r="C941" s="34" t="n"/>
      <c r="D941" s="34" t="n"/>
      <c r="E941" s="34" t="n"/>
      <c r="F941" s="86" t="n"/>
      <c r="G941" s="86" t="n"/>
      <c r="H941" s="111" t="n"/>
      <c r="I941" s="87" t="n"/>
      <c r="J941" s="87" t="n"/>
      <c r="K941" s="111" t="n"/>
      <c r="L941" s="86" t="n"/>
      <c r="M941" s="96" t="n"/>
      <c r="N941" s="88" t="n"/>
      <c r="O941" s="20" t="n"/>
      <c r="P941" s="31" t="n"/>
      <c r="Q941" s="89" t="n"/>
      <c r="R941" s="89" t="n"/>
      <c r="S941" s="89" t="n"/>
      <c r="T941" s="59" t="n"/>
      <c r="U941" s="91" t="n"/>
      <c r="V941" s="93">
        <f>U941/B941</f>
        <v/>
      </c>
    </row>
    <row r="942" ht="22.5" customHeight="1" s="150">
      <c r="A942" s="34" t="n">
        <v>940</v>
      </c>
      <c r="B942" s="34" t="n"/>
      <c r="C942" s="34" t="n"/>
      <c r="D942" s="34" t="n"/>
      <c r="E942" s="34" t="n"/>
      <c r="F942" s="86" t="n"/>
      <c r="G942" s="86" t="n"/>
      <c r="H942" s="111" t="n"/>
      <c r="I942" s="87" t="n"/>
      <c r="J942" s="87" t="n"/>
      <c r="K942" s="111" t="n"/>
      <c r="L942" s="86" t="n"/>
      <c r="M942" s="97" t="n"/>
      <c r="N942" s="88" t="n"/>
      <c r="O942" s="20" t="n"/>
      <c r="P942" s="31" t="n"/>
      <c r="Q942" s="89" t="n"/>
      <c r="R942" s="89" t="n"/>
      <c r="S942" s="89" t="n"/>
      <c r="T942" s="59" t="n"/>
      <c r="U942" s="94" t="n"/>
      <c r="V942" s="95">
        <f>U942/B942</f>
        <v/>
      </c>
    </row>
    <row r="943" ht="22.5" customHeight="1" s="150">
      <c r="A943" s="34" t="n">
        <v>941</v>
      </c>
      <c r="B943" s="34" t="n"/>
      <c r="C943" s="34" t="n"/>
      <c r="D943" s="34" t="n"/>
      <c r="E943" s="34" t="n"/>
      <c r="F943" s="86" t="n"/>
      <c r="G943" s="86" t="n"/>
      <c r="H943" s="111" t="n"/>
      <c r="I943" s="87" t="n"/>
      <c r="J943" s="87" t="n"/>
      <c r="K943" s="111" t="n"/>
      <c r="L943" s="86" t="n"/>
      <c r="M943" s="96" t="n"/>
      <c r="N943" s="88" t="n"/>
      <c r="O943" s="20" t="n"/>
      <c r="P943" s="31" t="n"/>
      <c r="Q943" s="89" t="n"/>
      <c r="R943" s="89" t="n"/>
      <c r="S943" s="89" t="n"/>
      <c r="T943" s="59" t="n"/>
      <c r="U943" s="91" t="n"/>
      <c r="V943" s="93">
        <f>U943/B943</f>
        <v/>
      </c>
    </row>
    <row r="944" ht="22.5" customHeight="1" s="150">
      <c r="A944" s="34" t="n">
        <v>942</v>
      </c>
      <c r="B944" s="34" t="n"/>
      <c r="C944" s="34" t="n"/>
      <c r="D944" s="34" t="n"/>
      <c r="E944" s="34" t="n"/>
      <c r="F944" s="86" t="n"/>
      <c r="G944" s="86" t="n"/>
      <c r="H944" s="111" t="n"/>
      <c r="I944" s="87" t="n"/>
      <c r="J944" s="87" t="n"/>
      <c r="K944" s="111" t="n"/>
      <c r="L944" s="86" t="n"/>
      <c r="M944" s="97" t="n"/>
      <c r="N944" s="88" t="n"/>
      <c r="O944" s="20" t="n"/>
      <c r="P944" s="31" t="n"/>
      <c r="Q944" s="89" t="n"/>
      <c r="R944" s="89" t="n"/>
      <c r="S944" s="89" t="n"/>
      <c r="T944" s="59" t="n"/>
      <c r="U944" s="94" t="n"/>
      <c r="V944" s="95">
        <f>U944/B944</f>
        <v/>
      </c>
    </row>
    <row r="945" ht="22.5" customHeight="1" s="150">
      <c r="A945" s="34" t="n">
        <v>943</v>
      </c>
      <c r="B945" s="34" t="n"/>
      <c r="C945" s="34" t="n"/>
      <c r="D945" s="34" t="n"/>
      <c r="E945" s="34" t="n"/>
      <c r="F945" s="86" t="n"/>
      <c r="G945" s="86" t="n"/>
      <c r="H945" s="111" t="n"/>
      <c r="I945" s="87" t="n"/>
      <c r="J945" s="87" t="n"/>
      <c r="K945" s="111" t="n"/>
      <c r="L945" s="86" t="n"/>
      <c r="M945" s="96" t="n"/>
      <c r="N945" s="88" t="n"/>
      <c r="O945" s="20" t="n"/>
      <c r="P945" s="31" t="n"/>
      <c r="Q945" s="89" t="n"/>
      <c r="R945" s="89" t="n"/>
      <c r="S945" s="89" t="n"/>
      <c r="T945" s="59" t="n"/>
      <c r="U945" s="91" t="n"/>
      <c r="V945" s="93">
        <f>U945/B945</f>
        <v/>
      </c>
    </row>
    <row r="946" ht="22.5" customHeight="1" s="150">
      <c r="A946" s="34" t="n">
        <v>944</v>
      </c>
      <c r="B946" s="34" t="n"/>
      <c r="C946" s="34" t="n"/>
      <c r="D946" s="34" t="n"/>
      <c r="E946" s="34" t="n"/>
      <c r="F946" s="86" t="n"/>
      <c r="G946" s="86" t="n"/>
      <c r="H946" s="111" t="n"/>
      <c r="I946" s="87" t="n"/>
      <c r="J946" s="87" t="n"/>
      <c r="K946" s="111" t="n"/>
      <c r="L946" s="86" t="n"/>
      <c r="M946" s="97" t="n"/>
      <c r="N946" s="88" t="n"/>
      <c r="O946" s="20" t="n"/>
      <c r="P946" s="31" t="n"/>
      <c r="Q946" s="89" t="n"/>
      <c r="R946" s="89" t="n"/>
      <c r="S946" s="89" t="n"/>
      <c r="T946" s="59" t="n"/>
      <c r="U946" s="94" t="n"/>
      <c r="V946" s="95">
        <f>U946/B946</f>
        <v/>
      </c>
    </row>
    <row r="947" ht="22.5" customHeight="1" s="150">
      <c r="A947" s="34" t="n">
        <v>945</v>
      </c>
      <c r="B947" s="34" t="n"/>
      <c r="C947" s="34" t="n"/>
      <c r="D947" s="34" t="n"/>
      <c r="E947" s="34" t="n"/>
      <c r="F947" s="86" t="n"/>
      <c r="G947" s="86" t="n"/>
      <c r="H947" s="111" t="n"/>
      <c r="I947" s="87" t="n"/>
      <c r="J947" s="87" t="n"/>
      <c r="K947" s="111" t="n"/>
      <c r="L947" s="86" t="n"/>
      <c r="M947" s="96" t="n"/>
      <c r="N947" s="88" t="n"/>
      <c r="O947" s="20" t="n"/>
      <c r="P947" s="31" t="n"/>
      <c r="Q947" s="89" t="n"/>
      <c r="R947" s="89" t="n"/>
      <c r="S947" s="89" t="n"/>
      <c r="T947" s="59" t="n"/>
      <c r="U947" s="91" t="n"/>
      <c r="V947" s="93">
        <f>U947/B947</f>
        <v/>
      </c>
    </row>
    <row r="948" ht="22.5" customHeight="1" s="150">
      <c r="A948" s="34" t="n">
        <v>946</v>
      </c>
      <c r="B948" s="34" t="n"/>
      <c r="C948" s="34" t="n"/>
      <c r="D948" s="34" t="n"/>
      <c r="E948" s="34" t="n"/>
      <c r="F948" s="86" t="n"/>
      <c r="G948" s="86" t="n"/>
      <c r="H948" s="111" t="n"/>
      <c r="I948" s="87" t="n"/>
      <c r="J948" s="87" t="n"/>
      <c r="K948" s="111" t="n"/>
      <c r="L948" s="86" t="n"/>
      <c r="M948" s="97" t="n"/>
      <c r="N948" s="88" t="n"/>
      <c r="O948" s="20" t="n"/>
      <c r="P948" s="31" t="n"/>
      <c r="Q948" s="89" t="n"/>
      <c r="R948" s="89" t="n"/>
      <c r="S948" s="89" t="n"/>
      <c r="T948" s="59" t="n"/>
      <c r="U948" s="94" t="n"/>
      <c r="V948" s="95">
        <f>U948/B948</f>
        <v/>
      </c>
    </row>
    <row r="949" ht="22.5" customHeight="1" s="150">
      <c r="A949" s="34" t="n">
        <v>947</v>
      </c>
      <c r="B949" s="34" t="n"/>
      <c r="C949" s="34" t="n"/>
      <c r="D949" s="34" t="n"/>
      <c r="E949" s="34" t="n"/>
      <c r="F949" s="86" t="n"/>
      <c r="G949" s="86" t="n"/>
      <c r="H949" s="111" t="n"/>
      <c r="I949" s="87" t="n"/>
      <c r="J949" s="87" t="n"/>
      <c r="K949" s="111" t="n"/>
      <c r="L949" s="86" t="n"/>
      <c r="M949" s="96" t="n"/>
      <c r="N949" s="88" t="n"/>
      <c r="O949" s="20" t="n"/>
      <c r="P949" s="31" t="n"/>
      <c r="Q949" s="89" t="n"/>
      <c r="R949" s="89" t="n"/>
      <c r="S949" s="89" t="n"/>
      <c r="T949" s="59" t="n"/>
      <c r="U949" s="91" t="n"/>
      <c r="V949" s="93">
        <f>U949/B949</f>
        <v/>
      </c>
    </row>
    <row r="950" ht="22.5" customHeight="1" s="150">
      <c r="A950" s="34" t="n">
        <v>948</v>
      </c>
      <c r="B950" s="34" t="n"/>
      <c r="C950" s="34" t="n"/>
      <c r="D950" s="34" t="n"/>
      <c r="E950" s="34" t="n"/>
      <c r="F950" s="86" t="n"/>
      <c r="G950" s="86" t="n"/>
      <c r="H950" s="111" t="n"/>
      <c r="I950" s="87" t="n"/>
      <c r="J950" s="87" t="n"/>
      <c r="K950" s="111" t="n"/>
      <c r="L950" s="86" t="n"/>
      <c r="M950" s="97" t="n"/>
      <c r="N950" s="88" t="n"/>
      <c r="O950" s="20" t="n"/>
      <c r="P950" s="31" t="n"/>
      <c r="Q950" s="89" t="n"/>
      <c r="R950" s="89" t="n"/>
      <c r="S950" s="89" t="n"/>
      <c r="T950" s="59" t="n"/>
      <c r="U950" s="94" t="n"/>
      <c r="V950" s="95">
        <f>U950/B950</f>
        <v/>
      </c>
    </row>
    <row r="951" ht="22.5" customHeight="1" s="150">
      <c r="A951" s="34" t="n">
        <v>949</v>
      </c>
      <c r="B951" s="34" t="n"/>
      <c r="C951" s="34" t="n"/>
      <c r="D951" s="34" t="n"/>
      <c r="E951" s="34" t="n"/>
      <c r="F951" s="86" t="n"/>
      <c r="G951" s="86" t="n"/>
      <c r="H951" s="111" t="n"/>
      <c r="I951" s="87" t="n"/>
      <c r="J951" s="87" t="n"/>
      <c r="K951" s="111" t="n"/>
      <c r="L951" s="86" t="n"/>
      <c r="M951" s="96" t="n"/>
      <c r="N951" s="88" t="n"/>
      <c r="O951" s="20" t="n"/>
      <c r="P951" s="31" t="n"/>
      <c r="Q951" s="89" t="n"/>
      <c r="R951" s="89" t="n"/>
      <c r="S951" s="89" t="n"/>
      <c r="T951" s="59" t="n"/>
      <c r="U951" s="91" t="n"/>
      <c r="V951" s="93">
        <f>U951/B951</f>
        <v/>
      </c>
    </row>
    <row r="952" ht="22.5" customHeight="1" s="150">
      <c r="A952" s="34" t="n">
        <v>950</v>
      </c>
      <c r="B952" s="34" t="n"/>
      <c r="C952" s="34" t="n"/>
      <c r="D952" s="34" t="n"/>
      <c r="E952" s="34" t="n"/>
      <c r="F952" s="86" t="n"/>
      <c r="G952" s="86" t="n"/>
      <c r="H952" s="111" t="n"/>
      <c r="I952" s="87" t="n"/>
      <c r="J952" s="87" t="n"/>
      <c r="K952" s="111" t="n"/>
      <c r="L952" s="86" t="n"/>
      <c r="M952" s="97" t="n"/>
      <c r="N952" s="88" t="n"/>
      <c r="O952" s="20" t="n"/>
      <c r="P952" s="31" t="n"/>
      <c r="Q952" s="89" t="n"/>
      <c r="R952" s="89" t="n"/>
      <c r="S952" s="89" t="n"/>
      <c r="T952" s="59" t="n"/>
      <c r="U952" s="94" t="n"/>
      <c r="V952" s="95">
        <f>U952/B952</f>
        <v/>
      </c>
    </row>
    <row r="953" ht="22.5" customHeight="1" s="150">
      <c r="A953" s="34" t="n">
        <v>951</v>
      </c>
      <c r="B953" s="34" t="n"/>
      <c r="C953" s="34" t="n"/>
      <c r="D953" s="34" t="n"/>
      <c r="E953" s="34" t="n"/>
      <c r="F953" s="86" t="n"/>
      <c r="G953" s="86" t="n"/>
      <c r="H953" s="111" t="n"/>
      <c r="I953" s="87" t="n"/>
      <c r="J953" s="87" t="n"/>
      <c r="K953" s="111" t="n"/>
      <c r="L953" s="86" t="n"/>
      <c r="M953" s="96" t="n"/>
      <c r="N953" s="88" t="n"/>
      <c r="O953" s="20" t="n"/>
      <c r="P953" s="31" t="n"/>
      <c r="Q953" s="89" t="n"/>
      <c r="R953" s="89" t="n"/>
      <c r="S953" s="89" t="n"/>
      <c r="T953" s="59" t="n"/>
      <c r="U953" s="91" t="n"/>
      <c r="V953" s="93">
        <f>U953/B953</f>
        <v/>
      </c>
    </row>
    <row r="954" ht="22.5" customHeight="1" s="150">
      <c r="A954" s="34" t="n">
        <v>952</v>
      </c>
      <c r="B954" s="34" t="n"/>
      <c r="C954" s="34" t="n"/>
      <c r="D954" s="34" t="n"/>
      <c r="E954" s="34" t="n"/>
      <c r="F954" s="86" t="n"/>
      <c r="G954" s="86" t="n"/>
      <c r="H954" s="111" t="n"/>
      <c r="I954" s="87" t="n"/>
      <c r="J954" s="87" t="n"/>
      <c r="K954" s="111" t="n"/>
      <c r="L954" s="86" t="n"/>
      <c r="M954" s="97" t="n"/>
      <c r="N954" s="88" t="n"/>
      <c r="O954" s="20" t="n"/>
      <c r="P954" s="31" t="n"/>
      <c r="Q954" s="89" t="n"/>
      <c r="R954" s="89" t="n"/>
      <c r="S954" s="89" t="n"/>
      <c r="T954" s="59" t="n"/>
      <c r="U954" s="94" t="n"/>
      <c r="V954" s="95">
        <f>U954/B954</f>
        <v/>
      </c>
    </row>
    <row r="955" ht="22.5" customHeight="1" s="150">
      <c r="A955" s="34" t="n">
        <v>953</v>
      </c>
      <c r="B955" s="34" t="n"/>
      <c r="C955" s="34" t="n"/>
      <c r="D955" s="34" t="n"/>
      <c r="E955" s="34" t="n"/>
      <c r="F955" s="86" t="n"/>
      <c r="G955" s="86" t="n"/>
      <c r="H955" s="111" t="n"/>
      <c r="I955" s="87" t="n"/>
      <c r="J955" s="87" t="n"/>
      <c r="K955" s="111" t="n"/>
      <c r="L955" s="86" t="n"/>
      <c r="M955" s="96" t="n"/>
      <c r="N955" s="88" t="n"/>
      <c r="O955" s="20" t="n"/>
      <c r="P955" s="31" t="n"/>
      <c r="Q955" s="89" t="n"/>
      <c r="R955" s="89" t="n"/>
      <c r="S955" s="89" t="n"/>
      <c r="T955" s="59" t="n"/>
      <c r="U955" s="91" t="n"/>
      <c r="V955" s="93">
        <f>U955/B955</f>
        <v/>
      </c>
    </row>
    <row r="956" ht="22.5" customHeight="1" s="150">
      <c r="A956" s="34" t="n">
        <v>954</v>
      </c>
      <c r="B956" s="34" t="n"/>
      <c r="C956" s="34" t="n"/>
      <c r="D956" s="34" t="n"/>
      <c r="E956" s="34" t="n"/>
      <c r="F956" s="86" t="n"/>
      <c r="G956" s="86" t="n"/>
      <c r="H956" s="111" t="n"/>
      <c r="I956" s="87" t="n"/>
      <c r="J956" s="87" t="n"/>
      <c r="K956" s="111" t="n"/>
      <c r="L956" s="86" t="n"/>
      <c r="M956" s="97" t="n"/>
      <c r="N956" s="88" t="n"/>
      <c r="O956" s="20" t="n"/>
      <c r="P956" s="31" t="n"/>
      <c r="Q956" s="89" t="n"/>
      <c r="R956" s="89" t="n"/>
      <c r="S956" s="89" t="n"/>
      <c r="T956" s="59" t="n"/>
      <c r="U956" s="94" t="n"/>
      <c r="V956" s="95">
        <f>U956/B956</f>
        <v/>
      </c>
    </row>
    <row r="957" ht="22.5" customHeight="1" s="150">
      <c r="A957" s="34" t="n">
        <v>955</v>
      </c>
      <c r="B957" s="34" t="n"/>
      <c r="C957" s="34" t="n"/>
      <c r="D957" s="34" t="n"/>
      <c r="E957" s="34" t="n"/>
      <c r="F957" s="86" t="n"/>
      <c r="G957" s="86" t="n"/>
      <c r="H957" s="111" t="n"/>
      <c r="I957" s="87" t="n"/>
      <c r="J957" s="87" t="n"/>
      <c r="K957" s="111" t="n"/>
      <c r="L957" s="86" t="n"/>
      <c r="M957" s="96" t="n"/>
      <c r="N957" s="88" t="n"/>
      <c r="O957" s="20" t="n"/>
      <c r="P957" s="31" t="n"/>
      <c r="Q957" s="89" t="n"/>
      <c r="R957" s="89" t="n"/>
      <c r="S957" s="89" t="n"/>
      <c r="T957" s="59" t="n"/>
      <c r="U957" s="91" t="n"/>
      <c r="V957" s="93">
        <f>U957/B957</f>
        <v/>
      </c>
    </row>
    <row r="958" ht="22.5" customHeight="1" s="150">
      <c r="A958" s="34" t="n">
        <v>956</v>
      </c>
      <c r="B958" s="34" t="n"/>
      <c r="C958" s="34" t="n"/>
      <c r="D958" s="34" t="n"/>
      <c r="E958" s="34" t="n"/>
      <c r="F958" s="86" t="n"/>
      <c r="G958" s="86" t="n"/>
      <c r="H958" s="111" t="n"/>
      <c r="I958" s="87" t="n"/>
      <c r="J958" s="87" t="n"/>
      <c r="K958" s="111" t="n"/>
      <c r="L958" s="86" t="n"/>
      <c r="M958" s="97" t="n"/>
      <c r="N958" s="88" t="n"/>
      <c r="O958" s="20" t="n"/>
      <c r="P958" s="31" t="n"/>
      <c r="Q958" s="89" t="n"/>
      <c r="R958" s="89" t="n"/>
      <c r="S958" s="89" t="n"/>
      <c r="T958" s="59" t="n"/>
      <c r="U958" s="94" t="n"/>
      <c r="V958" s="95">
        <f>U958/B958</f>
        <v/>
      </c>
    </row>
    <row r="959" ht="22.5" customHeight="1" s="150">
      <c r="A959" s="34" t="n">
        <v>957</v>
      </c>
      <c r="B959" s="34" t="n"/>
      <c r="C959" s="34" t="n"/>
      <c r="D959" s="34" t="n"/>
      <c r="E959" s="34" t="n"/>
      <c r="F959" s="86" t="n"/>
      <c r="G959" s="86" t="n"/>
      <c r="H959" s="111" t="n"/>
      <c r="I959" s="87" t="n"/>
      <c r="J959" s="87" t="n"/>
      <c r="K959" s="111" t="n"/>
      <c r="L959" s="86" t="n"/>
      <c r="M959" s="96" t="n"/>
      <c r="N959" s="88" t="n"/>
      <c r="O959" s="20" t="n"/>
      <c r="P959" s="31" t="n"/>
      <c r="Q959" s="89" t="n"/>
      <c r="R959" s="89" t="n"/>
      <c r="S959" s="89" t="n"/>
      <c r="T959" s="59" t="n"/>
      <c r="U959" s="91" t="n"/>
      <c r="V959" s="93">
        <f>U959/B959</f>
        <v/>
      </c>
    </row>
    <row r="960" ht="22.5" customHeight="1" s="150">
      <c r="A960" s="34" t="n">
        <v>958</v>
      </c>
      <c r="B960" s="34" t="n"/>
      <c r="C960" s="34" t="n"/>
      <c r="D960" s="34" t="n"/>
      <c r="E960" s="34" t="n"/>
      <c r="F960" s="86" t="n"/>
      <c r="G960" s="86" t="n"/>
      <c r="H960" s="111" t="n"/>
      <c r="I960" s="87" t="n"/>
      <c r="J960" s="87" t="n"/>
      <c r="K960" s="111" t="n"/>
      <c r="L960" s="86" t="n"/>
      <c r="M960" s="97" t="n"/>
      <c r="N960" s="88" t="n"/>
      <c r="O960" s="20" t="n"/>
      <c r="P960" s="31" t="n"/>
      <c r="Q960" s="89" t="n"/>
      <c r="R960" s="89" t="n"/>
      <c r="S960" s="89" t="n"/>
      <c r="T960" s="59" t="n"/>
      <c r="U960" s="94" t="n"/>
      <c r="V960" s="95">
        <f>U960/B960</f>
        <v/>
      </c>
    </row>
    <row r="961" ht="22.5" customHeight="1" s="150">
      <c r="A961" s="34" t="n">
        <v>959</v>
      </c>
      <c r="B961" s="34" t="n"/>
      <c r="C961" s="34" t="n"/>
      <c r="D961" s="34" t="n"/>
      <c r="E961" s="34" t="n"/>
      <c r="F961" s="86" t="n"/>
      <c r="G961" s="86" t="n"/>
      <c r="H961" s="111" t="n"/>
      <c r="I961" s="87" t="n"/>
      <c r="J961" s="87" t="n"/>
      <c r="K961" s="111" t="n"/>
      <c r="L961" s="86" t="n"/>
      <c r="M961" s="96" t="n"/>
      <c r="N961" s="88" t="n"/>
      <c r="O961" s="20" t="n"/>
      <c r="P961" s="31" t="n"/>
      <c r="Q961" s="89" t="n"/>
      <c r="R961" s="89" t="n"/>
      <c r="S961" s="89" t="n"/>
      <c r="T961" s="59" t="n"/>
      <c r="U961" s="91" t="n"/>
      <c r="V961" s="93">
        <f>U961/B961</f>
        <v/>
      </c>
    </row>
    <row r="962" ht="22.5" customHeight="1" s="150">
      <c r="A962" s="34" t="n">
        <v>960</v>
      </c>
      <c r="B962" s="34" t="n"/>
      <c r="C962" s="34" t="n"/>
      <c r="D962" s="34" t="n"/>
      <c r="E962" s="34" t="n"/>
      <c r="F962" s="86" t="n"/>
      <c r="G962" s="86" t="n"/>
      <c r="H962" s="111" t="n"/>
      <c r="I962" s="87" t="n"/>
      <c r="J962" s="87" t="n"/>
      <c r="K962" s="111" t="n"/>
      <c r="L962" s="86" t="n"/>
      <c r="M962" s="97" t="n"/>
      <c r="N962" s="88" t="n"/>
      <c r="O962" s="20" t="n"/>
      <c r="P962" s="31" t="n"/>
      <c r="Q962" s="89" t="n"/>
      <c r="R962" s="89" t="n"/>
      <c r="S962" s="89" t="n"/>
      <c r="T962" s="59" t="n"/>
      <c r="U962" s="94" t="n"/>
      <c r="V962" s="95">
        <f>U962/B962</f>
        <v/>
      </c>
    </row>
    <row r="963" ht="22.5" customHeight="1" s="150">
      <c r="A963" s="34" t="n">
        <v>961</v>
      </c>
      <c r="B963" s="34" t="n"/>
      <c r="C963" s="34" t="n"/>
      <c r="D963" s="34" t="n"/>
      <c r="E963" s="34" t="n"/>
      <c r="F963" s="86" t="n"/>
      <c r="G963" s="86" t="n"/>
      <c r="H963" s="111" t="n"/>
      <c r="I963" s="87" t="n"/>
      <c r="J963" s="87" t="n"/>
      <c r="K963" s="111" t="n"/>
      <c r="L963" s="86" t="n"/>
      <c r="M963" s="96" t="n"/>
      <c r="N963" s="88" t="n"/>
      <c r="O963" s="20" t="n"/>
      <c r="P963" s="31" t="n"/>
      <c r="Q963" s="89" t="n"/>
      <c r="R963" s="89" t="n"/>
      <c r="S963" s="89" t="n"/>
      <c r="T963" s="59" t="n"/>
      <c r="U963" s="91" t="n"/>
      <c r="V963" s="93">
        <f>U963/B963</f>
        <v/>
      </c>
    </row>
    <row r="964" ht="22.5" customHeight="1" s="150">
      <c r="A964" s="34" t="n">
        <v>962</v>
      </c>
      <c r="B964" s="34" t="n"/>
      <c r="C964" s="34" t="n"/>
      <c r="D964" s="34" t="n"/>
      <c r="E964" s="34" t="n"/>
      <c r="F964" s="86" t="n"/>
      <c r="G964" s="86" t="n"/>
      <c r="H964" s="111" t="n"/>
      <c r="I964" s="87" t="n"/>
      <c r="J964" s="87" t="n"/>
      <c r="K964" s="111" t="n"/>
      <c r="L964" s="86" t="n"/>
      <c r="M964" s="97" t="n"/>
      <c r="N964" s="88" t="n"/>
      <c r="O964" s="20" t="n"/>
      <c r="P964" s="31" t="n"/>
      <c r="Q964" s="89" t="n"/>
      <c r="R964" s="89" t="n"/>
      <c r="S964" s="89" t="n"/>
      <c r="T964" s="59" t="n"/>
      <c r="U964" s="94" t="n"/>
      <c r="V964" s="95">
        <f>U964/B964</f>
        <v/>
      </c>
    </row>
    <row r="965" ht="22.5" customHeight="1" s="150">
      <c r="A965" s="34" t="n">
        <v>963</v>
      </c>
      <c r="B965" s="34" t="n"/>
      <c r="C965" s="34" t="n"/>
      <c r="D965" s="34" t="n"/>
      <c r="E965" s="34" t="n"/>
      <c r="F965" s="86" t="n"/>
      <c r="G965" s="86" t="n"/>
      <c r="H965" s="111" t="n"/>
      <c r="I965" s="87" t="n"/>
      <c r="J965" s="87" t="n"/>
      <c r="K965" s="111" t="n"/>
      <c r="L965" s="86" t="n"/>
      <c r="M965" s="96" t="n"/>
      <c r="N965" s="88" t="n"/>
      <c r="O965" s="20" t="n"/>
      <c r="P965" s="31" t="n"/>
      <c r="Q965" s="89" t="n"/>
      <c r="R965" s="89" t="n"/>
      <c r="S965" s="89" t="n"/>
      <c r="T965" s="59" t="n"/>
      <c r="U965" s="91" t="n"/>
      <c r="V965" s="93">
        <f>U965/B965</f>
        <v/>
      </c>
    </row>
    <row r="966" ht="22.5" customHeight="1" s="150">
      <c r="A966" s="34" t="n">
        <v>964</v>
      </c>
      <c r="B966" s="34" t="n"/>
      <c r="C966" s="34" t="n"/>
      <c r="D966" s="34" t="n"/>
      <c r="E966" s="34" t="n"/>
      <c r="F966" s="86" t="n"/>
      <c r="G966" s="86" t="n"/>
      <c r="H966" s="111" t="n"/>
      <c r="I966" s="87" t="n"/>
      <c r="J966" s="87" t="n"/>
      <c r="K966" s="111" t="n"/>
      <c r="L966" s="86" t="n"/>
      <c r="M966" s="97" t="n"/>
      <c r="N966" s="88" t="n"/>
      <c r="O966" s="20" t="n"/>
      <c r="P966" s="31" t="n"/>
      <c r="Q966" s="89" t="n"/>
      <c r="R966" s="89" t="n"/>
      <c r="S966" s="89" t="n"/>
      <c r="T966" s="59" t="n"/>
      <c r="U966" s="94" t="n"/>
      <c r="V966" s="95">
        <f>U966/B966</f>
        <v/>
      </c>
    </row>
    <row r="967" ht="22.5" customHeight="1" s="150">
      <c r="A967" s="34" t="n">
        <v>965</v>
      </c>
      <c r="B967" s="34" t="n"/>
      <c r="C967" s="34" t="n"/>
      <c r="D967" s="34" t="n"/>
      <c r="E967" s="34" t="n"/>
      <c r="F967" s="86" t="n"/>
      <c r="G967" s="86" t="n"/>
      <c r="H967" s="111" t="n"/>
      <c r="I967" s="87" t="n"/>
      <c r="J967" s="87" t="n"/>
      <c r="K967" s="111" t="n"/>
      <c r="L967" s="86" t="n"/>
      <c r="M967" s="96" t="n"/>
      <c r="N967" s="88" t="n"/>
      <c r="O967" s="20" t="n"/>
      <c r="P967" s="31" t="n"/>
      <c r="Q967" s="89" t="n"/>
      <c r="R967" s="89" t="n"/>
      <c r="S967" s="89" t="n"/>
      <c r="T967" s="59" t="n"/>
      <c r="U967" s="91" t="n"/>
      <c r="V967" s="93">
        <f>U967/B967</f>
        <v/>
      </c>
    </row>
    <row r="968" ht="22.5" customHeight="1" s="150">
      <c r="A968" s="34" t="n">
        <v>966</v>
      </c>
      <c r="B968" s="34" t="n"/>
      <c r="C968" s="34" t="n"/>
      <c r="D968" s="34" t="n"/>
      <c r="E968" s="34" t="n"/>
      <c r="F968" s="86" t="n"/>
      <c r="G968" s="86" t="n"/>
      <c r="H968" s="111" t="n"/>
      <c r="I968" s="87" t="n"/>
      <c r="J968" s="87" t="n"/>
      <c r="K968" s="111" t="n"/>
      <c r="L968" s="86" t="n"/>
      <c r="M968" s="97" t="n"/>
      <c r="N968" s="88" t="n"/>
      <c r="O968" s="20" t="n"/>
      <c r="P968" s="31" t="n"/>
      <c r="Q968" s="89" t="n"/>
      <c r="R968" s="89" t="n"/>
      <c r="S968" s="89" t="n"/>
      <c r="T968" s="59" t="n"/>
      <c r="U968" s="94" t="n"/>
      <c r="V968" s="95">
        <f>U968/B968</f>
        <v/>
      </c>
    </row>
    <row r="969" ht="22.5" customHeight="1" s="150">
      <c r="A969" s="34" t="n">
        <v>967</v>
      </c>
      <c r="B969" s="34" t="n"/>
      <c r="C969" s="34" t="n"/>
      <c r="D969" s="34" t="n"/>
      <c r="E969" s="34" t="n"/>
      <c r="F969" s="86" t="n"/>
      <c r="G969" s="86" t="n"/>
      <c r="H969" s="111" t="n"/>
      <c r="I969" s="87" t="n"/>
      <c r="J969" s="87" t="n"/>
      <c r="K969" s="111" t="n"/>
      <c r="L969" s="86" t="n"/>
      <c r="M969" s="96" t="n"/>
      <c r="N969" s="88" t="n"/>
      <c r="O969" s="20" t="n"/>
      <c r="P969" s="31" t="n"/>
      <c r="Q969" s="89" t="n"/>
      <c r="R969" s="89" t="n"/>
      <c r="S969" s="89" t="n"/>
      <c r="T969" s="59" t="n"/>
      <c r="U969" s="91" t="n"/>
      <c r="V969" s="93">
        <f>U969/B969</f>
        <v/>
      </c>
    </row>
    <row r="970" ht="22.5" customHeight="1" s="150">
      <c r="A970" s="34" t="n">
        <v>968</v>
      </c>
      <c r="B970" s="34" t="n"/>
      <c r="C970" s="34" t="n"/>
      <c r="D970" s="34" t="n"/>
      <c r="E970" s="34" t="n"/>
      <c r="F970" s="86" t="n"/>
      <c r="G970" s="86" t="n"/>
      <c r="H970" s="111" t="n"/>
      <c r="I970" s="87" t="n"/>
      <c r="J970" s="87" t="n"/>
      <c r="K970" s="111" t="n"/>
      <c r="L970" s="86" t="n"/>
      <c r="M970" s="97" t="n"/>
      <c r="N970" s="88" t="n"/>
      <c r="O970" s="20" t="n"/>
      <c r="P970" s="31" t="n"/>
      <c r="Q970" s="89" t="n"/>
      <c r="R970" s="89" t="n"/>
      <c r="S970" s="89" t="n"/>
      <c r="T970" s="59" t="n"/>
      <c r="U970" s="94" t="n"/>
      <c r="V970" s="95">
        <f>U970/B970</f>
        <v/>
      </c>
    </row>
    <row r="971" ht="22.5" customHeight="1" s="150">
      <c r="A971" s="34" t="n">
        <v>969</v>
      </c>
      <c r="B971" s="34" t="n"/>
      <c r="C971" s="34" t="n"/>
      <c r="D971" s="34" t="n"/>
      <c r="E971" s="34" t="n"/>
      <c r="F971" s="86" t="n"/>
      <c r="G971" s="86" t="n"/>
      <c r="H971" s="111" t="n"/>
      <c r="I971" s="87" t="n"/>
      <c r="J971" s="87" t="n"/>
      <c r="K971" s="111" t="n"/>
      <c r="L971" s="86" t="n"/>
      <c r="M971" s="96" t="n"/>
      <c r="N971" s="88" t="n"/>
      <c r="O971" s="20" t="n"/>
      <c r="P971" s="31" t="n"/>
      <c r="Q971" s="89" t="n"/>
      <c r="R971" s="89" t="n"/>
      <c r="S971" s="89" t="n"/>
      <c r="T971" s="59" t="n"/>
      <c r="U971" s="91" t="n"/>
      <c r="V971" s="93">
        <f>U971/B971</f>
        <v/>
      </c>
    </row>
    <row r="972" ht="22.5" customHeight="1" s="150">
      <c r="A972" s="34" t="n">
        <v>970</v>
      </c>
      <c r="B972" s="34" t="n"/>
      <c r="C972" s="34" t="n"/>
      <c r="D972" s="34" t="n"/>
      <c r="E972" s="34" t="n"/>
      <c r="F972" s="86" t="n"/>
      <c r="G972" s="86" t="n"/>
      <c r="H972" s="111" t="n"/>
      <c r="I972" s="87" t="n"/>
      <c r="J972" s="87" t="n"/>
      <c r="K972" s="111" t="n"/>
      <c r="L972" s="86" t="n"/>
      <c r="M972" s="97" t="n"/>
      <c r="N972" s="88" t="n"/>
      <c r="O972" s="20" t="n"/>
      <c r="P972" s="31" t="n"/>
      <c r="Q972" s="89" t="n"/>
      <c r="R972" s="89" t="n"/>
      <c r="S972" s="89" t="n"/>
      <c r="T972" s="59" t="n"/>
      <c r="U972" s="94" t="n"/>
      <c r="V972" s="95">
        <f>U972/B972</f>
        <v/>
      </c>
    </row>
    <row r="973" ht="22.5" customHeight="1" s="150">
      <c r="A973" s="34" t="n">
        <v>971</v>
      </c>
      <c r="B973" s="34" t="n"/>
      <c r="C973" s="34" t="n"/>
      <c r="D973" s="34" t="n"/>
      <c r="E973" s="34" t="n"/>
      <c r="F973" s="86" t="n"/>
      <c r="G973" s="86" t="n"/>
      <c r="H973" s="111" t="n"/>
      <c r="I973" s="87" t="n"/>
      <c r="J973" s="87" t="n"/>
      <c r="K973" s="111" t="n"/>
      <c r="L973" s="86" t="n"/>
      <c r="M973" s="96" t="n"/>
      <c r="N973" s="88" t="n"/>
      <c r="O973" s="20" t="n"/>
      <c r="P973" s="31" t="n"/>
      <c r="Q973" s="89" t="n"/>
      <c r="R973" s="89" t="n"/>
      <c r="S973" s="89" t="n"/>
      <c r="T973" s="59" t="n"/>
      <c r="U973" s="91" t="n"/>
      <c r="V973" s="93">
        <f>U973/B973</f>
        <v/>
      </c>
    </row>
    <row r="974" ht="22.5" customHeight="1" s="150">
      <c r="A974" s="34" t="n">
        <v>972</v>
      </c>
      <c r="B974" s="34" t="n"/>
      <c r="C974" s="34" t="n"/>
      <c r="D974" s="34" t="n"/>
      <c r="E974" s="34" t="n"/>
      <c r="F974" s="86" t="n"/>
      <c r="G974" s="86" t="n"/>
      <c r="H974" s="111" t="n"/>
      <c r="I974" s="87" t="n"/>
      <c r="J974" s="87" t="n"/>
      <c r="K974" s="111" t="n"/>
      <c r="L974" s="86" t="n"/>
      <c r="M974" s="97" t="n"/>
      <c r="N974" s="88" t="n"/>
      <c r="O974" s="20" t="n"/>
      <c r="P974" s="31" t="n"/>
      <c r="Q974" s="89" t="n"/>
      <c r="R974" s="89" t="n"/>
      <c r="S974" s="89" t="n"/>
      <c r="T974" s="59" t="n"/>
      <c r="U974" s="94" t="n"/>
      <c r="V974" s="95">
        <f>U974/B974</f>
        <v/>
      </c>
    </row>
    <row r="975" ht="22.5" customHeight="1" s="150">
      <c r="A975" s="34" t="n">
        <v>973</v>
      </c>
      <c r="B975" s="34" t="n"/>
      <c r="C975" s="34" t="n"/>
      <c r="D975" s="34" t="n"/>
      <c r="E975" s="34" t="n"/>
      <c r="F975" s="86" t="n"/>
      <c r="G975" s="86" t="n"/>
      <c r="H975" s="111" t="n"/>
      <c r="I975" s="87" t="n"/>
      <c r="J975" s="87" t="n"/>
      <c r="K975" s="111" t="n"/>
      <c r="L975" s="86" t="n"/>
      <c r="M975" s="96" t="n"/>
      <c r="N975" s="88" t="n"/>
      <c r="O975" s="20" t="n"/>
      <c r="P975" s="31" t="n"/>
      <c r="Q975" s="89" t="n"/>
      <c r="R975" s="89" t="n"/>
      <c r="S975" s="89" t="n"/>
      <c r="T975" s="59" t="n"/>
      <c r="U975" s="91" t="n"/>
      <c r="V975" s="93">
        <f>U975/B975</f>
        <v/>
      </c>
    </row>
    <row r="976" ht="22.5" customHeight="1" s="150">
      <c r="A976" s="34" t="n">
        <v>974</v>
      </c>
      <c r="B976" s="34" t="n"/>
      <c r="C976" s="34" t="n"/>
      <c r="D976" s="34" t="n"/>
      <c r="E976" s="34" t="n"/>
      <c r="F976" s="86" t="n"/>
      <c r="G976" s="86" t="n"/>
      <c r="H976" s="111" t="n"/>
      <c r="I976" s="87" t="n"/>
      <c r="J976" s="87" t="n"/>
      <c r="K976" s="111" t="n"/>
      <c r="L976" s="86" t="n"/>
      <c r="M976" s="97" t="n"/>
      <c r="N976" s="88" t="n"/>
      <c r="O976" s="20" t="n"/>
      <c r="P976" s="31" t="n"/>
      <c r="Q976" s="89" t="n"/>
      <c r="R976" s="89" t="n"/>
      <c r="S976" s="89" t="n"/>
      <c r="T976" s="59" t="n"/>
      <c r="U976" s="94" t="n"/>
      <c r="V976" s="95">
        <f>U976/B976</f>
        <v/>
      </c>
    </row>
    <row r="977" ht="22.5" customHeight="1" s="150">
      <c r="A977" s="34" t="n">
        <v>975</v>
      </c>
      <c r="B977" s="34" t="n"/>
      <c r="C977" s="34" t="n"/>
      <c r="D977" s="34" t="n"/>
      <c r="E977" s="34" t="n"/>
      <c r="F977" s="86" t="n"/>
      <c r="G977" s="86" t="n"/>
      <c r="H977" s="111" t="n"/>
      <c r="I977" s="87" t="n"/>
      <c r="J977" s="87" t="n"/>
      <c r="K977" s="111" t="n"/>
      <c r="L977" s="86" t="n"/>
      <c r="M977" s="96" t="n"/>
      <c r="N977" s="88" t="n"/>
      <c r="O977" s="20" t="n"/>
      <c r="P977" s="31" t="n"/>
      <c r="Q977" s="89" t="n"/>
      <c r="R977" s="89" t="n"/>
      <c r="S977" s="89" t="n"/>
      <c r="T977" s="59" t="n"/>
      <c r="U977" s="91" t="n"/>
      <c r="V977" s="93">
        <f>U977/B977</f>
        <v/>
      </c>
    </row>
    <row r="978" ht="22.5" customHeight="1" s="150">
      <c r="A978" s="34" t="n">
        <v>976</v>
      </c>
      <c r="B978" s="34" t="n"/>
      <c r="C978" s="34" t="n"/>
      <c r="D978" s="34" t="n"/>
      <c r="E978" s="34" t="n"/>
      <c r="F978" s="86" t="n"/>
      <c r="G978" s="86" t="n"/>
      <c r="H978" s="111" t="n"/>
      <c r="I978" s="87" t="n"/>
      <c r="J978" s="87" t="n"/>
      <c r="K978" s="111" t="n"/>
      <c r="L978" s="86" t="n"/>
      <c r="M978" s="97" t="n"/>
      <c r="N978" s="88" t="n"/>
      <c r="O978" s="20" t="n"/>
      <c r="P978" s="31" t="n"/>
      <c r="Q978" s="89" t="n"/>
      <c r="R978" s="89" t="n"/>
      <c r="S978" s="89" t="n"/>
      <c r="T978" s="59" t="n"/>
      <c r="U978" s="94" t="n"/>
      <c r="V978" s="95">
        <f>U978/B978</f>
        <v/>
      </c>
    </row>
    <row r="979" ht="22.5" customHeight="1" s="150">
      <c r="A979" s="34" t="n">
        <v>977</v>
      </c>
      <c r="B979" s="34" t="n"/>
      <c r="C979" s="34" t="n"/>
      <c r="D979" s="34" t="n"/>
      <c r="E979" s="34" t="n"/>
      <c r="F979" s="86" t="n"/>
      <c r="G979" s="86" t="n"/>
      <c r="H979" s="111" t="n"/>
      <c r="I979" s="87" t="n"/>
      <c r="J979" s="87" t="n"/>
      <c r="K979" s="111" t="n"/>
      <c r="L979" s="86" t="n"/>
      <c r="M979" s="96" t="n"/>
      <c r="N979" s="88" t="n"/>
      <c r="O979" s="20" t="n"/>
      <c r="P979" s="31" t="n"/>
      <c r="Q979" s="89" t="n"/>
      <c r="R979" s="89" t="n"/>
      <c r="S979" s="89" t="n"/>
      <c r="T979" s="59" t="n"/>
      <c r="U979" s="91" t="n"/>
      <c r="V979" s="93">
        <f>U979/B979</f>
        <v/>
      </c>
    </row>
    <row r="980" ht="22.5" customHeight="1" s="150">
      <c r="A980" s="34" t="n">
        <v>978</v>
      </c>
      <c r="B980" s="34" t="n"/>
      <c r="C980" s="34" t="n"/>
      <c r="D980" s="34" t="n"/>
      <c r="E980" s="34" t="n"/>
      <c r="F980" s="86" t="n"/>
      <c r="G980" s="86" t="n"/>
      <c r="H980" s="111" t="n"/>
      <c r="I980" s="87" t="n"/>
      <c r="J980" s="87" t="n"/>
      <c r="K980" s="111" t="n"/>
      <c r="L980" s="86" t="n"/>
      <c r="M980" s="97" t="n"/>
      <c r="N980" s="88" t="n"/>
      <c r="O980" s="20" t="n"/>
      <c r="P980" s="31" t="n"/>
      <c r="Q980" s="89" t="n"/>
      <c r="R980" s="89" t="n"/>
      <c r="S980" s="89" t="n"/>
      <c r="T980" s="59" t="n"/>
      <c r="U980" s="94" t="n"/>
      <c r="V980" s="95">
        <f>U980/B980</f>
        <v/>
      </c>
    </row>
    <row r="981" ht="22.5" customHeight="1" s="150">
      <c r="A981" s="34" t="n">
        <v>979</v>
      </c>
      <c r="B981" s="34" t="n"/>
      <c r="C981" s="34" t="n"/>
      <c r="D981" s="34" t="n"/>
      <c r="E981" s="34" t="n"/>
      <c r="F981" s="86" t="n"/>
      <c r="G981" s="86" t="n"/>
      <c r="H981" s="111" t="n"/>
      <c r="I981" s="87" t="n"/>
      <c r="J981" s="87" t="n"/>
      <c r="K981" s="111" t="n"/>
      <c r="L981" s="86" t="n"/>
      <c r="M981" s="96" t="n"/>
      <c r="N981" s="88" t="n"/>
      <c r="O981" s="20" t="n"/>
      <c r="P981" s="31" t="n"/>
      <c r="Q981" s="89" t="n"/>
      <c r="R981" s="89" t="n"/>
      <c r="S981" s="89" t="n"/>
      <c r="T981" s="59" t="n"/>
      <c r="U981" s="91" t="n"/>
      <c r="V981" s="93">
        <f>U981/B981</f>
        <v/>
      </c>
    </row>
    <row r="982" ht="22.5" customHeight="1" s="150">
      <c r="A982" s="34" t="n">
        <v>980</v>
      </c>
      <c r="B982" s="34" t="n"/>
      <c r="C982" s="34" t="n"/>
      <c r="D982" s="34" t="n"/>
      <c r="E982" s="34" t="n"/>
      <c r="F982" s="86" t="n"/>
      <c r="G982" s="86" t="n"/>
      <c r="H982" s="111" t="n"/>
      <c r="I982" s="87" t="n"/>
      <c r="J982" s="87" t="n"/>
      <c r="K982" s="111" t="n"/>
      <c r="L982" s="86" t="n"/>
      <c r="M982" s="97" t="n"/>
      <c r="N982" s="88" t="n"/>
      <c r="O982" s="20" t="n"/>
      <c r="P982" s="31" t="n"/>
      <c r="Q982" s="89" t="n"/>
      <c r="R982" s="89" t="n"/>
      <c r="S982" s="89" t="n"/>
      <c r="T982" s="59" t="n"/>
      <c r="U982" s="94" t="n"/>
      <c r="V982" s="95">
        <f>U982/B982</f>
        <v/>
      </c>
    </row>
    <row r="983" ht="22.5" customHeight="1" s="150">
      <c r="A983" s="34" t="n">
        <v>981</v>
      </c>
      <c r="B983" s="34" t="n"/>
      <c r="C983" s="34" t="n"/>
      <c r="D983" s="34" t="n"/>
      <c r="E983" s="34" t="n"/>
      <c r="F983" s="86" t="n"/>
      <c r="G983" s="86" t="n"/>
      <c r="H983" s="111" t="n"/>
      <c r="I983" s="87" t="n"/>
      <c r="J983" s="87" t="n"/>
      <c r="K983" s="111" t="n"/>
      <c r="L983" s="86" t="n"/>
      <c r="M983" s="96" t="n"/>
      <c r="N983" s="88" t="n"/>
      <c r="O983" s="20" t="n"/>
      <c r="P983" s="31" t="n"/>
      <c r="Q983" s="89" t="n"/>
      <c r="R983" s="89" t="n"/>
      <c r="S983" s="89" t="n"/>
      <c r="T983" s="59" t="n"/>
      <c r="U983" s="91" t="n"/>
      <c r="V983" s="93">
        <f>U983/B983</f>
        <v/>
      </c>
    </row>
    <row r="984" ht="22.5" customHeight="1" s="150">
      <c r="A984" s="34" t="n">
        <v>982</v>
      </c>
      <c r="B984" s="34" t="n"/>
      <c r="C984" s="34" t="n"/>
      <c r="D984" s="34" t="n"/>
      <c r="E984" s="34" t="n"/>
      <c r="F984" s="86" t="n"/>
      <c r="G984" s="86" t="n"/>
      <c r="H984" s="111" t="n"/>
      <c r="I984" s="87" t="n"/>
      <c r="J984" s="87" t="n"/>
      <c r="K984" s="111" t="n"/>
      <c r="L984" s="86" t="n"/>
      <c r="M984" s="97" t="n"/>
      <c r="N984" s="88" t="n"/>
      <c r="O984" s="20" t="n"/>
      <c r="P984" s="31" t="n"/>
      <c r="Q984" s="89" t="n"/>
      <c r="R984" s="89" t="n"/>
      <c r="S984" s="89" t="n"/>
      <c r="T984" s="59" t="n"/>
      <c r="U984" s="94" t="n"/>
      <c r="V984" s="95">
        <f>U984/B984</f>
        <v/>
      </c>
    </row>
    <row r="985" ht="22.5" customHeight="1" s="150">
      <c r="A985" s="34" t="n">
        <v>983</v>
      </c>
      <c r="B985" s="34" t="n"/>
      <c r="C985" s="34" t="n"/>
      <c r="D985" s="34" t="n"/>
      <c r="E985" s="34" t="n"/>
      <c r="F985" s="86" t="n"/>
      <c r="G985" s="86" t="n"/>
      <c r="H985" s="111" t="n"/>
      <c r="I985" s="87" t="n"/>
      <c r="J985" s="87" t="n"/>
      <c r="K985" s="111" t="n"/>
      <c r="L985" s="86" t="n"/>
      <c r="M985" s="96" t="n"/>
      <c r="N985" s="88" t="n"/>
      <c r="O985" s="20" t="n"/>
      <c r="P985" s="31" t="n"/>
      <c r="Q985" s="89" t="n"/>
      <c r="R985" s="89" t="n"/>
      <c r="S985" s="89" t="n"/>
      <c r="T985" s="59" t="n"/>
      <c r="U985" s="91" t="n"/>
      <c r="V985" s="93">
        <f>U985/B985</f>
        <v/>
      </c>
    </row>
    <row r="986" ht="22.5" customHeight="1" s="150">
      <c r="A986" s="34" t="n">
        <v>984</v>
      </c>
      <c r="B986" s="34" t="n"/>
      <c r="C986" s="34" t="n"/>
      <c r="D986" s="34" t="n"/>
      <c r="E986" s="34" t="n"/>
      <c r="F986" s="86" t="n"/>
      <c r="G986" s="86" t="n"/>
      <c r="H986" s="111" t="n"/>
      <c r="I986" s="87" t="n"/>
      <c r="J986" s="87" t="n"/>
      <c r="K986" s="111" t="n"/>
      <c r="L986" s="86" t="n"/>
      <c r="M986" s="97" t="n"/>
      <c r="N986" s="88" t="n"/>
      <c r="O986" s="20" t="n"/>
      <c r="P986" s="31" t="n"/>
      <c r="Q986" s="89" t="n"/>
      <c r="R986" s="89" t="n"/>
      <c r="S986" s="89" t="n"/>
      <c r="T986" s="59" t="n"/>
      <c r="U986" s="94" t="n"/>
      <c r="V986" s="95">
        <f>U986/B986</f>
        <v/>
      </c>
    </row>
    <row r="987" ht="22.5" customHeight="1" s="150">
      <c r="A987" s="34" t="n">
        <v>985</v>
      </c>
      <c r="B987" s="34" t="n"/>
      <c r="C987" s="34" t="n"/>
      <c r="D987" s="34" t="n"/>
      <c r="E987" s="34" t="n"/>
      <c r="F987" s="86" t="n"/>
      <c r="G987" s="86" t="n"/>
      <c r="H987" s="111" t="n"/>
      <c r="I987" s="87" t="n"/>
      <c r="J987" s="87" t="n"/>
      <c r="K987" s="111" t="n"/>
      <c r="L987" s="86" t="n"/>
      <c r="M987" s="96" t="n"/>
      <c r="N987" s="88" t="n"/>
      <c r="O987" s="20" t="n"/>
      <c r="P987" s="31" t="n"/>
      <c r="Q987" s="89" t="n"/>
      <c r="R987" s="89" t="n"/>
      <c r="S987" s="89" t="n"/>
      <c r="T987" s="59" t="n"/>
      <c r="U987" s="91" t="n"/>
      <c r="V987" s="93">
        <f>U987/B987</f>
        <v/>
      </c>
    </row>
    <row r="988" ht="22.5" customHeight="1" s="150">
      <c r="A988" s="34" t="n">
        <v>986</v>
      </c>
      <c r="B988" s="34" t="n"/>
      <c r="C988" s="34" t="n"/>
      <c r="D988" s="34" t="n"/>
      <c r="E988" s="34" t="n"/>
      <c r="F988" s="86" t="n"/>
      <c r="G988" s="86" t="n"/>
      <c r="H988" s="111" t="n"/>
      <c r="I988" s="87" t="n"/>
      <c r="J988" s="87" t="n"/>
      <c r="K988" s="111" t="n"/>
      <c r="L988" s="86" t="n"/>
      <c r="M988" s="97" t="n"/>
      <c r="N988" s="88" t="n"/>
      <c r="O988" s="20" t="n"/>
      <c r="P988" s="31" t="n"/>
      <c r="Q988" s="89" t="n"/>
      <c r="R988" s="89" t="n"/>
      <c r="S988" s="89" t="n"/>
      <c r="T988" s="59" t="n"/>
      <c r="U988" s="94" t="n"/>
      <c r="V988" s="95">
        <f>U988/B988</f>
        <v/>
      </c>
    </row>
    <row r="989" ht="22.5" customHeight="1" s="150">
      <c r="A989" s="34" t="n">
        <v>987</v>
      </c>
      <c r="B989" s="34" t="n"/>
      <c r="C989" s="34" t="n"/>
      <c r="D989" s="34" t="n"/>
      <c r="E989" s="34" t="n"/>
      <c r="F989" s="86" t="n"/>
      <c r="G989" s="86" t="n"/>
      <c r="H989" s="111" t="n"/>
      <c r="I989" s="87" t="n"/>
      <c r="J989" s="87" t="n"/>
      <c r="K989" s="111" t="n"/>
      <c r="L989" s="86" t="n"/>
      <c r="M989" s="96" t="n"/>
      <c r="N989" s="88" t="n"/>
      <c r="O989" s="20" t="n"/>
      <c r="P989" s="31" t="n"/>
      <c r="Q989" s="89" t="n"/>
      <c r="R989" s="89" t="n"/>
      <c r="S989" s="89" t="n"/>
      <c r="T989" s="59" t="n"/>
      <c r="U989" s="91" t="n"/>
      <c r="V989" s="93">
        <f>U989/B989</f>
        <v/>
      </c>
    </row>
    <row r="990" ht="22.5" customHeight="1" s="150">
      <c r="A990" s="34" t="n">
        <v>988</v>
      </c>
      <c r="B990" s="34" t="n"/>
      <c r="C990" s="34" t="n"/>
      <c r="D990" s="34" t="n"/>
      <c r="E990" s="34" t="n"/>
      <c r="F990" s="86" t="n"/>
      <c r="G990" s="86" t="n"/>
      <c r="H990" s="111" t="n"/>
      <c r="I990" s="87" t="n"/>
      <c r="J990" s="87" t="n"/>
      <c r="K990" s="111" t="n"/>
      <c r="L990" s="86" t="n"/>
      <c r="M990" s="97" t="n"/>
      <c r="N990" s="88" t="n"/>
      <c r="O990" s="20" t="n"/>
      <c r="P990" s="31" t="n"/>
      <c r="Q990" s="89" t="n"/>
      <c r="R990" s="89" t="n"/>
      <c r="S990" s="89" t="n"/>
      <c r="T990" s="59" t="n"/>
      <c r="U990" s="94" t="n"/>
      <c r="V990" s="95">
        <f>U990/B990</f>
        <v/>
      </c>
    </row>
    <row r="991" ht="22.5" customHeight="1" s="150">
      <c r="A991" s="34" t="n">
        <v>989</v>
      </c>
      <c r="B991" s="34" t="n"/>
      <c r="C991" s="34" t="n"/>
      <c r="D991" s="34" t="n"/>
      <c r="E991" s="34" t="n"/>
      <c r="F991" s="86" t="n"/>
      <c r="G991" s="86" t="n"/>
      <c r="H991" s="111" t="n"/>
      <c r="I991" s="87" t="n"/>
      <c r="J991" s="87" t="n"/>
      <c r="K991" s="111" t="n"/>
      <c r="L991" s="86" t="n"/>
      <c r="M991" s="96" t="n"/>
      <c r="N991" s="88" t="n"/>
      <c r="O991" s="20" t="n"/>
      <c r="P991" s="31" t="n"/>
      <c r="Q991" s="89" t="n"/>
      <c r="R991" s="89" t="n"/>
      <c r="S991" s="89" t="n"/>
      <c r="T991" s="59" t="n"/>
      <c r="U991" s="91" t="n"/>
      <c r="V991" s="93">
        <f>U991/B991</f>
        <v/>
      </c>
    </row>
    <row r="992" ht="22.5" customHeight="1" s="150">
      <c r="A992" s="34" t="n">
        <v>990</v>
      </c>
      <c r="B992" s="34" t="n"/>
      <c r="C992" s="34" t="n"/>
      <c r="D992" s="34" t="n"/>
      <c r="E992" s="34" t="n"/>
      <c r="F992" s="86" t="n"/>
      <c r="G992" s="86" t="n"/>
      <c r="H992" s="111" t="n"/>
      <c r="I992" s="87" t="n"/>
      <c r="J992" s="87" t="n"/>
      <c r="K992" s="111" t="n"/>
      <c r="L992" s="86" t="n"/>
      <c r="M992" s="97" t="n"/>
      <c r="N992" s="88" t="n"/>
      <c r="O992" s="20" t="n"/>
      <c r="P992" s="31" t="n"/>
      <c r="Q992" s="89" t="n"/>
      <c r="R992" s="89" t="n"/>
      <c r="S992" s="89" t="n"/>
      <c r="T992" s="59" t="n"/>
      <c r="U992" s="94" t="n"/>
      <c r="V992" s="95">
        <f>U992/B992</f>
        <v/>
      </c>
    </row>
    <row r="993" ht="22.5" customHeight="1" s="150">
      <c r="A993" s="34" t="n">
        <v>991</v>
      </c>
      <c r="B993" s="34" t="n"/>
      <c r="C993" s="34" t="n"/>
      <c r="D993" s="34" t="n"/>
      <c r="E993" s="34" t="n"/>
      <c r="F993" s="86" t="n"/>
      <c r="G993" s="86" t="n"/>
      <c r="H993" s="111" t="n"/>
      <c r="I993" s="87" t="n"/>
      <c r="J993" s="87" t="n"/>
      <c r="K993" s="111" t="n"/>
      <c r="L993" s="86" t="n"/>
      <c r="M993" s="96" t="n"/>
      <c r="N993" s="88" t="n"/>
      <c r="O993" s="20" t="n"/>
      <c r="P993" s="31" t="n"/>
      <c r="Q993" s="89" t="n"/>
      <c r="R993" s="89" t="n"/>
      <c r="S993" s="89" t="n"/>
      <c r="T993" s="59" t="n"/>
      <c r="U993" s="91" t="n"/>
      <c r="V993" s="93">
        <f>U993/B993</f>
        <v/>
      </c>
    </row>
    <row r="994" ht="22.5" customHeight="1" s="150">
      <c r="A994" s="34" t="n">
        <v>992</v>
      </c>
      <c r="B994" s="34" t="n"/>
      <c r="C994" s="34" t="n"/>
      <c r="D994" s="34" t="n"/>
      <c r="E994" s="34" t="n"/>
      <c r="F994" s="86" t="n"/>
      <c r="G994" s="86" t="n"/>
      <c r="H994" s="111" t="n"/>
      <c r="I994" s="87" t="n"/>
      <c r="J994" s="87" t="n"/>
      <c r="K994" s="111" t="n"/>
      <c r="L994" s="86" t="n"/>
      <c r="M994" s="97" t="n"/>
      <c r="N994" s="88" t="n"/>
      <c r="O994" s="20" t="n"/>
      <c r="P994" s="86" t="n"/>
      <c r="Q994" s="89" t="n"/>
      <c r="R994" s="89" t="n"/>
      <c r="S994" s="89" t="n"/>
      <c r="T994" s="59" t="n"/>
      <c r="U994" s="94" t="n"/>
      <c r="V994" s="95">
        <f>U994/B994</f>
        <v/>
      </c>
    </row>
    <row r="995" ht="22.5" customHeight="1" s="150">
      <c r="A995" s="34" t="n">
        <v>993</v>
      </c>
      <c r="B995" s="34" t="n"/>
      <c r="C995" s="34" t="n"/>
      <c r="D995" s="34" t="n"/>
      <c r="E995" s="34" t="n"/>
      <c r="F995" s="86" t="n"/>
      <c r="G995" s="86" t="n"/>
      <c r="H995" s="111" t="n"/>
      <c r="I995" s="87" t="n"/>
      <c r="J995" s="87" t="n"/>
      <c r="K995" s="111" t="n"/>
      <c r="L995" s="86" t="n"/>
      <c r="M995" s="96" t="n"/>
      <c r="N995" s="88" t="n"/>
      <c r="O995" s="20" t="n"/>
      <c r="P995" s="86" t="n"/>
      <c r="Q995" s="89" t="n"/>
      <c r="R995" s="89" t="n"/>
      <c r="S995" s="89" t="n"/>
      <c r="T995" s="59" t="n"/>
      <c r="U995" s="91" t="n"/>
      <c r="V995" s="93">
        <f>U995/B995</f>
        <v/>
      </c>
    </row>
    <row r="996" ht="22.5" customHeight="1" s="150">
      <c r="A996" s="34" t="n">
        <v>994</v>
      </c>
      <c r="B996" s="34" t="n"/>
      <c r="C996" s="34" t="n"/>
      <c r="D996" s="34" t="n"/>
      <c r="E996" s="34" t="n"/>
      <c r="F996" s="86" t="n"/>
      <c r="G996" s="86" t="n"/>
      <c r="H996" s="111" t="n"/>
      <c r="I996" s="87" t="n"/>
      <c r="J996" s="87" t="n"/>
      <c r="K996" s="111" t="n"/>
      <c r="L996" s="86" t="n"/>
      <c r="M996" s="97" t="n"/>
      <c r="N996" s="88" t="n"/>
      <c r="O996" s="20" t="n"/>
      <c r="P996" s="86" t="n"/>
      <c r="Q996" s="89" t="n"/>
      <c r="R996" s="89" t="n"/>
      <c r="S996" s="89" t="n"/>
      <c r="T996" s="59" t="n"/>
      <c r="U996" s="94" t="n"/>
      <c r="V996" s="95">
        <f>U996/B996</f>
        <v/>
      </c>
    </row>
    <row r="997" ht="22.5" customHeight="1" s="150">
      <c r="A997" s="34" t="n">
        <v>995</v>
      </c>
      <c r="B997" s="34" t="n"/>
      <c r="C997" s="34" t="n"/>
      <c r="D997" s="34" t="n"/>
      <c r="E997" s="34" t="n"/>
      <c r="F997" s="86" t="n"/>
      <c r="G997" s="86" t="n"/>
      <c r="H997" s="111" t="n"/>
      <c r="I997" s="87" t="n"/>
      <c r="J997" s="87" t="n"/>
      <c r="K997" s="111" t="n"/>
      <c r="L997" s="86" t="n"/>
      <c r="M997" s="96" t="n"/>
      <c r="N997" s="88" t="n"/>
      <c r="O997" s="20" t="n"/>
      <c r="P997" s="86" t="n"/>
      <c r="Q997" s="89" t="n"/>
      <c r="R997" s="89" t="n"/>
      <c r="S997" s="89" t="n"/>
      <c r="T997" s="59" t="n"/>
      <c r="U997" s="91" t="n"/>
      <c r="V997" s="93">
        <f>U997/B997</f>
        <v/>
      </c>
    </row>
    <row r="998" ht="22.5" customHeight="1" s="150">
      <c r="A998" s="34" t="n">
        <v>996</v>
      </c>
      <c r="B998" s="34" t="n"/>
      <c r="C998" s="34" t="n"/>
      <c r="D998" s="34" t="n"/>
      <c r="E998" s="34" t="n"/>
      <c r="F998" s="86" t="n"/>
      <c r="G998" s="86" t="n"/>
      <c r="H998" s="111" t="n"/>
      <c r="I998" s="87" t="n"/>
      <c r="J998" s="87" t="n"/>
      <c r="K998" s="111" t="n"/>
      <c r="L998" s="86" t="n"/>
      <c r="M998" s="97" t="n"/>
      <c r="N998" s="88" t="n"/>
      <c r="O998" s="20" t="n"/>
      <c r="P998" s="86" t="n"/>
      <c r="Q998" s="89" t="n"/>
      <c r="R998" s="89" t="n"/>
      <c r="S998" s="89" t="n"/>
      <c r="T998" s="59" t="n"/>
      <c r="U998" s="94" t="n"/>
      <c r="V998" s="95">
        <f>U998/B998</f>
        <v/>
      </c>
    </row>
    <row r="999" ht="22.5" customHeight="1" s="150">
      <c r="A999" s="34" t="n">
        <v>997</v>
      </c>
      <c r="B999" s="34" t="n"/>
      <c r="C999" s="34" t="n"/>
      <c r="D999" s="34" t="n"/>
      <c r="E999" s="34" t="n"/>
      <c r="F999" s="86" t="n"/>
      <c r="G999" s="86" t="n"/>
      <c r="H999" s="111" t="n"/>
      <c r="I999" s="87" t="n"/>
      <c r="J999" s="87" t="n"/>
      <c r="K999" s="111" t="n"/>
      <c r="L999" s="86" t="n"/>
      <c r="M999" s="96" t="n"/>
      <c r="N999" s="88" t="n"/>
      <c r="O999" s="20" t="n"/>
      <c r="P999" s="86" t="n"/>
      <c r="Q999" s="89" t="n"/>
      <c r="R999" s="89" t="n"/>
      <c r="S999" s="89" t="n"/>
      <c r="T999" s="59" t="n"/>
      <c r="U999" s="91" t="n"/>
      <c r="V999" s="93">
        <f>U999/B999</f>
        <v/>
      </c>
    </row>
    <row r="1000" ht="22.5" customHeight="1" s="150">
      <c r="A1000" s="34" t="n">
        <v>998</v>
      </c>
      <c r="B1000" s="34" t="n"/>
      <c r="C1000" s="34" t="n"/>
      <c r="D1000" s="34" t="n"/>
      <c r="E1000" s="34" t="n"/>
      <c r="F1000" s="86" t="n"/>
      <c r="G1000" s="86" t="n"/>
      <c r="H1000" s="111" t="n"/>
      <c r="I1000" s="87" t="n"/>
      <c r="J1000" s="87" t="n"/>
      <c r="K1000" s="111" t="n"/>
      <c r="L1000" s="86" t="n"/>
      <c r="M1000" s="97" t="n"/>
      <c r="N1000" s="88" t="n"/>
      <c r="O1000" s="20" t="n"/>
      <c r="P1000" s="86" t="n"/>
      <c r="Q1000" s="89" t="n"/>
      <c r="R1000" s="89" t="n"/>
      <c r="S1000" s="89" t="n"/>
      <c r="T1000" s="59" t="n"/>
      <c r="U1000" s="94" t="n"/>
      <c r="V1000" s="95">
        <f>U1000/B1000</f>
        <v/>
      </c>
    </row>
    <row r="1001" ht="22.5" customHeight="1" s="150">
      <c r="A1001" s="34" t="n">
        <v>999</v>
      </c>
      <c r="B1001" s="34" t="n"/>
      <c r="C1001" s="34" t="n"/>
      <c r="D1001" s="34" t="n"/>
      <c r="E1001" s="34" t="n"/>
      <c r="F1001" s="86" t="n"/>
      <c r="G1001" s="86" t="n"/>
      <c r="H1001" s="111" t="n"/>
      <c r="I1001" s="87" t="n"/>
      <c r="J1001" s="87" t="n"/>
      <c r="K1001" s="111" t="n"/>
      <c r="L1001" s="86" t="n"/>
      <c r="M1001" s="96" t="n"/>
      <c r="N1001" s="88" t="n"/>
      <c r="O1001" s="20" t="n"/>
      <c r="P1001" s="86" t="n"/>
      <c r="Q1001" s="89" t="n"/>
      <c r="R1001" s="89" t="n"/>
      <c r="S1001" s="89" t="n"/>
      <c r="T1001" s="59">
        <f>Boosters_And!U1001/C1001</f>
        <v/>
      </c>
      <c r="U1001" s="91" t="n"/>
      <c r="V1001" s="93">
        <f>U1001/B1001</f>
        <v/>
      </c>
    </row>
    <row r="1002" ht="22.5" customHeight="1" s="150">
      <c r="A1002" s="34" t="n">
        <v>1000</v>
      </c>
      <c r="B1002" s="34" t="n"/>
      <c r="C1002" s="34" t="n"/>
      <c r="D1002" s="34" t="n"/>
      <c r="E1002" s="34" t="n"/>
      <c r="F1002" s="86" t="n"/>
      <c r="G1002" s="86" t="n"/>
      <c r="H1002" s="111" t="n"/>
      <c r="I1002" s="87" t="n"/>
      <c r="J1002" s="87" t="n"/>
      <c r="K1002" s="111" t="n"/>
      <c r="L1002" s="86" t="n"/>
      <c r="M1002" s="98" t="n"/>
      <c r="N1002" s="88" t="n"/>
      <c r="O1002" s="20" t="n"/>
      <c r="P1002" s="86" t="n"/>
      <c r="Q1002" s="89" t="n"/>
      <c r="R1002" s="89" t="n"/>
      <c r="S1002" s="89" t="n"/>
      <c r="T1002" s="59">
        <f>Boosters_And!U1002/C1002</f>
        <v/>
      </c>
      <c r="U1002" s="99" t="n"/>
      <c r="V1002" s="100">
        <f>U1002/B1002</f>
        <v/>
      </c>
    </row>
    <row r="1003" ht="20.25" customHeight="1" s="150">
      <c r="A1003" s="34" t="n">
        <v>1001</v>
      </c>
      <c r="B1003" s="34" t="n"/>
      <c r="C1003" s="34" t="n"/>
      <c r="D1003" s="34" t="n"/>
      <c r="E1003" s="34" t="n"/>
      <c r="F1003" s="86" t="n"/>
      <c r="G1003" s="86" t="n"/>
      <c r="H1003" s="111" t="n"/>
      <c r="I1003" s="87" t="n"/>
      <c r="J1003" s="87" t="n"/>
      <c r="K1003" s="111" t="n"/>
      <c r="L1003" s="86" t="n"/>
      <c r="M1003" s="101" t="n"/>
      <c r="N1003" s="88" t="n"/>
      <c r="O1003" s="20" t="n"/>
      <c r="P1003" s="86" t="n"/>
      <c r="Q1003" s="89" t="n"/>
      <c r="R1003" s="89" t="n"/>
      <c r="S1003" s="89" t="n"/>
      <c r="T1003" s="59">
        <f>Boosters_And!U1003/C1003</f>
        <v/>
      </c>
      <c r="U1003" s="31" t="n"/>
      <c r="V1003" s="102" t="n"/>
    </row>
    <row r="1004" ht="20.25" customHeight="1" s="150">
      <c r="A1004" s="34" t="n">
        <v>1002</v>
      </c>
      <c r="B1004" s="34" t="n"/>
      <c r="C1004" s="34" t="n"/>
      <c r="D1004" s="34" t="n"/>
      <c r="E1004" s="34" t="n"/>
      <c r="F1004" s="86" t="n"/>
      <c r="G1004" s="86" t="n"/>
      <c r="H1004" s="111" t="n"/>
      <c r="I1004" s="87" t="n"/>
      <c r="J1004" s="87" t="n"/>
      <c r="K1004" s="111" t="n"/>
      <c r="L1004" s="86" t="n"/>
      <c r="M1004" s="101" t="n"/>
      <c r="N1004" s="88" t="n"/>
      <c r="O1004" s="20" t="n"/>
      <c r="P1004" s="86" t="n"/>
      <c r="Q1004" s="89" t="n"/>
      <c r="R1004" s="89" t="n"/>
      <c r="S1004" s="89" t="n"/>
      <c r="T1004" s="59">
        <f>Boosters_And!U1004/C1004</f>
        <v/>
      </c>
      <c r="U1004" s="31" t="n"/>
      <c r="V1004" s="102" t="n"/>
    </row>
    <row r="1005" ht="20.25" customHeight="1" s="150">
      <c r="A1005" s="34" t="n">
        <v>1003</v>
      </c>
      <c r="B1005" s="34" t="n"/>
      <c r="C1005" s="34" t="n"/>
      <c r="D1005" s="34" t="n"/>
      <c r="E1005" s="34" t="n"/>
      <c r="F1005" s="86" t="n"/>
      <c r="G1005" s="86" t="n"/>
      <c r="H1005" s="111" t="n"/>
      <c r="I1005" s="87" t="n"/>
      <c r="J1005" s="87" t="n"/>
      <c r="K1005" s="111" t="n"/>
      <c r="L1005" s="86" t="n"/>
      <c r="M1005" s="101" t="n"/>
      <c r="N1005" s="88" t="n"/>
      <c r="O1005" s="20" t="n"/>
      <c r="P1005" s="86" t="n"/>
      <c r="Q1005" s="89" t="n"/>
      <c r="R1005" s="89" t="n"/>
      <c r="S1005" s="89" t="n"/>
      <c r="T1005" s="59">
        <f>Boosters_And!U1005/C1005</f>
        <v/>
      </c>
      <c r="U1005" s="31" t="n"/>
      <c r="V1005" s="102" t="n"/>
    </row>
    <row r="1006" ht="20.25" customHeight="1" s="150">
      <c r="A1006" s="34" t="n">
        <v>1004</v>
      </c>
      <c r="B1006" s="34" t="n"/>
      <c r="C1006" s="34" t="n"/>
      <c r="D1006" s="34" t="n"/>
      <c r="E1006" s="34" t="n"/>
      <c r="F1006" s="86" t="n"/>
      <c r="G1006" s="86" t="n"/>
      <c r="H1006" s="111" t="n"/>
      <c r="I1006" s="87" t="n"/>
      <c r="J1006" s="87" t="n"/>
      <c r="K1006" s="111" t="n"/>
      <c r="L1006" s="86" t="n"/>
      <c r="M1006" s="101" t="n"/>
      <c r="N1006" s="88" t="n"/>
      <c r="O1006" s="20" t="n"/>
      <c r="P1006" s="86" t="n"/>
      <c r="Q1006" s="89" t="n"/>
      <c r="R1006" s="89" t="n"/>
      <c r="S1006" s="89" t="n"/>
      <c r="T1006" s="59">
        <f>Boosters_And!U1006/C1006</f>
        <v/>
      </c>
      <c r="U1006" s="31" t="n"/>
      <c r="V1006" s="102" t="n"/>
    </row>
    <row r="1007" ht="20.25" customHeight="1" s="150">
      <c r="A1007" s="34" t="n">
        <v>1005</v>
      </c>
      <c r="B1007" s="34" t="n"/>
      <c r="C1007" s="34" t="n"/>
      <c r="D1007" s="34" t="n"/>
      <c r="E1007" s="34" t="n"/>
      <c r="F1007" s="86" t="n"/>
      <c r="G1007" s="86" t="n"/>
      <c r="H1007" s="111" t="n"/>
      <c r="I1007" s="87" t="n"/>
      <c r="J1007" s="87" t="n"/>
      <c r="K1007" s="111" t="n"/>
      <c r="L1007" s="86" t="n"/>
      <c r="M1007" s="101" t="n"/>
      <c r="N1007" s="88" t="n"/>
      <c r="O1007" s="20" t="n"/>
      <c r="P1007" s="86" t="n"/>
      <c r="Q1007" s="89" t="n"/>
      <c r="R1007" s="89" t="n"/>
      <c r="S1007" s="89" t="n"/>
      <c r="T1007" s="59">
        <f>Boosters_And!U1007/C1007</f>
        <v/>
      </c>
      <c r="U1007" s="31" t="n"/>
      <c r="V1007" s="102" t="n"/>
    </row>
    <row r="1008" ht="20.25" customHeight="1" s="150">
      <c r="A1008" s="34" t="n">
        <v>1006</v>
      </c>
      <c r="B1008" s="34" t="n"/>
      <c r="C1008" s="34" t="n"/>
      <c r="D1008" s="34" t="n"/>
      <c r="E1008" s="34" t="n"/>
      <c r="F1008" s="86" t="n"/>
      <c r="G1008" s="86" t="n"/>
      <c r="H1008" s="111" t="n"/>
      <c r="I1008" s="87" t="n"/>
      <c r="J1008" s="87" t="n"/>
      <c r="K1008" s="111" t="n"/>
      <c r="L1008" s="86" t="n"/>
      <c r="M1008" s="101" t="n"/>
      <c r="N1008" s="88" t="n"/>
      <c r="O1008" s="20" t="n"/>
      <c r="P1008" s="86" t="n"/>
      <c r="Q1008" s="89" t="n"/>
      <c r="R1008" s="89" t="n"/>
      <c r="S1008" s="89" t="n"/>
      <c r="T1008" s="59">
        <f>Boosters_And!U1008/C1008</f>
        <v/>
      </c>
      <c r="U1008" s="31" t="n"/>
      <c r="V1008" s="102" t="n"/>
    </row>
    <row r="1009" ht="20.25" customHeight="1" s="150">
      <c r="A1009" s="34" t="n">
        <v>1007</v>
      </c>
      <c r="B1009" s="34" t="n"/>
      <c r="C1009" s="34" t="n"/>
      <c r="D1009" s="34" t="n"/>
      <c r="E1009" s="34" t="n"/>
      <c r="F1009" s="86" t="n"/>
      <c r="G1009" s="86" t="n"/>
      <c r="H1009" s="111" t="n"/>
      <c r="I1009" s="87" t="n"/>
      <c r="J1009" s="87" t="n"/>
      <c r="K1009" s="111" t="n"/>
      <c r="L1009" s="86" t="n"/>
      <c r="M1009" s="101" t="n"/>
      <c r="N1009" s="88" t="n"/>
      <c r="O1009" s="20" t="n"/>
      <c r="P1009" s="86" t="n"/>
      <c r="Q1009" s="89" t="n"/>
      <c r="R1009" s="89" t="n"/>
      <c r="S1009" s="89" t="n"/>
      <c r="T1009" s="59">
        <f>Boosters_And!U1009/C1009</f>
        <v/>
      </c>
      <c r="U1009" s="31" t="n"/>
      <c r="V1009" s="102" t="n"/>
    </row>
    <row r="1010" ht="20.25" customHeight="1" s="150">
      <c r="A1010" s="34" t="n">
        <v>1008</v>
      </c>
      <c r="B1010" s="34" t="n"/>
      <c r="C1010" s="34" t="n"/>
      <c r="D1010" s="34" t="n"/>
      <c r="E1010" s="34" t="n"/>
      <c r="F1010" s="86" t="n"/>
      <c r="G1010" s="86" t="n"/>
      <c r="H1010" s="111" t="n"/>
      <c r="I1010" s="87" t="n"/>
      <c r="J1010" s="87" t="n"/>
      <c r="K1010" s="111" t="n"/>
      <c r="L1010" s="86" t="n"/>
      <c r="M1010" s="101" t="n"/>
      <c r="N1010" s="88" t="n"/>
      <c r="O1010" s="20" t="n"/>
      <c r="P1010" s="86" t="n"/>
      <c r="Q1010" s="89" t="n"/>
      <c r="R1010" s="89" t="n"/>
      <c r="S1010" s="89" t="n"/>
      <c r="T1010" s="59">
        <f>Boosters_And!U1010/C1010</f>
        <v/>
      </c>
      <c r="U1010" s="31" t="n"/>
      <c r="V1010" s="102" t="n"/>
    </row>
    <row r="1011" ht="20.25" customHeight="1" s="150">
      <c r="A1011" s="34" t="n">
        <v>1009</v>
      </c>
      <c r="B1011" s="34" t="n"/>
      <c r="C1011" s="34" t="n"/>
      <c r="D1011" s="34" t="n"/>
      <c r="E1011" s="34" t="n"/>
      <c r="F1011" s="86" t="n"/>
      <c r="G1011" s="86" t="n"/>
      <c r="H1011" s="111" t="n"/>
      <c r="I1011" s="87" t="n"/>
      <c r="J1011" s="87" t="n"/>
      <c r="K1011" s="111" t="n"/>
      <c r="L1011" s="86" t="n"/>
      <c r="M1011" s="101" t="n"/>
      <c r="N1011" s="88" t="n"/>
      <c r="O1011" s="20" t="n"/>
      <c r="P1011" s="86" t="n"/>
      <c r="Q1011" s="89" t="n"/>
      <c r="R1011" s="89" t="n"/>
      <c r="S1011" s="89" t="n"/>
      <c r="T1011" s="59">
        <f>Boosters_And!U1011/C1011</f>
        <v/>
      </c>
      <c r="U1011" s="31" t="n"/>
      <c r="V1011" s="102" t="n"/>
    </row>
    <row r="1012" ht="20.25" customHeight="1" s="150">
      <c r="A1012" s="34" t="n">
        <v>1010</v>
      </c>
      <c r="B1012" s="34" t="n"/>
      <c r="C1012" s="34" t="n"/>
      <c r="D1012" s="34" t="n"/>
      <c r="E1012" s="34" t="n"/>
      <c r="F1012" s="86" t="n"/>
      <c r="G1012" s="86" t="n"/>
      <c r="H1012" s="111" t="n"/>
      <c r="I1012" s="87" t="n"/>
      <c r="J1012" s="87" t="n"/>
      <c r="K1012" s="111" t="n"/>
      <c r="L1012" s="86" t="n"/>
      <c r="M1012" s="101" t="n"/>
      <c r="N1012" s="88" t="n"/>
      <c r="O1012" s="20" t="n"/>
      <c r="P1012" s="86" t="n"/>
      <c r="Q1012" s="89" t="n"/>
      <c r="R1012" s="89" t="n"/>
      <c r="S1012" s="89" t="n"/>
      <c r="T1012" s="59">
        <f>Boosters_And!U1012/C1012</f>
        <v/>
      </c>
      <c r="U1012" s="31" t="n"/>
      <c r="V1012" s="102" t="n"/>
    </row>
    <row r="1013" ht="20.25" customHeight="1" s="150">
      <c r="A1013" s="34" t="n">
        <v>1011</v>
      </c>
      <c r="B1013" s="34" t="n"/>
      <c r="C1013" s="34" t="n"/>
      <c r="D1013" s="34" t="n"/>
      <c r="E1013" s="34" t="n"/>
      <c r="F1013" s="86" t="n"/>
      <c r="G1013" s="86" t="n"/>
      <c r="H1013" s="111" t="n"/>
      <c r="I1013" s="87" t="n"/>
      <c r="J1013" s="87" t="n"/>
      <c r="K1013" s="111" t="n"/>
      <c r="L1013" s="86" t="n"/>
      <c r="M1013" s="101" t="n"/>
      <c r="N1013" s="88" t="n"/>
      <c r="O1013" s="20" t="n"/>
      <c r="P1013" s="86" t="n"/>
      <c r="Q1013" s="89" t="n"/>
      <c r="R1013" s="89" t="n"/>
      <c r="S1013" s="89" t="n"/>
      <c r="T1013" s="59">
        <f>Boosters_And!U1013/C1013</f>
        <v/>
      </c>
      <c r="U1013" s="31" t="n"/>
      <c r="V1013" s="102" t="n"/>
    </row>
    <row r="1014" ht="20.25" customHeight="1" s="150">
      <c r="A1014" s="34" t="n">
        <v>1012</v>
      </c>
      <c r="B1014" s="34" t="n"/>
      <c r="C1014" s="34" t="n"/>
      <c r="D1014" s="34" t="n"/>
      <c r="E1014" s="34" t="n"/>
      <c r="F1014" s="86" t="n"/>
      <c r="G1014" s="86" t="n"/>
      <c r="H1014" s="111" t="n"/>
      <c r="I1014" s="87" t="n"/>
      <c r="J1014" s="87" t="n"/>
      <c r="K1014" s="111" t="n"/>
      <c r="L1014" s="86" t="n"/>
      <c r="M1014" s="101" t="n"/>
      <c r="N1014" s="88" t="n"/>
      <c r="O1014" s="20" t="n"/>
      <c r="P1014" s="86" t="n"/>
      <c r="Q1014" s="89" t="n"/>
      <c r="R1014" s="89" t="n"/>
      <c r="S1014" s="89" t="n"/>
      <c r="T1014" s="59">
        <f>Boosters_And!U1014/C1014</f>
        <v/>
      </c>
      <c r="U1014" s="31" t="n"/>
      <c r="V1014" s="102" t="n"/>
    </row>
    <row r="1015" ht="20.25" customHeight="1" s="150">
      <c r="A1015" s="34" t="n">
        <v>1013</v>
      </c>
      <c r="B1015" s="34" t="n"/>
      <c r="C1015" s="34" t="n"/>
      <c r="D1015" s="34" t="n"/>
      <c r="E1015" s="34" t="n"/>
      <c r="F1015" s="86" t="n"/>
      <c r="G1015" s="86" t="n"/>
      <c r="H1015" s="111" t="n"/>
      <c r="I1015" s="87" t="n"/>
      <c r="J1015" s="87" t="n"/>
      <c r="K1015" s="111" t="n"/>
      <c r="L1015" s="86" t="n"/>
      <c r="M1015" s="101" t="n"/>
      <c r="N1015" s="88" t="n"/>
      <c r="O1015" s="20" t="n"/>
      <c r="P1015" s="86" t="n"/>
      <c r="Q1015" s="89" t="n"/>
      <c r="R1015" s="89" t="n"/>
      <c r="S1015" s="89" t="n"/>
      <c r="T1015" s="59">
        <f>Boosters_And!U1015/C1015</f>
        <v/>
      </c>
      <c r="U1015" s="31" t="n"/>
      <c r="V1015" s="102" t="n"/>
    </row>
    <row r="1016" ht="20.25" customHeight="1" s="150">
      <c r="A1016" s="34" t="n">
        <v>1014</v>
      </c>
      <c r="B1016" s="34" t="n"/>
      <c r="C1016" s="34" t="n"/>
      <c r="D1016" s="34" t="n"/>
      <c r="E1016" s="34" t="n"/>
      <c r="F1016" s="86" t="n"/>
      <c r="G1016" s="86" t="n"/>
      <c r="H1016" s="111" t="n"/>
      <c r="I1016" s="87" t="n"/>
      <c r="J1016" s="87" t="n"/>
      <c r="K1016" s="111" t="n"/>
      <c r="L1016" s="86" t="n"/>
      <c r="M1016" s="101" t="n"/>
      <c r="N1016" s="88" t="n"/>
      <c r="O1016" s="20" t="n"/>
      <c r="P1016" s="86" t="n"/>
      <c r="Q1016" s="89" t="n"/>
      <c r="R1016" s="89" t="n"/>
      <c r="S1016" s="89" t="n"/>
      <c r="T1016" s="59">
        <f>Boosters_And!U1016/C1016</f>
        <v/>
      </c>
      <c r="U1016" s="31" t="n"/>
      <c r="V1016" s="102" t="n"/>
    </row>
    <row r="1017" ht="20.25" customHeight="1" s="150">
      <c r="A1017" s="34" t="n">
        <v>1015</v>
      </c>
      <c r="B1017" s="34" t="n"/>
      <c r="C1017" s="34" t="n"/>
      <c r="D1017" s="34" t="n"/>
      <c r="E1017" s="34" t="n"/>
      <c r="F1017" s="86" t="n"/>
      <c r="G1017" s="86" t="n"/>
      <c r="H1017" s="111" t="n"/>
      <c r="I1017" s="87" t="n"/>
      <c r="J1017" s="87" t="n"/>
      <c r="K1017" s="111" t="n"/>
      <c r="L1017" s="86" t="n"/>
      <c r="M1017" s="101" t="n"/>
      <c r="N1017" s="88" t="n"/>
      <c r="O1017" s="20" t="n"/>
      <c r="P1017" s="86" t="n"/>
      <c r="Q1017" s="89" t="n"/>
      <c r="R1017" s="89" t="n"/>
      <c r="S1017" s="89" t="n"/>
      <c r="T1017" s="59">
        <f>Boosters_And!U1017/C1017</f>
        <v/>
      </c>
      <c r="U1017" s="31" t="n"/>
      <c r="V1017" s="102" t="n"/>
    </row>
    <row r="1018" ht="20.25" customHeight="1" s="150">
      <c r="A1018" s="34" t="n">
        <v>1016</v>
      </c>
      <c r="B1018" s="34" t="n"/>
      <c r="C1018" s="34" t="n"/>
      <c r="D1018" s="34" t="n"/>
      <c r="E1018" s="34" t="n"/>
      <c r="F1018" s="86" t="n"/>
      <c r="G1018" s="86" t="n"/>
      <c r="H1018" s="111" t="n"/>
      <c r="I1018" s="87" t="n"/>
      <c r="J1018" s="87" t="n"/>
      <c r="K1018" s="111" t="n"/>
      <c r="L1018" s="86" t="n"/>
      <c r="M1018" s="101" t="n"/>
      <c r="N1018" s="88" t="n"/>
      <c r="O1018" s="20" t="n"/>
      <c r="P1018" s="86" t="n"/>
      <c r="Q1018" s="89" t="n"/>
      <c r="R1018" s="89" t="n"/>
      <c r="S1018" s="89" t="n"/>
      <c r="T1018" s="59">
        <f>Boosters_And!U1018/C1018</f>
        <v/>
      </c>
      <c r="U1018" s="31" t="n"/>
      <c r="V1018" s="102" t="n"/>
    </row>
    <row r="1019" ht="20.25" customHeight="1" s="150">
      <c r="A1019" s="34" t="n">
        <v>1017</v>
      </c>
      <c r="B1019" s="34" t="n"/>
      <c r="C1019" s="34" t="n"/>
      <c r="D1019" s="34" t="n"/>
      <c r="E1019" s="34" t="n"/>
      <c r="F1019" s="86" t="n"/>
      <c r="G1019" s="86" t="n"/>
      <c r="H1019" s="111" t="n"/>
      <c r="I1019" s="87" t="n"/>
      <c r="J1019" s="87" t="n"/>
      <c r="K1019" s="111" t="n"/>
      <c r="L1019" s="86" t="n"/>
      <c r="M1019" s="101" t="n"/>
      <c r="N1019" s="88" t="n"/>
      <c r="O1019" s="20" t="n"/>
      <c r="P1019" s="86" t="n"/>
      <c r="Q1019" s="89" t="n"/>
      <c r="R1019" s="89" t="n"/>
      <c r="S1019" s="89" t="n"/>
      <c r="T1019" s="59">
        <f>Boosters_And!U1019/C1019</f>
        <v/>
      </c>
      <c r="U1019" s="31" t="n"/>
      <c r="V1019" s="102" t="n"/>
    </row>
    <row r="1020" ht="20.25" customHeight="1" s="150">
      <c r="A1020" s="34" t="n">
        <v>1018</v>
      </c>
      <c r="B1020" s="34" t="n"/>
      <c r="C1020" s="34" t="n"/>
      <c r="D1020" s="34" t="n"/>
      <c r="E1020" s="34" t="n"/>
      <c r="F1020" s="86" t="n"/>
      <c r="G1020" s="86" t="n"/>
      <c r="H1020" s="111" t="n"/>
      <c r="I1020" s="87" t="n"/>
      <c r="J1020" s="87" t="n"/>
      <c r="K1020" s="111" t="n"/>
      <c r="L1020" s="86" t="n"/>
      <c r="M1020" s="101" t="n"/>
      <c r="N1020" s="88" t="n"/>
      <c r="O1020" s="20" t="n"/>
      <c r="P1020" s="86" t="n"/>
      <c r="Q1020" s="89" t="n"/>
      <c r="R1020" s="89" t="n"/>
      <c r="S1020" s="89" t="n"/>
      <c r="T1020" s="59">
        <f>Boosters_And!U1020/C1020</f>
        <v/>
      </c>
      <c r="U1020" s="31" t="n"/>
      <c r="V1020" s="102" t="n"/>
    </row>
    <row r="1021" ht="20.25" customHeight="1" s="150">
      <c r="A1021" s="34" t="n">
        <v>1019</v>
      </c>
      <c r="B1021" s="34" t="n"/>
      <c r="C1021" s="34" t="n"/>
      <c r="D1021" s="34" t="n"/>
      <c r="E1021" s="34" t="n"/>
      <c r="F1021" s="86" t="n"/>
      <c r="G1021" s="86" t="n"/>
      <c r="H1021" s="111" t="n"/>
      <c r="I1021" s="87" t="n"/>
      <c r="J1021" s="87" t="n"/>
      <c r="K1021" s="111" t="n"/>
      <c r="L1021" s="86" t="n"/>
      <c r="M1021" s="101" t="n"/>
      <c r="N1021" s="88" t="n"/>
      <c r="O1021" s="20" t="n"/>
      <c r="P1021" s="86" t="n"/>
      <c r="Q1021" s="89" t="n"/>
      <c r="R1021" s="89" t="n"/>
      <c r="S1021" s="89" t="n"/>
      <c r="T1021" s="59">
        <f>Boosters_And!U1021/C1021</f>
        <v/>
      </c>
      <c r="U1021" s="31" t="n"/>
      <c r="V1021" s="102" t="n"/>
    </row>
    <row r="1022" ht="20.25" customHeight="1" s="150">
      <c r="A1022" s="34" t="n">
        <v>1020</v>
      </c>
      <c r="B1022" s="34" t="n"/>
      <c r="C1022" s="34" t="n"/>
      <c r="D1022" s="34" t="n"/>
      <c r="E1022" s="34" t="n"/>
      <c r="F1022" s="86" t="n"/>
      <c r="G1022" s="86" t="n"/>
      <c r="H1022" s="111" t="n"/>
      <c r="I1022" s="87" t="n"/>
      <c r="J1022" s="87" t="n"/>
      <c r="K1022" s="111" t="n"/>
      <c r="L1022" s="86" t="n"/>
      <c r="M1022" s="101" t="n"/>
      <c r="N1022" s="88" t="n"/>
      <c r="O1022" s="20" t="n"/>
      <c r="P1022" s="86" t="n"/>
      <c r="Q1022" s="89" t="n"/>
      <c r="R1022" s="89" t="n"/>
      <c r="S1022" s="89" t="n"/>
      <c r="T1022" s="59">
        <f>Boosters_And!U1022/C1022</f>
        <v/>
      </c>
      <c r="U1022" s="31" t="n"/>
      <c r="V1022" s="102" t="n"/>
    </row>
    <row r="1023" ht="20.25" customHeight="1" s="150">
      <c r="A1023" s="34" t="n">
        <v>1021</v>
      </c>
      <c r="B1023" s="34" t="n"/>
      <c r="C1023" s="34" t="n"/>
      <c r="D1023" s="34" t="n"/>
      <c r="E1023" s="34" t="n"/>
      <c r="F1023" s="86" t="n"/>
      <c r="G1023" s="86" t="n"/>
      <c r="H1023" s="111" t="n"/>
      <c r="I1023" s="87" t="n"/>
      <c r="J1023" s="87" t="n"/>
      <c r="K1023" s="111" t="n"/>
      <c r="L1023" s="86" t="n"/>
      <c r="M1023" s="101" t="n"/>
      <c r="N1023" s="88" t="n"/>
      <c r="O1023" s="20" t="n"/>
      <c r="P1023" s="86" t="n"/>
      <c r="Q1023" s="89" t="n"/>
      <c r="R1023" s="89" t="n"/>
      <c r="S1023" s="89" t="n"/>
      <c r="T1023" s="59">
        <f>Boosters_And!U1023/C1023</f>
        <v/>
      </c>
      <c r="U1023" s="31" t="n"/>
      <c r="V1023" s="102" t="n"/>
    </row>
    <row r="1024" ht="20.25" customHeight="1" s="150">
      <c r="A1024" s="34" t="n">
        <v>1022</v>
      </c>
      <c r="B1024" s="34" t="n"/>
      <c r="C1024" s="34" t="n"/>
      <c r="D1024" s="34" t="n"/>
      <c r="E1024" s="34" t="n"/>
      <c r="F1024" s="86" t="n"/>
      <c r="G1024" s="86" t="n"/>
      <c r="H1024" s="111" t="n"/>
      <c r="I1024" s="87" t="n"/>
      <c r="J1024" s="87" t="n"/>
      <c r="K1024" s="111" t="n"/>
      <c r="L1024" s="86" t="n"/>
      <c r="M1024" s="101" t="n"/>
      <c r="N1024" s="88" t="n"/>
      <c r="O1024" s="20" t="n"/>
      <c r="P1024" s="86" t="n"/>
      <c r="Q1024" s="89" t="n"/>
      <c r="R1024" s="89" t="n"/>
      <c r="S1024" s="89" t="n"/>
      <c r="T1024" s="59">
        <f>Boosters_And!U1024/C1024</f>
        <v/>
      </c>
      <c r="U1024" s="31" t="n"/>
      <c r="V1024" s="102" t="n"/>
    </row>
    <row r="1025" ht="20.25" customHeight="1" s="150">
      <c r="A1025" s="34" t="n">
        <v>1023</v>
      </c>
      <c r="B1025" s="34" t="n"/>
      <c r="C1025" s="34" t="n"/>
      <c r="D1025" s="34" t="n"/>
      <c r="E1025" s="34" t="n"/>
      <c r="F1025" s="86" t="n"/>
      <c r="G1025" s="86" t="n"/>
      <c r="H1025" s="111" t="n"/>
      <c r="I1025" s="87" t="n"/>
      <c r="J1025" s="87" t="n"/>
      <c r="K1025" s="111" t="n"/>
      <c r="L1025" s="86" t="n"/>
      <c r="M1025" s="101" t="n"/>
      <c r="N1025" s="88" t="n"/>
      <c r="O1025" s="20" t="n"/>
      <c r="P1025" s="86" t="n"/>
      <c r="Q1025" s="89" t="n"/>
      <c r="R1025" s="89" t="n"/>
      <c r="S1025" s="89" t="n"/>
      <c r="T1025" s="59">
        <f>Boosters_And!U1025/C1025</f>
        <v/>
      </c>
      <c r="U1025" s="31" t="n"/>
      <c r="V1025" s="102" t="n"/>
    </row>
    <row r="1026" ht="20.25" customHeight="1" s="150">
      <c r="A1026" s="34" t="n">
        <v>1024</v>
      </c>
      <c r="B1026" s="34" t="n"/>
      <c r="C1026" s="34" t="n"/>
      <c r="D1026" s="34" t="n"/>
      <c r="E1026" s="34" t="n"/>
      <c r="F1026" s="86" t="n"/>
      <c r="G1026" s="86" t="n"/>
      <c r="H1026" s="111" t="n"/>
      <c r="I1026" s="87" t="n"/>
      <c r="J1026" s="87" t="n"/>
      <c r="K1026" s="111" t="n"/>
      <c r="L1026" s="86" t="n"/>
      <c r="M1026" s="101" t="n"/>
      <c r="N1026" s="88" t="n"/>
      <c r="O1026" s="20" t="n"/>
      <c r="P1026" s="86" t="n"/>
      <c r="Q1026" s="89" t="n"/>
      <c r="R1026" s="89" t="n"/>
      <c r="S1026" s="89" t="n"/>
      <c r="T1026" s="59">
        <f>Boosters_And!U1026/C1026</f>
        <v/>
      </c>
      <c r="U1026" s="31" t="n"/>
      <c r="V1026" s="102" t="n"/>
    </row>
    <row r="1027" ht="20.25" customHeight="1" s="150">
      <c r="A1027" s="34" t="n">
        <v>1025</v>
      </c>
      <c r="B1027" s="34" t="n"/>
      <c r="C1027" s="34" t="n"/>
      <c r="D1027" s="34" t="n"/>
      <c r="E1027" s="34" t="n"/>
      <c r="F1027" s="86" t="n"/>
      <c r="G1027" s="86" t="n"/>
      <c r="H1027" s="111" t="n"/>
      <c r="I1027" s="87" t="n"/>
      <c r="J1027" s="87" t="n"/>
      <c r="K1027" s="111" t="n"/>
      <c r="L1027" s="86" t="n"/>
      <c r="M1027" s="101" t="n"/>
      <c r="N1027" s="88" t="n"/>
      <c r="O1027" s="20" t="n"/>
      <c r="P1027" s="86" t="n"/>
      <c r="Q1027" s="89" t="n"/>
      <c r="R1027" s="89" t="n"/>
      <c r="S1027" s="89" t="n"/>
      <c r="T1027" s="59">
        <f>Boosters_And!U1027/C1027</f>
        <v/>
      </c>
      <c r="U1027" s="31" t="n"/>
      <c r="V1027" s="102" t="n"/>
    </row>
    <row r="1028" ht="20.25" customHeight="1" s="150">
      <c r="A1028" s="34" t="n">
        <v>1026</v>
      </c>
      <c r="B1028" s="34" t="n"/>
      <c r="C1028" s="34" t="n"/>
      <c r="D1028" s="34" t="n"/>
      <c r="E1028" s="34" t="n"/>
      <c r="F1028" s="86" t="n"/>
      <c r="G1028" s="86" t="n"/>
      <c r="H1028" s="111" t="n"/>
      <c r="I1028" s="87" t="n"/>
      <c r="J1028" s="87" t="n"/>
      <c r="K1028" s="111" t="n"/>
      <c r="L1028" s="86" t="n"/>
      <c r="M1028" s="101" t="n"/>
      <c r="N1028" s="88" t="n"/>
      <c r="O1028" s="20" t="n"/>
      <c r="P1028" s="86" t="n"/>
      <c r="Q1028" s="89" t="n"/>
      <c r="R1028" s="89" t="n"/>
      <c r="S1028" s="89" t="n"/>
      <c r="T1028" s="59">
        <f>Boosters_And!U1028/C1028</f>
        <v/>
      </c>
      <c r="U1028" s="31" t="n"/>
      <c r="V1028" s="102" t="n"/>
    </row>
    <row r="1029" ht="20.25" customHeight="1" s="150">
      <c r="A1029" s="34" t="n">
        <v>1027</v>
      </c>
      <c r="B1029" s="34" t="n"/>
      <c r="C1029" s="34" t="n"/>
      <c r="D1029" s="34" t="n"/>
      <c r="E1029" s="34" t="n"/>
      <c r="F1029" s="86" t="n"/>
      <c r="G1029" s="86" t="n"/>
      <c r="H1029" s="111" t="n"/>
      <c r="I1029" s="87" t="n"/>
      <c r="J1029" s="87" t="n"/>
      <c r="K1029" s="111" t="n"/>
      <c r="L1029" s="86" t="n"/>
      <c r="M1029" s="101" t="n"/>
      <c r="N1029" s="88" t="n"/>
      <c r="O1029" s="20" t="n"/>
      <c r="P1029" s="86" t="n"/>
      <c r="Q1029" s="89" t="n"/>
      <c r="R1029" s="89" t="n"/>
      <c r="S1029" s="89" t="n"/>
      <c r="T1029" s="59">
        <f>Boosters_And!U1029/C1029</f>
        <v/>
      </c>
      <c r="U1029" s="31" t="n"/>
      <c r="V1029" s="102" t="n"/>
    </row>
    <row r="1030" ht="20.25" customHeight="1" s="150">
      <c r="A1030" s="34" t="n">
        <v>1028</v>
      </c>
      <c r="B1030" s="34" t="n"/>
      <c r="C1030" s="34" t="n"/>
      <c r="D1030" s="34" t="n"/>
      <c r="E1030" s="34" t="n"/>
      <c r="F1030" s="86" t="n"/>
      <c r="G1030" s="86" t="n"/>
      <c r="H1030" s="111" t="n"/>
      <c r="I1030" s="87" t="n"/>
      <c r="J1030" s="87" t="n"/>
      <c r="K1030" s="111" t="n"/>
      <c r="L1030" s="86" t="n"/>
      <c r="M1030" s="101" t="n"/>
      <c r="N1030" s="88" t="n"/>
      <c r="O1030" s="20" t="n"/>
      <c r="P1030" s="86" t="n"/>
      <c r="Q1030" s="89" t="n"/>
      <c r="R1030" s="89" t="n"/>
      <c r="S1030" s="89" t="n"/>
      <c r="T1030" s="59">
        <f>Boosters_And!U1030/C1030</f>
        <v/>
      </c>
      <c r="U1030" s="31" t="n"/>
      <c r="V1030" s="102" t="n"/>
    </row>
    <row r="1031" ht="20.25" customHeight="1" s="150">
      <c r="A1031" s="34" t="n">
        <v>1029</v>
      </c>
      <c r="B1031" s="34" t="n"/>
      <c r="C1031" s="34" t="n"/>
      <c r="D1031" s="34" t="n"/>
      <c r="E1031" s="34" t="n"/>
      <c r="F1031" s="86" t="n"/>
      <c r="G1031" s="86" t="n"/>
      <c r="H1031" s="111" t="n"/>
      <c r="I1031" s="87" t="n"/>
      <c r="J1031" s="87" t="n"/>
      <c r="K1031" s="111" t="n"/>
      <c r="L1031" s="86" t="n"/>
      <c r="M1031" s="101" t="n"/>
      <c r="N1031" s="88" t="n"/>
      <c r="O1031" s="20" t="n"/>
      <c r="P1031" s="86" t="n"/>
      <c r="Q1031" s="89" t="n"/>
      <c r="R1031" s="89" t="n"/>
      <c r="S1031" s="89" t="n"/>
      <c r="T1031" s="59">
        <f>Boosters_And!U1031/C1031</f>
        <v/>
      </c>
      <c r="U1031" s="31" t="n"/>
      <c r="V1031" s="102" t="n"/>
    </row>
    <row r="1032" ht="20.25" customHeight="1" s="150">
      <c r="A1032" s="34" t="n">
        <v>1030</v>
      </c>
      <c r="B1032" s="34" t="n"/>
      <c r="C1032" s="34" t="n"/>
      <c r="D1032" s="34" t="n"/>
      <c r="E1032" s="34" t="n"/>
      <c r="F1032" s="86" t="n"/>
      <c r="G1032" s="86" t="n"/>
      <c r="H1032" s="111" t="n"/>
      <c r="I1032" s="87" t="n"/>
      <c r="J1032" s="87" t="n"/>
      <c r="K1032" s="111" t="n"/>
      <c r="L1032" s="86" t="n"/>
      <c r="M1032" s="101" t="n"/>
      <c r="N1032" s="88" t="n"/>
      <c r="O1032" s="20" t="n"/>
      <c r="P1032" s="86" t="n"/>
      <c r="Q1032" s="89" t="n"/>
      <c r="R1032" s="89" t="n"/>
      <c r="S1032" s="89" t="n"/>
      <c r="T1032" s="59">
        <f>Boosters_And!U1032/C1032</f>
        <v/>
      </c>
      <c r="U1032" s="31" t="n"/>
      <c r="V1032" s="102" t="n"/>
    </row>
    <row r="1033" ht="20.25" customHeight="1" s="150">
      <c r="A1033" s="34" t="n">
        <v>1031</v>
      </c>
      <c r="B1033" s="34" t="n"/>
      <c r="C1033" s="34" t="n"/>
      <c r="D1033" s="34" t="n"/>
      <c r="E1033" s="34" t="n"/>
      <c r="F1033" s="86" t="n"/>
      <c r="G1033" s="86" t="n"/>
      <c r="H1033" s="111" t="n"/>
      <c r="I1033" s="87" t="n"/>
      <c r="J1033" s="87" t="n"/>
      <c r="K1033" s="111" t="n"/>
      <c r="L1033" s="86" t="n"/>
      <c r="M1033" s="101" t="n"/>
      <c r="N1033" s="88" t="n"/>
      <c r="O1033" s="20" t="n"/>
      <c r="P1033" s="86" t="n"/>
      <c r="Q1033" s="89" t="n"/>
      <c r="R1033" s="89" t="n"/>
      <c r="S1033" s="89" t="n"/>
      <c r="T1033" s="59">
        <f>Boosters_And!U1033/C1033</f>
        <v/>
      </c>
      <c r="U1033" s="31" t="n"/>
      <c r="V1033" s="102" t="n"/>
    </row>
    <row r="1034" ht="20.25" customHeight="1" s="150">
      <c r="A1034" s="34" t="n">
        <v>1032</v>
      </c>
      <c r="B1034" s="34" t="n"/>
      <c r="C1034" s="34" t="n"/>
      <c r="D1034" s="34" t="n"/>
      <c r="E1034" s="34" t="n"/>
      <c r="F1034" s="86" t="n"/>
      <c r="G1034" s="86" t="n"/>
      <c r="H1034" s="111" t="n"/>
      <c r="I1034" s="87" t="n"/>
      <c r="J1034" s="87" t="n"/>
      <c r="K1034" s="111" t="n"/>
      <c r="L1034" s="86" t="n"/>
      <c r="M1034" s="101" t="n"/>
      <c r="N1034" s="88" t="n"/>
      <c r="O1034" s="20" t="n"/>
      <c r="P1034" s="86" t="n"/>
      <c r="Q1034" s="89" t="n"/>
      <c r="R1034" s="89" t="n"/>
      <c r="S1034" s="89" t="n"/>
      <c r="T1034" s="59">
        <f>Boosters_And!U1034/C1034</f>
        <v/>
      </c>
      <c r="U1034" s="31" t="n"/>
      <c r="V1034" s="102" t="n"/>
    </row>
    <row r="1035" ht="20.25" customHeight="1" s="150">
      <c r="A1035" s="34" t="n">
        <v>1033</v>
      </c>
      <c r="B1035" s="34" t="n"/>
      <c r="C1035" s="34" t="n"/>
      <c r="D1035" s="34" t="n"/>
      <c r="E1035" s="34" t="n"/>
      <c r="F1035" s="86" t="n"/>
      <c r="G1035" s="86" t="n"/>
      <c r="H1035" s="111" t="n"/>
      <c r="I1035" s="87" t="n"/>
      <c r="J1035" s="87" t="n"/>
      <c r="K1035" s="111" t="n"/>
      <c r="L1035" s="86" t="n"/>
      <c r="M1035" s="101" t="n"/>
      <c r="N1035" s="88" t="n"/>
      <c r="O1035" s="20" t="n"/>
      <c r="P1035" s="86" t="n"/>
      <c r="Q1035" s="89" t="n"/>
      <c r="R1035" s="89" t="n"/>
      <c r="S1035" s="89" t="n"/>
      <c r="T1035" s="59">
        <f>Boosters_And!U1035/C1035</f>
        <v/>
      </c>
      <c r="U1035" s="31" t="n"/>
      <c r="V1035" s="102" t="n"/>
    </row>
    <row r="1036" ht="20.25" customHeight="1" s="150">
      <c r="A1036" s="34" t="n">
        <v>1034</v>
      </c>
      <c r="B1036" s="34" t="n"/>
      <c r="C1036" s="34" t="n"/>
      <c r="D1036" s="34" t="n"/>
      <c r="E1036" s="34" t="n"/>
      <c r="F1036" s="86" t="n"/>
      <c r="G1036" s="86" t="n"/>
      <c r="H1036" s="111" t="n"/>
      <c r="I1036" s="87" t="n"/>
      <c r="J1036" s="87" t="n"/>
      <c r="K1036" s="111" t="n"/>
      <c r="L1036" s="86" t="n"/>
      <c r="M1036" s="101" t="n"/>
      <c r="N1036" s="88" t="n"/>
      <c r="O1036" s="20" t="n"/>
      <c r="P1036" s="86" t="n"/>
      <c r="Q1036" s="89" t="n"/>
      <c r="R1036" s="89" t="n"/>
      <c r="S1036" s="89" t="n"/>
      <c r="T1036" s="59">
        <f>Boosters_And!U1036/C1036</f>
        <v/>
      </c>
      <c r="U1036" s="31" t="n"/>
      <c r="V1036" s="102" t="n"/>
    </row>
    <row r="1037" ht="20.25" customHeight="1" s="150">
      <c r="A1037" s="34" t="n">
        <v>1035</v>
      </c>
      <c r="B1037" s="34" t="n"/>
      <c r="C1037" s="34" t="n"/>
      <c r="D1037" s="34" t="n"/>
      <c r="E1037" s="34" t="n"/>
      <c r="F1037" s="86" t="n"/>
      <c r="G1037" s="86" t="n"/>
      <c r="H1037" s="111" t="n"/>
      <c r="I1037" s="87" t="n"/>
      <c r="J1037" s="87" t="n"/>
      <c r="K1037" s="111" t="n"/>
      <c r="L1037" s="86" t="n"/>
      <c r="M1037" s="101" t="n"/>
      <c r="N1037" s="88" t="n"/>
      <c r="O1037" s="20" t="n"/>
      <c r="P1037" s="86" t="n"/>
      <c r="Q1037" s="89" t="n"/>
      <c r="R1037" s="89" t="n"/>
      <c r="S1037" s="89" t="n"/>
      <c r="T1037" s="59">
        <f>Boosters_And!U1037/C1037</f>
        <v/>
      </c>
      <c r="U1037" s="31" t="n"/>
      <c r="V1037" s="102" t="n"/>
    </row>
    <row r="1038" ht="20.25" customHeight="1" s="150">
      <c r="A1038" s="34" t="n">
        <v>1036</v>
      </c>
      <c r="B1038" s="34" t="n"/>
      <c r="C1038" s="34" t="n"/>
      <c r="D1038" s="34" t="n"/>
      <c r="E1038" s="34" t="n"/>
      <c r="F1038" s="86" t="n"/>
      <c r="G1038" s="86" t="n"/>
      <c r="H1038" s="111" t="n"/>
      <c r="I1038" s="87" t="n"/>
      <c r="J1038" s="87" t="n"/>
      <c r="K1038" s="111" t="n"/>
      <c r="L1038" s="86" t="n"/>
      <c r="M1038" s="101" t="n"/>
      <c r="N1038" s="88" t="n"/>
      <c r="O1038" s="20" t="n"/>
      <c r="P1038" s="86" t="n"/>
      <c r="Q1038" s="89" t="n"/>
      <c r="R1038" s="89" t="n"/>
      <c r="S1038" s="89" t="n"/>
      <c r="T1038" s="59">
        <f>Boosters_And!U1038/C1038</f>
        <v/>
      </c>
      <c r="U1038" s="31" t="n"/>
      <c r="V1038" s="102" t="n"/>
    </row>
    <row r="1039" ht="20.25" customHeight="1" s="150">
      <c r="A1039" s="34" t="n">
        <v>1037</v>
      </c>
      <c r="B1039" s="34" t="n"/>
      <c r="C1039" s="34" t="n"/>
      <c r="D1039" s="34" t="n"/>
      <c r="E1039" s="34" t="n"/>
      <c r="F1039" s="86" t="n"/>
      <c r="G1039" s="86" t="n"/>
      <c r="H1039" s="111" t="n"/>
      <c r="I1039" s="87" t="n"/>
      <c r="J1039" s="87" t="n"/>
      <c r="K1039" s="111" t="n"/>
      <c r="L1039" s="86" t="n"/>
      <c r="M1039" s="101" t="n"/>
      <c r="N1039" s="88" t="n"/>
      <c r="O1039" s="20" t="n"/>
      <c r="P1039" s="86" t="n"/>
      <c r="Q1039" s="89" t="n"/>
      <c r="R1039" s="89" t="n"/>
      <c r="S1039" s="89" t="n"/>
      <c r="T1039" s="59">
        <f>Boosters_And!U1039/C1039</f>
        <v/>
      </c>
      <c r="U1039" s="31" t="n"/>
      <c r="V1039" s="102" t="n"/>
    </row>
    <row r="1040" ht="20.25" customHeight="1" s="150">
      <c r="A1040" s="34" t="n">
        <v>1038</v>
      </c>
      <c r="B1040" s="34" t="n"/>
      <c r="C1040" s="34" t="n"/>
      <c r="D1040" s="34" t="n"/>
      <c r="E1040" s="34" t="n"/>
      <c r="F1040" s="86" t="n"/>
      <c r="G1040" s="86" t="n"/>
      <c r="H1040" s="111" t="n"/>
      <c r="I1040" s="87" t="n"/>
      <c r="J1040" s="87" t="n"/>
      <c r="K1040" s="111" t="n"/>
      <c r="L1040" s="86" t="n"/>
      <c r="M1040" s="101" t="n"/>
      <c r="N1040" s="88" t="n"/>
      <c r="O1040" s="20" t="n"/>
      <c r="P1040" s="86" t="n"/>
      <c r="Q1040" s="89" t="n"/>
      <c r="R1040" s="89" t="n"/>
      <c r="S1040" s="89" t="n"/>
      <c r="T1040" s="59">
        <f>Boosters_And!U1040/C1040</f>
        <v/>
      </c>
      <c r="U1040" s="31" t="n"/>
      <c r="V1040" s="102" t="n"/>
    </row>
    <row r="1041" ht="20.25" customHeight="1" s="150">
      <c r="A1041" s="34" t="n">
        <v>1039</v>
      </c>
      <c r="B1041" s="34" t="n"/>
      <c r="C1041" s="34" t="n"/>
      <c r="D1041" s="34" t="n"/>
      <c r="E1041" s="34" t="n"/>
      <c r="F1041" s="86" t="n"/>
      <c r="G1041" s="86" t="n"/>
      <c r="H1041" s="111" t="n"/>
      <c r="I1041" s="87" t="n"/>
      <c r="J1041" s="87" t="n"/>
      <c r="K1041" s="111" t="n"/>
      <c r="L1041" s="86" t="n"/>
      <c r="M1041" s="101" t="n"/>
      <c r="N1041" s="88" t="n"/>
      <c r="O1041" s="20" t="n"/>
      <c r="P1041" s="86" t="n"/>
      <c r="Q1041" s="89" t="n"/>
      <c r="R1041" s="89" t="n"/>
      <c r="S1041" s="89" t="n"/>
      <c r="T1041" s="59">
        <f>Boosters_And!U1041/C1041</f>
        <v/>
      </c>
      <c r="U1041" s="31" t="n"/>
      <c r="V1041" s="102" t="n"/>
    </row>
    <row r="1042" ht="20.25" customHeight="1" s="150">
      <c r="A1042" s="34" t="n">
        <v>1040</v>
      </c>
      <c r="B1042" s="34" t="n"/>
      <c r="C1042" s="34" t="n"/>
      <c r="D1042" s="34" t="n"/>
      <c r="E1042" s="34" t="n"/>
      <c r="F1042" s="86" t="n"/>
      <c r="G1042" s="86" t="n"/>
      <c r="H1042" s="111" t="n"/>
      <c r="I1042" s="87" t="n"/>
      <c r="J1042" s="87" t="n"/>
      <c r="K1042" s="111" t="n"/>
      <c r="L1042" s="86" t="n"/>
      <c r="M1042" s="101" t="n"/>
      <c r="N1042" s="88" t="n"/>
      <c r="O1042" s="20" t="n"/>
      <c r="P1042" s="86" t="n"/>
      <c r="Q1042" s="89" t="n"/>
      <c r="R1042" s="89" t="n"/>
      <c r="S1042" s="89" t="n"/>
      <c r="T1042" s="59">
        <f>Boosters_And!U1042/C1042</f>
        <v/>
      </c>
      <c r="U1042" s="31" t="n"/>
      <c r="V1042" s="102" t="n"/>
    </row>
    <row r="1043" ht="20.25" customHeight="1" s="150">
      <c r="A1043" s="34" t="n">
        <v>1041</v>
      </c>
      <c r="B1043" s="34" t="n"/>
      <c r="C1043" s="34" t="n"/>
      <c r="D1043" s="34" t="n"/>
      <c r="E1043" s="34" t="n"/>
      <c r="F1043" s="86" t="n"/>
      <c r="G1043" s="86" t="n"/>
      <c r="H1043" s="111" t="n"/>
      <c r="I1043" s="87" t="n"/>
      <c r="J1043" s="87" t="n"/>
      <c r="K1043" s="111" t="n"/>
      <c r="L1043" s="86" t="n"/>
      <c r="M1043" s="101" t="n"/>
      <c r="N1043" s="88" t="n"/>
      <c r="O1043" s="20" t="n"/>
      <c r="P1043" s="86" t="n"/>
      <c r="Q1043" s="89" t="n"/>
      <c r="R1043" s="89" t="n"/>
      <c r="S1043" s="89" t="n"/>
      <c r="T1043" s="59">
        <f>Boosters_And!U1043/C1043</f>
        <v/>
      </c>
      <c r="U1043" s="31" t="n"/>
      <c r="V1043" s="102" t="n"/>
    </row>
    <row r="1044" ht="20.25" customHeight="1" s="150">
      <c r="A1044" s="34" t="n">
        <v>1042</v>
      </c>
      <c r="B1044" s="34" t="n"/>
      <c r="C1044" s="34" t="n"/>
      <c r="D1044" s="34" t="n"/>
      <c r="E1044" s="34" t="n"/>
      <c r="F1044" s="86" t="n"/>
      <c r="G1044" s="86" t="n"/>
      <c r="H1044" s="111" t="n"/>
      <c r="I1044" s="87" t="n"/>
      <c r="J1044" s="87" t="n"/>
      <c r="K1044" s="111" t="n"/>
      <c r="L1044" s="86" t="n"/>
      <c r="M1044" s="101" t="n"/>
      <c r="N1044" s="88" t="n"/>
      <c r="O1044" s="20" t="n"/>
      <c r="P1044" s="86" t="n"/>
      <c r="Q1044" s="89" t="n"/>
      <c r="R1044" s="89" t="n"/>
      <c r="S1044" s="89" t="n"/>
      <c r="T1044" s="59">
        <f>Boosters_And!U1044/C1044</f>
        <v/>
      </c>
      <c r="U1044" s="31" t="n"/>
      <c r="V1044" s="102" t="n"/>
    </row>
    <row r="1045" ht="20.25" customHeight="1" s="150">
      <c r="A1045" s="34" t="n">
        <v>1043</v>
      </c>
      <c r="B1045" s="34" t="n"/>
      <c r="C1045" s="34" t="n"/>
      <c r="D1045" s="34" t="n"/>
      <c r="E1045" s="34" t="n"/>
      <c r="F1045" s="86" t="n"/>
      <c r="G1045" s="86" t="n"/>
      <c r="H1045" s="111" t="n"/>
      <c r="I1045" s="87" t="n"/>
      <c r="J1045" s="87" t="n"/>
      <c r="K1045" s="111" t="n"/>
      <c r="L1045" s="86" t="n"/>
      <c r="M1045" s="101" t="n"/>
      <c r="N1045" s="88" t="n"/>
      <c r="O1045" s="20" t="n"/>
      <c r="P1045" s="86" t="n"/>
      <c r="Q1045" s="89" t="n"/>
      <c r="R1045" s="89" t="n"/>
      <c r="S1045" s="89" t="n"/>
      <c r="T1045" s="59">
        <f>Boosters_And!U1045/C1045</f>
        <v/>
      </c>
      <c r="U1045" s="31" t="n"/>
      <c r="V1045" s="102" t="n"/>
    </row>
    <row r="1046" ht="20.25" customHeight="1" s="150">
      <c r="A1046" s="34" t="n">
        <v>1044</v>
      </c>
      <c r="B1046" s="34" t="n"/>
      <c r="C1046" s="34" t="n"/>
      <c r="D1046" s="34" t="n"/>
      <c r="E1046" s="34" t="n"/>
      <c r="F1046" s="86" t="n"/>
      <c r="G1046" s="86" t="n"/>
      <c r="H1046" s="111" t="n"/>
      <c r="I1046" s="87" t="n"/>
      <c r="J1046" s="87" t="n"/>
      <c r="K1046" s="111" t="n"/>
      <c r="L1046" s="86" t="n"/>
      <c r="M1046" s="101" t="n"/>
      <c r="N1046" s="88" t="n"/>
      <c r="O1046" s="20" t="n"/>
      <c r="P1046" s="86" t="n"/>
      <c r="Q1046" s="89" t="n"/>
      <c r="R1046" s="89" t="n"/>
      <c r="S1046" s="89" t="n"/>
      <c r="T1046" s="59">
        <f>Boosters_And!U1046/C1046</f>
        <v/>
      </c>
      <c r="U1046" s="31" t="n"/>
      <c r="V1046" s="102" t="n"/>
    </row>
    <row r="1047" ht="20.25" customHeight="1" s="150">
      <c r="A1047" s="34" t="n">
        <v>1045</v>
      </c>
      <c r="B1047" s="34" t="n"/>
      <c r="C1047" s="34" t="n"/>
      <c r="D1047" s="34" t="n"/>
      <c r="E1047" s="34" t="n"/>
      <c r="F1047" s="86" t="n"/>
      <c r="G1047" s="86" t="n"/>
      <c r="H1047" s="111" t="n"/>
      <c r="I1047" s="87" t="n"/>
      <c r="J1047" s="87" t="n"/>
      <c r="K1047" s="111" t="n"/>
      <c r="L1047" s="86" t="n"/>
      <c r="M1047" s="101" t="n"/>
      <c r="N1047" s="88" t="n"/>
      <c r="O1047" s="20" t="n"/>
      <c r="P1047" s="86" t="n"/>
      <c r="Q1047" s="89" t="n"/>
      <c r="R1047" s="89" t="n"/>
      <c r="S1047" s="89" t="n"/>
      <c r="T1047" s="59">
        <f>Boosters_And!U1047/C1047</f>
        <v/>
      </c>
      <c r="U1047" s="31" t="n"/>
      <c r="V1047" s="102" t="n"/>
    </row>
    <row r="1048" ht="20.25" customHeight="1" s="150">
      <c r="A1048" s="34" t="n">
        <v>1046</v>
      </c>
      <c r="B1048" s="34" t="n"/>
      <c r="C1048" s="34" t="n"/>
      <c r="D1048" s="34" t="n"/>
      <c r="E1048" s="34" t="n"/>
      <c r="F1048" s="86" t="n"/>
      <c r="G1048" s="86" t="n"/>
      <c r="H1048" s="111" t="n"/>
      <c r="I1048" s="87" t="n"/>
      <c r="J1048" s="87" t="n"/>
      <c r="K1048" s="111" t="n"/>
      <c r="L1048" s="86" t="n"/>
      <c r="M1048" s="101" t="n"/>
      <c r="N1048" s="88" t="n"/>
      <c r="O1048" s="20" t="n"/>
      <c r="P1048" s="86" t="n"/>
      <c r="Q1048" s="89" t="n"/>
      <c r="R1048" s="89" t="n"/>
      <c r="S1048" s="89" t="n"/>
      <c r="T1048" s="59">
        <f>Boosters_And!U1048/C1048</f>
        <v/>
      </c>
      <c r="U1048" s="31" t="n"/>
      <c r="V1048" s="102" t="n"/>
    </row>
    <row r="1049" ht="20.25" customHeight="1" s="150">
      <c r="A1049" s="34" t="n">
        <v>1047</v>
      </c>
      <c r="B1049" s="34" t="n"/>
      <c r="C1049" s="34" t="n"/>
      <c r="D1049" s="34" t="n"/>
      <c r="E1049" s="34" t="n"/>
      <c r="F1049" s="86" t="n"/>
      <c r="G1049" s="86" t="n"/>
      <c r="H1049" s="111" t="n"/>
      <c r="I1049" s="87" t="n"/>
      <c r="J1049" s="87" t="n"/>
      <c r="K1049" s="111" t="n"/>
      <c r="L1049" s="86" t="n"/>
      <c r="M1049" s="101" t="n"/>
      <c r="N1049" s="88" t="n"/>
      <c r="O1049" s="20" t="n"/>
      <c r="P1049" s="86" t="n"/>
      <c r="Q1049" s="89" t="n"/>
      <c r="R1049" s="89" t="n"/>
      <c r="S1049" s="89" t="n"/>
      <c r="T1049" s="59">
        <f>Boosters_And!U1049/C1049</f>
        <v/>
      </c>
      <c r="U1049" s="31" t="n"/>
      <c r="V1049" s="102" t="n"/>
    </row>
    <row r="1050" ht="20.25" customHeight="1" s="150">
      <c r="A1050" s="34" t="n">
        <v>1048</v>
      </c>
      <c r="B1050" s="34" t="n"/>
      <c r="C1050" s="34" t="n"/>
      <c r="D1050" s="34" t="n"/>
      <c r="E1050" s="34" t="n"/>
      <c r="F1050" s="86" t="n"/>
      <c r="G1050" s="86" t="n"/>
      <c r="H1050" s="111" t="n"/>
      <c r="I1050" s="87" t="n"/>
      <c r="J1050" s="87" t="n"/>
      <c r="K1050" s="111" t="n"/>
      <c r="L1050" s="86" t="n"/>
      <c r="M1050" s="101" t="n"/>
      <c r="N1050" s="88" t="n"/>
      <c r="O1050" s="20" t="n"/>
      <c r="P1050" s="86" t="n"/>
      <c r="Q1050" s="89" t="n"/>
      <c r="R1050" s="89" t="n"/>
      <c r="S1050" s="89" t="n"/>
      <c r="T1050" s="59">
        <f>Boosters_And!U1050/C1050</f>
        <v/>
      </c>
      <c r="U1050" s="31" t="n"/>
      <c r="V1050" s="102" t="n"/>
    </row>
    <row r="1051" ht="20.25" customHeight="1" s="150">
      <c r="A1051" s="34" t="n">
        <v>1049</v>
      </c>
      <c r="B1051" s="34" t="n"/>
      <c r="C1051" s="34" t="n"/>
      <c r="D1051" s="34" t="n"/>
      <c r="E1051" s="34" t="n"/>
      <c r="F1051" s="86" t="n"/>
      <c r="G1051" s="86" t="n"/>
      <c r="H1051" s="111" t="n"/>
      <c r="I1051" s="87" t="n"/>
      <c r="J1051" s="87" t="n"/>
      <c r="K1051" s="111" t="n"/>
      <c r="L1051" s="86" t="n"/>
      <c r="M1051" s="101" t="n"/>
      <c r="N1051" s="88" t="n"/>
      <c r="O1051" s="20" t="n"/>
      <c r="P1051" s="86" t="n"/>
      <c r="Q1051" s="89" t="n"/>
      <c r="R1051" s="89" t="n"/>
      <c r="S1051" s="89" t="n"/>
      <c r="T1051" s="59">
        <f>Boosters_And!U1051/C1051</f>
        <v/>
      </c>
      <c r="U1051" s="31" t="n"/>
      <c r="V1051" s="102" t="n"/>
    </row>
    <row r="1052" ht="20.25" customHeight="1" s="150">
      <c r="A1052" s="34" t="n">
        <v>1050</v>
      </c>
      <c r="B1052" s="34" t="n"/>
      <c r="C1052" s="34" t="n"/>
      <c r="D1052" s="34" t="n"/>
      <c r="E1052" s="34" t="n"/>
      <c r="F1052" s="86" t="n"/>
      <c r="G1052" s="86" t="n"/>
      <c r="H1052" s="111" t="n"/>
      <c r="I1052" s="87" t="n"/>
      <c r="J1052" s="87" t="n"/>
      <c r="K1052" s="111" t="n"/>
      <c r="L1052" s="86" t="n"/>
      <c r="M1052" s="101" t="n"/>
      <c r="N1052" s="88" t="n"/>
      <c r="O1052" s="20" t="n"/>
      <c r="P1052" s="86" t="n"/>
      <c r="Q1052" s="89" t="n"/>
      <c r="R1052" s="89" t="n"/>
      <c r="S1052" s="89" t="n"/>
      <c r="T1052" s="59">
        <f>Boosters_And!U1052/C1052</f>
        <v/>
      </c>
      <c r="U1052" s="31" t="n"/>
      <c r="V1052" s="102" t="n"/>
    </row>
    <row r="1053" ht="20.25" customHeight="1" s="150">
      <c r="A1053" s="34" t="n">
        <v>1051</v>
      </c>
      <c r="B1053" s="34" t="n"/>
      <c r="C1053" s="34" t="n"/>
      <c r="D1053" s="34" t="n"/>
      <c r="E1053" s="34" t="n"/>
      <c r="F1053" s="86" t="n"/>
      <c r="G1053" s="86" t="n"/>
      <c r="H1053" s="111" t="n"/>
      <c r="I1053" s="87" t="n"/>
      <c r="J1053" s="87" t="n"/>
      <c r="K1053" s="111" t="n"/>
      <c r="L1053" s="86" t="n"/>
      <c r="M1053" s="101" t="n"/>
      <c r="N1053" s="88" t="n"/>
      <c r="O1053" s="20" t="n"/>
      <c r="P1053" s="86" t="n"/>
      <c r="Q1053" s="89" t="n"/>
      <c r="R1053" s="89" t="n"/>
      <c r="S1053" s="89" t="n"/>
      <c r="T1053" s="59">
        <f>Boosters_And!U1053/C1053</f>
        <v/>
      </c>
      <c r="U1053" s="31" t="n"/>
      <c r="V1053" s="102" t="n"/>
    </row>
    <row r="1054" ht="20.25" customHeight="1" s="150">
      <c r="A1054" s="34" t="n">
        <v>1052</v>
      </c>
      <c r="B1054" s="34" t="n"/>
      <c r="C1054" s="34" t="n"/>
      <c r="D1054" s="34" t="n"/>
      <c r="E1054" s="34" t="n"/>
      <c r="F1054" s="86" t="n"/>
      <c r="G1054" s="86" t="n"/>
      <c r="H1054" s="111" t="n"/>
      <c r="I1054" s="87" t="n"/>
      <c r="J1054" s="87" t="n"/>
      <c r="K1054" s="111" t="n"/>
      <c r="L1054" s="86" t="n"/>
      <c r="M1054" s="101" t="n"/>
      <c r="N1054" s="88" t="n"/>
      <c r="O1054" s="20" t="n"/>
      <c r="P1054" s="86" t="n"/>
      <c r="Q1054" s="89" t="n"/>
      <c r="R1054" s="89" t="n"/>
      <c r="S1054" s="89" t="n"/>
      <c r="T1054" s="59">
        <f>Boosters_And!U1054/C1054</f>
        <v/>
      </c>
      <c r="U1054" s="31" t="n"/>
      <c r="V1054" s="102" t="n"/>
    </row>
    <row r="1055" ht="20.25" customHeight="1" s="150">
      <c r="A1055" s="34" t="n">
        <v>1053</v>
      </c>
      <c r="B1055" s="34" t="n"/>
      <c r="C1055" s="34" t="n"/>
      <c r="D1055" s="34" t="n"/>
      <c r="E1055" s="34" t="n"/>
      <c r="F1055" s="86" t="n"/>
      <c r="G1055" s="86" t="n"/>
      <c r="H1055" s="111" t="n"/>
      <c r="I1055" s="87" t="n"/>
      <c r="J1055" s="87" t="n"/>
      <c r="K1055" s="111" t="n"/>
      <c r="L1055" s="86" t="n"/>
      <c r="M1055" s="101" t="n"/>
      <c r="N1055" s="88" t="n"/>
      <c r="O1055" s="20" t="n"/>
      <c r="P1055" s="86" t="n"/>
      <c r="Q1055" s="89" t="n"/>
      <c r="R1055" s="89" t="n"/>
      <c r="S1055" s="89" t="n"/>
      <c r="T1055" s="59">
        <f>Boosters_And!U1055/C1055</f>
        <v/>
      </c>
      <c r="U1055" s="31" t="n"/>
      <c r="V1055" s="102" t="n"/>
    </row>
    <row r="1056" ht="20.25" customHeight="1" s="150">
      <c r="A1056" s="34" t="n">
        <v>1054</v>
      </c>
      <c r="B1056" s="34" t="n"/>
      <c r="C1056" s="34" t="n"/>
      <c r="D1056" s="34" t="n"/>
      <c r="E1056" s="34" t="n"/>
      <c r="F1056" s="86" t="n"/>
      <c r="G1056" s="86" t="n"/>
      <c r="H1056" s="111" t="n"/>
      <c r="I1056" s="87" t="n"/>
      <c r="J1056" s="87" t="n"/>
      <c r="K1056" s="111" t="n"/>
      <c r="L1056" s="86" t="n"/>
      <c r="M1056" s="101" t="n"/>
      <c r="N1056" s="88" t="n"/>
      <c r="O1056" s="20" t="n"/>
      <c r="P1056" s="86" t="n"/>
      <c r="Q1056" s="89" t="n"/>
      <c r="R1056" s="89" t="n"/>
      <c r="S1056" s="89" t="n"/>
      <c r="T1056" s="59">
        <f>Boosters_And!U1056/C1056</f>
        <v/>
      </c>
      <c r="U1056" s="31" t="n"/>
      <c r="V1056" s="102" t="n"/>
    </row>
    <row r="1057" ht="20.25" customHeight="1" s="150">
      <c r="A1057" s="34" t="n">
        <v>1055</v>
      </c>
      <c r="B1057" s="34" t="n"/>
      <c r="C1057" s="34" t="n"/>
      <c r="D1057" s="34" t="n"/>
      <c r="E1057" s="34" t="n"/>
      <c r="F1057" s="86" t="n"/>
      <c r="G1057" s="86" t="n"/>
      <c r="H1057" s="111" t="n"/>
      <c r="I1057" s="87" t="n"/>
      <c r="J1057" s="87" t="n"/>
      <c r="K1057" s="111" t="n"/>
      <c r="L1057" s="86" t="n"/>
      <c r="M1057" s="101" t="n"/>
      <c r="N1057" s="88" t="n"/>
      <c r="O1057" s="20" t="n"/>
      <c r="P1057" s="86" t="n"/>
      <c r="Q1057" s="89" t="n"/>
      <c r="R1057" s="89" t="n"/>
      <c r="S1057" s="89" t="n"/>
      <c r="T1057" s="59">
        <f>Boosters_And!U1057/C1057</f>
        <v/>
      </c>
      <c r="U1057" s="31" t="n"/>
      <c r="V1057" s="102" t="n"/>
    </row>
    <row r="1058" ht="20.25" customHeight="1" s="150">
      <c r="A1058" s="34" t="n">
        <v>1056</v>
      </c>
      <c r="B1058" s="34" t="n"/>
      <c r="C1058" s="34" t="n"/>
      <c r="D1058" s="34" t="n"/>
      <c r="E1058" s="34" t="n"/>
      <c r="F1058" s="86" t="n"/>
      <c r="G1058" s="86" t="n"/>
      <c r="H1058" s="111" t="n"/>
      <c r="I1058" s="87" t="n"/>
      <c r="J1058" s="87" t="n"/>
      <c r="K1058" s="111" t="n"/>
      <c r="L1058" s="86" t="n"/>
      <c r="M1058" s="101" t="n"/>
      <c r="N1058" s="88" t="n"/>
      <c r="O1058" s="20" t="n"/>
      <c r="P1058" s="86" t="n"/>
      <c r="Q1058" s="89" t="n"/>
      <c r="R1058" s="89" t="n"/>
      <c r="S1058" s="89" t="n"/>
      <c r="T1058" s="59">
        <f>Boosters_And!U1058/C1058</f>
        <v/>
      </c>
      <c r="U1058" s="31" t="n"/>
      <c r="V1058" s="102" t="n"/>
    </row>
    <row r="1059" ht="20.25" customHeight="1" s="150">
      <c r="A1059" s="34" t="n">
        <v>1057</v>
      </c>
      <c r="B1059" s="34" t="n"/>
      <c r="C1059" s="34" t="n"/>
      <c r="D1059" s="34" t="n"/>
      <c r="E1059" s="34" t="n"/>
      <c r="F1059" s="86" t="n"/>
      <c r="G1059" s="86" t="n"/>
      <c r="H1059" s="111" t="n"/>
      <c r="I1059" s="87" t="n"/>
      <c r="J1059" s="87" t="n"/>
      <c r="K1059" s="111" t="n"/>
      <c r="L1059" s="86" t="n"/>
      <c r="M1059" s="101" t="n"/>
      <c r="N1059" s="88" t="n"/>
      <c r="O1059" s="20" t="n"/>
      <c r="P1059" s="86" t="n"/>
      <c r="Q1059" s="89" t="n"/>
      <c r="R1059" s="89" t="n"/>
      <c r="S1059" s="89" t="n"/>
      <c r="T1059" s="59">
        <f>Boosters_And!U1059/C1059</f>
        <v/>
      </c>
      <c r="U1059" s="31" t="n"/>
      <c r="V1059" s="102" t="n"/>
    </row>
    <row r="1060" ht="20.25" customHeight="1" s="150">
      <c r="A1060" s="34" t="n">
        <v>1058</v>
      </c>
      <c r="B1060" s="34" t="n"/>
      <c r="C1060" s="34" t="n"/>
      <c r="D1060" s="34" t="n"/>
      <c r="E1060" s="34" t="n"/>
      <c r="F1060" s="86" t="n"/>
      <c r="G1060" s="86" t="n"/>
      <c r="H1060" s="111" t="n"/>
      <c r="I1060" s="87" t="n"/>
      <c r="J1060" s="87" t="n"/>
      <c r="K1060" s="111" t="n"/>
      <c r="L1060" s="86" t="n"/>
      <c r="M1060" s="101" t="n"/>
      <c r="N1060" s="88" t="n"/>
      <c r="O1060" s="20" t="n"/>
      <c r="P1060" s="86" t="n"/>
      <c r="Q1060" s="89" t="n"/>
      <c r="R1060" s="89" t="n"/>
      <c r="S1060" s="89" t="n"/>
      <c r="T1060" s="59">
        <f>Boosters_And!U1060/C1060</f>
        <v/>
      </c>
      <c r="U1060" s="31" t="n"/>
      <c r="V1060" s="102" t="n"/>
    </row>
    <row r="1061" ht="20.25" customHeight="1" s="150">
      <c r="A1061" s="34" t="n">
        <v>1059</v>
      </c>
      <c r="B1061" s="34" t="n"/>
      <c r="C1061" s="34" t="n"/>
      <c r="D1061" s="34" t="n"/>
      <c r="E1061" s="34" t="n"/>
      <c r="F1061" s="86" t="n"/>
      <c r="G1061" s="86" t="n"/>
      <c r="H1061" s="111" t="n"/>
      <c r="I1061" s="87" t="n"/>
      <c r="J1061" s="87" t="n"/>
      <c r="K1061" s="111" t="n"/>
      <c r="L1061" s="86" t="n"/>
      <c r="M1061" s="101" t="n"/>
      <c r="N1061" s="88" t="n"/>
      <c r="O1061" s="20" t="n"/>
      <c r="P1061" s="86" t="n"/>
      <c r="Q1061" s="89" t="n"/>
      <c r="R1061" s="89" t="n"/>
      <c r="S1061" s="89" t="n"/>
      <c r="T1061" s="59">
        <f>Boosters_And!U1061/C1061</f>
        <v/>
      </c>
      <c r="U1061" s="31" t="n"/>
      <c r="V1061" s="102" t="n"/>
    </row>
    <row r="1062" ht="20.25" customHeight="1" s="150">
      <c r="A1062" s="34" t="n">
        <v>1060</v>
      </c>
      <c r="B1062" s="34" t="n"/>
      <c r="C1062" s="34" t="n"/>
      <c r="D1062" s="34" t="n"/>
      <c r="E1062" s="34" t="n"/>
      <c r="F1062" s="86" t="n"/>
      <c r="G1062" s="86" t="n"/>
      <c r="H1062" s="111" t="n"/>
      <c r="I1062" s="87" t="n"/>
      <c r="J1062" s="87" t="n"/>
      <c r="K1062" s="111" t="n"/>
      <c r="L1062" s="86" t="n"/>
      <c r="M1062" s="101" t="n"/>
      <c r="N1062" s="88" t="n"/>
      <c r="O1062" s="20" t="n"/>
      <c r="P1062" s="86" t="n"/>
      <c r="Q1062" s="89" t="n"/>
      <c r="R1062" s="89" t="n"/>
      <c r="S1062" s="89" t="n"/>
      <c r="T1062" s="59">
        <f>Boosters_And!U1062/C1062</f>
        <v/>
      </c>
      <c r="U1062" s="31" t="n"/>
      <c r="V1062" s="102" t="n"/>
    </row>
    <row r="1063" ht="20.25" customHeight="1" s="150">
      <c r="A1063" s="34" t="n">
        <v>1061</v>
      </c>
      <c r="B1063" s="34" t="n"/>
      <c r="C1063" s="34" t="n"/>
      <c r="D1063" s="34" t="n"/>
      <c r="E1063" s="34" t="n"/>
      <c r="F1063" s="86" t="n"/>
      <c r="G1063" s="86" t="n"/>
      <c r="H1063" s="111" t="n"/>
      <c r="I1063" s="87" t="n"/>
      <c r="J1063" s="87" t="n"/>
      <c r="K1063" s="111" t="n"/>
      <c r="L1063" s="86" t="n"/>
      <c r="M1063" s="101" t="n"/>
      <c r="N1063" s="88" t="n"/>
      <c r="O1063" s="20" t="n"/>
      <c r="P1063" s="86" t="n"/>
      <c r="Q1063" s="89" t="n"/>
      <c r="R1063" s="89" t="n"/>
      <c r="S1063" s="89" t="n"/>
      <c r="T1063" s="59">
        <f>Boosters_And!U1063/C1063</f>
        <v/>
      </c>
      <c r="U1063" s="31" t="n"/>
      <c r="V1063" s="102" t="n"/>
    </row>
    <row r="1064" ht="20.25" customHeight="1" s="150">
      <c r="A1064" s="34" t="n">
        <v>1062</v>
      </c>
      <c r="B1064" s="34" t="n"/>
      <c r="C1064" s="34" t="n"/>
      <c r="D1064" s="34" t="n"/>
      <c r="E1064" s="34" t="n"/>
      <c r="F1064" s="86" t="n"/>
      <c r="G1064" s="86" t="n"/>
      <c r="H1064" s="111" t="n"/>
      <c r="I1064" s="87" t="n"/>
      <c r="J1064" s="87" t="n"/>
      <c r="K1064" s="111" t="n"/>
      <c r="L1064" s="86" t="n"/>
      <c r="M1064" s="101" t="n"/>
      <c r="N1064" s="88" t="n"/>
      <c r="O1064" s="20" t="n"/>
      <c r="P1064" s="86" t="n"/>
      <c r="Q1064" s="89" t="n"/>
      <c r="R1064" s="89" t="n"/>
      <c r="S1064" s="89" t="n"/>
      <c r="T1064" s="59">
        <f>Boosters_And!U1064/C1064</f>
        <v/>
      </c>
      <c r="U1064" s="31" t="n"/>
      <c r="V1064" s="102" t="n"/>
    </row>
    <row r="1065" ht="20.25" customHeight="1" s="150">
      <c r="A1065" s="34" t="n">
        <v>1063</v>
      </c>
      <c r="B1065" s="34" t="n"/>
      <c r="C1065" s="34" t="n"/>
      <c r="D1065" s="34" t="n"/>
      <c r="E1065" s="34" t="n"/>
      <c r="F1065" s="86" t="n"/>
      <c r="G1065" s="86" t="n"/>
      <c r="H1065" s="111" t="n"/>
      <c r="I1065" s="87" t="n"/>
      <c r="J1065" s="87" t="n"/>
      <c r="K1065" s="111" t="n"/>
      <c r="L1065" s="86" t="n"/>
      <c r="M1065" s="101" t="n"/>
      <c r="N1065" s="88" t="n"/>
      <c r="O1065" s="20" t="n"/>
      <c r="P1065" s="86" t="n"/>
      <c r="Q1065" s="89" t="n"/>
      <c r="R1065" s="89" t="n"/>
      <c r="S1065" s="89" t="n"/>
      <c r="T1065" s="59">
        <f>Boosters_And!U1065/C1065</f>
        <v/>
      </c>
      <c r="U1065" s="31" t="n"/>
      <c r="V1065" s="102" t="n"/>
    </row>
    <row r="1066" ht="20.25" customHeight="1" s="150">
      <c r="A1066" s="34" t="n">
        <v>1064</v>
      </c>
      <c r="B1066" s="34" t="n"/>
      <c r="C1066" s="34" t="n"/>
      <c r="D1066" s="34" t="n"/>
      <c r="E1066" s="34" t="n"/>
      <c r="F1066" s="86" t="n"/>
      <c r="G1066" s="86" t="n"/>
      <c r="H1066" s="111" t="n"/>
      <c r="I1066" s="87" t="n"/>
      <c r="J1066" s="87" t="n"/>
      <c r="K1066" s="111" t="n"/>
      <c r="L1066" s="86" t="n"/>
      <c r="M1066" s="101" t="n"/>
      <c r="N1066" s="88" t="n"/>
      <c r="O1066" s="20" t="n"/>
      <c r="P1066" s="86" t="n"/>
      <c r="Q1066" s="89" t="n"/>
      <c r="R1066" s="89" t="n"/>
      <c r="S1066" s="89" t="n"/>
      <c r="T1066" s="59">
        <f>Boosters_And!U1066/C1066</f>
        <v/>
      </c>
      <c r="U1066" s="31" t="n"/>
      <c r="V1066" s="102" t="n"/>
    </row>
    <row r="1067" ht="20.25" customHeight="1" s="150">
      <c r="A1067" s="34" t="n">
        <v>1065</v>
      </c>
      <c r="B1067" s="34" t="n"/>
      <c r="C1067" s="34" t="n"/>
      <c r="D1067" s="34" t="n"/>
      <c r="E1067" s="34" t="n"/>
      <c r="F1067" s="86" t="n"/>
      <c r="G1067" s="86" t="n"/>
      <c r="H1067" s="111" t="n"/>
      <c r="I1067" s="87" t="n"/>
      <c r="J1067" s="87" t="n"/>
      <c r="K1067" s="111" t="n"/>
      <c r="L1067" s="86" t="n"/>
      <c r="M1067" s="101" t="n"/>
      <c r="N1067" s="88" t="n"/>
      <c r="O1067" s="20" t="n"/>
      <c r="P1067" s="86" t="n"/>
      <c r="Q1067" s="89" t="n"/>
      <c r="R1067" s="89" t="n"/>
      <c r="S1067" s="89" t="n"/>
      <c r="T1067" s="59">
        <f>Boosters_And!U1067/C1067</f>
        <v/>
      </c>
      <c r="U1067" s="31" t="n"/>
      <c r="V1067" s="102" t="n"/>
    </row>
    <row r="1068" ht="20.25" customHeight="1" s="150">
      <c r="A1068" s="34" t="n">
        <v>1066</v>
      </c>
      <c r="B1068" s="34" t="n"/>
      <c r="C1068" s="34" t="n"/>
      <c r="D1068" s="34" t="n"/>
      <c r="E1068" s="34" t="n"/>
      <c r="F1068" s="86" t="n"/>
      <c r="G1068" s="86" t="n"/>
      <c r="H1068" s="111" t="n"/>
      <c r="I1068" s="87" t="n"/>
      <c r="J1068" s="87" t="n"/>
      <c r="K1068" s="111" t="n"/>
      <c r="L1068" s="86" t="n"/>
      <c r="M1068" s="101" t="n"/>
      <c r="N1068" s="88" t="n"/>
      <c r="O1068" s="20" t="n"/>
      <c r="P1068" s="86" t="n"/>
      <c r="Q1068" s="89" t="n"/>
      <c r="R1068" s="89" t="n"/>
      <c r="S1068" s="89" t="n"/>
      <c r="T1068" s="59">
        <f>Boosters_And!U1068/C1068</f>
        <v/>
      </c>
      <c r="U1068" s="31" t="n"/>
      <c r="V1068" s="102" t="n"/>
    </row>
    <row r="1069" ht="20.25" customHeight="1" s="150">
      <c r="A1069" s="34" t="n">
        <v>1067</v>
      </c>
      <c r="B1069" s="34" t="n"/>
      <c r="C1069" s="34" t="n"/>
      <c r="D1069" s="34" t="n"/>
      <c r="E1069" s="34" t="n"/>
      <c r="F1069" s="86" t="n"/>
      <c r="G1069" s="86" t="n"/>
      <c r="H1069" s="111" t="n"/>
      <c r="I1069" s="87" t="n"/>
      <c r="J1069" s="87" t="n"/>
      <c r="K1069" s="111" t="n"/>
      <c r="L1069" s="86" t="n"/>
      <c r="M1069" s="101" t="n"/>
      <c r="N1069" s="88" t="n"/>
      <c r="O1069" s="20" t="n"/>
      <c r="P1069" s="86" t="n"/>
      <c r="Q1069" s="89" t="n"/>
      <c r="R1069" s="89" t="n"/>
      <c r="S1069" s="89" t="n"/>
      <c r="T1069" s="59">
        <f>Boosters_And!U1069/C1069</f>
        <v/>
      </c>
      <c r="U1069" s="31" t="n"/>
      <c r="V1069" s="102" t="n"/>
    </row>
    <row r="1070" ht="20.25" customHeight="1" s="150">
      <c r="A1070" s="34" t="n">
        <v>1068</v>
      </c>
      <c r="B1070" s="34" t="n"/>
      <c r="C1070" s="34" t="n"/>
      <c r="D1070" s="34" t="n"/>
      <c r="E1070" s="34" t="n"/>
      <c r="F1070" s="86" t="n"/>
      <c r="G1070" s="86" t="n"/>
      <c r="H1070" s="111" t="n"/>
      <c r="I1070" s="87" t="n"/>
      <c r="J1070" s="87" t="n"/>
      <c r="K1070" s="111" t="n"/>
      <c r="L1070" s="86" t="n"/>
      <c r="M1070" s="101" t="n"/>
      <c r="N1070" s="88" t="n"/>
      <c r="O1070" s="20" t="n"/>
      <c r="P1070" s="86" t="n"/>
      <c r="Q1070" s="89" t="n"/>
      <c r="R1070" s="89" t="n"/>
      <c r="S1070" s="89" t="n"/>
      <c r="T1070" s="59">
        <f>Boosters_And!U1070/C1070</f>
        <v/>
      </c>
      <c r="U1070" s="31" t="n"/>
      <c r="V1070" s="102" t="n"/>
    </row>
    <row r="1071" ht="20.25" customHeight="1" s="150">
      <c r="A1071" s="34" t="n">
        <v>1069</v>
      </c>
      <c r="B1071" s="34" t="n"/>
      <c r="C1071" s="34" t="n"/>
      <c r="D1071" s="34" t="n"/>
      <c r="E1071" s="34" t="n"/>
      <c r="F1071" s="86" t="n"/>
      <c r="G1071" s="86" t="n"/>
      <c r="H1071" s="111" t="n"/>
      <c r="I1071" s="87" t="n"/>
      <c r="J1071" s="87" t="n"/>
      <c r="K1071" s="111" t="n"/>
      <c r="L1071" s="86" t="n"/>
      <c r="M1071" s="101" t="n"/>
      <c r="N1071" s="88" t="n"/>
      <c r="O1071" s="20" t="n"/>
      <c r="P1071" s="86" t="n"/>
      <c r="Q1071" s="89" t="n"/>
      <c r="R1071" s="89" t="n"/>
      <c r="S1071" s="89" t="n"/>
      <c r="T1071" s="59">
        <f>Boosters_And!U1071/C1071</f>
        <v/>
      </c>
      <c r="U1071" s="31" t="n"/>
      <c r="V1071" s="102" t="n"/>
    </row>
    <row r="1072" ht="20.25" customHeight="1" s="150">
      <c r="A1072" s="34" t="n">
        <v>1070</v>
      </c>
      <c r="B1072" s="34" t="n"/>
      <c r="C1072" s="34" t="n"/>
      <c r="D1072" s="34" t="n"/>
      <c r="E1072" s="34" t="n"/>
      <c r="F1072" s="86" t="n"/>
      <c r="G1072" s="86" t="n"/>
      <c r="H1072" s="111" t="n"/>
      <c r="I1072" s="87" t="n"/>
      <c r="J1072" s="87" t="n"/>
      <c r="K1072" s="111" t="n"/>
      <c r="L1072" s="86" t="n"/>
      <c r="M1072" s="101" t="n"/>
      <c r="N1072" s="88" t="n"/>
      <c r="O1072" s="20" t="n"/>
      <c r="P1072" s="86" t="n"/>
      <c r="Q1072" s="89" t="n"/>
      <c r="R1072" s="89" t="n"/>
      <c r="S1072" s="89" t="n"/>
      <c r="T1072" s="59">
        <f>Boosters_And!U1072/C1072</f>
        <v/>
      </c>
      <c r="U1072" s="31" t="n"/>
      <c r="V1072" s="102" t="n"/>
    </row>
    <row r="1073" ht="20.25" customHeight="1" s="150">
      <c r="A1073" s="34" t="n">
        <v>1071</v>
      </c>
      <c r="B1073" s="34" t="n"/>
      <c r="C1073" s="34" t="n"/>
      <c r="D1073" s="34" t="n"/>
      <c r="E1073" s="34" t="n"/>
      <c r="F1073" s="86" t="n"/>
      <c r="G1073" s="86" t="n"/>
      <c r="H1073" s="111" t="n"/>
      <c r="I1073" s="87" t="n"/>
      <c r="J1073" s="87" t="n"/>
      <c r="K1073" s="111" t="n"/>
      <c r="L1073" s="86" t="n"/>
      <c r="M1073" s="101" t="n"/>
      <c r="N1073" s="88" t="n"/>
      <c r="O1073" s="20" t="n"/>
      <c r="P1073" s="86" t="n"/>
      <c r="Q1073" s="89" t="n"/>
      <c r="R1073" s="89" t="n"/>
      <c r="S1073" s="89" t="n"/>
      <c r="T1073" s="59">
        <f>Boosters_And!U1073/C1073</f>
        <v/>
      </c>
      <c r="U1073" s="31" t="n"/>
      <c r="V1073" s="102" t="n"/>
    </row>
    <row r="1074" ht="20.25" customHeight="1" s="150">
      <c r="A1074" s="34" t="n">
        <v>1072</v>
      </c>
      <c r="B1074" s="34" t="n"/>
      <c r="C1074" s="34" t="n"/>
      <c r="D1074" s="34" t="n"/>
      <c r="E1074" s="34" t="n"/>
      <c r="F1074" s="86" t="n"/>
      <c r="G1074" s="86" t="n"/>
      <c r="H1074" s="111" t="n"/>
      <c r="I1074" s="87" t="n"/>
      <c r="J1074" s="87" t="n"/>
      <c r="K1074" s="111" t="n"/>
      <c r="L1074" s="86" t="n"/>
      <c r="M1074" s="101" t="n"/>
      <c r="N1074" s="88" t="n"/>
      <c r="O1074" s="20" t="n"/>
      <c r="P1074" s="86" t="n"/>
      <c r="Q1074" s="89" t="n"/>
      <c r="R1074" s="89" t="n"/>
      <c r="S1074" s="89" t="n"/>
      <c r="T1074" s="59">
        <f>Boosters_And!U1074/C1074</f>
        <v/>
      </c>
      <c r="U1074" s="31" t="n"/>
      <c r="V1074" s="102" t="n"/>
    </row>
    <row r="1075" ht="20.25" customHeight="1" s="150">
      <c r="A1075" s="34" t="n">
        <v>1073</v>
      </c>
      <c r="B1075" s="34" t="n"/>
      <c r="C1075" s="34" t="n"/>
      <c r="D1075" s="34" t="n"/>
      <c r="E1075" s="34" t="n"/>
      <c r="F1075" s="86" t="n"/>
      <c r="G1075" s="86" t="n"/>
      <c r="H1075" s="111" t="n"/>
      <c r="I1075" s="87" t="n"/>
      <c r="J1075" s="87" t="n"/>
      <c r="K1075" s="111" t="n"/>
      <c r="L1075" s="86" t="n"/>
      <c r="M1075" s="101" t="n"/>
      <c r="N1075" s="88" t="n"/>
      <c r="O1075" s="20" t="n"/>
      <c r="P1075" s="86" t="n"/>
      <c r="Q1075" s="89" t="n"/>
      <c r="R1075" s="89" t="n"/>
      <c r="S1075" s="89" t="n"/>
      <c r="T1075" s="59">
        <f>Boosters_And!U1075/C1075</f>
        <v/>
      </c>
      <c r="U1075" s="31" t="n"/>
      <c r="V1075" s="102" t="n"/>
    </row>
    <row r="1076" ht="20.25" customHeight="1" s="150">
      <c r="A1076" s="34" t="n">
        <v>1074</v>
      </c>
      <c r="B1076" s="34" t="n"/>
      <c r="C1076" s="34" t="n"/>
      <c r="D1076" s="34" t="n"/>
      <c r="E1076" s="34" t="n"/>
      <c r="F1076" s="86" t="n"/>
      <c r="G1076" s="86" t="n"/>
      <c r="H1076" s="111" t="n"/>
      <c r="I1076" s="87" t="n"/>
      <c r="J1076" s="87" t="n"/>
      <c r="K1076" s="111" t="n"/>
      <c r="L1076" s="86" t="n"/>
      <c r="M1076" s="101" t="n"/>
      <c r="N1076" s="88" t="n"/>
      <c r="O1076" s="20" t="n"/>
      <c r="P1076" s="86" t="n"/>
      <c r="Q1076" s="89" t="n"/>
      <c r="R1076" s="89" t="n"/>
      <c r="S1076" s="89" t="n"/>
      <c r="T1076" s="59">
        <f>Boosters_And!U1076/C1076</f>
        <v/>
      </c>
      <c r="U1076" s="31" t="n"/>
      <c r="V1076" s="102" t="n"/>
    </row>
    <row r="1077" ht="20.25" customHeight="1" s="150">
      <c r="A1077" s="34" t="n">
        <v>1075</v>
      </c>
      <c r="B1077" s="34" t="n"/>
      <c r="C1077" s="34" t="n"/>
      <c r="D1077" s="34" t="n"/>
      <c r="E1077" s="34" t="n"/>
      <c r="F1077" s="86" t="n"/>
      <c r="G1077" s="86" t="n"/>
      <c r="H1077" s="111" t="n"/>
      <c r="I1077" s="87" t="n"/>
      <c r="J1077" s="87" t="n"/>
      <c r="K1077" s="111" t="n"/>
      <c r="L1077" s="86" t="n"/>
      <c r="M1077" s="101" t="n"/>
      <c r="N1077" s="88" t="n"/>
      <c r="O1077" s="20" t="n"/>
      <c r="P1077" s="86" t="n"/>
      <c r="Q1077" s="89" t="n"/>
      <c r="R1077" s="89" t="n"/>
      <c r="S1077" s="89" t="n"/>
      <c r="T1077" s="59">
        <f>Boosters_And!U1077/C1077</f>
        <v/>
      </c>
      <c r="U1077" s="31" t="n"/>
      <c r="V1077" s="102" t="n"/>
    </row>
    <row r="1078" ht="20.25" customHeight="1" s="150">
      <c r="A1078" s="34" t="n">
        <v>1076</v>
      </c>
      <c r="B1078" s="34" t="n"/>
      <c r="C1078" s="34" t="n"/>
      <c r="D1078" s="34" t="n"/>
      <c r="E1078" s="34" t="n"/>
      <c r="F1078" s="86" t="n"/>
      <c r="G1078" s="86" t="n"/>
      <c r="H1078" s="111" t="n"/>
      <c r="I1078" s="87" t="n"/>
      <c r="J1078" s="87" t="n"/>
      <c r="K1078" s="111" t="n"/>
      <c r="L1078" s="86" t="n"/>
      <c r="M1078" s="101" t="n"/>
      <c r="N1078" s="88" t="n"/>
      <c r="O1078" s="20" t="n"/>
      <c r="P1078" s="86" t="n"/>
      <c r="Q1078" s="89" t="n"/>
      <c r="R1078" s="89" t="n"/>
      <c r="S1078" s="89" t="n"/>
      <c r="T1078" s="59">
        <f>Boosters_And!U1078/C1078</f>
        <v/>
      </c>
      <c r="U1078" s="31" t="n"/>
      <c r="V1078" s="102" t="n"/>
    </row>
    <row r="1079" ht="20.25" customHeight="1" s="150">
      <c r="A1079" s="34" t="n">
        <v>1077</v>
      </c>
      <c r="B1079" s="34" t="n"/>
      <c r="C1079" s="34" t="n"/>
      <c r="D1079" s="34" t="n"/>
      <c r="E1079" s="34" t="n"/>
      <c r="F1079" s="86" t="n"/>
      <c r="G1079" s="86" t="n"/>
      <c r="H1079" s="111" t="n"/>
      <c r="I1079" s="87" t="n"/>
      <c r="J1079" s="87" t="n"/>
      <c r="K1079" s="111" t="n"/>
      <c r="L1079" s="86" t="n"/>
      <c r="M1079" s="101" t="n"/>
      <c r="N1079" s="88" t="n"/>
      <c r="O1079" s="20" t="n"/>
      <c r="P1079" s="86" t="n"/>
      <c r="Q1079" s="89" t="n"/>
      <c r="R1079" s="89" t="n"/>
      <c r="S1079" s="89" t="n"/>
      <c r="T1079" s="59">
        <f>Boosters_And!U1079/C1079</f>
        <v/>
      </c>
      <c r="U1079" s="31" t="n"/>
      <c r="V1079" s="102" t="n"/>
    </row>
    <row r="1080" ht="20.25" customHeight="1" s="150">
      <c r="A1080" s="34" t="n">
        <v>1078</v>
      </c>
      <c r="B1080" s="34" t="n"/>
      <c r="C1080" s="34" t="n"/>
      <c r="D1080" s="34" t="n"/>
      <c r="E1080" s="34" t="n"/>
      <c r="F1080" s="86" t="n"/>
      <c r="G1080" s="86" t="n"/>
      <c r="H1080" s="111" t="n"/>
      <c r="I1080" s="87" t="n"/>
      <c r="J1080" s="87" t="n"/>
      <c r="K1080" s="111" t="n"/>
      <c r="L1080" s="86" t="n"/>
      <c r="M1080" s="101" t="n"/>
      <c r="N1080" s="88" t="n"/>
      <c r="O1080" s="20" t="n"/>
      <c r="P1080" s="86" t="n"/>
      <c r="Q1080" s="89" t="n"/>
      <c r="R1080" s="89" t="n"/>
      <c r="S1080" s="89" t="n"/>
      <c r="T1080" s="59">
        <f>Boosters_And!U1080/C1080</f>
        <v/>
      </c>
      <c r="U1080" s="31" t="n"/>
      <c r="V1080" s="102" t="n"/>
    </row>
    <row r="1081" ht="20.25" customHeight="1" s="150">
      <c r="A1081" s="34" t="n">
        <v>1079</v>
      </c>
      <c r="B1081" s="34" t="n"/>
      <c r="C1081" s="34" t="n"/>
      <c r="D1081" s="34" t="n"/>
      <c r="E1081" s="34" t="n"/>
      <c r="F1081" s="86" t="n"/>
      <c r="G1081" s="86" t="n"/>
      <c r="H1081" s="111" t="n"/>
      <c r="I1081" s="87" t="n"/>
      <c r="J1081" s="87" t="n"/>
      <c r="K1081" s="111" t="n"/>
      <c r="L1081" s="86" t="n"/>
      <c r="M1081" s="101" t="n"/>
      <c r="N1081" s="88" t="n"/>
      <c r="O1081" s="20" t="n"/>
      <c r="P1081" s="86" t="n"/>
      <c r="Q1081" s="89" t="n"/>
      <c r="R1081" s="89" t="n"/>
      <c r="S1081" s="89" t="n"/>
      <c r="T1081" s="59">
        <f>Boosters_And!U1081/C1081</f>
        <v/>
      </c>
      <c r="U1081" s="31" t="n"/>
      <c r="V1081" s="102" t="n"/>
    </row>
    <row r="1082" ht="20.25" customHeight="1" s="150">
      <c r="A1082" s="34" t="n">
        <v>1080</v>
      </c>
      <c r="B1082" s="34" t="n"/>
      <c r="C1082" s="34" t="n"/>
      <c r="D1082" s="34" t="n"/>
      <c r="E1082" s="34" t="n"/>
      <c r="F1082" s="86" t="n"/>
      <c r="G1082" s="86" t="n"/>
      <c r="H1082" s="111" t="n"/>
      <c r="I1082" s="87" t="n"/>
      <c r="J1082" s="87" t="n"/>
      <c r="K1082" s="111" t="n"/>
      <c r="L1082" s="86" t="n"/>
      <c r="M1082" s="101" t="n"/>
      <c r="N1082" s="88" t="n"/>
      <c r="O1082" s="20" t="n"/>
      <c r="P1082" s="86" t="n"/>
      <c r="Q1082" s="89" t="n"/>
      <c r="R1082" s="89" t="n"/>
      <c r="S1082" s="89" t="n"/>
      <c r="T1082" s="59">
        <f>Boosters_And!U1082/C1082</f>
        <v/>
      </c>
      <c r="U1082" s="31" t="n"/>
      <c r="V1082" s="102" t="n"/>
    </row>
    <row r="1083" ht="20.25" customHeight="1" s="150">
      <c r="A1083" s="34" t="n">
        <v>1081</v>
      </c>
      <c r="B1083" s="34" t="n"/>
      <c r="C1083" s="34" t="n"/>
      <c r="D1083" s="34" t="n"/>
      <c r="E1083" s="34" t="n"/>
      <c r="F1083" s="86" t="n"/>
      <c r="G1083" s="86" t="n"/>
      <c r="H1083" s="111" t="n"/>
      <c r="I1083" s="87" t="n"/>
      <c r="J1083" s="87" t="n"/>
      <c r="K1083" s="111" t="n"/>
      <c r="L1083" s="86" t="n"/>
      <c r="M1083" s="101" t="n"/>
      <c r="N1083" s="88" t="n"/>
      <c r="O1083" s="20" t="n"/>
      <c r="P1083" s="86" t="n"/>
      <c r="Q1083" s="89" t="n"/>
      <c r="R1083" s="89" t="n"/>
      <c r="S1083" s="89" t="n"/>
      <c r="T1083" s="59">
        <f>Boosters_And!U1083/C1083</f>
        <v/>
      </c>
      <c r="U1083" s="31" t="n"/>
      <c r="V1083" s="102" t="n"/>
    </row>
    <row r="1084" ht="20.25" customHeight="1" s="150">
      <c r="A1084" s="34" t="n">
        <v>1082</v>
      </c>
      <c r="B1084" s="34" t="n"/>
      <c r="C1084" s="34" t="n"/>
      <c r="D1084" s="34" t="n"/>
      <c r="E1084" s="34" t="n"/>
      <c r="F1084" s="86" t="n"/>
      <c r="G1084" s="86" t="n"/>
      <c r="H1084" s="111" t="n"/>
      <c r="I1084" s="87" t="n"/>
      <c r="J1084" s="87" t="n"/>
      <c r="K1084" s="111" t="n"/>
      <c r="L1084" s="86" t="n"/>
      <c r="M1084" s="101" t="n"/>
      <c r="N1084" s="88" t="n"/>
      <c r="O1084" s="20" t="n"/>
      <c r="P1084" s="86" t="n"/>
      <c r="Q1084" s="89" t="n"/>
      <c r="R1084" s="89" t="n"/>
      <c r="S1084" s="89" t="n"/>
      <c r="T1084" s="59">
        <f>Boosters_And!U1084/C1084</f>
        <v/>
      </c>
      <c r="U1084" s="31" t="n"/>
      <c r="V1084" s="102" t="n"/>
    </row>
    <row r="1085" ht="20.25" customHeight="1" s="150">
      <c r="A1085" s="34" t="n">
        <v>1083</v>
      </c>
      <c r="B1085" s="34" t="n"/>
      <c r="C1085" s="34" t="n"/>
      <c r="D1085" s="34" t="n"/>
      <c r="E1085" s="34" t="n"/>
      <c r="F1085" s="86" t="n"/>
      <c r="G1085" s="86" t="n"/>
      <c r="H1085" s="111" t="n"/>
      <c r="I1085" s="87" t="n"/>
      <c r="J1085" s="87" t="n"/>
      <c r="K1085" s="111" t="n"/>
      <c r="L1085" s="86" t="n"/>
      <c r="M1085" s="101" t="n"/>
      <c r="N1085" s="88" t="n"/>
      <c r="O1085" s="20" t="n"/>
      <c r="P1085" s="86" t="n"/>
      <c r="Q1085" s="89" t="n"/>
      <c r="R1085" s="89" t="n"/>
      <c r="S1085" s="89" t="n"/>
      <c r="T1085" s="59">
        <f>Boosters_And!U1085/C1085</f>
        <v/>
      </c>
      <c r="U1085" s="31" t="n"/>
      <c r="V1085" s="102" t="n"/>
    </row>
    <row r="1086" ht="20.25" customHeight="1" s="150">
      <c r="A1086" s="34" t="n">
        <v>1084</v>
      </c>
      <c r="B1086" s="34" t="n"/>
      <c r="C1086" s="34" t="n"/>
      <c r="D1086" s="34" t="n"/>
      <c r="E1086" s="34" t="n"/>
      <c r="F1086" s="86" t="n"/>
      <c r="G1086" s="86" t="n"/>
      <c r="H1086" s="111" t="n"/>
      <c r="I1086" s="87" t="n"/>
      <c r="J1086" s="87" t="n"/>
      <c r="K1086" s="111" t="n"/>
      <c r="L1086" s="86" t="n"/>
      <c r="M1086" s="101" t="n"/>
      <c r="N1086" s="88" t="n"/>
      <c r="O1086" s="20" t="n"/>
      <c r="P1086" s="86" t="n"/>
      <c r="Q1086" s="89" t="n"/>
      <c r="R1086" s="89" t="n"/>
      <c r="S1086" s="89" t="n"/>
      <c r="T1086" s="59">
        <f>Boosters_And!U1086/C1086</f>
        <v/>
      </c>
      <c r="U1086" s="31" t="n"/>
      <c r="V1086" s="102" t="n"/>
    </row>
    <row r="1087" ht="20.25" customHeight="1" s="150">
      <c r="A1087" s="34" t="n">
        <v>1085</v>
      </c>
      <c r="B1087" s="34" t="n"/>
      <c r="C1087" s="34" t="n"/>
      <c r="D1087" s="34" t="n"/>
      <c r="E1087" s="34" t="n"/>
      <c r="F1087" s="86" t="n"/>
      <c r="G1087" s="86" t="n"/>
      <c r="H1087" s="111" t="n"/>
      <c r="I1087" s="87" t="n"/>
      <c r="J1087" s="87" t="n"/>
      <c r="K1087" s="111" t="n"/>
      <c r="L1087" s="86" t="n"/>
      <c r="M1087" s="101" t="n"/>
      <c r="N1087" s="88" t="n"/>
      <c r="O1087" s="20" t="n"/>
      <c r="P1087" s="86" t="n"/>
      <c r="Q1087" s="89" t="n"/>
      <c r="R1087" s="89" t="n"/>
      <c r="S1087" s="89" t="n"/>
      <c r="T1087" s="59">
        <f>Boosters_And!U1087/C1087</f>
        <v/>
      </c>
      <c r="U1087" s="31" t="n"/>
      <c r="V1087" s="102" t="n"/>
    </row>
    <row r="1088" ht="20.25" customHeight="1" s="150">
      <c r="A1088" s="34" t="n">
        <v>1086</v>
      </c>
      <c r="B1088" s="34" t="n"/>
      <c r="C1088" s="34" t="n"/>
      <c r="D1088" s="34" t="n"/>
      <c r="E1088" s="34" t="n"/>
      <c r="F1088" s="86" t="n"/>
      <c r="G1088" s="86" t="n"/>
      <c r="H1088" s="111" t="n"/>
      <c r="I1088" s="87" t="n"/>
      <c r="J1088" s="87" t="n"/>
      <c r="K1088" s="111" t="n"/>
      <c r="L1088" s="86" t="n"/>
      <c r="M1088" s="101" t="n"/>
      <c r="N1088" s="88" t="n"/>
      <c r="O1088" s="20" t="n"/>
      <c r="P1088" s="86" t="n"/>
      <c r="Q1088" s="89" t="n"/>
      <c r="R1088" s="89" t="n"/>
      <c r="S1088" s="89" t="n"/>
      <c r="T1088" s="59">
        <f>Boosters_And!U1088/C1088</f>
        <v/>
      </c>
      <c r="U1088" s="31" t="n"/>
      <c r="V1088" s="102" t="n"/>
    </row>
    <row r="1089" ht="20.25" customHeight="1" s="150">
      <c r="A1089" s="34" t="n">
        <v>1087</v>
      </c>
      <c r="B1089" s="34" t="n"/>
      <c r="C1089" s="34" t="n"/>
      <c r="D1089" s="34" t="n"/>
      <c r="E1089" s="34" t="n"/>
      <c r="F1089" s="86" t="n"/>
      <c r="G1089" s="86" t="n"/>
      <c r="H1089" s="111" t="n"/>
      <c r="I1089" s="87" t="n"/>
      <c r="J1089" s="87" t="n"/>
      <c r="K1089" s="111" t="n"/>
      <c r="L1089" s="86" t="n"/>
      <c r="M1089" s="101" t="n"/>
      <c r="N1089" s="88" t="n"/>
      <c r="O1089" s="20" t="n"/>
      <c r="P1089" s="86" t="n"/>
      <c r="Q1089" s="89" t="n"/>
      <c r="R1089" s="89" t="n"/>
      <c r="S1089" s="89" t="n"/>
      <c r="T1089" s="59">
        <f>Boosters_And!U1089/C1089</f>
        <v/>
      </c>
      <c r="U1089" s="31" t="n"/>
      <c r="V1089" s="102" t="n"/>
    </row>
    <row r="1090" ht="20.25" customHeight="1" s="150">
      <c r="A1090" s="34" t="n">
        <v>1088</v>
      </c>
      <c r="B1090" s="34" t="n"/>
      <c r="C1090" s="34" t="n"/>
      <c r="D1090" s="34" t="n"/>
      <c r="E1090" s="34" t="n"/>
      <c r="F1090" s="86" t="n"/>
      <c r="G1090" s="86" t="n"/>
      <c r="H1090" s="111" t="n"/>
      <c r="I1090" s="87" t="n"/>
      <c r="J1090" s="87" t="n"/>
      <c r="K1090" s="111" t="n"/>
      <c r="L1090" s="86" t="n"/>
      <c r="M1090" s="101" t="n"/>
      <c r="N1090" s="88" t="n"/>
      <c r="O1090" s="20" t="n"/>
      <c r="P1090" s="86" t="n"/>
      <c r="Q1090" s="89" t="n"/>
      <c r="R1090" s="89" t="n"/>
      <c r="S1090" s="89" t="n"/>
      <c r="T1090" s="59">
        <f>Boosters_And!U1090/C1090</f>
        <v/>
      </c>
      <c r="U1090" s="31" t="n"/>
      <c r="V1090" s="102" t="n"/>
    </row>
    <row r="1091" ht="20.25" customHeight="1" s="150">
      <c r="A1091" s="34" t="n">
        <v>1089</v>
      </c>
      <c r="B1091" s="34" t="n"/>
      <c r="C1091" s="34" t="n"/>
      <c r="D1091" s="34" t="n"/>
      <c r="E1091" s="34" t="n"/>
      <c r="F1091" s="86" t="n"/>
      <c r="G1091" s="86" t="n"/>
      <c r="H1091" s="111" t="n"/>
      <c r="I1091" s="87" t="n"/>
      <c r="J1091" s="87" t="n"/>
      <c r="K1091" s="111" t="n"/>
      <c r="L1091" s="86" t="n"/>
      <c r="M1091" s="101" t="n"/>
      <c r="N1091" s="88" t="n"/>
      <c r="O1091" s="20" t="n"/>
      <c r="P1091" s="86" t="n"/>
      <c r="Q1091" s="89" t="n"/>
      <c r="R1091" s="89" t="n"/>
      <c r="S1091" s="89" t="n"/>
      <c r="T1091" s="59">
        <f>Boosters_And!U1091/C1091</f>
        <v/>
      </c>
      <c r="U1091" s="31" t="n"/>
      <c r="V1091" s="102" t="n"/>
    </row>
    <row r="1092" ht="20.25" customHeight="1" s="150">
      <c r="A1092" s="34" t="n">
        <v>1090</v>
      </c>
      <c r="B1092" s="34" t="n"/>
      <c r="C1092" s="34" t="n"/>
      <c r="D1092" s="34" t="n"/>
      <c r="E1092" s="34" t="n"/>
      <c r="F1092" s="86" t="n"/>
      <c r="G1092" s="86" t="n"/>
      <c r="H1092" s="111" t="n"/>
      <c r="I1092" s="87" t="n"/>
      <c r="J1092" s="87" t="n"/>
      <c r="K1092" s="111" t="n"/>
      <c r="L1092" s="86" t="n"/>
      <c r="M1092" s="101" t="n"/>
      <c r="N1092" s="88" t="n"/>
      <c r="O1092" s="20" t="n"/>
      <c r="P1092" s="86" t="n"/>
      <c r="Q1092" s="89" t="n"/>
      <c r="R1092" s="89" t="n"/>
      <c r="S1092" s="89" t="n"/>
      <c r="T1092" s="59">
        <f>Boosters_And!U1092/C1092</f>
        <v/>
      </c>
      <c r="U1092" s="31" t="n"/>
      <c r="V1092" s="102" t="n"/>
    </row>
    <row r="1093" ht="20.25" customHeight="1" s="150">
      <c r="A1093" s="34" t="n">
        <v>1091</v>
      </c>
      <c r="B1093" s="34" t="n"/>
      <c r="C1093" s="34" t="n"/>
      <c r="D1093" s="34" t="n"/>
      <c r="E1093" s="34" t="n"/>
      <c r="F1093" s="86" t="n"/>
      <c r="G1093" s="86" t="n"/>
      <c r="H1093" s="111" t="n"/>
      <c r="I1093" s="87" t="n"/>
      <c r="J1093" s="87" t="n"/>
      <c r="K1093" s="111" t="n"/>
      <c r="L1093" s="86" t="n"/>
      <c r="M1093" s="101" t="n"/>
      <c r="N1093" s="88" t="n"/>
      <c r="O1093" s="20" t="n"/>
      <c r="P1093" s="86" t="n"/>
      <c r="Q1093" s="89" t="n"/>
      <c r="R1093" s="89" t="n"/>
      <c r="S1093" s="89" t="n"/>
      <c r="T1093" s="59">
        <f>Boosters_And!U1093/C1093</f>
        <v/>
      </c>
      <c r="U1093" s="31" t="n"/>
      <c r="V1093" s="102" t="n"/>
    </row>
    <row r="1094" ht="20.25" customHeight="1" s="150">
      <c r="A1094" s="34" t="n">
        <v>1092</v>
      </c>
      <c r="B1094" s="34" t="n"/>
      <c r="C1094" s="34" t="n"/>
      <c r="D1094" s="34" t="n"/>
      <c r="E1094" s="34" t="n"/>
      <c r="F1094" s="86" t="n"/>
      <c r="G1094" s="86" t="n"/>
      <c r="H1094" s="111" t="n"/>
      <c r="I1094" s="87" t="n"/>
      <c r="J1094" s="87" t="n"/>
      <c r="K1094" s="111" t="n"/>
      <c r="L1094" s="86" t="n"/>
      <c r="M1094" s="101" t="n"/>
      <c r="N1094" s="88" t="n"/>
      <c r="O1094" s="20" t="n"/>
      <c r="P1094" s="86" t="n"/>
      <c r="Q1094" s="89" t="n"/>
      <c r="R1094" s="89" t="n"/>
      <c r="S1094" s="89" t="n"/>
      <c r="T1094" s="59">
        <f>Boosters_And!U1094/C1094</f>
        <v/>
      </c>
      <c r="U1094" s="31" t="n"/>
      <c r="V1094" s="102" t="n"/>
    </row>
    <row r="1095" ht="20.25" customHeight="1" s="150">
      <c r="A1095" s="34" t="n">
        <v>1093</v>
      </c>
      <c r="B1095" s="34" t="n"/>
      <c r="C1095" s="34" t="n"/>
      <c r="D1095" s="34" t="n"/>
      <c r="E1095" s="34" t="n"/>
      <c r="F1095" s="86" t="n"/>
      <c r="G1095" s="86" t="n"/>
      <c r="H1095" s="111" t="n"/>
      <c r="I1095" s="87" t="n"/>
      <c r="J1095" s="87" t="n"/>
      <c r="K1095" s="111" t="n"/>
      <c r="L1095" s="86" t="n"/>
      <c r="M1095" s="101" t="n"/>
      <c r="N1095" s="88" t="n"/>
      <c r="O1095" s="20" t="n"/>
      <c r="P1095" s="86" t="n"/>
      <c r="Q1095" s="89" t="n"/>
      <c r="R1095" s="89" t="n"/>
      <c r="S1095" s="89" t="n"/>
      <c r="T1095" s="59">
        <f>Boosters_And!U1095/C1095</f>
        <v/>
      </c>
      <c r="U1095" s="31" t="n"/>
      <c r="V1095" s="102" t="n"/>
    </row>
    <row r="1096" ht="20.25" customHeight="1" s="150">
      <c r="A1096" s="34" t="n">
        <v>1094</v>
      </c>
      <c r="B1096" s="34" t="n"/>
      <c r="C1096" s="34" t="n"/>
      <c r="D1096" s="34" t="n"/>
      <c r="E1096" s="34" t="n"/>
      <c r="F1096" s="86" t="n"/>
      <c r="G1096" s="86" t="n"/>
      <c r="H1096" s="111" t="n"/>
      <c r="I1096" s="87" t="n"/>
      <c r="J1096" s="87" t="n"/>
      <c r="K1096" s="111" t="n"/>
      <c r="L1096" s="86" t="n"/>
      <c r="M1096" s="101" t="n"/>
      <c r="N1096" s="88" t="n"/>
      <c r="O1096" s="20" t="n"/>
      <c r="P1096" s="86" t="n"/>
      <c r="Q1096" s="89" t="n"/>
      <c r="R1096" s="89" t="n"/>
      <c r="S1096" s="89" t="n"/>
      <c r="T1096" s="59">
        <f>Boosters_And!U1096/C1096</f>
        <v/>
      </c>
      <c r="U1096" s="31" t="n"/>
      <c r="V1096" s="102" t="n"/>
    </row>
    <row r="1097" ht="20.25" customHeight="1" s="150">
      <c r="A1097" s="34" t="n">
        <v>1095</v>
      </c>
      <c r="B1097" s="34" t="n"/>
      <c r="C1097" s="34" t="n"/>
      <c r="D1097" s="34" t="n"/>
      <c r="E1097" s="34" t="n"/>
      <c r="F1097" s="86" t="n"/>
      <c r="G1097" s="86" t="n"/>
      <c r="H1097" s="111" t="n"/>
      <c r="I1097" s="87" t="n"/>
      <c r="J1097" s="87" t="n"/>
      <c r="K1097" s="111" t="n"/>
      <c r="L1097" s="86" t="n"/>
      <c r="M1097" s="101" t="n"/>
      <c r="N1097" s="88" t="n"/>
      <c r="O1097" s="20" t="n"/>
      <c r="P1097" s="86" t="n"/>
      <c r="Q1097" s="89" t="n"/>
      <c r="R1097" s="89" t="n"/>
      <c r="S1097" s="89" t="n"/>
      <c r="T1097" s="59">
        <f>Boosters_And!U1097/C1097</f>
        <v/>
      </c>
      <c r="U1097" s="31" t="n"/>
      <c r="V1097" s="102" t="n"/>
    </row>
    <row r="1098" ht="20.25" customHeight="1" s="150">
      <c r="A1098" s="34" t="n">
        <v>1096</v>
      </c>
      <c r="B1098" s="34" t="n"/>
      <c r="C1098" s="34" t="n"/>
      <c r="D1098" s="34" t="n"/>
      <c r="E1098" s="34" t="n"/>
      <c r="F1098" s="86" t="n"/>
      <c r="G1098" s="86" t="n"/>
      <c r="H1098" s="111" t="n"/>
      <c r="I1098" s="87" t="n"/>
      <c r="J1098" s="87" t="n"/>
      <c r="K1098" s="111" t="n"/>
      <c r="L1098" s="86" t="n"/>
      <c r="M1098" s="101" t="n"/>
      <c r="N1098" s="88" t="n"/>
      <c r="O1098" s="20" t="n"/>
      <c r="P1098" s="86" t="n"/>
      <c r="Q1098" s="89" t="n"/>
      <c r="R1098" s="89" t="n"/>
      <c r="S1098" s="89" t="n"/>
      <c r="T1098" s="59">
        <f>Boosters_And!U1098/C1098</f>
        <v/>
      </c>
      <c r="U1098" s="31" t="n"/>
      <c r="V1098" s="102" t="n"/>
    </row>
    <row r="1099" ht="20.25" customHeight="1" s="150">
      <c r="A1099" s="34" t="n">
        <v>1097</v>
      </c>
      <c r="B1099" s="34" t="n"/>
      <c r="C1099" s="34" t="n"/>
      <c r="D1099" s="34" t="n"/>
      <c r="E1099" s="34" t="n"/>
      <c r="F1099" s="86" t="n"/>
      <c r="G1099" s="86" t="n"/>
      <c r="H1099" s="111" t="n"/>
      <c r="I1099" s="87" t="n"/>
      <c r="J1099" s="87" t="n"/>
      <c r="K1099" s="111" t="n"/>
      <c r="L1099" s="86" t="n"/>
      <c r="M1099" s="101" t="n"/>
      <c r="N1099" s="88" t="n"/>
      <c r="O1099" s="20" t="n"/>
      <c r="P1099" s="86" t="n"/>
      <c r="Q1099" s="89" t="n"/>
      <c r="R1099" s="89" t="n"/>
      <c r="S1099" s="89" t="n"/>
      <c r="T1099" s="59">
        <f>Boosters_And!U1099/C1099</f>
        <v/>
      </c>
      <c r="U1099" s="31" t="n"/>
      <c r="V1099" s="102" t="n"/>
    </row>
    <row r="1100" ht="20.25" customHeight="1" s="150">
      <c r="A1100" s="34" t="n">
        <v>1098</v>
      </c>
      <c r="B1100" s="34" t="n"/>
      <c r="C1100" s="34" t="n"/>
      <c r="D1100" s="34" t="n"/>
      <c r="E1100" s="34" t="n"/>
      <c r="F1100" s="86" t="n"/>
      <c r="G1100" s="86" t="n"/>
      <c r="H1100" s="111" t="n"/>
      <c r="I1100" s="87" t="n"/>
      <c r="J1100" s="87" t="n"/>
      <c r="K1100" s="111" t="n"/>
      <c r="L1100" s="86" t="n"/>
      <c r="M1100" s="101" t="n"/>
      <c r="N1100" s="88" t="n"/>
      <c r="O1100" s="20" t="n"/>
      <c r="P1100" s="86" t="n"/>
      <c r="Q1100" s="89" t="n"/>
      <c r="R1100" s="89" t="n"/>
      <c r="S1100" s="89" t="n"/>
      <c r="T1100" s="59">
        <f>Boosters_And!U1100/C1100</f>
        <v/>
      </c>
      <c r="U1100" s="31" t="n"/>
      <c r="V1100" s="102" t="n"/>
    </row>
    <row r="1101" ht="20.25" customHeight="1" s="150">
      <c r="A1101" s="34" t="n">
        <v>1099</v>
      </c>
      <c r="B1101" s="34" t="n"/>
      <c r="C1101" s="34" t="n"/>
      <c r="D1101" s="34" t="n"/>
      <c r="E1101" s="34" t="n"/>
      <c r="F1101" s="86" t="n"/>
      <c r="G1101" s="86" t="n"/>
      <c r="H1101" s="111" t="n"/>
      <c r="I1101" s="87" t="n"/>
      <c r="J1101" s="87" t="n"/>
      <c r="K1101" s="111" t="n"/>
      <c r="L1101" s="86" t="n"/>
      <c r="M1101" s="101" t="n"/>
      <c r="N1101" s="88" t="n"/>
      <c r="O1101" s="20" t="n"/>
      <c r="P1101" s="86" t="n"/>
      <c r="Q1101" s="89" t="n"/>
      <c r="R1101" s="89" t="n"/>
      <c r="S1101" s="89" t="n"/>
      <c r="T1101" s="59">
        <f>Boosters_And!U1101/C1101</f>
        <v/>
      </c>
      <c r="U1101" s="31" t="n"/>
      <c r="V1101" s="102" t="n"/>
    </row>
    <row r="1102" ht="20.25" customHeight="1" s="150">
      <c r="A1102" s="34" t="n">
        <v>1100</v>
      </c>
      <c r="B1102" s="34" t="n"/>
      <c r="C1102" s="34" t="n"/>
      <c r="D1102" s="34" t="n"/>
      <c r="E1102" s="34" t="n"/>
      <c r="F1102" s="86" t="n"/>
      <c r="G1102" s="86" t="n"/>
      <c r="H1102" s="111" t="n"/>
      <c r="I1102" s="87" t="n"/>
      <c r="J1102" s="87" t="n"/>
      <c r="K1102" s="111" t="n"/>
      <c r="L1102" s="86" t="n"/>
      <c r="M1102" s="101" t="n"/>
      <c r="N1102" s="88" t="n"/>
      <c r="O1102" s="20" t="n"/>
      <c r="P1102" s="86" t="n"/>
      <c r="Q1102" s="89" t="n"/>
      <c r="R1102" s="89" t="n"/>
      <c r="S1102" s="89" t="n"/>
      <c r="T1102" s="59">
        <f>Boosters_And!U1102/C1102</f>
        <v/>
      </c>
      <c r="U1102" s="31" t="n"/>
      <c r="V1102" s="102" t="n"/>
    </row>
    <row r="1103" ht="20.25" customHeight="1" s="150">
      <c r="A1103" s="34" t="n">
        <v>1101</v>
      </c>
      <c r="B1103" s="34" t="n"/>
      <c r="C1103" s="34" t="n"/>
      <c r="D1103" s="34" t="n"/>
      <c r="E1103" s="34" t="n"/>
      <c r="F1103" s="86" t="n"/>
      <c r="G1103" s="86" t="n"/>
      <c r="H1103" s="111" t="n"/>
      <c r="I1103" s="87" t="n"/>
      <c r="J1103" s="87" t="n"/>
      <c r="K1103" s="111" t="n"/>
      <c r="L1103" s="86" t="n"/>
      <c r="M1103" s="101" t="n"/>
      <c r="N1103" s="88" t="n"/>
      <c r="O1103" s="20" t="n"/>
      <c r="P1103" s="86" t="n"/>
      <c r="Q1103" s="89" t="n"/>
      <c r="R1103" s="89" t="n"/>
      <c r="S1103" s="89" t="n"/>
      <c r="T1103" s="59">
        <f>Boosters_And!U1103/C1103</f>
        <v/>
      </c>
      <c r="U1103" s="31" t="n"/>
      <c r="V1103" s="102" t="n"/>
    </row>
    <row r="1104" ht="20.25" customHeight="1" s="150">
      <c r="A1104" s="34" t="n">
        <v>1102</v>
      </c>
      <c r="B1104" s="34" t="n"/>
      <c r="C1104" s="34" t="n"/>
      <c r="D1104" s="34" t="n"/>
      <c r="E1104" s="34" t="n"/>
      <c r="F1104" s="86" t="n"/>
      <c r="G1104" s="86" t="n"/>
      <c r="H1104" s="111" t="n"/>
      <c r="I1104" s="87" t="n"/>
      <c r="J1104" s="87" t="n"/>
      <c r="K1104" s="111" t="n"/>
      <c r="L1104" s="86" t="n"/>
      <c r="M1104" s="101" t="n"/>
      <c r="N1104" s="88" t="n"/>
      <c r="O1104" s="20" t="n"/>
      <c r="P1104" s="86" t="n"/>
      <c r="Q1104" s="89" t="n"/>
      <c r="R1104" s="89" t="n"/>
      <c r="S1104" s="89" t="n"/>
      <c r="T1104" s="59">
        <f>Boosters_And!U1104/C1104</f>
        <v/>
      </c>
      <c r="U1104" s="31" t="n"/>
      <c r="V1104" s="102" t="n"/>
    </row>
    <row r="1105" ht="20.25" customHeight="1" s="150">
      <c r="A1105" s="34" t="n">
        <v>1103</v>
      </c>
      <c r="B1105" s="34" t="n"/>
      <c r="C1105" s="34" t="n"/>
      <c r="D1105" s="34" t="n"/>
      <c r="E1105" s="34" t="n"/>
      <c r="F1105" s="86" t="n"/>
      <c r="G1105" s="86" t="n"/>
      <c r="H1105" s="111" t="n"/>
      <c r="I1105" s="87" t="n"/>
      <c r="J1105" s="87" t="n"/>
      <c r="K1105" s="111" t="n"/>
      <c r="L1105" s="86" t="n"/>
      <c r="M1105" s="101" t="n"/>
      <c r="N1105" s="88" t="n"/>
      <c r="O1105" s="20" t="n"/>
      <c r="P1105" s="86" t="n"/>
      <c r="Q1105" s="89" t="n"/>
      <c r="R1105" s="89" t="n"/>
      <c r="S1105" s="89" t="n"/>
      <c r="T1105" s="59">
        <f>Boosters_And!U1105/C1105</f>
        <v/>
      </c>
      <c r="U1105" s="31" t="n"/>
      <c r="V1105" s="102" t="n"/>
    </row>
    <row r="1106" ht="20.25" customHeight="1" s="150">
      <c r="A1106" s="34" t="n">
        <v>1104</v>
      </c>
      <c r="B1106" s="34" t="n"/>
      <c r="C1106" s="34" t="n"/>
      <c r="D1106" s="34" t="n"/>
      <c r="E1106" s="34" t="n"/>
      <c r="F1106" s="86" t="n"/>
      <c r="G1106" s="86" t="n"/>
      <c r="H1106" s="111" t="n"/>
      <c r="I1106" s="87" t="n"/>
      <c r="J1106" s="87" t="n"/>
      <c r="K1106" s="111" t="n"/>
      <c r="L1106" s="86" t="n"/>
      <c r="M1106" s="101" t="n"/>
      <c r="N1106" s="88" t="n"/>
      <c r="O1106" s="20" t="n"/>
      <c r="P1106" s="86" t="n"/>
      <c r="Q1106" s="89" t="n"/>
      <c r="R1106" s="89" t="n"/>
      <c r="S1106" s="89" t="n"/>
      <c r="T1106" s="59">
        <f>Boosters_And!U1106/C1106</f>
        <v/>
      </c>
      <c r="U1106" s="31" t="n"/>
      <c r="V1106" s="102" t="n"/>
    </row>
    <row r="1107" ht="20.25" customHeight="1" s="150">
      <c r="A1107" s="34" t="n">
        <v>1105</v>
      </c>
      <c r="B1107" s="34" t="n"/>
      <c r="C1107" s="34" t="n"/>
      <c r="D1107" s="34" t="n"/>
      <c r="E1107" s="34" t="n"/>
      <c r="F1107" s="86" t="n"/>
      <c r="G1107" s="86" t="n"/>
      <c r="H1107" s="111" t="n"/>
      <c r="I1107" s="87" t="n"/>
      <c r="J1107" s="87" t="n"/>
      <c r="K1107" s="111" t="n"/>
      <c r="L1107" s="86" t="n"/>
      <c r="M1107" s="101" t="n"/>
      <c r="N1107" s="88" t="n"/>
      <c r="O1107" s="20" t="n"/>
      <c r="P1107" s="86" t="n"/>
      <c r="Q1107" s="89" t="n"/>
      <c r="R1107" s="89" t="n"/>
      <c r="S1107" s="89" t="n"/>
      <c r="T1107" s="59">
        <f>Boosters_And!U1107/C1107</f>
        <v/>
      </c>
      <c r="U1107" s="31" t="n"/>
      <c r="V1107" s="102" t="n"/>
    </row>
    <row r="1108" ht="20.25" customHeight="1" s="150">
      <c r="A1108" s="34" t="n">
        <v>1106</v>
      </c>
      <c r="B1108" s="34" t="n"/>
      <c r="C1108" s="34" t="n"/>
      <c r="D1108" s="34" t="n"/>
      <c r="E1108" s="34" t="n"/>
      <c r="F1108" s="86" t="n"/>
      <c r="G1108" s="86" t="n"/>
      <c r="H1108" s="111" t="n"/>
      <c r="I1108" s="87" t="n"/>
      <c r="J1108" s="87" t="n"/>
      <c r="K1108" s="111" t="n"/>
      <c r="L1108" s="86" t="n"/>
      <c r="M1108" s="101" t="n"/>
      <c r="N1108" s="88" t="n"/>
      <c r="O1108" s="20" t="n"/>
      <c r="P1108" s="86" t="n"/>
      <c r="Q1108" s="89" t="n"/>
      <c r="R1108" s="89" t="n"/>
      <c r="S1108" s="89" t="n"/>
      <c r="T1108" s="59">
        <f>Boosters_And!U1108/C1108</f>
        <v/>
      </c>
      <c r="U1108" s="31" t="n"/>
      <c r="V1108" s="102" t="n"/>
    </row>
    <row r="1109" ht="20.25" customHeight="1" s="150">
      <c r="A1109" s="34" t="n">
        <v>1107</v>
      </c>
      <c r="B1109" s="34" t="n"/>
      <c r="C1109" s="34" t="n"/>
      <c r="D1109" s="34" t="n"/>
      <c r="E1109" s="34" t="n"/>
      <c r="F1109" s="86" t="n"/>
      <c r="G1109" s="86" t="n"/>
      <c r="H1109" s="111" t="n"/>
      <c r="I1109" s="87" t="n"/>
      <c r="J1109" s="87" t="n"/>
      <c r="K1109" s="111" t="n"/>
      <c r="L1109" s="86" t="n"/>
      <c r="M1109" s="101" t="n"/>
      <c r="N1109" s="88" t="n"/>
      <c r="O1109" s="20" t="n"/>
      <c r="P1109" s="86" t="n"/>
      <c r="Q1109" s="89" t="n"/>
      <c r="R1109" s="89" t="n"/>
      <c r="S1109" s="89" t="n"/>
      <c r="T1109" s="59">
        <f>Boosters_And!U1109/C1109</f>
        <v/>
      </c>
      <c r="U1109" s="31" t="n"/>
      <c r="V1109" s="102" t="n"/>
    </row>
    <row r="1110" ht="20.25" customHeight="1" s="150">
      <c r="A1110" s="34" t="n">
        <v>1108</v>
      </c>
      <c r="B1110" s="34" t="n"/>
      <c r="C1110" s="34" t="n"/>
      <c r="D1110" s="34" t="n"/>
      <c r="E1110" s="34" t="n"/>
      <c r="F1110" s="86" t="n"/>
      <c r="G1110" s="86" t="n"/>
      <c r="H1110" s="111" t="n"/>
      <c r="I1110" s="87" t="n"/>
      <c r="J1110" s="87" t="n"/>
      <c r="K1110" s="111" t="n"/>
      <c r="L1110" s="86" t="n"/>
      <c r="M1110" s="101" t="n"/>
      <c r="N1110" s="88" t="n"/>
      <c r="O1110" s="20" t="n"/>
      <c r="P1110" s="86" t="n"/>
      <c r="Q1110" s="89" t="n"/>
      <c r="R1110" s="89" t="n"/>
      <c r="S1110" s="89" t="n"/>
      <c r="T1110" s="59">
        <f>Boosters_And!U1110/C1110</f>
        <v/>
      </c>
      <c r="U1110" s="31" t="n"/>
      <c r="V1110" s="102" t="n"/>
    </row>
    <row r="1111" ht="20.25" customHeight="1" s="150">
      <c r="A1111" s="34" t="n">
        <v>1109</v>
      </c>
      <c r="B1111" s="34" t="n"/>
      <c r="C1111" s="34" t="n"/>
      <c r="D1111" s="34" t="n"/>
      <c r="E1111" s="34" t="n"/>
      <c r="F1111" s="86" t="n"/>
      <c r="G1111" s="86" t="n"/>
      <c r="H1111" s="111" t="n"/>
      <c r="I1111" s="87" t="n"/>
      <c r="J1111" s="87" t="n"/>
      <c r="K1111" s="111" t="n"/>
      <c r="L1111" s="86" t="n"/>
      <c r="M1111" s="101" t="n"/>
      <c r="N1111" s="88" t="n"/>
      <c r="O1111" s="20" t="n"/>
      <c r="P1111" s="86" t="n"/>
      <c r="Q1111" s="89" t="n"/>
      <c r="R1111" s="89" t="n"/>
      <c r="S1111" s="89" t="n"/>
      <c r="T1111" s="59">
        <f>Boosters_And!U1111/C1111</f>
        <v/>
      </c>
      <c r="U1111" s="31" t="n"/>
      <c r="V1111" s="102" t="n"/>
    </row>
    <row r="1112" ht="20.25" customHeight="1" s="150">
      <c r="A1112" s="34" t="n">
        <v>1110</v>
      </c>
      <c r="B1112" s="34" t="n"/>
      <c r="C1112" s="34" t="n"/>
      <c r="D1112" s="34" t="n"/>
      <c r="E1112" s="34" t="n"/>
      <c r="F1112" s="86" t="n"/>
      <c r="G1112" s="86" t="n"/>
      <c r="H1112" s="111" t="n"/>
      <c r="I1112" s="87" t="n"/>
      <c r="J1112" s="87" t="n"/>
      <c r="K1112" s="111" t="n"/>
      <c r="L1112" s="86" t="n"/>
      <c r="M1112" s="101" t="n"/>
      <c r="N1112" s="88" t="n"/>
      <c r="O1112" s="20" t="n"/>
      <c r="P1112" s="86" t="n"/>
      <c r="Q1112" s="89" t="n"/>
      <c r="R1112" s="89" t="n"/>
      <c r="S1112" s="89" t="n"/>
      <c r="T1112" s="59">
        <f>Boosters_And!U1112/C1112</f>
        <v/>
      </c>
      <c r="U1112" s="31" t="n"/>
      <c r="V1112" s="102" t="n"/>
    </row>
    <row r="1113" ht="20.25" customHeight="1" s="150">
      <c r="A1113" s="34" t="n">
        <v>1111</v>
      </c>
      <c r="B1113" s="34" t="n"/>
      <c r="C1113" s="34" t="n"/>
      <c r="D1113" s="34" t="n"/>
      <c r="E1113" s="34" t="n"/>
      <c r="F1113" s="86" t="n"/>
      <c r="G1113" s="86" t="n"/>
      <c r="H1113" s="111" t="n"/>
      <c r="I1113" s="87" t="n"/>
      <c r="J1113" s="87" t="n"/>
      <c r="K1113" s="111" t="n"/>
      <c r="L1113" s="86" t="n"/>
      <c r="M1113" s="101" t="n"/>
      <c r="N1113" s="88" t="n"/>
      <c r="O1113" s="20" t="n"/>
      <c r="P1113" s="86" t="n"/>
      <c r="Q1113" s="89" t="n"/>
      <c r="R1113" s="89" t="n"/>
      <c r="S1113" s="89" t="n"/>
      <c r="T1113" s="59">
        <f>Boosters_And!U1113/C1113</f>
        <v/>
      </c>
      <c r="U1113" s="31" t="n"/>
      <c r="V1113" s="102" t="n"/>
    </row>
    <row r="1114" ht="20.25" customHeight="1" s="150">
      <c r="A1114" s="34" t="n">
        <v>1112</v>
      </c>
      <c r="B1114" s="34" t="n"/>
      <c r="C1114" s="34" t="n"/>
      <c r="D1114" s="34" t="n"/>
      <c r="E1114" s="34" t="n"/>
      <c r="F1114" s="86" t="n"/>
      <c r="G1114" s="86" t="n"/>
      <c r="H1114" s="111" t="n"/>
      <c r="I1114" s="87" t="n"/>
      <c r="J1114" s="87" t="n"/>
      <c r="K1114" s="111" t="n"/>
      <c r="L1114" s="86" t="n"/>
      <c r="M1114" s="101" t="n"/>
      <c r="N1114" s="88" t="n"/>
      <c r="O1114" s="20" t="n"/>
      <c r="P1114" s="86" t="n"/>
      <c r="Q1114" s="89" t="n"/>
      <c r="R1114" s="89" t="n"/>
      <c r="S1114" s="89" t="n"/>
      <c r="T1114" s="59">
        <f>Boosters_And!U1114/C1114</f>
        <v/>
      </c>
      <c r="U1114" s="31" t="n"/>
      <c r="V1114" s="102" t="n"/>
    </row>
    <row r="1115" ht="20.25" customHeight="1" s="150">
      <c r="A1115" s="34" t="n">
        <v>1113</v>
      </c>
      <c r="B1115" s="34" t="n"/>
      <c r="C1115" s="34" t="n"/>
      <c r="D1115" s="34" t="n"/>
      <c r="E1115" s="34" t="n"/>
      <c r="F1115" s="86" t="n"/>
      <c r="G1115" s="86" t="n"/>
      <c r="H1115" s="111" t="n"/>
      <c r="I1115" s="87" t="n"/>
      <c r="J1115" s="87" t="n"/>
      <c r="K1115" s="111" t="n"/>
      <c r="L1115" s="86" t="n"/>
      <c r="M1115" s="101" t="n"/>
      <c r="N1115" s="88" t="n"/>
      <c r="O1115" s="20" t="n"/>
      <c r="P1115" s="86" t="n"/>
      <c r="Q1115" s="89" t="n"/>
      <c r="R1115" s="89" t="n"/>
      <c r="S1115" s="89" t="n"/>
      <c r="T1115" s="59">
        <f>Boosters_And!U1115/C1115</f>
        <v/>
      </c>
      <c r="U1115" s="31" t="n"/>
      <c r="V1115" s="102" t="n"/>
    </row>
    <row r="1116" ht="20.25" customHeight="1" s="150">
      <c r="A1116" s="34" t="n">
        <v>1114</v>
      </c>
      <c r="B1116" s="34" t="n"/>
      <c r="C1116" s="34" t="n"/>
      <c r="D1116" s="34" t="n"/>
      <c r="E1116" s="34" t="n"/>
      <c r="F1116" s="86" t="n"/>
      <c r="G1116" s="86" t="n"/>
      <c r="H1116" s="111" t="n"/>
      <c r="I1116" s="87" t="n"/>
      <c r="J1116" s="87" t="n"/>
      <c r="K1116" s="111" t="n"/>
      <c r="L1116" s="86" t="n"/>
      <c r="M1116" s="101" t="n"/>
      <c r="N1116" s="88" t="n"/>
      <c r="O1116" s="20" t="n"/>
      <c r="P1116" s="86" t="n"/>
      <c r="Q1116" s="89" t="n"/>
      <c r="R1116" s="89" t="n"/>
      <c r="S1116" s="89" t="n"/>
      <c r="T1116" s="59">
        <f>Boosters_And!U1116/C1116</f>
        <v/>
      </c>
      <c r="U1116" s="31" t="n"/>
      <c r="V1116" s="102" t="n"/>
    </row>
    <row r="1117" ht="20.25" customHeight="1" s="150">
      <c r="A1117" s="34" t="n">
        <v>1115</v>
      </c>
      <c r="B1117" s="34" t="n"/>
      <c r="C1117" s="34" t="n"/>
      <c r="D1117" s="34" t="n"/>
      <c r="E1117" s="34" t="n"/>
      <c r="F1117" s="86" t="n"/>
      <c r="G1117" s="86" t="n"/>
      <c r="H1117" s="111" t="n"/>
      <c r="I1117" s="87" t="n"/>
      <c r="J1117" s="87" t="n"/>
      <c r="K1117" s="111" t="n"/>
      <c r="L1117" s="86" t="n"/>
      <c r="M1117" s="101" t="n"/>
      <c r="N1117" s="88" t="n"/>
      <c r="O1117" s="20" t="n"/>
      <c r="P1117" s="86" t="n"/>
      <c r="Q1117" s="89" t="n"/>
      <c r="R1117" s="89" t="n"/>
      <c r="S1117" s="89" t="n"/>
      <c r="T1117" s="59">
        <f>Boosters_And!U1117/C1117</f>
        <v/>
      </c>
      <c r="U1117" s="31" t="n"/>
      <c r="V1117" s="102" t="n"/>
    </row>
    <row r="1118" ht="20.25" customHeight="1" s="150">
      <c r="A1118" s="34" t="n">
        <v>1116</v>
      </c>
      <c r="B1118" s="34" t="n"/>
      <c r="C1118" s="34" t="n"/>
      <c r="D1118" s="34" t="n"/>
      <c r="E1118" s="34" t="n"/>
      <c r="F1118" s="86" t="n"/>
      <c r="G1118" s="86" t="n"/>
      <c r="H1118" s="111" t="n"/>
      <c r="I1118" s="87" t="n"/>
      <c r="J1118" s="87" t="n"/>
      <c r="K1118" s="111" t="n"/>
      <c r="L1118" s="86" t="n"/>
      <c r="M1118" s="101" t="n"/>
      <c r="N1118" s="88" t="n"/>
      <c r="O1118" s="20" t="n"/>
      <c r="P1118" s="86" t="n"/>
      <c r="Q1118" s="89" t="n"/>
      <c r="R1118" s="89" t="n"/>
      <c r="S1118" s="89" t="n"/>
      <c r="T1118" s="59">
        <f>Boosters_And!U1118/C1118</f>
        <v/>
      </c>
      <c r="U1118" s="31" t="n"/>
      <c r="V1118" s="102" t="n"/>
    </row>
    <row r="1119" ht="20.25" customHeight="1" s="150">
      <c r="A1119" s="34" t="n">
        <v>1117</v>
      </c>
      <c r="B1119" s="34" t="n"/>
      <c r="C1119" s="34" t="n"/>
      <c r="D1119" s="34" t="n"/>
      <c r="E1119" s="34" t="n"/>
      <c r="F1119" s="86" t="n"/>
      <c r="G1119" s="86" t="n"/>
      <c r="H1119" s="111" t="n"/>
      <c r="I1119" s="87" t="n"/>
      <c r="J1119" s="87" t="n"/>
      <c r="K1119" s="111" t="n"/>
      <c r="L1119" s="86" t="n"/>
      <c r="M1119" s="101" t="n"/>
      <c r="N1119" s="88" t="n"/>
      <c r="O1119" s="20" t="n"/>
      <c r="P1119" s="86" t="n"/>
      <c r="Q1119" s="89" t="n"/>
      <c r="R1119" s="89" t="n"/>
      <c r="S1119" s="89" t="n"/>
      <c r="T1119" s="59">
        <f>Boosters_And!U1119/C1119</f>
        <v/>
      </c>
      <c r="U1119" s="31" t="n"/>
      <c r="V1119" s="102" t="n"/>
    </row>
    <row r="1120" ht="20.25" customHeight="1" s="150">
      <c r="A1120" s="34" t="n">
        <v>1118</v>
      </c>
      <c r="B1120" s="34" t="n"/>
      <c r="C1120" s="34" t="n"/>
      <c r="D1120" s="34" t="n"/>
      <c r="E1120" s="34" t="n"/>
      <c r="F1120" s="86" t="n"/>
      <c r="G1120" s="86" t="n"/>
      <c r="H1120" s="111" t="n"/>
      <c r="I1120" s="87" t="n"/>
      <c r="J1120" s="87" t="n"/>
      <c r="K1120" s="111" t="n"/>
      <c r="L1120" s="86" t="n"/>
      <c r="M1120" s="101" t="n"/>
      <c r="N1120" s="88" t="n"/>
      <c r="O1120" s="20" t="n"/>
      <c r="P1120" s="86" t="n"/>
      <c r="Q1120" s="89" t="n"/>
      <c r="R1120" s="89" t="n"/>
      <c r="S1120" s="89" t="n"/>
      <c r="T1120" s="59">
        <f>Boosters_And!U1120/C1120</f>
        <v/>
      </c>
      <c r="U1120" s="31" t="n"/>
      <c r="V1120" s="102" t="n"/>
    </row>
    <row r="1121" ht="20.25" customHeight="1" s="150">
      <c r="A1121" s="34" t="n">
        <v>1119</v>
      </c>
      <c r="B1121" s="34" t="n"/>
      <c r="C1121" s="34" t="n"/>
      <c r="D1121" s="34" t="n"/>
      <c r="E1121" s="34" t="n"/>
      <c r="F1121" s="86" t="n"/>
      <c r="G1121" s="86" t="n"/>
      <c r="H1121" s="111" t="n"/>
      <c r="I1121" s="87" t="n"/>
      <c r="J1121" s="87" t="n"/>
      <c r="K1121" s="111" t="n"/>
      <c r="L1121" s="86" t="n"/>
      <c r="M1121" s="101" t="n"/>
      <c r="N1121" s="88" t="n"/>
      <c r="O1121" s="20" t="n"/>
      <c r="P1121" s="86" t="n"/>
      <c r="Q1121" s="89" t="n"/>
      <c r="R1121" s="89" t="n"/>
      <c r="S1121" s="89" t="n"/>
      <c r="T1121" s="59">
        <f>Boosters_And!U1121/C1121</f>
        <v/>
      </c>
      <c r="U1121" s="31" t="n"/>
      <c r="V1121" s="102" t="n"/>
    </row>
    <row r="1122" ht="20.25" customHeight="1" s="150">
      <c r="A1122" s="34" t="n">
        <v>1120</v>
      </c>
      <c r="B1122" s="34" t="n"/>
      <c r="C1122" s="34" t="n"/>
      <c r="D1122" s="34" t="n"/>
      <c r="E1122" s="34" t="n"/>
      <c r="F1122" s="86" t="n"/>
      <c r="G1122" s="86" t="n"/>
      <c r="H1122" s="111" t="n"/>
      <c r="I1122" s="87" t="n"/>
      <c r="J1122" s="87" t="n"/>
      <c r="K1122" s="111" t="n"/>
      <c r="L1122" s="86" t="n"/>
      <c r="M1122" s="101" t="n"/>
      <c r="N1122" s="88" t="n"/>
      <c r="O1122" s="20" t="n"/>
      <c r="P1122" s="86" t="n"/>
      <c r="Q1122" s="89" t="n"/>
      <c r="R1122" s="89" t="n"/>
      <c r="S1122" s="89" t="n"/>
      <c r="T1122" s="59">
        <f>Boosters_And!U1122/C1122</f>
        <v/>
      </c>
      <c r="U1122" s="31" t="n"/>
      <c r="V1122" s="102" t="n"/>
    </row>
    <row r="1123" ht="20.25" customHeight="1" s="150">
      <c r="A1123" s="34" t="n">
        <v>1121</v>
      </c>
      <c r="B1123" s="34" t="n"/>
      <c r="C1123" s="34" t="n"/>
      <c r="D1123" s="34" t="n"/>
      <c r="E1123" s="34" t="n"/>
      <c r="F1123" s="86" t="n"/>
      <c r="G1123" s="86" t="n"/>
      <c r="H1123" s="111" t="n"/>
      <c r="I1123" s="87" t="n"/>
      <c r="J1123" s="87" t="n"/>
      <c r="K1123" s="111" t="n"/>
      <c r="L1123" s="86" t="n"/>
      <c r="M1123" s="101" t="n"/>
      <c r="N1123" s="88" t="n"/>
      <c r="O1123" s="20" t="n"/>
      <c r="P1123" s="86" t="n"/>
      <c r="Q1123" s="89" t="n"/>
      <c r="R1123" s="89" t="n"/>
      <c r="S1123" s="89" t="n"/>
      <c r="T1123" s="59">
        <f>Boosters_And!U1123/C1123</f>
        <v/>
      </c>
      <c r="U1123" s="31" t="n"/>
      <c r="V1123" s="102" t="n"/>
    </row>
    <row r="1124" ht="20.25" customHeight="1" s="150">
      <c r="A1124" s="34" t="n">
        <v>1122</v>
      </c>
      <c r="B1124" s="34" t="n"/>
      <c r="C1124" s="34" t="n"/>
      <c r="D1124" s="34" t="n"/>
      <c r="E1124" s="34" t="n"/>
      <c r="F1124" s="86" t="n"/>
      <c r="G1124" s="86" t="n"/>
      <c r="H1124" s="111" t="n"/>
      <c r="I1124" s="87" t="n"/>
      <c r="J1124" s="87" t="n"/>
      <c r="K1124" s="111" t="n"/>
      <c r="L1124" s="86" t="n"/>
      <c r="M1124" s="101" t="n"/>
      <c r="N1124" s="88" t="n"/>
      <c r="O1124" s="20" t="n"/>
      <c r="P1124" s="86" t="n"/>
      <c r="Q1124" s="89" t="n"/>
      <c r="R1124" s="89" t="n"/>
      <c r="S1124" s="89" t="n"/>
      <c r="T1124" s="59">
        <f>Boosters_And!U1124/C1124</f>
        <v/>
      </c>
      <c r="U1124" s="31" t="n"/>
      <c r="V1124" s="102" t="n"/>
    </row>
    <row r="1125" ht="20.25" customHeight="1" s="150">
      <c r="A1125" s="34" t="n">
        <v>1123</v>
      </c>
      <c r="B1125" s="34" t="n"/>
      <c r="C1125" s="34" t="n"/>
      <c r="D1125" s="34" t="n"/>
      <c r="E1125" s="34" t="n"/>
      <c r="F1125" s="86" t="n"/>
      <c r="G1125" s="86" t="n"/>
      <c r="H1125" s="111" t="n"/>
      <c r="I1125" s="87" t="n"/>
      <c r="J1125" s="87" t="n"/>
      <c r="K1125" s="111" t="n"/>
      <c r="L1125" s="86" t="n"/>
      <c r="M1125" s="101" t="n"/>
      <c r="N1125" s="88" t="n"/>
      <c r="O1125" s="20" t="n"/>
      <c r="P1125" s="86" t="n"/>
      <c r="Q1125" s="89" t="n"/>
      <c r="R1125" s="89" t="n"/>
      <c r="S1125" s="89" t="n"/>
      <c r="T1125" s="59">
        <f>Boosters_And!U1125/C1125</f>
        <v/>
      </c>
      <c r="U1125" s="31" t="n"/>
      <c r="V1125" s="102" t="n"/>
    </row>
    <row r="1126" ht="20.25" customHeight="1" s="150">
      <c r="A1126" s="34" t="n">
        <v>1124</v>
      </c>
      <c r="B1126" s="34" t="n"/>
      <c r="C1126" s="34" t="n"/>
      <c r="D1126" s="34" t="n"/>
      <c r="E1126" s="34" t="n"/>
      <c r="F1126" s="86" t="n"/>
      <c r="G1126" s="86" t="n"/>
      <c r="H1126" s="111" t="n"/>
      <c r="I1126" s="87" t="n"/>
      <c r="J1126" s="87" t="n"/>
      <c r="K1126" s="111" t="n"/>
      <c r="L1126" s="86" t="n"/>
      <c r="M1126" s="101" t="n"/>
      <c r="N1126" s="88" t="n"/>
      <c r="O1126" s="20" t="n"/>
      <c r="P1126" s="86" t="n"/>
      <c r="Q1126" s="89" t="n"/>
      <c r="R1126" s="89" t="n"/>
      <c r="S1126" s="89" t="n"/>
      <c r="T1126" s="59">
        <f>Boosters_And!U1126/C1126</f>
        <v/>
      </c>
      <c r="U1126" s="31" t="n"/>
      <c r="V1126" s="102" t="n"/>
    </row>
    <row r="1127" ht="20.25" customHeight="1" s="150">
      <c r="A1127" s="34" t="n">
        <v>1125</v>
      </c>
      <c r="B1127" s="34" t="n"/>
      <c r="C1127" s="34" t="n"/>
      <c r="D1127" s="34" t="n"/>
      <c r="E1127" s="34" t="n"/>
      <c r="F1127" s="86" t="n"/>
      <c r="G1127" s="86" t="n"/>
      <c r="H1127" s="111" t="n"/>
      <c r="I1127" s="87" t="n"/>
      <c r="J1127" s="87" t="n"/>
      <c r="K1127" s="111" t="n"/>
      <c r="L1127" s="86" t="n"/>
      <c r="M1127" s="101" t="n"/>
      <c r="N1127" s="88" t="n"/>
      <c r="O1127" s="20" t="n"/>
      <c r="P1127" s="86" t="n"/>
      <c r="Q1127" s="89" t="n"/>
      <c r="R1127" s="89" t="n"/>
      <c r="S1127" s="89" t="n"/>
      <c r="T1127" s="59">
        <f>Boosters_And!U1127/C1127</f>
        <v/>
      </c>
      <c r="U1127" s="31" t="n"/>
      <c r="V1127" s="102" t="n"/>
    </row>
    <row r="1128" ht="20.25" customHeight="1" s="150">
      <c r="A1128" s="34" t="n">
        <v>1126</v>
      </c>
      <c r="B1128" s="34" t="n"/>
      <c r="C1128" s="34" t="n"/>
      <c r="D1128" s="34" t="n"/>
      <c r="E1128" s="34" t="n"/>
      <c r="F1128" s="86" t="n"/>
      <c r="G1128" s="86" t="n"/>
      <c r="H1128" s="111" t="n"/>
      <c r="I1128" s="87" t="n"/>
      <c r="J1128" s="87" t="n"/>
      <c r="K1128" s="111" t="n"/>
      <c r="L1128" s="86" t="n"/>
      <c r="M1128" s="101" t="n"/>
      <c r="N1128" s="88" t="n"/>
      <c r="O1128" s="20" t="n"/>
      <c r="P1128" s="86" t="n"/>
      <c r="Q1128" s="89" t="n"/>
      <c r="R1128" s="89" t="n"/>
      <c r="S1128" s="89" t="n"/>
      <c r="T1128" s="59">
        <f>Boosters_And!U1128/C1128</f>
        <v/>
      </c>
      <c r="U1128" s="31" t="n"/>
      <c r="V1128" s="102" t="n"/>
    </row>
    <row r="1129" ht="20.25" customHeight="1" s="150">
      <c r="A1129" s="34" t="n">
        <v>1127</v>
      </c>
      <c r="B1129" s="34" t="n"/>
      <c r="C1129" s="34" t="n"/>
      <c r="D1129" s="34" t="n"/>
      <c r="E1129" s="34" t="n"/>
      <c r="F1129" s="86" t="n"/>
      <c r="G1129" s="86" t="n"/>
      <c r="H1129" s="111" t="n"/>
      <c r="I1129" s="87" t="n"/>
      <c r="J1129" s="87" t="n"/>
      <c r="K1129" s="111" t="n"/>
      <c r="L1129" s="86" t="n"/>
      <c r="M1129" s="101" t="n"/>
      <c r="N1129" s="88" t="n"/>
      <c r="O1129" s="20" t="n"/>
      <c r="P1129" s="86" t="n"/>
      <c r="Q1129" s="89" t="n"/>
      <c r="R1129" s="89" t="n"/>
      <c r="S1129" s="89" t="n"/>
      <c r="T1129" s="59">
        <f>Boosters_And!U1129/C1129</f>
        <v/>
      </c>
      <c r="U1129" s="31" t="n"/>
      <c r="V1129" s="102" t="n"/>
    </row>
    <row r="1130" ht="20.25" customHeight="1" s="150">
      <c r="A1130" s="34" t="n">
        <v>1128</v>
      </c>
      <c r="B1130" s="34" t="n"/>
      <c r="C1130" s="34" t="n"/>
      <c r="D1130" s="34" t="n"/>
      <c r="E1130" s="34" t="n"/>
      <c r="F1130" s="86" t="n"/>
      <c r="G1130" s="86" t="n"/>
      <c r="H1130" s="111" t="n"/>
      <c r="I1130" s="87" t="n"/>
      <c r="J1130" s="87" t="n"/>
      <c r="K1130" s="111" t="n"/>
      <c r="L1130" s="86" t="n"/>
      <c r="M1130" s="101" t="n"/>
      <c r="N1130" s="88" t="n"/>
      <c r="O1130" s="20" t="n"/>
      <c r="P1130" s="86" t="n"/>
      <c r="Q1130" s="89" t="n"/>
      <c r="R1130" s="89" t="n"/>
      <c r="S1130" s="89" t="n"/>
      <c r="T1130" s="59">
        <f>Boosters_And!U1130/C1130</f>
        <v/>
      </c>
      <c r="U1130" s="31" t="n"/>
      <c r="V1130" s="102" t="n"/>
    </row>
    <row r="1131" ht="20.25" customHeight="1" s="150">
      <c r="A1131" s="34" t="n">
        <v>1129</v>
      </c>
      <c r="B1131" s="34" t="n"/>
      <c r="C1131" s="34" t="n"/>
      <c r="D1131" s="34" t="n"/>
      <c r="E1131" s="34" t="n"/>
      <c r="F1131" s="86" t="n"/>
      <c r="G1131" s="86" t="n"/>
      <c r="H1131" s="111" t="n"/>
      <c r="I1131" s="87" t="n"/>
      <c r="J1131" s="87" t="n"/>
      <c r="K1131" s="111" t="n"/>
      <c r="L1131" s="86" t="n"/>
      <c r="M1131" s="101" t="n"/>
      <c r="N1131" s="88" t="n"/>
      <c r="O1131" s="20" t="n"/>
      <c r="P1131" s="86" t="n"/>
      <c r="Q1131" s="89" t="n"/>
      <c r="R1131" s="89" t="n"/>
      <c r="S1131" s="89" t="n"/>
      <c r="T1131" s="59">
        <f>Boosters_And!U1131/C1131</f>
        <v/>
      </c>
      <c r="U1131" s="31" t="n"/>
      <c r="V1131" s="102" t="n"/>
    </row>
    <row r="1132" ht="20.25" customHeight="1" s="150">
      <c r="A1132" s="34" t="n">
        <v>1130</v>
      </c>
      <c r="B1132" s="34" t="n"/>
      <c r="C1132" s="34" t="n"/>
      <c r="D1132" s="34" t="n"/>
      <c r="E1132" s="34" t="n"/>
      <c r="F1132" s="86" t="n"/>
      <c r="G1132" s="86" t="n"/>
      <c r="H1132" s="111" t="n"/>
      <c r="I1132" s="87" t="n"/>
      <c r="J1132" s="87" t="n"/>
      <c r="K1132" s="111" t="n"/>
      <c r="L1132" s="86" t="n"/>
      <c r="M1132" s="101" t="n"/>
      <c r="N1132" s="88" t="n"/>
      <c r="O1132" s="20" t="n"/>
      <c r="P1132" s="86" t="n"/>
      <c r="Q1132" s="89" t="n"/>
      <c r="R1132" s="89" t="n"/>
      <c r="S1132" s="89" t="n"/>
      <c r="T1132" s="59">
        <f>Boosters_And!U1132/C1132</f>
        <v/>
      </c>
      <c r="U1132" s="31" t="n"/>
      <c r="V1132" s="102" t="n"/>
    </row>
    <row r="1133" ht="20.25" customHeight="1" s="150">
      <c r="A1133" s="34" t="n">
        <v>1131</v>
      </c>
      <c r="B1133" s="34" t="n"/>
      <c r="C1133" s="34" t="n"/>
      <c r="D1133" s="34" t="n"/>
      <c r="E1133" s="34" t="n"/>
      <c r="F1133" s="86" t="n"/>
      <c r="G1133" s="86" t="n"/>
      <c r="H1133" s="111" t="n"/>
      <c r="I1133" s="87" t="n"/>
      <c r="J1133" s="87" t="n"/>
      <c r="K1133" s="111" t="n"/>
      <c r="L1133" s="86" t="n"/>
      <c r="M1133" s="101" t="n"/>
      <c r="N1133" s="88" t="n"/>
      <c r="O1133" s="20" t="n"/>
      <c r="P1133" s="86" t="n"/>
      <c r="Q1133" s="89" t="n"/>
      <c r="R1133" s="89" t="n"/>
      <c r="S1133" s="89" t="n"/>
      <c r="T1133" s="59">
        <f>Boosters_And!U1133/C1133</f>
        <v/>
      </c>
      <c r="U1133" s="31" t="n"/>
      <c r="V1133" s="102" t="n"/>
    </row>
    <row r="1134" ht="20.25" customHeight="1" s="150">
      <c r="A1134" s="34" t="n">
        <v>1132</v>
      </c>
      <c r="B1134" s="34" t="n"/>
      <c r="C1134" s="34" t="n"/>
      <c r="D1134" s="34" t="n"/>
      <c r="E1134" s="34" t="n"/>
      <c r="F1134" s="86" t="n"/>
      <c r="G1134" s="86" t="n"/>
      <c r="H1134" s="111" t="n"/>
      <c r="I1134" s="87" t="n"/>
      <c r="J1134" s="87" t="n"/>
      <c r="K1134" s="111" t="n"/>
      <c r="L1134" s="86" t="n"/>
      <c r="M1134" s="101" t="n"/>
      <c r="N1134" s="88" t="n"/>
      <c r="O1134" s="20" t="n"/>
      <c r="P1134" s="86" t="n"/>
      <c r="Q1134" s="89" t="n"/>
      <c r="R1134" s="89" t="n"/>
      <c r="S1134" s="89" t="n"/>
      <c r="T1134" s="59">
        <f>Boosters_And!U1134/C1134</f>
        <v/>
      </c>
      <c r="U1134" s="31" t="n"/>
      <c r="V1134" s="102" t="n"/>
    </row>
    <row r="1135" ht="20.25" customHeight="1" s="150">
      <c r="A1135" s="34" t="n">
        <v>1133</v>
      </c>
      <c r="B1135" s="34" t="n"/>
      <c r="C1135" s="34" t="n"/>
      <c r="D1135" s="34" t="n"/>
      <c r="E1135" s="34" t="n"/>
      <c r="F1135" s="86" t="n"/>
      <c r="G1135" s="86" t="n"/>
      <c r="H1135" s="111" t="n"/>
      <c r="I1135" s="87" t="n"/>
      <c r="J1135" s="87" t="n"/>
      <c r="K1135" s="111" t="n"/>
      <c r="L1135" s="86" t="n"/>
      <c r="M1135" s="101" t="n"/>
      <c r="N1135" s="88" t="n"/>
      <c r="O1135" s="20" t="n"/>
      <c r="P1135" s="86" t="n"/>
      <c r="Q1135" s="89" t="n"/>
      <c r="R1135" s="89" t="n"/>
      <c r="S1135" s="89" t="n"/>
      <c r="T1135" s="59">
        <f>Boosters_And!U1135/C1135</f>
        <v/>
      </c>
      <c r="U1135" s="31" t="n"/>
      <c r="V1135" s="102" t="n"/>
    </row>
    <row r="1136" ht="20.25" customHeight="1" s="150">
      <c r="A1136" s="34" t="n">
        <v>1134</v>
      </c>
      <c r="B1136" s="34" t="n"/>
      <c r="C1136" s="34" t="n"/>
      <c r="D1136" s="34" t="n"/>
      <c r="E1136" s="34" t="n"/>
      <c r="F1136" s="86" t="n"/>
      <c r="G1136" s="86" t="n"/>
      <c r="H1136" s="111" t="n"/>
      <c r="I1136" s="87" t="n"/>
      <c r="J1136" s="87" t="n"/>
      <c r="K1136" s="111" t="n"/>
      <c r="L1136" s="86" t="n"/>
      <c r="M1136" s="101" t="n"/>
      <c r="N1136" s="88" t="n"/>
      <c r="O1136" s="20" t="n"/>
      <c r="P1136" s="86" t="n"/>
      <c r="Q1136" s="89" t="n"/>
      <c r="R1136" s="89" t="n"/>
      <c r="S1136" s="89" t="n"/>
      <c r="T1136" s="59">
        <f>Boosters_And!U1136/C1136</f>
        <v/>
      </c>
      <c r="U1136" s="31" t="n"/>
      <c r="V1136" s="102" t="n"/>
    </row>
    <row r="1137" ht="20.25" customHeight="1" s="150">
      <c r="A1137" s="34" t="n">
        <v>1135</v>
      </c>
      <c r="B1137" s="34" t="n"/>
      <c r="C1137" s="34" t="n"/>
      <c r="D1137" s="34" t="n"/>
      <c r="E1137" s="34" t="n"/>
      <c r="F1137" s="86" t="n"/>
      <c r="G1137" s="86" t="n"/>
      <c r="H1137" s="111" t="n"/>
      <c r="I1137" s="87" t="n"/>
      <c r="J1137" s="87" t="n"/>
      <c r="K1137" s="111" t="n"/>
      <c r="L1137" s="86" t="n"/>
      <c r="M1137" s="101" t="n"/>
      <c r="N1137" s="88" t="n"/>
      <c r="O1137" s="20" t="n"/>
      <c r="P1137" s="86" t="n"/>
      <c r="Q1137" s="89" t="n"/>
      <c r="R1137" s="89" t="n"/>
      <c r="S1137" s="89" t="n"/>
      <c r="T1137" s="59">
        <f>Boosters_And!U1137/C1137</f>
        <v/>
      </c>
      <c r="U1137" s="31" t="n"/>
      <c r="V1137" s="102" t="n"/>
    </row>
    <row r="1138" ht="20.25" customHeight="1" s="150">
      <c r="A1138" s="34" t="n">
        <v>1136</v>
      </c>
      <c r="B1138" s="34" t="n"/>
      <c r="C1138" s="34" t="n"/>
      <c r="D1138" s="34" t="n"/>
      <c r="E1138" s="34" t="n"/>
      <c r="F1138" s="86" t="n"/>
      <c r="G1138" s="86" t="n"/>
      <c r="H1138" s="111" t="n"/>
      <c r="I1138" s="87" t="n"/>
      <c r="J1138" s="87" t="n"/>
      <c r="K1138" s="111" t="n"/>
      <c r="L1138" s="86" t="n"/>
      <c r="M1138" s="101" t="n"/>
      <c r="N1138" s="88" t="n"/>
      <c r="O1138" s="20" t="n"/>
      <c r="P1138" s="86" t="n"/>
      <c r="Q1138" s="89" t="n"/>
      <c r="R1138" s="89" t="n"/>
      <c r="S1138" s="89" t="n"/>
      <c r="T1138" s="59">
        <f>Boosters_And!U1138/C1138</f>
        <v/>
      </c>
      <c r="U1138" s="31" t="n"/>
      <c r="V1138" s="102" t="n"/>
    </row>
    <row r="1139" ht="20.25" customHeight="1" s="150">
      <c r="A1139" s="34" t="n">
        <v>1137</v>
      </c>
      <c r="B1139" s="34" t="n"/>
      <c r="C1139" s="34" t="n"/>
      <c r="D1139" s="34" t="n"/>
      <c r="E1139" s="34" t="n"/>
      <c r="F1139" s="86" t="n"/>
      <c r="G1139" s="86" t="n"/>
      <c r="H1139" s="111" t="n"/>
      <c r="I1139" s="87" t="n"/>
      <c r="J1139" s="87" t="n"/>
      <c r="K1139" s="111" t="n"/>
      <c r="L1139" s="86" t="n"/>
      <c r="M1139" s="101" t="n"/>
      <c r="N1139" s="88" t="n"/>
      <c r="O1139" s="20" t="n"/>
      <c r="P1139" s="86" t="n"/>
      <c r="Q1139" s="89" t="n"/>
      <c r="R1139" s="89" t="n"/>
      <c r="S1139" s="89" t="n"/>
      <c r="T1139" s="59">
        <f>Boosters_And!U1139/C1139</f>
        <v/>
      </c>
      <c r="U1139" s="31" t="n"/>
      <c r="V1139" s="102" t="n"/>
    </row>
    <row r="1140" ht="20.25" customHeight="1" s="150">
      <c r="A1140" s="34" t="n">
        <v>1138</v>
      </c>
      <c r="B1140" s="34" t="n"/>
      <c r="C1140" s="34" t="n"/>
      <c r="D1140" s="34" t="n"/>
      <c r="E1140" s="34" t="n"/>
      <c r="F1140" s="86" t="n"/>
      <c r="G1140" s="86" t="n"/>
      <c r="H1140" s="111" t="n"/>
      <c r="I1140" s="87" t="n"/>
      <c r="J1140" s="87" t="n"/>
      <c r="K1140" s="111" t="n"/>
      <c r="L1140" s="86" t="n"/>
      <c r="M1140" s="101" t="n"/>
      <c r="N1140" s="88" t="n"/>
      <c r="O1140" s="20" t="n"/>
      <c r="P1140" s="86" t="n"/>
      <c r="Q1140" s="89" t="n"/>
      <c r="R1140" s="89" t="n"/>
      <c r="S1140" s="89" t="n"/>
      <c r="T1140" s="59">
        <f>Boosters_And!U1140/C1140</f>
        <v/>
      </c>
      <c r="U1140" s="31" t="n"/>
      <c r="V1140" s="102" t="n"/>
    </row>
    <row r="1141" ht="20.25" customHeight="1" s="150">
      <c r="A1141" s="34" t="n">
        <v>1139</v>
      </c>
      <c r="B1141" s="34" t="n"/>
      <c r="C1141" s="34" t="n"/>
      <c r="D1141" s="34" t="n"/>
      <c r="E1141" s="34" t="n"/>
      <c r="F1141" s="86" t="n"/>
      <c r="G1141" s="86" t="n"/>
      <c r="H1141" s="111" t="n"/>
      <c r="I1141" s="87" t="n"/>
      <c r="J1141" s="87" t="n"/>
      <c r="K1141" s="111" t="n"/>
      <c r="L1141" s="86" t="n"/>
      <c r="M1141" s="101" t="n"/>
      <c r="N1141" s="88" t="n"/>
      <c r="O1141" s="20" t="n"/>
      <c r="P1141" s="86" t="n"/>
      <c r="Q1141" s="89" t="n"/>
      <c r="R1141" s="89" t="n"/>
      <c r="S1141" s="89" t="n"/>
      <c r="T1141" s="59">
        <f>Boosters_And!U1141/C1141</f>
        <v/>
      </c>
      <c r="U1141" s="31" t="n"/>
      <c r="V1141" s="102" t="n"/>
    </row>
    <row r="1142" ht="20.25" customHeight="1" s="150">
      <c r="A1142" s="34" t="n">
        <v>1140</v>
      </c>
      <c r="B1142" s="34" t="n"/>
      <c r="C1142" s="34" t="n"/>
      <c r="D1142" s="34" t="n"/>
      <c r="E1142" s="34" t="n"/>
      <c r="F1142" s="86" t="n"/>
      <c r="G1142" s="86" t="n"/>
      <c r="H1142" s="111" t="n"/>
      <c r="I1142" s="87" t="n"/>
      <c r="J1142" s="87" t="n"/>
      <c r="K1142" s="111" t="n"/>
      <c r="L1142" s="86" t="n"/>
      <c r="M1142" s="101" t="n"/>
      <c r="N1142" s="88" t="n"/>
      <c r="O1142" s="20" t="n"/>
      <c r="P1142" s="86" t="n"/>
      <c r="Q1142" s="89" t="n"/>
      <c r="R1142" s="89" t="n"/>
      <c r="S1142" s="89" t="n"/>
      <c r="T1142" s="59">
        <f>Boosters_And!U1142/C1142</f>
        <v/>
      </c>
      <c r="U1142" s="31" t="n"/>
      <c r="V1142" s="102" t="n"/>
    </row>
    <row r="1143" ht="20.25" customHeight="1" s="150">
      <c r="A1143" s="34" t="n">
        <v>1141</v>
      </c>
      <c r="B1143" s="34" t="n"/>
      <c r="C1143" s="34" t="n"/>
      <c r="D1143" s="34" t="n"/>
      <c r="E1143" s="34" t="n"/>
      <c r="F1143" s="86" t="n"/>
      <c r="G1143" s="86" t="n"/>
      <c r="H1143" s="111" t="n"/>
      <c r="I1143" s="87" t="n"/>
      <c r="J1143" s="87" t="n"/>
      <c r="K1143" s="111" t="n"/>
      <c r="L1143" s="86" t="n"/>
      <c r="M1143" s="101" t="n"/>
      <c r="N1143" s="88" t="n"/>
      <c r="O1143" s="20" t="n"/>
      <c r="P1143" s="86" t="n"/>
      <c r="Q1143" s="89" t="n"/>
      <c r="R1143" s="89" t="n"/>
      <c r="S1143" s="89" t="n"/>
      <c r="T1143" s="59">
        <f>Boosters_And!U1143/C1143</f>
        <v/>
      </c>
      <c r="U1143" s="31" t="n"/>
      <c r="V1143" s="102" t="n"/>
    </row>
    <row r="1144" ht="20.25" customHeight="1" s="150">
      <c r="A1144" s="34" t="n">
        <v>1142</v>
      </c>
      <c r="B1144" s="34" t="n"/>
      <c r="C1144" s="34" t="n"/>
      <c r="D1144" s="34" t="n"/>
      <c r="E1144" s="34" t="n"/>
      <c r="F1144" s="86" t="n"/>
      <c r="G1144" s="86" t="n"/>
      <c r="H1144" s="111" t="n"/>
      <c r="I1144" s="87" t="n"/>
      <c r="J1144" s="87" t="n"/>
      <c r="K1144" s="111" t="n"/>
      <c r="L1144" s="86" t="n"/>
      <c r="M1144" s="101" t="n"/>
      <c r="N1144" s="88" t="n"/>
      <c r="O1144" s="20" t="n"/>
      <c r="P1144" s="86" t="n"/>
      <c r="Q1144" s="89" t="n"/>
      <c r="R1144" s="89" t="n"/>
      <c r="S1144" s="89" t="n"/>
      <c r="T1144" s="59">
        <f>Boosters_And!U1144/C1144</f>
        <v/>
      </c>
      <c r="U1144" s="31" t="n"/>
      <c r="V1144" s="102" t="n"/>
    </row>
    <row r="1145" ht="20.25" customHeight="1" s="150">
      <c r="A1145" s="34" t="n">
        <v>1143</v>
      </c>
      <c r="B1145" s="34" t="n"/>
      <c r="C1145" s="34" t="n"/>
      <c r="D1145" s="34" t="n"/>
      <c r="E1145" s="34" t="n"/>
      <c r="F1145" s="86" t="n"/>
      <c r="G1145" s="86" t="n"/>
      <c r="H1145" s="111" t="n"/>
      <c r="I1145" s="87" t="n"/>
      <c r="J1145" s="87" t="n"/>
      <c r="K1145" s="111" t="n"/>
      <c r="L1145" s="86" t="n"/>
      <c r="M1145" s="101" t="n"/>
      <c r="N1145" s="88" t="n"/>
      <c r="O1145" s="20" t="n"/>
      <c r="P1145" s="86" t="n"/>
      <c r="Q1145" s="89" t="n"/>
      <c r="R1145" s="89" t="n"/>
      <c r="S1145" s="89" t="n"/>
      <c r="T1145" s="59">
        <f>Boosters_And!U1145/C1145</f>
        <v/>
      </c>
      <c r="U1145" s="31" t="n"/>
      <c r="V1145" s="102" t="n"/>
    </row>
    <row r="1146" ht="20.25" customHeight="1" s="150">
      <c r="A1146" s="34" t="n">
        <v>1144</v>
      </c>
      <c r="B1146" s="34" t="n"/>
      <c r="C1146" s="34" t="n"/>
      <c r="D1146" s="34" t="n"/>
      <c r="E1146" s="34" t="n"/>
      <c r="F1146" s="86" t="n"/>
      <c r="G1146" s="86" t="n"/>
      <c r="H1146" s="111" t="n"/>
      <c r="I1146" s="87" t="n"/>
      <c r="J1146" s="87" t="n"/>
      <c r="K1146" s="111" t="n"/>
      <c r="L1146" s="86" t="n"/>
      <c r="M1146" s="101" t="n"/>
      <c r="N1146" s="88" t="n"/>
      <c r="O1146" s="20" t="n"/>
      <c r="P1146" s="86" t="n"/>
      <c r="Q1146" s="89" t="n"/>
      <c r="R1146" s="89" t="n"/>
      <c r="S1146" s="89" t="n"/>
      <c r="T1146" s="59">
        <f>Boosters_And!U1146/C1146</f>
        <v/>
      </c>
      <c r="U1146" s="31" t="n"/>
      <c r="V1146" s="102" t="n"/>
    </row>
    <row r="1147" ht="20.25" customHeight="1" s="150">
      <c r="A1147" s="34" t="n">
        <v>1145</v>
      </c>
      <c r="B1147" s="34" t="n"/>
      <c r="C1147" s="34" t="n"/>
      <c r="D1147" s="34" t="n"/>
      <c r="E1147" s="34" t="n"/>
      <c r="F1147" s="86" t="n"/>
      <c r="G1147" s="86" t="n"/>
      <c r="H1147" s="111" t="n"/>
      <c r="I1147" s="87" t="n"/>
      <c r="J1147" s="87" t="n"/>
      <c r="K1147" s="111" t="n"/>
      <c r="L1147" s="86" t="n"/>
      <c r="M1147" s="101" t="n"/>
      <c r="N1147" s="88" t="n"/>
      <c r="O1147" s="20" t="n"/>
      <c r="P1147" s="86" t="n"/>
      <c r="Q1147" s="89" t="n"/>
      <c r="R1147" s="89" t="n"/>
      <c r="S1147" s="89" t="n"/>
      <c r="T1147" s="59">
        <f>Boosters_And!U1147/C1147</f>
        <v/>
      </c>
      <c r="U1147" s="31" t="n"/>
      <c r="V1147" s="102" t="n"/>
    </row>
    <row r="1148" ht="20.25" customHeight="1" s="150">
      <c r="A1148" s="34" t="n">
        <v>1146</v>
      </c>
      <c r="B1148" s="34" t="n"/>
      <c r="C1148" s="34" t="n"/>
      <c r="D1148" s="34" t="n"/>
      <c r="E1148" s="34" t="n"/>
      <c r="F1148" s="86" t="n"/>
      <c r="G1148" s="86" t="n"/>
      <c r="H1148" s="111" t="n"/>
      <c r="I1148" s="87" t="n"/>
      <c r="J1148" s="87" t="n"/>
      <c r="K1148" s="111" t="n"/>
      <c r="L1148" s="86" t="n"/>
      <c r="M1148" s="101" t="n"/>
      <c r="N1148" s="88" t="n"/>
      <c r="O1148" s="20" t="n"/>
      <c r="P1148" s="86" t="n"/>
      <c r="Q1148" s="89" t="n"/>
      <c r="R1148" s="89" t="n"/>
      <c r="S1148" s="89" t="n"/>
      <c r="T1148" s="59">
        <f>Boosters_And!U1148/C1148</f>
        <v/>
      </c>
      <c r="U1148" s="31" t="n"/>
      <c r="V1148" s="102" t="n"/>
    </row>
    <row r="1149" ht="20.25" customHeight="1" s="150">
      <c r="A1149" s="34" t="n">
        <v>1147</v>
      </c>
      <c r="B1149" s="34" t="n"/>
      <c r="C1149" s="34" t="n"/>
      <c r="D1149" s="34" t="n"/>
      <c r="E1149" s="34" t="n"/>
      <c r="F1149" s="86" t="n"/>
      <c r="G1149" s="86" t="n"/>
      <c r="H1149" s="111" t="n"/>
      <c r="I1149" s="87" t="n"/>
      <c r="J1149" s="87" t="n"/>
      <c r="K1149" s="111" t="n"/>
      <c r="L1149" s="86" t="n"/>
      <c r="M1149" s="101" t="n"/>
      <c r="N1149" s="88" t="n"/>
      <c r="O1149" s="20" t="n"/>
      <c r="P1149" s="86" t="n"/>
      <c r="Q1149" s="89" t="n"/>
      <c r="R1149" s="89" t="n"/>
      <c r="S1149" s="89" t="n"/>
      <c r="T1149" s="59">
        <f>Boosters_And!U1149/C1149</f>
        <v/>
      </c>
      <c r="U1149" s="31" t="n"/>
      <c r="V1149" s="102" t="n"/>
    </row>
    <row r="1150" ht="20.25" customHeight="1" s="150">
      <c r="A1150" s="34" t="n">
        <v>1148</v>
      </c>
      <c r="B1150" s="34" t="n"/>
      <c r="C1150" s="34" t="n"/>
      <c r="D1150" s="34" t="n"/>
      <c r="E1150" s="34" t="n"/>
      <c r="F1150" s="86" t="n"/>
      <c r="G1150" s="86" t="n"/>
      <c r="H1150" s="111" t="n"/>
      <c r="I1150" s="87" t="n"/>
      <c r="J1150" s="87" t="n"/>
      <c r="K1150" s="111" t="n"/>
      <c r="L1150" s="86" t="n"/>
      <c r="M1150" s="101" t="n"/>
      <c r="N1150" s="88" t="n"/>
      <c r="O1150" s="20" t="n"/>
      <c r="P1150" s="86" t="n"/>
      <c r="Q1150" s="89" t="n"/>
      <c r="R1150" s="89" t="n"/>
      <c r="S1150" s="89" t="n"/>
      <c r="T1150" s="59">
        <f>Boosters_And!U1150/C1150</f>
        <v/>
      </c>
      <c r="U1150" s="31" t="n"/>
      <c r="V1150" s="102" t="n"/>
    </row>
    <row r="1151" ht="20.25" customHeight="1" s="150">
      <c r="A1151" s="34" t="n">
        <v>1149</v>
      </c>
      <c r="B1151" s="34" t="n"/>
      <c r="C1151" s="34" t="n"/>
      <c r="D1151" s="34" t="n"/>
      <c r="E1151" s="34" t="n"/>
      <c r="F1151" s="86" t="n"/>
      <c r="G1151" s="86" t="n"/>
      <c r="H1151" s="111" t="n"/>
      <c r="I1151" s="87" t="n"/>
      <c r="J1151" s="87" t="n"/>
      <c r="K1151" s="111" t="n"/>
      <c r="L1151" s="86" t="n"/>
      <c r="M1151" s="101" t="n"/>
      <c r="N1151" s="88" t="n"/>
      <c r="O1151" s="20" t="n"/>
      <c r="P1151" s="86" t="n"/>
      <c r="Q1151" s="89" t="n"/>
      <c r="R1151" s="89" t="n"/>
      <c r="S1151" s="89" t="n"/>
      <c r="T1151" s="59">
        <f>Boosters_And!U1151/C1151</f>
        <v/>
      </c>
      <c r="U1151" s="31" t="n"/>
      <c r="V1151" s="102" t="n"/>
    </row>
    <row r="1152" ht="20.25" customHeight="1" s="150">
      <c r="A1152" s="34" t="n">
        <v>1150</v>
      </c>
      <c r="B1152" s="34" t="n"/>
      <c r="C1152" s="34" t="n"/>
      <c r="D1152" s="34" t="n"/>
      <c r="E1152" s="34" t="n"/>
      <c r="F1152" s="86" t="n"/>
      <c r="G1152" s="86" t="n"/>
      <c r="H1152" s="111" t="n"/>
      <c r="I1152" s="87" t="n"/>
      <c r="J1152" s="87" t="n"/>
      <c r="K1152" s="111" t="n"/>
      <c r="L1152" s="86" t="n"/>
      <c r="M1152" s="101" t="n"/>
      <c r="N1152" s="88" t="n"/>
      <c r="O1152" s="20" t="n"/>
      <c r="P1152" s="86" t="n"/>
      <c r="Q1152" s="89" t="n"/>
      <c r="R1152" s="89" t="n"/>
      <c r="S1152" s="89" t="n"/>
      <c r="T1152" s="59">
        <f>Boosters_And!U1152/C1152</f>
        <v/>
      </c>
      <c r="U1152" s="31" t="n"/>
      <c r="V1152" s="102" t="n"/>
    </row>
    <row r="1153" ht="20.25" customHeight="1" s="150">
      <c r="A1153" s="34" t="n">
        <v>1151</v>
      </c>
      <c r="B1153" s="34" t="n"/>
      <c r="C1153" s="34" t="n"/>
      <c r="D1153" s="34" t="n"/>
      <c r="E1153" s="34" t="n"/>
      <c r="F1153" s="86" t="n"/>
      <c r="G1153" s="86" t="n"/>
      <c r="H1153" s="111" t="n"/>
      <c r="I1153" s="87" t="n"/>
      <c r="J1153" s="87" t="n"/>
      <c r="K1153" s="111" t="n"/>
      <c r="L1153" s="86" t="n"/>
      <c r="M1153" s="101" t="n"/>
      <c r="N1153" s="88" t="n"/>
      <c r="O1153" s="20" t="n"/>
      <c r="P1153" s="86" t="n"/>
      <c r="Q1153" s="89" t="n"/>
      <c r="R1153" s="89" t="n"/>
      <c r="S1153" s="89" t="n"/>
      <c r="T1153" s="59">
        <f>Boosters_And!U1153/C1153</f>
        <v/>
      </c>
      <c r="U1153" s="31" t="n"/>
      <c r="V1153" s="102" t="n"/>
    </row>
    <row r="1154" ht="20.25" customHeight="1" s="150">
      <c r="A1154" s="34" t="n">
        <v>1152</v>
      </c>
      <c r="B1154" s="34" t="n"/>
      <c r="C1154" s="34" t="n"/>
      <c r="D1154" s="34" t="n"/>
      <c r="E1154" s="34" t="n"/>
      <c r="F1154" s="86" t="n"/>
      <c r="G1154" s="86" t="n"/>
      <c r="H1154" s="111" t="n"/>
      <c r="I1154" s="87" t="n"/>
      <c r="J1154" s="87" t="n"/>
      <c r="K1154" s="111" t="n"/>
      <c r="L1154" s="86" t="n"/>
      <c r="M1154" s="101" t="n"/>
      <c r="N1154" s="88" t="n"/>
      <c r="O1154" s="20" t="n"/>
      <c r="P1154" s="86" t="n"/>
      <c r="Q1154" s="89" t="n"/>
      <c r="R1154" s="89" t="n"/>
      <c r="S1154" s="89" t="n"/>
      <c r="T1154" s="59">
        <f>Boosters_And!U1154/C1154</f>
        <v/>
      </c>
      <c r="U1154" s="31" t="n"/>
      <c r="V1154" s="102" t="n"/>
    </row>
    <row r="1155" ht="20.25" customHeight="1" s="150">
      <c r="A1155" s="34" t="n">
        <v>1153</v>
      </c>
      <c r="B1155" s="34" t="n"/>
      <c r="C1155" s="34" t="n"/>
      <c r="D1155" s="34" t="n"/>
      <c r="E1155" s="34" t="n"/>
      <c r="F1155" s="86" t="n"/>
      <c r="G1155" s="86" t="n"/>
      <c r="H1155" s="111" t="n"/>
      <c r="I1155" s="87" t="n"/>
      <c r="J1155" s="87" t="n"/>
      <c r="K1155" s="111" t="n"/>
      <c r="L1155" s="86" t="n"/>
      <c r="M1155" s="101" t="n"/>
      <c r="N1155" s="88" t="n"/>
      <c r="O1155" s="20" t="n"/>
      <c r="P1155" s="86" t="n"/>
      <c r="Q1155" s="89" t="n"/>
      <c r="R1155" s="89" t="n"/>
      <c r="S1155" s="89" t="n"/>
      <c r="T1155" s="59">
        <f>Boosters_And!U1155/C1155</f>
        <v/>
      </c>
      <c r="U1155" s="31" t="n"/>
      <c r="V1155" s="102" t="n"/>
    </row>
    <row r="1156" ht="20.25" customHeight="1" s="150">
      <c r="A1156" s="34" t="n">
        <v>1154</v>
      </c>
      <c r="B1156" s="34" t="n"/>
      <c r="C1156" s="34" t="n"/>
      <c r="D1156" s="34" t="n"/>
      <c r="E1156" s="34" t="n"/>
      <c r="F1156" s="86" t="n"/>
      <c r="G1156" s="86" t="n"/>
      <c r="H1156" s="111" t="n"/>
      <c r="I1156" s="87" t="n"/>
      <c r="J1156" s="87" t="n"/>
      <c r="K1156" s="111" t="n"/>
      <c r="L1156" s="86" t="n"/>
      <c r="M1156" s="101" t="n"/>
      <c r="N1156" s="88" t="n"/>
      <c r="O1156" s="20" t="n"/>
      <c r="P1156" s="86" t="n"/>
      <c r="Q1156" s="89" t="n"/>
      <c r="R1156" s="89" t="n"/>
      <c r="S1156" s="89" t="n"/>
      <c r="T1156" s="59">
        <f>Boosters_And!U1156/C1156</f>
        <v/>
      </c>
      <c r="U1156" s="31" t="n"/>
      <c r="V1156" s="102" t="n"/>
    </row>
    <row r="1157" ht="20.25" customHeight="1" s="150">
      <c r="A1157" s="34" t="n">
        <v>1155</v>
      </c>
      <c r="B1157" s="34" t="n"/>
      <c r="C1157" s="34" t="n"/>
      <c r="D1157" s="34" t="n"/>
      <c r="E1157" s="34" t="n"/>
      <c r="F1157" s="86" t="n"/>
      <c r="G1157" s="86" t="n"/>
      <c r="H1157" s="111" t="n"/>
      <c r="I1157" s="87" t="n"/>
      <c r="J1157" s="87" t="n"/>
      <c r="K1157" s="111" t="n"/>
      <c r="L1157" s="86" t="n"/>
      <c r="M1157" s="101" t="n"/>
      <c r="N1157" s="88" t="n"/>
      <c r="O1157" s="20" t="n"/>
      <c r="P1157" s="86" t="n"/>
      <c r="Q1157" s="89" t="n"/>
      <c r="R1157" s="89" t="n"/>
      <c r="S1157" s="89" t="n"/>
      <c r="T1157" s="59">
        <f>Boosters_And!U1157/C1157</f>
        <v/>
      </c>
      <c r="U1157" s="31" t="n"/>
      <c r="V1157" s="102" t="n"/>
    </row>
    <row r="1158" ht="20.25" customHeight="1" s="150">
      <c r="A1158" s="34" t="n">
        <v>1156</v>
      </c>
      <c r="B1158" s="34" t="n"/>
      <c r="C1158" s="34" t="n"/>
      <c r="D1158" s="34" t="n"/>
      <c r="E1158" s="34" t="n"/>
      <c r="F1158" s="86" t="n"/>
      <c r="G1158" s="86" t="n"/>
      <c r="H1158" s="111" t="n"/>
      <c r="I1158" s="87" t="n"/>
      <c r="J1158" s="87" t="n"/>
      <c r="K1158" s="111" t="n"/>
      <c r="L1158" s="86" t="n"/>
      <c r="M1158" s="101" t="n"/>
      <c r="N1158" s="88" t="n"/>
      <c r="O1158" s="20" t="n"/>
      <c r="P1158" s="86" t="n"/>
      <c r="Q1158" s="89" t="n"/>
      <c r="R1158" s="89" t="n"/>
      <c r="S1158" s="89" t="n"/>
      <c r="T1158" s="59">
        <f>Boosters_And!U1158/C1158</f>
        <v/>
      </c>
      <c r="U1158" s="31" t="n"/>
      <c r="V1158" s="102" t="n"/>
    </row>
    <row r="1159" ht="20.25" customHeight="1" s="150">
      <c r="A1159" s="34" t="n">
        <v>1157</v>
      </c>
      <c r="B1159" s="34" t="n"/>
      <c r="C1159" s="34" t="n"/>
      <c r="D1159" s="34" t="n"/>
      <c r="E1159" s="34" t="n"/>
      <c r="F1159" s="86" t="n"/>
      <c r="G1159" s="86" t="n"/>
      <c r="H1159" s="111" t="n"/>
      <c r="I1159" s="87" t="n"/>
      <c r="J1159" s="87" t="n"/>
      <c r="K1159" s="111" t="n"/>
      <c r="L1159" s="86" t="n"/>
      <c r="M1159" s="101" t="n"/>
      <c r="N1159" s="88" t="n"/>
      <c r="O1159" s="20" t="n"/>
      <c r="P1159" s="86" t="n"/>
      <c r="Q1159" s="89" t="n"/>
      <c r="R1159" s="89" t="n"/>
      <c r="S1159" s="89" t="n"/>
      <c r="T1159" s="59">
        <f>Boosters_And!U1159/C1159</f>
        <v/>
      </c>
      <c r="U1159" s="31" t="n"/>
      <c r="V1159" s="102" t="n"/>
    </row>
    <row r="1160" ht="20.25" customHeight="1" s="150">
      <c r="A1160" s="34" t="n">
        <v>1158</v>
      </c>
      <c r="B1160" s="34" t="n"/>
      <c r="C1160" s="34" t="n"/>
      <c r="D1160" s="34" t="n"/>
      <c r="E1160" s="34" t="n"/>
      <c r="F1160" s="86" t="n"/>
      <c r="G1160" s="86" t="n"/>
      <c r="H1160" s="111" t="n"/>
      <c r="I1160" s="87" t="n"/>
      <c r="J1160" s="87" t="n"/>
      <c r="K1160" s="111" t="n"/>
      <c r="L1160" s="86" t="n"/>
      <c r="M1160" s="101" t="n"/>
      <c r="N1160" s="88" t="n"/>
      <c r="O1160" s="20" t="n"/>
      <c r="P1160" s="86" t="n"/>
      <c r="Q1160" s="89" t="n"/>
      <c r="R1160" s="89" t="n"/>
      <c r="S1160" s="89" t="n"/>
      <c r="T1160" s="59">
        <f>Boosters_And!U1160/C1160</f>
        <v/>
      </c>
      <c r="U1160" s="31" t="n"/>
      <c r="V1160" s="102" t="n"/>
    </row>
    <row r="1161" ht="20.25" customHeight="1" s="150">
      <c r="A1161" s="34" t="n">
        <v>1159</v>
      </c>
      <c r="B1161" s="34" t="n"/>
      <c r="C1161" s="34" t="n"/>
      <c r="D1161" s="34" t="n"/>
      <c r="E1161" s="34" t="n"/>
      <c r="F1161" s="86" t="n"/>
      <c r="G1161" s="86" t="n"/>
      <c r="H1161" s="111" t="n"/>
      <c r="I1161" s="87" t="n"/>
      <c r="J1161" s="87" t="n"/>
      <c r="K1161" s="111" t="n"/>
      <c r="L1161" s="86" t="n"/>
      <c r="M1161" s="101" t="n"/>
      <c r="N1161" s="88" t="n"/>
      <c r="O1161" s="20" t="n"/>
      <c r="P1161" s="86" t="n"/>
      <c r="Q1161" s="89" t="n"/>
      <c r="R1161" s="89" t="n"/>
      <c r="S1161" s="89" t="n"/>
      <c r="T1161" s="59">
        <f>Boosters_And!U1161/C1161</f>
        <v/>
      </c>
      <c r="U1161" s="31" t="n"/>
      <c r="V1161" s="102" t="n"/>
    </row>
    <row r="1162" ht="20.25" customHeight="1" s="150">
      <c r="A1162" s="34" t="n">
        <v>1160</v>
      </c>
      <c r="B1162" s="34" t="n"/>
      <c r="C1162" s="34" t="n"/>
      <c r="D1162" s="34" t="n"/>
      <c r="E1162" s="34" t="n"/>
      <c r="F1162" s="86" t="n"/>
      <c r="G1162" s="86" t="n"/>
      <c r="H1162" s="111" t="n"/>
      <c r="I1162" s="87" t="n"/>
      <c r="J1162" s="87" t="n"/>
      <c r="K1162" s="111" t="n"/>
      <c r="L1162" s="86" t="n"/>
      <c r="M1162" s="101" t="n"/>
      <c r="N1162" s="88" t="n"/>
      <c r="O1162" s="20" t="n"/>
      <c r="P1162" s="86" t="n"/>
      <c r="Q1162" s="89" t="n"/>
      <c r="R1162" s="89" t="n"/>
      <c r="S1162" s="89" t="n"/>
      <c r="T1162" s="59">
        <f>Boosters_And!U1162/C1162</f>
        <v/>
      </c>
      <c r="U1162" s="31" t="n"/>
      <c r="V1162" s="102" t="n"/>
    </row>
    <row r="1163" ht="20.25" customHeight="1" s="150">
      <c r="A1163" s="34" t="n">
        <v>1161</v>
      </c>
      <c r="B1163" s="34" t="n"/>
      <c r="C1163" s="34" t="n"/>
      <c r="D1163" s="34" t="n"/>
      <c r="E1163" s="34" t="n"/>
      <c r="F1163" s="86" t="n"/>
      <c r="G1163" s="86" t="n"/>
      <c r="H1163" s="111" t="n"/>
      <c r="I1163" s="87" t="n"/>
      <c r="J1163" s="87" t="n"/>
      <c r="K1163" s="111" t="n"/>
      <c r="L1163" s="86" t="n"/>
      <c r="M1163" s="101" t="n"/>
      <c r="N1163" s="88" t="n"/>
      <c r="O1163" s="20" t="n"/>
      <c r="P1163" s="86" t="n"/>
      <c r="Q1163" s="89" t="n"/>
      <c r="R1163" s="89" t="n"/>
      <c r="S1163" s="89" t="n"/>
      <c r="T1163" s="59">
        <f>Boosters_And!U1163/C1163</f>
        <v/>
      </c>
      <c r="U1163" s="31" t="n"/>
      <c r="V1163" s="102" t="n"/>
    </row>
    <row r="1164" ht="20.25" customHeight="1" s="150">
      <c r="A1164" s="34" t="n">
        <v>1162</v>
      </c>
      <c r="B1164" s="34" t="n"/>
      <c r="C1164" s="34" t="n"/>
      <c r="D1164" s="34" t="n"/>
      <c r="E1164" s="34" t="n"/>
      <c r="F1164" s="86" t="n"/>
      <c r="G1164" s="86" t="n"/>
      <c r="H1164" s="111" t="n"/>
      <c r="I1164" s="87" t="n"/>
      <c r="J1164" s="87" t="n"/>
      <c r="K1164" s="111" t="n"/>
      <c r="L1164" s="86" t="n"/>
      <c r="M1164" s="101" t="n"/>
      <c r="N1164" s="88" t="n"/>
      <c r="O1164" s="20" t="n"/>
      <c r="P1164" s="86" t="n"/>
      <c r="Q1164" s="89" t="n"/>
      <c r="R1164" s="89" t="n"/>
      <c r="S1164" s="89" t="n"/>
      <c r="T1164" s="59">
        <f>Boosters_And!U1164/C1164</f>
        <v/>
      </c>
      <c r="U1164" s="31" t="n"/>
      <c r="V1164" s="102" t="n"/>
    </row>
    <row r="1165" ht="20.25" customHeight="1" s="150">
      <c r="A1165" s="34" t="n">
        <v>1163</v>
      </c>
      <c r="B1165" s="34" t="n"/>
      <c r="C1165" s="34" t="n"/>
      <c r="D1165" s="34" t="n"/>
      <c r="E1165" s="34" t="n"/>
      <c r="F1165" s="86" t="n"/>
      <c r="G1165" s="86" t="n"/>
      <c r="H1165" s="111" t="n"/>
      <c r="I1165" s="87" t="n"/>
      <c r="J1165" s="87" t="n"/>
      <c r="K1165" s="111" t="n"/>
      <c r="L1165" s="86" t="n"/>
      <c r="M1165" s="101" t="n"/>
      <c r="N1165" s="88" t="n"/>
      <c r="O1165" s="20" t="n"/>
      <c r="P1165" s="86" t="n"/>
      <c r="Q1165" s="89" t="n"/>
      <c r="R1165" s="89" t="n"/>
      <c r="S1165" s="89" t="n"/>
      <c r="T1165" s="59">
        <f>Boosters_And!U1165/C1165</f>
        <v/>
      </c>
      <c r="U1165" s="31" t="n"/>
      <c r="V1165" s="102" t="n"/>
    </row>
    <row r="1166" ht="20.25" customHeight="1" s="150">
      <c r="A1166" s="34" t="n">
        <v>1164</v>
      </c>
      <c r="B1166" s="34" t="n"/>
      <c r="C1166" s="34" t="n"/>
      <c r="D1166" s="34" t="n"/>
      <c r="E1166" s="34" t="n"/>
      <c r="F1166" s="86" t="n"/>
      <c r="G1166" s="86" t="n"/>
      <c r="H1166" s="111" t="n"/>
      <c r="I1166" s="87" t="n"/>
      <c r="J1166" s="87" t="n"/>
      <c r="K1166" s="111" t="n"/>
      <c r="L1166" s="86" t="n"/>
      <c r="M1166" s="101" t="n"/>
      <c r="N1166" s="88" t="n"/>
      <c r="O1166" s="20" t="n"/>
      <c r="P1166" s="86" t="n"/>
      <c r="Q1166" s="89" t="n"/>
      <c r="R1166" s="89" t="n"/>
      <c r="S1166" s="89" t="n"/>
      <c r="T1166" s="59">
        <f>Boosters_And!U1166/C1166</f>
        <v/>
      </c>
      <c r="U1166" s="31" t="n"/>
      <c r="V1166" s="102" t="n"/>
    </row>
    <row r="1167" ht="20.25" customHeight="1" s="150">
      <c r="A1167" s="34" t="n">
        <v>1165</v>
      </c>
      <c r="B1167" s="34" t="n"/>
      <c r="C1167" s="34" t="n"/>
      <c r="D1167" s="34" t="n"/>
      <c r="E1167" s="34" t="n"/>
      <c r="F1167" s="86" t="n"/>
      <c r="G1167" s="86" t="n"/>
      <c r="H1167" s="111" t="n"/>
      <c r="I1167" s="87" t="n"/>
      <c r="J1167" s="87" t="n"/>
      <c r="K1167" s="111" t="n"/>
      <c r="L1167" s="86" t="n"/>
      <c r="M1167" s="101" t="n"/>
      <c r="N1167" s="88" t="n"/>
      <c r="O1167" s="20" t="n"/>
      <c r="P1167" s="86" t="n"/>
      <c r="Q1167" s="89" t="n"/>
      <c r="R1167" s="89" t="n"/>
      <c r="S1167" s="89" t="n"/>
      <c r="T1167" s="59">
        <f>Boosters_And!U1167/C1167</f>
        <v/>
      </c>
      <c r="U1167" s="31" t="n"/>
      <c r="V1167" s="102" t="n"/>
    </row>
    <row r="1168" ht="20.25" customHeight="1" s="150">
      <c r="A1168" s="34" t="n">
        <v>1166</v>
      </c>
      <c r="B1168" s="34" t="n"/>
      <c r="C1168" s="34" t="n"/>
      <c r="D1168" s="34" t="n"/>
      <c r="E1168" s="34" t="n"/>
      <c r="F1168" s="86" t="n"/>
      <c r="G1168" s="86" t="n"/>
      <c r="H1168" s="111" t="n"/>
      <c r="I1168" s="87" t="n"/>
      <c r="J1168" s="87" t="n"/>
      <c r="K1168" s="111" t="n"/>
      <c r="L1168" s="86" t="n"/>
      <c r="M1168" s="101" t="n"/>
      <c r="N1168" s="88" t="n"/>
      <c r="O1168" s="20" t="n"/>
      <c r="P1168" s="86" t="n"/>
      <c r="Q1168" s="89" t="n"/>
      <c r="R1168" s="89" t="n"/>
      <c r="S1168" s="89" t="n"/>
      <c r="T1168" s="59">
        <f>Boosters_And!U1168/C1168</f>
        <v/>
      </c>
      <c r="U1168" s="31" t="n"/>
      <c r="V1168" s="102" t="n"/>
    </row>
    <row r="1169" ht="20.25" customHeight="1" s="150">
      <c r="A1169" s="34" t="n">
        <v>1167</v>
      </c>
      <c r="B1169" s="34" t="n"/>
      <c r="C1169" s="34" t="n"/>
      <c r="D1169" s="34" t="n"/>
      <c r="E1169" s="34" t="n"/>
      <c r="F1169" s="86" t="n"/>
      <c r="G1169" s="86" t="n"/>
      <c r="H1169" s="111" t="n"/>
      <c r="I1169" s="87" t="n"/>
      <c r="J1169" s="87" t="n"/>
      <c r="K1169" s="111" t="n"/>
      <c r="L1169" s="86" t="n"/>
      <c r="M1169" s="101" t="n"/>
      <c r="N1169" s="88" t="n"/>
      <c r="O1169" s="20" t="n"/>
      <c r="P1169" s="86" t="n"/>
      <c r="Q1169" s="89" t="n"/>
      <c r="R1169" s="89" t="n"/>
      <c r="S1169" s="89" t="n"/>
      <c r="T1169" s="59">
        <f>Boosters_And!U1169/C1169</f>
        <v/>
      </c>
      <c r="U1169" s="31" t="n"/>
      <c r="V1169" s="102" t="n"/>
    </row>
    <row r="1170" ht="20.25" customHeight="1" s="150">
      <c r="A1170" s="34" t="n">
        <v>1168</v>
      </c>
      <c r="B1170" s="34" t="n"/>
      <c r="C1170" s="34" t="n"/>
      <c r="D1170" s="34" t="n"/>
      <c r="E1170" s="34" t="n"/>
      <c r="F1170" s="86" t="n"/>
      <c r="G1170" s="86" t="n"/>
      <c r="H1170" s="111" t="n"/>
      <c r="I1170" s="87" t="n"/>
      <c r="J1170" s="87" t="n"/>
      <c r="K1170" s="111" t="n"/>
      <c r="L1170" s="86" t="n"/>
      <c r="M1170" s="101" t="n"/>
      <c r="N1170" s="88" t="n"/>
      <c r="O1170" s="20" t="n"/>
      <c r="P1170" s="86" t="n"/>
      <c r="Q1170" s="89" t="n"/>
      <c r="R1170" s="89" t="n"/>
      <c r="S1170" s="89" t="n"/>
      <c r="T1170" s="59">
        <f>Boosters_And!U1170/C1170</f>
        <v/>
      </c>
      <c r="U1170" s="31" t="n"/>
      <c r="V1170" s="102" t="n"/>
    </row>
    <row r="1171" ht="20.25" customHeight="1" s="150">
      <c r="A1171" s="34" t="n">
        <v>1169</v>
      </c>
      <c r="B1171" s="34" t="n"/>
      <c r="C1171" s="34" t="n"/>
      <c r="D1171" s="34" t="n"/>
      <c r="E1171" s="34" t="n"/>
      <c r="F1171" s="86" t="n"/>
      <c r="G1171" s="86" t="n"/>
      <c r="H1171" s="111" t="n"/>
      <c r="I1171" s="87" t="n"/>
      <c r="J1171" s="87" t="n"/>
      <c r="K1171" s="111" t="n"/>
      <c r="L1171" s="86" t="n"/>
      <c r="M1171" s="101" t="n"/>
      <c r="N1171" s="88" t="n"/>
      <c r="O1171" s="20" t="n"/>
      <c r="P1171" s="86" t="n"/>
      <c r="Q1171" s="89" t="n"/>
      <c r="R1171" s="89" t="n"/>
      <c r="S1171" s="89" t="n"/>
      <c r="T1171" s="59">
        <f>Boosters_And!U1171/C1171</f>
        <v/>
      </c>
      <c r="U1171" s="31" t="n"/>
      <c r="V1171" s="102" t="n"/>
    </row>
    <row r="1172" ht="20.25" customHeight="1" s="150">
      <c r="A1172" s="34" t="n">
        <v>1170</v>
      </c>
      <c r="B1172" s="34" t="n"/>
      <c r="C1172" s="34" t="n"/>
      <c r="D1172" s="34" t="n"/>
      <c r="E1172" s="34" t="n"/>
      <c r="F1172" s="86" t="n"/>
      <c r="G1172" s="86" t="n"/>
      <c r="H1172" s="111" t="n"/>
      <c r="I1172" s="87" t="n"/>
      <c r="J1172" s="87" t="n"/>
      <c r="K1172" s="111" t="n"/>
      <c r="L1172" s="86" t="n"/>
      <c r="M1172" s="101" t="n"/>
      <c r="N1172" s="88" t="n"/>
      <c r="O1172" s="20" t="n"/>
      <c r="P1172" s="86" t="n"/>
      <c r="Q1172" s="89" t="n"/>
      <c r="R1172" s="89" t="n"/>
      <c r="S1172" s="89" t="n"/>
      <c r="T1172" s="59">
        <f>Boosters_And!U1172/C1172</f>
        <v/>
      </c>
      <c r="U1172" s="31" t="n"/>
      <c r="V1172" s="102" t="n"/>
    </row>
    <row r="1173" ht="20.25" customHeight="1" s="150">
      <c r="A1173" s="34" t="n">
        <v>1171</v>
      </c>
      <c r="B1173" s="34" t="n"/>
      <c r="C1173" s="34" t="n"/>
      <c r="D1173" s="34" t="n"/>
      <c r="E1173" s="34" t="n"/>
      <c r="F1173" s="86" t="n"/>
      <c r="G1173" s="86" t="n"/>
      <c r="H1173" s="111" t="n"/>
      <c r="I1173" s="87" t="n"/>
      <c r="J1173" s="87" t="n"/>
      <c r="K1173" s="111" t="n"/>
      <c r="L1173" s="86" t="n"/>
      <c r="M1173" s="101" t="n"/>
      <c r="N1173" s="88" t="n"/>
      <c r="O1173" s="20" t="n"/>
      <c r="P1173" s="86" t="n"/>
      <c r="Q1173" s="89" t="n"/>
      <c r="R1173" s="89" t="n"/>
      <c r="S1173" s="89" t="n"/>
      <c r="T1173" s="59">
        <f>Boosters_And!U1173/C1173</f>
        <v/>
      </c>
      <c r="U1173" s="31" t="n"/>
      <c r="V1173" s="102" t="n"/>
    </row>
    <row r="1174" ht="20.25" customHeight="1" s="150">
      <c r="A1174" s="34" t="n">
        <v>1172</v>
      </c>
      <c r="B1174" s="34" t="n"/>
      <c r="C1174" s="34" t="n"/>
      <c r="D1174" s="34" t="n"/>
      <c r="E1174" s="34" t="n"/>
      <c r="F1174" s="86" t="n"/>
      <c r="G1174" s="86" t="n"/>
      <c r="H1174" s="111" t="n"/>
      <c r="I1174" s="87" t="n"/>
      <c r="J1174" s="87" t="n"/>
      <c r="K1174" s="111" t="n"/>
      <c r="L1174" s="86" t="n"/>
      <c r="M1174" s="101" t="n"/>
      <c r="N1174" s="88" t="n"/>
      <c r="O1174" s="20" t="n"/>
      <c r="P1174" s="86" t="n"/>
      <c r="Q1174" s="89" t="n"/>
      <c r="R1174" s="89" t="n"/>
      <c r="S1174" s="89" t="n"/>
      <c r="T1174" s="59">
        <f>Boosters_And!U1174/C1174</f>
        <v/>
      </c>
      <c r="U1174" s="31" t="n"/>
      <c r="V1174" s="102" t="n"/>
    </row>
    <row r="1175" ht="20.25" customHeight="1" s="150">
      <c r="A1175" s="34" t="n">
        <v>1173</v>
      </c>
      <c r="B1175" s="34" t="n"/>
      <c r="C1175" s="34" t="n"/>
      <c r="D1175" s="34" t="n"/>
      <c r="E1175" s="34" t="n"/>
      <c r="F1175" s="86" t="n"/>
      <c r="G1175" s="86" t="n"/>
      <c r="H1175" s="111" t="n"/>
      <c r="I1175" s="87" t="n"/>
      <c r="J1175" s="87" t="n"/>
      <c r="K1175" s="111" t="n"/>
      <c r="L1175" s="86" t="n"/>
      <c r="M1175" s="101" t="n"/>
      <c r="N1175" s="88" t="n"/>
      <c r="O1175" s="20" t="n"/>
      <c r="P1175" s="86" t="n"/>
      <c r="Q1175" s="89" t="n"/>
      <c r="R1175" s="89" t="n"/>
      <c r="S1175" s="89" t="n"/>
      <c r="T1175" s="59">
        <f>Boosters_And!U1175/C1175</f>
        <v/>
      </c>
      <c r="U1175" s="31" t="n"/>
      <c r="V1175" s="102" t="n"/>
    </row>
    <row r="1176" ht="20.25" customHeight="1" s="150">
      <c r="A1176" s="34" t="n">
        <v>1174</v>
      </c>
      <c r="B1176" s="34" t="n"/>
      <c r="C1176" s="34" t="n"/>
      <c r="D1176" s="34" t="n"/>
      <c r="E1176" s="34" t="n"/>
      <c r="F1176" s="86" t="n"/>
      <c r="G1176" s="86" t="n"/>
      <c r="H1176" s="111" t="n"/>
      <c r="I1176" s="87" t="n"/>
      <c r="J1176" s="87" t="n"/>
      <c r="K1176" s="111" t="n"/>
      <c r="L1176" s="86" t="n"/>
      <c r="M1176" s="101" t="n"/>
      <c r="N1176" s="88" t="n"/>
      <c r="O1176" s="20" t="n"/>
      <c r="P1176" s="86" t="n"/>
      <c r="Q1176" s="89" t="n"/>
      <c r="R1176" s="89" t="n"/>
      <c r="S1176" s="89" t="n"/>
      <c r="T1176" s="59">
        <f>Boosters_And!U1176/C1176</f>
        <v/>
      </c>
      <c r="U1176" s="31" t="n"/>
      <c r="V1176" s="102" t="n"/>
    </row>
    <row r="1177" ht="20.25" customHeight="1" s="150">
      <c r="A1177" s="34" t="n">
        <v>1175</v>
      </c>
      <c r="B1177" s="34" t="n"/>
      <c r="C1177" s="34" t="n"/>
      <c r="D1177" s="34" t="n"/>
      <c r="E1177" s="34" t="n"/>
      <c r="F1177" s="86" t="n"/>
      <c r="G1177" s="86" t="n"/>
      <c r="H1177" s="111" t="n"/>
      <c r="I1177" s="87" t="n"/>
      <c r="J1177" s="87" t="n"/>
      <c r="K1177" s="111" t="n"/>
      <c r="L1177" s="86" t="n"/>
      <c r="M1177" s="101" t="n"/>
      <c r="N1177" s="88" t="n"/>
      <c r="O1177" s="20" t="n"/>
      <c r="P1177" s="86" t="n"/>
      <c r="Q1177" s="89" t="n"/>
      <c r="R1177" s="89" t="n"/>
      <c r="S1177" s="89" t="n"/>
      <c r="T1177" s="59">
        <f>Boosters_And!U1177/C1177</f>
        <v/>
      </c>
      <c r="U1177" s="31" t="n"/>
      <c r="V1177" s="102" t="n"/>
    </row>
    <row r="1178" ht="20.25" customHeight="1" s="150">
      <c r="A1178" s="34" t="n">
        <v>1176</v>
      </c>
      <c r="B1178" s="34" t="n"/>
      <c r="C1178" s="34" t="n"/>
      <c r="D1178" s="34" t="n"/>
      <c r="E1178" s="34" t="n"/>
      <c r="F1178" s="86" t="n"/>
      <c r="G1178" s="86" t="n"/>
      <c r="H1178" s="111" t="n"/>
      <c r="I1178" s="87" t="n"/>
      <c r="J1178" s="87" t="n"/>
      <c r="K1178" s="111" t="n"/>
      <c r="L1178" s="86" t="n"/>
      <c r="M1178" s="101" t="n"/>
      <c r="N1178" s="88" t="n"/>
      <c r="O1178" s="20" t="n"/>
      <c r="P1178" s="86" t="n"/>
      <c r="Q1178" s="89" t="n"/>
      <c r="R1178" s="89" t="n"/>
      <c r="S1178" s="89" t="n"/>
      <c r="T1178" s="59">
        <f>Boosters_And!U1178/C1178</f>
        <v/>
      </c>
      <c r="U1178" s="31" t="n"/>
      <c r="V1178" s="102" t="n"/>
    </row>
    <row r="1179" ht="20.25" customHeight="1" s="150">
      <c r="A1179" s="34" t="n">
        <v>1177</v>
      </c>
      <c r="B1179" s="34" t="n"/>
      <c r="C1179" s="34" t="n"/>
      <c r="D1179" s="34" t="n"/>
      <c r="E1179" s="34" t="n"/>
      <c r="F1179" s="86" t="n"/>
      <c r="G1179" s="86" t="n"/>
      <c r="H1179" s="111" t="n"/>
      <c r="I1179" s="87" t="n"/>
      <c r="J1179" s="87" t="n"/>
      <c r="K1179" s="111" t="n"/>
      <c r="L1179" s="86" t="n"/>
      <c r="M1179" s="101" t="n"/>
      <c r="N1179" s="88" t="n"/>
      <c r="O1179" s="20" t="n"/>
      <c r="P1179" s="86" t="n"/>
      <c r="Q1179" s="89" t="n"/>
      <c r="R1179" s="89" t="n"/>
      <c r="S1179" s="89" t="n"/>
      <c r="T1179" s="59">
        <f>Boosters_And!U1179/C1179</f>
        <v/>
      </c>
      <c r="U1179" s="31" t="n"/>
      <c r="V1179" s="102" t="n"/>
    </row>
    <row r="1180" ht="20.25" customHeight="1" s="150">
      <c r="A1180" s="34" t="n">
        <v>1178</v>
      </c>
      <c r="B1180" s="34" t="n"/>
      <c r="C1180" s="34" t="n"/>
      <c r="D1180" s="34" t="n"/>
      <c r="E1180" s="34" t="n"/>
      <c r="F1180" s="86" t="n"/>
      <c r="G1180" s="86" t="n"/>
      <c r="H1180" s="111" t="n"/>
      <c r="I1180" s="87" t="n"/>
      <c r="J1180" s="87" t="n"/>
      <c r="K1180" s="111" t="n"/>
      <c r="L1180" s="86" t="n"/>
      <c r="M1180" s="101" t="n"/>
      <c r="N1180" s="88" t="n"/>
      <c r="O1180" s="20" t="n"/>
      <c r="P1180" s="86" t="n"/>
      <c r="Q1180" s="89" t="n"/>
      <c r="R1180" s="89" t="n"/>
      <c r="S1180" s="89" t="n"/>
      <c r="T1180" s="59">
        <f>Boosters_And!U1180/C1180</f>
        <v/>
      </c>
      <c r="U1180" s="31" t="n"/>
      <c r="V1180" s="102" t="n"/>
    </row>
    <row r="1181" ht="20.25" customHeight="1" s="150">
      <c r="A1181" s="34" t="n">
        <v>1179</v>
      </c>
      <c r="B1181" s="34" t="n"/>
      <c r="C1181" s="34" t="n"/>
      <c r="D1181" s="34" t="n"/>
      <c r="E1181" s="34" t="n"/>
      <c r="F1181" s="86" t="n"/>
      <c r="G1181" s="86" t="n"/>
      <c r="H1181" s="111" t="n"/>
      <c r="I1181" s="87" t="n"/>
      <c r="J1181" s="87" t="n"/>
      <c r="K1181" s="111" t="n"/>
      <c r="L1181" s="86" t="n"/>
      <c r="M1181" s="101" t="n"/>
      <c r="N1181" s="88" t="n"/>
      <c r="O1181" s="20" t="n"/>
      <c r="P1181" s="86" t="n"/>
      <c r="Q1181" s="89" t="n"/>
      <c r="R1181" s="89" t="n"/>
      <c r="S1181" s="89" t="n"/>
      <c r="T1181" s="59">
        <f>Boosters_And!U1181/C1181</f>
        <v/>
      </c>
      <c r="U1181" s="31" t="n"/>
      <c r="V1181" s="102" t="n"/>
    </row>
    <row r="1182" ht="20.25" customHeight="1" s="150">
      <c r="A1182" s="34" t="n">
        <v>1180</v>
      </c>
      <c r="B1182" s="34" t="n"/>
      <c r="C1182" s="34" t="n"/>
      <c r="D1182" s="34" t="n"/>
      <c r="E1182" s="34" t="n"/>
      <c r="F1182" s="86" t="n"/>
      <c r="G1182" s="86" t="n"/>
      <c r="H1182" s="111" t="n"/>
      <c r="I1182" s="87" t="n"/>
      <c r="J1182" s="87" t="n"/>
      <c r="K1182" s="111" t="n"/>
      <c r="L1182" s="86" t="n"/>
      <c r="M1182" s="101" t="n"/>
      <c r="N1182" s="88" t="n"/>
      <c r="O1182" s="20" t="n"/>
      <c r="P1182" s="86" t="n"/>
      <c r="Q1182" s="89" t="n"/>
      <c r="R1182" s="89" t="n"/>
      <c r="S1182" s="89" t="n"/>
      <c r="T1182" s="59">
        <f>Boosters_And!U1182/C1182</f>
        <v/>
      </c>
      <c r="U1182" s="31" t="n"/>
      <c r="V1182" s="102" t="n"/>
    </row>
    <row r="1183" ht="20.25" customHeight="1" s="150">
      <c r="A1183" s="34" t="n">
        <v>1181</v>
      </c>
      <c r="B1183" s="34" t="n"/>
      <c r="C1183" s="34" t="n"/>
      <c r="D1183" s="34" t="n"/>
      <c r="E1183" s="34" t="n"/>
      <c r="F1183" s="86" t="n"/>
      <c r="G1183" s="86" t="n"/>
      <c r="H1183" s="111" t="n"/>
      <c r="I1183" s="87" t="n"/>
      <c r="J1183" s="87" t="n"/>
      <c r="K1183" s="111" t="n"/>
      <c r="L1183" s="86" t="n"/>
      <c r="M1183" s="101" t="n"/>
      <c r="N1183" s="88" t="n"/>
      <c r="O1183" s="20" t="n"/>
      <c r="P1183" s="86" t="n"/>
      <c r="Q1183" s="89" t="n"/>
      <c r="R1183" s="89" t="n"/>
      <c r="S1183" s="89" t="n"/>
      <c r="T1183" s="59">
        <f>Boosters_And!U1183/C1183</f>
        <v/>
      </c>
      <c r="U1183" s="31" t="n"/>
      <c r="V1183" s="102" t="n"/>
    </row>
    <row r="1184" ht="20.25" customHeight="1" s="150">
      <c r="A1184" s="34" t="n">
        <v>1182</v>
      </c>
      <c r="B1184" s="34" t="n"/>
      <c r="C1184" s="34" t="n"/>
      <c r="D1184" s="34" t="n"/>
      <c r="E1184" s="34" t="n"/>
      <c r="F1184" s="86" t="n"/>
      <c r="G1184" s="86" t="n"/>
      <c r="H1184" s="111" t="n"/>
      <c r="I1184" s="87" t="n"/>
      <c r="J1184" s="87" t="n"/>
      <c r="K1184" s="111" t="n"/>
      <c r="L1184" s="86" t="n"/>
      <c r="M1184" s="101" t="n"/>
      <c r="N1184" s="88" t="n"/>
      <c r="O1184" s="20" t="n"/>
      <c r="P1184" s="86" t="n"/>
      <c r="Q1184" s="89" t="n"/>
      <c r="R1184" s="89" t="n"/>
      <c r="S1184" s="89" t="n"/>
      <c r="T1184" s="59">
        <f>Boosters_And!U1184/C1184</f>
        <v/>
      </c>
      <c r="U1184" s="31" t="n"/>
      <c r="V1184" s="102" t="n"/>
    </row>
    <row r="1185" ht="20.25" customHeight="1" s="150">
      <c r="A1185" s="34" t="n">
        <v>1183</v>
      </c>
      <c r="B1185" s="34" t="n"/>
      <c r="C1185" s="34" t="n"/>
      <c r="D1185" s="34" t="n"/>
      <c r="E1185" s="34" t="n"/>
      <c r="F1185" s="86" t="n"/>
      <c r="G1185" s="86" t="n"/>
      <c r="H1185" s="111" t="n"/>
      <c r="I1185" s="87" t="n"/>
      <c r="J1185" s="87" t="n"/>
      <c r="K1185" s="111" t="n"/>
      <c r="L1185" s="86" t="n"/>
      <c r="M1185" s="101" t="n"/>
      <c r="N1185" s="88" t="n"/>
      <c r="O1185" s="20" t="n"/>
      <c r="P1185" s="86" t="n"/>
      <c r="Q1185" s="89" t="n"/>
      <c r="R1185" s="89" t="n"/>
      <c r="S1185" s="89" t="n"/>
      <c r="T1185" s="59">
        <f>Boosters_And!U1185/C1185</f>
        <v/>
      </c>
      <c r="U1185" s="31" t="n"/>
      <c r="V1185" s="102" t="n"/>
    </row>
    <row r="1186" ht="20.25" customHeight="1" s="150">
      <c r="A1186" s="34" t="n">
        <v>1184</v>
      </c>
      <c r="B1186" s="34" t="n"/>
      <c r="C1186" s="34" t="n"/>
      <c r="D1186" s="34" t="n"/>
      <c r="E1186" s="34" t="n"/>
      <c r="F1186" s="86" t="n"/>
      <c r="G1186" s="86" t="n"/>
      <c r="H1186" s="111" t="n"/>
      <c r="I1186" s="87" t="n"/>
      <c r="J1186" s="87" t="n"/>
      <c r="K1186" s="111" t="n"/>
      <c r="L1186" s="86" t="n"/>
      <c r="M1186" s="101" t="n"/>
      <c r="N1186" s="88" t="n"/>
      <c r="O1186" s="20" t="n"/>
      <c r="P1186" s="86" t="n"/>
      <c r="Q1186" s="89" t="n"/>
      <c r="R1186" s="89" t="n"/>
      <c r="S1186" s="89" t="n"/>
      <c r="T1186" s="59">
        <f>Boosters_And!U1186/C1186</f>
        <v/>
      </c>
      <c r="U1186" s="31" t="n"/>
      <c r="V1186" s="102" t="n"/>
    </row>
    <row r="1187" ht="20.25" customHeight="1" s="150">
      <c r="A1187" s="34" t="n">
        <v>1185</v>
      </c>
      <c r="B1187" s="34" t="n"/>
      <c r="C1187" s="34" t="n"/>
      <c r="D1187" s="34" t="n"/>
      <c r="E1187" s="34" t="n"/>
      <c r="F1187" s="86" t="n"/>
      <c r="G1187" s="86" t="n"/>
      <c r="H1187" s="111" t="n"/>
      <c r="I1187" s="87" t="n"/>
      <c r="J1187" s="87" t="n"/>
      <c r="K1187" s="111" t="n"/>
      <c r="L1187" s="86" t="n"/>
      <c r="M1187" s="101" t="n"/>
      <c r="N1187" s="88" t="n"/>
      <c r="O1187" s="20" t="n"/>
      <c r="P1187" s="86" t="n"/>
      <c r="Q1187" s="89" t="n"/>
      <c r="R1187" s="89" t="n"/>
      <c r="S1187" s="89" t="n"/>
      <c r="T1187" s="59">
        <f>Boosters_And!U1187/C1187</f>
        <v/>
      </c>
      <c r="U1187" s="31" t="n"/>
      <c r="V1187" s="102" t="n"/>
    </row>
    <row r="1188" ht="20.25" customHeight="1" s="150">
      <c r="A1188" s="34" t="n">
        <v>1186</v>
      </c>
      <c r="B1188" s="34" t="n"/>
      <c r="C1188" s="34" t="n"/>
      <c r="D1188" s="34" t="n"/>
      <c r="E1188" s="34" t="n"/>
      <c r="F1188" s="86" t="n"/>
      <c r="G1188" s="86" t="n"/>
      <c r="H1188" s="111" t="n"/>
      <c r="I1188" s="87" t="n"/>
      <c r="J1188" s="87" t="n"/>
      <c r="K1188" s="111" t="n"/>
      <c r="L1188" s="86" t="n"/>
      <c r="M1188" s="101" t="n"/>
      <c r="N1188" s="88" t="n"/>
      <c r="O1188" s="20" t="n"/>
      <c r="P1188" s="86" t="n"/>
      <c r="Q1188" s="89" t="n"/>
      <c r="R1188" s="89" t="n"/>
      <c r="S1188" s="89" t="n"/>
      <c r="T1188" s="59">
        <f>Boosters_And!U1188/C1188</f>
        <v/>
      </c>
      <c r="U1188" s="31" t="n"/>
      <c r="V1188" s="102" t="n"/>
    </row>
    <row r="1189" ht="20.25" customHeight="1" s="150">
      <c r="A1189" s="34" t="n">
        <v>1187</v>
      </c>
      <c r="B1189" s="34" t="n"/>
      <c r="C1189" s="34" t="n"/>
      <c r="D1189" s="34" t="n"/>
      <c r="E1189" s="34" t="n"/>
      <c r="F1189" s="86" t="n"/>
      <c r="G1189" s="86" t="n"/>
      <c r="H1189" s="111" t="n"/>
      <c r="I1189" s="87" t="n"/>
      <c r="J1189" s="87" t="n"/>
      <c r="K1189" s="111" t="n"/>
      <c r="L1189" s="86" t="n"/>
      <c r="M1189" s="101" t="n"/>
      <c r="N1189" s="88" t="n"/>
      <c r="O1189" s="20" t="n"/>
      <c r="P1189" s="86" t="n"/>
      <c r="Q1189" s="89" t="n"/>
      <c r="R1189" s="89" t="n"/>
      <c r="S1189" s="89" t="n"/>
      <c r="T1189" s="59">
        <f>Boosters_And!U1189/C1189</f>
        <v/>
      </c>
      <c r="U1189" s="31" t="n"/>
      <c r="V1189" s="102" t="n"/>
    </row>
    <row r="1190" ht="20.25" customHeight="1" s="150">
      <c r="A1190" s="34" t="n">
        <v>1188</v>
      </c>
      <c r="B1190" s="34" t="n"/>
      <c r="C1190" s="34" t="n"/>
      <c r="D1190" s="34" t="n"/>
      <c r="E1190" s="34" t="n"/>
      <c r="F1190" s="86" t="n"/>
      <c r="G1190" s="86" t="n"/>
      <c r="H1190" s="111" t="n"/>
      <c r="I1190" s="87" t="n"/>
      <c r="J1190" s="87" t="n"/>
      <c r="K1190" s="111" t="n"/>
      <c r="L1190" s="86" t="n"/>
      <c r="M1190" s="101" t="n"/>
      <c r="N1190" s="88" t="n"/>
      <c r="O1190" s="20" t="n"/>
      <c r="P1190" s="86" t="n"/>
      <c r="Q1190" s="89" t="n"/>
      <c r="R1190" s="89" t="n"/>
      <c r="S1190" s="89" t="n"/>
      <c r="T1190" s="59">
        <f>Boosters_And!U1190/C1190</f>
        <v/>
      </c>
      <c r="U1190" s="31" t="n"/>
      <c r="V1190" s="102" t="n"/>
    </row>
    <row r="1191" ht="20.25" customHeight="1" s="150">
      <c r="A1191" s="34" t="n">
        <v>1189</v>
      </c>
      <c r="B1191" s="34" t="n"/>
      <c r="C1191" s="34" t="n"/>
      <c r="D1191" s="34" t="n"/>
      <c r="E1191" s="34" t="n"/>
      <c r="F1191" s="86" t="n"/>
      <c r="G1191" s="86" t="n"/>
      <c r="H1191" s="111" t="n"/>
      <c r="I1191" s="87" t="n"/>
      <c r="J1191" s="87" t="n"/>
      <c r="K1191" s="111" t="n"/>
      <c r="L1191" s="86" t="n"/>
      <c r="M1191" s="101" t="n"/>
      <c r="N1191" s="88" t="n"/>
      <c r="O1191" s="20" t="n"/>
      <c r="P1191" s="86" t="n"/>
      <c r="Q1191" s="89" t="n"/>
      <c r="R1191" s="89" t="n"/>
      <c r="S1191" s="89" t="n"/>
      <c r="T1191" s="59">
        <f>Boosters_And!U1191/C1191</f>
        <v/>
      </c>
      <c r="U1191" s="31" t="n"/>
      <c r="V1191" s="102" t="n"/>
    </row>
    <row r="1192" ht="20.25" customHeight="1" s="150">
      <c r="A1192" s="34" t="n">
        <v>1190</v>
      </c>
      <c r="B1192" s="34" t="n"/>
      <c r="C1192" s="34" t="n"/>
      <c r="D1192" s="34" t="n"/>
      <c r="E1192" s="34" t="n"/>
      <c r="F1192" s="86" t="n"/>
      <c r="G1192" s="86" t="n"/>
      <c r="H1192" s="111" t="n"/>
      <c r="I1192" s="87" t="n"/>
      <c r="J1192" s="87" t="n"/>
      <c r="K1192" s="111" t="n"/>
      <c r="L1192" s="86" t="n"/>
      <c r="M1192" s="101" t="n"/>
      <c r="N1192" s="88" t="n"/>
      <c r="O1192" s="20" t="n"/>
      <c r="P1192" s="86" t="n"/>
      <c r="Q1192" s="89" t="n"/>
      <c r="R1192" s="89" t="n"/>
      <c r="S1192" s="89" t="n"/>
      <c r="T1192" s="59">
        <f>Boosters_And!U1192/C1192</f>
        <v/>
      </c>
      <c r="U1192" s="31" t="n"/>
      <c r="V1192" s="102" t="n"/>
    </row>
    <row r="1193" ht="20.25" customHeight="1" s="150">
      <c r="A1193" s="34" t="n">
        <v>1191</v>
      </c>
      <c r="B1193" s="34" t="n"/>
      <c r="C1193" s="34" t="n"/>
      <c r="D1193" s="34" t="n"/>
      <c r="E1193" s="34" t="n"/>
      <c r="F1193" s="86" t="n"/>
      <c r="G1193" s="86" t="n"/>
      <c r="H1193" s="111" t="n"/>
      <c r="I1193" s="87" t="n"/>
      <c r="J1193" s="87" t="n"/>
      <c r="K1193" s="111" t="n"/>
      <c r="L1193" s="86" t="n"/>
      <c r="M1193" s="101" t="n"/>
      <c r="N1193" s="88" t="n"/>
      <c r="O1193" s="20" t="n"/>
      <c r="P1193" s="86" t="n"/>
      <c r="Q1193" s="89" t="n"/>
      <c r="R1193" s="89" t="n"/>
      <c r="S1193" s="89" t="n"/>
      <c r="T1193" s="59">
        <f>Boosters_And!U1193/C1193</f>
        <v/>
      </c>
      <c r="U1193" s="31" t="n"/>
      <c r="V1193" s="102" t="n"/>
    </row>
    <row r="1194" ht="20.25" customHeight="1" s="150">
      <c r="A1194" s="34" t="n">
        <v>1192</v>
      </c>
      <c r="B1194" s="34" t="n"/>
      <c r="C1194" s="34" t="n"/>
      <c r="D1194" s="34" t="n"/>
      <c r="E1194" s="34" t="n"/>
      <c r="F1194" s="86" t="n"/>
      <c r="G1194" s="86" t="n"/>
      <c r="H1194" s="111" t="n"/>
      <c r="I1194" s="87" t="n"/>
      <c r="J1194" s="87" t="n"/>
      <c r="K1194" s="111" t="n"/>
      <c r="L1194" s="86" t="n"/>
      <c r="M1194" s="101" t="n"/>
      <c r="N1194" s="88" t="n"/>
      <c r="O1194" s="20" t="n"/>
      <c r="P1194" s="86" t="n"/>
      <c r="Q1194" s="89" t="n"/>
      <c r="R1194" s="89" t="n"/>
      <c r="S1194" s="89" t="n"/>
      <c r="T1194" s="59">
        <f>Boosters_And!U1194/C1194</f>
        <v/>
      </c>
      <c r="U1194" s="31" t="n"/>
      <c r="V1194" s="102" t="n"/>
    </row>
    <row r="1195" ht="20.25" customHeight="1" s="150">
      <c r="A1195" s="34" t="n">
        <v>1193</v>
      </c>
      <c r="B1195" s="34" t="n"/>
      <c r="C1195" s="34" t="n"/>
      <c r="D1195" s="34" t="n"/>
      <c r="E1195" s="34" t="n"/>
      <c r="F1195" s="86" t="n"/>
      <c r="G1195" s="86" t="n"/>
      <c r="H1195" s="111" t="n"/>
      <c r="I1195" s="87" t="n"/>
      <c r="J1195" s="87" t="n"/>
      <c r="K1195" s="111" t="n"/>
      <c r="L1195" s="86" t="n"/>
      <c r="M1195" s="101" t="n"/>
      <c r="N1195" s="88" t="n"/>
      <c r="O1195" s="20" t="n"/>
      <c r="P1195" s="86" t="n"/>
      <c r="Q1195" s="89" t="n"/>
      <c r="R1195" s="89" t="n"/>
      <c r="S1195" s="89" t="n"/>
      <c r="T1195" s="59">
        <f>Boosters_And!U1195/C1195</f>
        <v/>
      </c>
      <c r="U1195" s="31" t="n"/>
      <c r="V1195" s="102" t="n"/>
    </row>
    <row r="1196" ht="20.25" customHeight="1" s="150">
      <c r="A1196" s="34" t="n">
        <v>1194</v>
      </c>
      <c r="B1196" s="34" t="n"/>
      <c r="C1196" s="34" t="n"/>
      <c r="D1196" s="34" t="n"/>
      <c r="E1196" s="34" t="n"/>
      <c r="F1196" s="86" t="n"/>
      <c r="G1196" s="86" t="n"/>
      <c r="H1196" s="111" t="n"/>
      <c r="I1196" s="87" t="n"/>
      <c r="J1196" s="87" t="n"/>
      <c r="K1196" s="111" t="n"/>
      <c r="L1196" s="86" t="n"/>
      <c r="M1196" s="101" t="n"/>
      <c r="N1196" s="88" t="n"/>
      <c r="O1196" s="20" t="n"/>
      <c r="P1196" s="86" t="n"/>
      <c r="Q1196" s="89" t="n"/>
      <c r="R1196" s="89" t="n"/>
      <c r="S1196" s="89" t="n"/>
      <c r="T1196" s="59">
        <f>Boosters_And!U1196/C1196</f>
        <v/>
      </c>
      <c r="U1196" s="31" t="n"/>
      <c r="V1196" s="102" t="n"/>
    </row>
    <row r="1197" ht="20.25" customHeight="1" s="150">
      <c r="A1197" s="34" t="n">
        <v>1195</v>
      </c>
      <c r="B1197" s="34" t="n"/>
      <c r="C1197" s="34" t="n"/>
      <c r="D1197" s="34" t="n"/>
      <c r="E1197" s="34" t="n"/>
      <c r="F1197" s="86" t="n"/>
      <c r="G1197" s="86" t="n"/>
      <c r="H1197" s="111" t="n"/>
      <c r="I1197" s="87" t="n"/>
      <c r="J1197" s="87" t="n"/>
      <c r="K1197" s="111" t="n"/>
      <c r="L1197" s="86" t="n"/>
      <c r="M1197" s="101" t="n"/>
      <c r="N1197" s="88" t="n"/>
      <c r="O1197" s="20" t="n"/>
      <c r="P1197" s="86" t="n"/>
      <c r="Q1197" s="89" t="n"/>
      <c r="R1197" s="89" t="n"/>
      <c r="S1197" s="89" t="n"/>
      <c r="T1197" s="59">
        <f>Boosters_And!U1197/C1197</f>
        <v/>
      </c>
      <c r="U1197" s="31" t="n"/>
      <c r="V1197" s="102" t="n"/>
    </row>
    <row r="1198" ht="20.25" customHeight="1" s="150">
      <c r="A1198" s="34" t="n">
        <v>1196</v>
      </c>
      <c r="B1198" s="34" t="n"/>
      <c r="C1198" s="34" t="n"/>
      <c r="D1198" s="34" t="n"/>
      <c r="E1198" s="34" t="n"/>
      <c r="F1198" s="86" t="n"/>
      <c r="G1198" s="86" t="n"/>
      <c r="H1198" s="111" t="n"/>
      <c r="I1198" s="87" t="n"/>
      <c r="J1198" s="87" t="n"/>
      <c r="K1198" s="111" t="n"/>
      <c r="L1198" s="86" t="n"/>
      <c r="M1198" s="101" t="n"/>
      <c r="N1198" s="88" t="n"/>
      <c r="O1198" s="20" t="n"/>
      <c r="P1198" s="86" t="n"/>
      <c r="Q1198" s="89" t="n"/>
      <c r="R1198" s="89" t="n"/>
      <c r="S1198" s="89" t="n"/>
      <c r="T1198" s="59">
        <f>Boosters_And!U1198/C1198</f>
        <v/>
      </c>
      <c r="U1198" s="31" t="n"/>
      <c r="V1198" s="102" t="n"/>
    </row>
    <row r="1199" ht="20.25" customHeight="1" s="150">
      <c r="A1199" s="34" t="n">
        <v>1197</v>
      </c>
      <c r="B1199" s="34" t="n"/>
      <c r="C1199" s="34" t="n"/>
      <c r="D1199" s="34" t="n"/>
      <c r="E1199" s="34" t="n"/>
      <c r="F1199" s="86" t="n"/>
      <c r="G1199" s="86" t="n"/>
      <c r="H1199" s="111" t="n"/>
      <c r="I1199" s="87" t="n"/>
      <c r="J1199" s="87" t="n"/>
      <c r="K1199" s="111" t="n"/>
      <c r="L1199" s="86" t="n"/>
      <c r="M1199" s="101" t="n"/>
      <c r="N1199" s="88" t="n"/>
      <c r="O1199" s="20" t="n"/>
      <c r="P1199" s="86" t="n"/>
      <c r="Q1199" s="89" t="n"/>
      <c r="R1199" s="89" t="n"/>
      <c r="S1199" s="89" t="n"/>
      <c r="T1199" s="59">
        <f>Boosters_And!U1199/C1199</f>
        <v/>
      </c>
      <c r="U1199" s="31" t="n"/>
      <c r="V1199" s="102" t="n"/>
    </row>
    <row r="1200" ht="20.25" customHeight="1" s="150">
      <c r="A1200" s="34" t="n">
        <v>1198</v>
      </c>
      <c r="B1200" s="34" t="n"/>
      <c r="C1200" s="34" t="n"/>
      <c r="D1200" s="34" t="n"/>
      <c r="E1200" s="34" t="n"/>
      <c r="F1200" s="86" t="n"/>
      <c r="G1200" s="86" t="n"/>
      <c r="H1200" s="111" t="n"/>
      <c r="I1200" s="87" t="n"/>
      <c r="J1200" s="87" t="n"/>
      <c r="K1200" s="111" t="n"/>
      <c r="L1200" s="86" t="n"/>
      <c r="M1200" s="101" t="n"/>
      <c r="N1200" s="88" t="n"/>
      <c r="O1200" s="20" t="n"/>
      <c r="P1200" s="86" t="n"/>
      <c r="Q1200" s="89" t="n"/>
      <c r="R1200" s="89" t="n"/>
      <c r="S1200" s="89" t="n"/>
      <c r="T1200" s="59">
        <f>Boosters_And!U1200/C1200</f>
        <v/>
      </c>
      <c r="U1200" s="31" t="n"/>
      <c r="V1200" s="102" t="n"/>
    </row>
    <row r="1201" ht="20.25" customHeight="1" s="150">
      <c r="A1201" s="34" t="n">
        <v>1199</v>
      </c>
      <c r="B1201" s="34" t="n"/>
      <c r="C1201" s="34" t="n"/>
      <c r="D1201" s="34" t="n"/>
      <c r="E1201" s="34" t="n"/>
      <c r="F1201" s="86" t="n"/>
      <c r="G1201" s="86" t="n"/>
      <c r="H1201" s="111" t="n"/>
      <c r="I1201" s="87" t="n"/>
      <c r="J1201" s="87" t="n"/>
      <c r="K1201" s="111" t="n"/>
      <c r="L1201" s="86" t="n"/>
      <c r="M1201" s="101" t="n"/>
      <c r="N1201" s="88" t="n"/>
      <c r="O1201" s="20" t="n"/>
      <c r="P1201" s="86" t="n"/>
      <c r="Q1201" s="89" t="n"/>
      <c r="R1201" s="89" t="n"/>
      <c r="S1201" s="89" t="n"/>
      <c r="T1201" s="59">
        <f>Boosters_And!U1201/C1201</f>
        <v/>
      </c>
      <c r="U1201" s="31" t="n"/>
      <c r="V1201" s="102" t="n"/>
    </row>
    <row r="1202" ht="20.25" customHeight="1" s="150">
      <c r="A1202" s="34" t="n">
        <v>1200</v>
      </c>
      <c r="B1202" s="34" t="n"/>
      <c r="C1202" s="34" t="n"/>
      <c r="D1202" s="34" t="n"/>
      <c r="E1202" s="34" t="n"/>
      <c r="F1202" s="86" t="n"/>
      <c r="G1202" s="86" t="n"/>
      <c r="H1202" s="111" t="n"/>
      <c r="I1202" s="87" t="n"/>
      <c r="J1202" s="87" t="n"/>
      <c r="K1202" s="111" t="n"/>
      <c r="L1202" s="86" t="n"/>
      <c r="M1202" s="101" t="n"/>
      <c r="N1202" s="88" t="n"/>
      <c r="O1202" s="20" t="n"/>
      <c r="P1202" s="86" t="n"/>
      <c r="Q1202" s="89" t="n"/>
      <c r="R1202" s="89" t="n"/>
      <c r="S1202" s="89" t="n"/>
      <c r="T1202" s="59">
        <f>Boosters_And!U1202/C1202</f>
        <v/>
      </c>
      <c r="U1202" s="31" t="n"/>
      <c r="V1202" s="102" t="n"/>
    </row>
    <row r="1203" ht="20.25" customHeight="1" s="150">
      <c r="A1203" s="34" t="n">
        <v>1201</v>
      </c>
      <c r="B1203" s="34" t="n"/>
      <c r="C1203" s="34" t="n"/>
      <c r="D1203" s="34" t="n"/>
      <c r="E1203" s="34" t="n"/>
      <c r="F1203" s="86" t="n"/>
      <c r="G1203" s="86" t="n"/>
      <c r="H1203" s="111" t="n"/>
      <c r="I1203" s="87" t="n"/>
      <c r="J1203" s="87" t="n"/>
      <c r="K1203" s="111" t="n"/>
      <c r="L1203" s="86" t="n"/>
      <c r="M1203" s="101" t="n"/>
      <c r="N1203" s="88" t="n"/>
      <c r="O1203" s="20" t="n"/>
      <c r="P1203" s="86" t="n"/>
      <c r="Q1203" s="89" t="n"/>
      <c r="R1203" s="89" t="n"/>
      <c r="S1203" s="89" t="n"/>
      <c r="T1203" s="59">
        <f>Boosters_And!U1203/C1203</f>
        <v/>
      </c>
      <c r="U1203" s="31" t="n"/>
      <c r="V1203" s="102" t="n"/>
    </row>
    <row r="1204" ht="20.25" customHeight="1" s="150">
      <c r="A1204" s="34" t="n">
        <v>1202</v>
      </c>
      <c r="B1204" s="34" t="n"/>
      <c r="C1204" s="34" t="n"/>
      <c r="D1204" s="34" t="n"/>
      <c r="E1204" s="34" t="n"/>
      <c r="F1204" s="86" t="n"/>
      <c r="G1204" s="86" t="n"/>
      <c r="H1204" s="111" t="n"/>
      <c r="I1204" s="87" t="n"/>
      <c r="J1204" s="87" t="n"/>
      <c r="K1204" s="111" t="n"/>
      <c r="L1204" s="86" t="n"/>
      <c r="M1204" s="101" t="n"/>
      <c r="N1204" s="88" t="n"/>
      <c r="O1204" s="20" t="n"/>
      <c r="P1204" s="86" t="n"/>
      <c r="Q1204" s="89" t="n"/>
      <c r="R1204" s="89" t="n"/>
      <c r="S1204" s="89" t="n"/>
      <c r="T1204" s="59">
        <f>Boosters_And!U1204/C1204</f>
        <v/>
      </c>
      <c r="U1204" s="31" t="n"/>
      <c r="V1204" s="102" t="n"/>
    </row>
    <row r="1205" ht="20.25" customHeight="1" s="150">
      <c r="A1205" s="34" t="n">
        <v>1203</v>
      </c>
      <c r="B1205" s="34" t="n"/>
      <c r="C1205" s="34" t="n"/>
      <c r="D1205" s="34" t="n"/>
      <c r="E1205" s="34" t="n"/>
      <c r="F1205" s="86" t="n"/>
      <c r="G1205" s="86" t="n"/>
      <c r="H1205" s="111" t="n"/>
      <c r="I1205" s="87" t="n"/>
      <c r="J1205" s="87" t="n"/>
      <c r="K1205" s="111" t="n"/>
      <c r="L1205" s="86" t="n"/>
      <c r="M1205" s="101" t="n"/>
      <c r="N1205" s="88" t="n"/>
      <c r="O1205" s="20" t="n"/>
      <c r="P1205" s="86" t="n"/>
      <c r="Q1205" s="89" t="n"/>
      <c r="R1205" s="89" t="n"/>
      <c r="S1205" s="89" t="n"/>
      <c r="T1205" s="59">
        <f>Boosters_And!U1205/C1205</f>
        <v/>
      </c>
      <c r="U1205" s="31" t="n"/>
      <c r="V1205" s="102" t="n"/>
    </row>
    <row r="1206" ht="20.25" customHeight="1" s="150">
      <c r="A1206" s="34" t="n">
        <v>1204</v>
      </c>
      <c r="B1206" s="34" t="n"/>
      <c r="C1206" s="34" t="n"/>
      <c r="D1206" s="34" t="n"/>
      <c r="E1206" s="34" t="n"/>
      <c r="F1206" s="86" t="n"/>
      <c r="G1206" s="86" t="n"/>
      <c r="H1206" s="111" t="n"/>
      <c r="I1206" s="87" t="n"/>
      <c r="J1206" s="87" t="n"/>
      <c r="K1206" s="111" t="n"/>
      <c r="L1206" s="86" t="n"/>
      <c r="M1206" s="101" t="n"/>
      <c r="N1206" s="88" t="n"/>
      <c r="O1206" s="20" t="n"/>
      <c r="P1206" s="86" t="n"/>
      <c r="Q1206" s="89" t="n"/>
      <c r="R1206" s="89" t="n"/>
      <c r="S1206" s="89" t="n"/>
      <c r="T1206" s="59">
        <f>Boosters_And!U1206/C1206</f>
        <v/>
      </c>
      <c r="U1206" s="31" t="n"/>
      <c r="V1206" s="102" t="n"/>
    </row>
    <row r="1207" ht="20.25" customHeight="1" s="150">
      <c r="A1207" s="34" t="n">
        <v>1205</v>
      </c>
      <c r="B1207" s="34" t="n"/>
      <c r="C1207" s="34" t="n"/>
      <c r="D1207" s="34" t="n"/>
      <c r="E1207" s="34" t="n"/>
      <c r="F1207" s="86" t="n"/>
      <c r="G1207" s="86" t="n"/>
      <c r="H1207" s="111" t="n"/>
      <c r="I1207" s="87" t="n"/>
      <c r="J1207" s="87" t="n"/>
      <c r="K1207" s="111" t="n"/>
      <c r="L1207" s="86" t="n"/>
      <c r="M1207" s="101" t="n"/>
      <c r="N1207" s="88" t="n"/>
      <c r="O1207" s="20" t="n"/>
      <c r="P1207" s="86" t="n"/>
      <c r="Q1207" s="89" t="n"/>
      <c r="R1207" s="89" t="n"/>
      <c r="S1207" s="89" t="n"/>
      <c r="T1207" s="59">
        <f>Boosters_And!U1207/C1207</f>
        <v/>
      </c>
      <c r="U1207" s="31" t="n"/>
      <c r="V1207" s="102" t="n"/>
    </row>
    <row r="1208" ht="20.25" customHeight="1" s="150">
      <c r="A1208" s="34" t="n">
        <v>1206</v>
      </c>
      <c r="B1208" s="34" t="n"/>
      <c r="C1208" s="34" t="n"/>
      <c r="D1208" s="34" t="n"/>
      <c r="E1208" s="34" t="n"/>
      <c r="F1208" s="86" t="n"/>
      <c r="G1208" s="86" t="n"/>
      <c r="H1208" s="111" t="n"/>
      <c r="I1208" s="87" t="n"/>
      <c r="J1208" s="87" t="n"/>
      <c r="K1208" s="111" t="n"/>
      <c r="L1208" s="86" t="n"/>
      <c r="M1208" s="101" t="n"/>
      <c r="N1208" s="88" t="n"/>
      <c r="O1208" s="20" t="n"/>
      <c r="P1208" s="86" t="n"/>
      <c r="Q1208" s="89" t="n"/>
      <c r="R1208" s="89" t="n"/>
      <c r="S1208" s="89" t="n"/>
      <c r="T1208" s="59">
        <f>Boosters_And!U1208/C1208</f>
        <v/>
      </c>
      <c r="U1208" s="31" t="n"/>
      <c r="V1208" s="102" t="n"/>
    </row>
    <row r="1209" ht="20.25" customHeight="1" s="150">
      <c r="A1209" s="34" t="n">
        <v>1207</v>
      </c>
      <c r="B1209" s="34" t="n"/>
      <c r="C1209" s="34" t="n"/>
      <c r="D1209" s="34" t="n"/>
      <c r="E1209" s="34" t="n"/>
      <c r="F1209" s="86" t="n"/>
      <c r="G1209" s="86" t="n"/>
      <c r="H1209" s="111" t="n"/>
      <c r="I1209" s="87" t="n"/>
      <c r="J1209" s="87" t="n"/>
      <c r="K1209" s="111" t="n"/>
      <c r="L1209" s="86" t="n"/>
      <c r="M1209" s="101" t="n"/>
      <c r="N1209" s="88" t="n"/>
      <c r="O1209" s="20" t="n"/>
      <c r="P1209" s="86" t="n"/>
      <c r="Q1209" s="89" t="n"/>
      <c r="R1209" s="89" t="n"/>
      <c r="S1209" s="89" t="n"/>
      <c r="T1209" s="59">
        <f>Boosters_And!U1209/C1209</f>
        <v/>
      </c>
      <c r="U1209" s="31" t="n"/>
      <c r="V1209" s="102" t="n"/>
    </row>
    <row r="1210" ht="20.25" customHeight="1" s="150">
      <c r="A1210" s="34" t="n">
        <v>1208</v>
      </c>
      <c r="B1210" s="34" t="n"/>
      <c r="C1210" s="34" t="n"/>
      <c r="D1210" s="34" t="n"/>
      <c r="E1210" s="34" t="n"/>
      <c r="F1210" s="86" t="n"/>
      <c r="G1210" s="86" t="n"/>
      <c r="H1210" s="111" t="n"/>
      <c r="I1210" s="87" t="n"/>
      <c r="J1210" s="87" t="n"/>
      <c r="K1210" s="111" t="n"/>
      <c r="L1210" s="86" t="n"/>
      <c r="M1210" s="101" t="n"/>
      <c r="N1210" s="88" t="n"/>
      <c r="O1210" s="20" t="n"/>
      <c r="P1210" s="86" t="n"/>
      <c r="Q1210" s="89" t="n"/>
      <c r="R1210" s="89" t="n"/>
      <c r="S1210" s="89" t="n"/>
      <c r="T1210" s="59">
        <f>Boosters_And!U1210/C1210</f>
        <v/>
      </c>
      <c r="U1210" s="31" t="n"/>
      <c r="V1210" s="102" t="n"/>
    </row>
    <row r="1211" ht="20.25" customHeight="1" s="150">
      <c r="A1211" s="34" t="n">
        <v>1209</v>
      </c>
      <c r="B1211" s="34" t="n"/>
      <c r="C1211" s="34" t="n"/>
      <c r="D1211" s="34" t="n"/>
      <c r="E1211" s="34" t="n"/>
      <c r="F1211" s="86" t="n"/>
      <c r="G1211" s="86" t="n"/>
      <c r="H1211" s="111" t="n"/>
      <c r="I1211" s="87" t="n"/>
      <c r="J1211" s="87" t="n"/>
      <c r="K1211" s="111" t="n"/>
      <c r="L1211" s="86" t="n"/>
      <c r="M1211" s="101" t="n"/>
      <c r="N1211" s="88" t="n"/>
      <c r="O1211" s="20" t="n"/>
      <c r="P1211" s="86" t="n"/>
      <c r="Q1211" s="89" t="n"/>
      <c r="R1211" s="89" t="n"/>
      <c r="S1211" s="89" t="n"/>
      <c r="T1211" s="59">
        <f>Boosters_And!U1211/C1211</f>
        <v/>
      </c>
      <c r="U1211" s="31" t="n"/>
      <c r="V1211" s="102" t="n"/>
    </row>
    <row r="1212" ht="20.25" customHeight="1" s="150">
      <c r="A1212" s="34" t="n">
        <v>1210</v>
      </c>
      <c r="B1212" s="34" t="n"/>
      <c r="C1212" s="34" t="n"/>
      <c r="D1212" s="34" t="n"/>
      <c r="E1212" s="34" t="n"/>
      <c r="F1212" s="86" t="n"/>
      <c r="G1212" s="86" t="n"/>
      <c r="H1212" s="111" t="n"/>
      <c r="I1212" s="87" t="n"/>
      <c r="J1212" s="87" t="n"/>
      <c r="K1212" s="111" t="n"/>
      <c r="L1212" s="86" t="n"/>
      <c r="M1212" s="101" t="n"/>
      <c r="N1212" s="88" t="n"/>
      <c r="O1212" s="20" t="n"/>
      <c r="P1212" s="86" t="n"/>
      <c r="Q1212" s="89" t="n"/>
      <c r="R1212" s="89" t="n"/>
      <c r="S1212" s="89" t="n"/>
      <c r="T1212" s="59">
        <f>Boosters_And!U1212/C1212</f>
        <v/>
      </c>
      <c r="U1212" s="31" t="n"/>
      <c r="V1212" s="102" t="n"/>
    </row>
    <row r="1213" ht="20.25" customHeight="1" s="150">
      <c r="A1213" s="34" t="n">
        <v>1211</v>
      </c>
      <c r="B1213" s="34" t="n"/>
      <c r="C1213" s="34" t="n"/>
      <c r="D1213" s="34" t="n"/>
      <c r="E1213" s="34" t="n"/>
      <c r="F1213" s="86" t="n"/>
      <c r="G1213" s="86" t="n"/>
      <c r="H1213" s="111" t="n"/>
      <c r="I1213" s="87" t="n"/>
      <c r="J1213" s="87" t="n"/>
      <c r="K1213" s="111" t="n"/>
      <c r="L1213" s="86" t="n"/>
      <c r="M1213" s="101" t="n"/>
      <c r="N1213" s="88" t="n"/>
      <c r="O1213" s="20" t="n"/>
      <c r="P1213" s="86" t="n"/>
      <c r="Q1213" s="89" t="n"/>
      <c r="R1213" s="89" t="n"/>
      <c r="S1213" s="89" t="n"/>
      <c r="T1213" s="59">
        <f>Boosters_And!U1213/C1213</f>
        <v/>
      </c>
      <c r="U1213" s="31" t="n"/>
      <c r="V1213" s="102" t="n"/>
    </row>
    <row r="1214" ht="20.25" customHeight="1" s="150">
      <c r="A1214" s="34" t="n">
        <v>1212</v>
      </c>
      <c r="B1214" s="34" t="n"/>
      <c r="C1214" s="34" t="n"/>
      <c r="D1214" s="34" t="n"/>
      <c r="E1214" s="34" t="n"/>
      <c r="F1214" s="86" t="n"/>
      <c r="G1214" s="86" t="n"/>
      <c r="H1214" s="111" t="n"/>
      <c r="I1214" s="87" t="n"/>
      <c r="J1214" s="87" t="n"/>
      <c r="K1214" s="111" t="n"/>
      <c r="L1214" s="86" t="n"/>
      <c r="M1214" s="101" t="n"/>
      <c r="N1214" s="88" t="n"/>
      <c r="O1214" s="20" t="n"/>
      <c r="P1214" s="86" t="n"/>
      <c r="Q1214" s="89" t="n"/>
      <c r="R1214" s="89" t="n"/>
      <c r="S1214" s="89" t="n"/>
      <c r="T1214" s="59">
        <f>Boosters_And!U1214/C1214</f>
        <v/>
      </c>
      <c r="U1214" s="31" t="n"/>
      <c r="V1214" s="102" t="n"/>
    </row>
    <row r="1215" ht="20.25" customHeight="1" s="150">
      <c r="A1215" s="34" t="n">
        <v>1213</v>
      </c>
      <c r="B1215" s="34" t="n"/>
      <c r="C1215" s="34" t="n"/>
      <c r="D1215" s="34" t="n"/>
      <c r="E1215" s="34" t="n"/>
      <c r="F1215" s="86" t="n"/>
      <c r="G1215" s="86" t="n"/>
      <c r="H1215" s="111" t="n"/>
      <c r="I1215" s="87" t="n"/>
      <c r="J1215" s="87" t="n"/>
      <c r="K1215" s="111" t="n"/>
      <c r="L1215" s="86" t="n"/>
      <c r="M1215" s="101" t="n"/>
      <c r="N1215" s="88" t="n"/>
      <c r="O1215" s="20" t="n"/>
      <c r="P1215" s="86" t="n"/>
      <c r="Q1215" s="89" t="n"/>
      <c r="R1215" s="89" t="n"/>
      <c r="S1215" s="89" t="n"/>
      <c r="T1215" s="59">
        <f>Boosters_And!U1215/C1215</f>
        <v/>
      </c>
      <c r="U1215" s="31" t="n"/>
      <c r="V1215" s="102" t="n"/>
    </row>
    <row r="1216">
      <c r="A1216" s="34" t="n"/>
      <c r="B1216" s="34" t="n"/>
      <c r="C1216" s="34" t="n"/>
      <c r="D1216" s="34" t="n"/>
      <c r="E1216" s="34" t="n"/>
      <c r="F1216" s="86" t="n"/>
      <c r="G1216" s="86" t="n"/>
      <c r="H1216" s="111" t="n"/>
      <c r="I1216" s="87" t="n"/>
      <c r="J1216" s="87" t="n"/>
      <c r="K1216" s="111" t="n"/>
      <c r="L1216" s="86" t="n"/>
      <c r="M1216" s="101" t="n"/>
      <c r="N1216" s="36" t="n"/>
      <c r="O1216" s="2" t="n"/>
      <c r="P1216" s="111" t="n"/>
      <c r="Q1216" s="111" t="n"/>
      <c r="R1216" s="111" t="n"/>
      <c r="S1216" s="111" t="n"/>
      <c r="T1216" s="111" t="n"/>
      <c r="U1216" s="31" t="n"/>
      <c r="V1216" s="102" t="n"/>
    </row>
    <row r="1217">
      <c r="A1217" s="34" t="n"/>
      <c r="B1217" s="34" t="n"/>
      <c r="C1217" s="34" t="n"/>
      <c r="D1217" s="34" t="n"/>
      <c r="E1217" s="34" t="n"/>
      <c r="F1217" s="86" t="n"/>
      <c r="G1217" s="86" t="n"/>
      <c r="H1217" s="111" t="n"/>
      <c r="I1217" s="87" t="n"/>
      <c r="J1217" s="87" t="n"/>
      <c r="K1217" s="111" t="n"/>
      <c r="L1217" s="86" t="n"/>
      <c r="N1217" s="36" t="n"/>
      <c r="O1217" s="2" t="n"/>
      <c r="P1217" s="111" t="n"/>
      <c r="Q1217" s="111" t="n"/>
      <c r="R1217" s="111" t="n"/>
      <c r="S1217" s="111" t="n"/>
      <c r="T1217" s="111" t="n"/>
      <c r="U1217" s="111" t="n"/>
      <c r="V1217" s="111" t="n"/>
    </row>
  </sheetData>
  <dataValidations count="2">
    <dataValidation sqref="M3:M1002" showDropDown="0" showInputMessage="0" showErrorMessage="1" allowBlank="1" type="list">
      <formula1>"Normal,Hard,Very Hard"</formula1>
    </dataValidation>
    <dataValidation sqref="U3:U1002" showDropDown="0" showInputMessage="0" showErrorMessage="0" allowBlank="1" type="custom">
      <formula1>AND(ISNUMBER(U3),(NOT(OR(NOT(ISERROR(DATEVALUE(U3))), AND(ISNUMBER(U3), LEFT(CELL("format", U3))="D")))))</formula1>
    </dataValidation>
  </dataValidation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26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7.29071508" customWidth="1" style="150" min="2" max="2"/>
    <col width="13.43357168" customWidth="1" style="150" min="3" max="4"/>
    <col width="13.57642828" customWidth="1" style="150" min="5" max="5"/>
    <col width="13.43357168" customWidth="1" style="150" min="6" max="7"/>
    <col width="13.57642828" customWidth="1" style="150" min="8" max="8"/>
    <col width="14.71928583" customWidth="1" style="150" min="9" max="9"/>
    <col width="12.57642828" customWidth="1" style="150" min="10" max="10"/>
    <col width="15.86214243" customWidth="1" style="150" min="11" max="12"/>
    <col width="21.57642828" customWidth="1" style="150" min="13" max="13"/>
    <col width="19.29071508" customWidth="1" style="150" min="14" max="14"/>
    <col width="15.00499998" customWidth="1" style="150" min="15" max="20"/>
    <col width="16.57642828" customWidth="1" style="150" min="22" max="22"/>
    <col width="15.86214243" customWidth="1" style="150" min="23" max="24"/>
  </cols>
  <sheetData>
    <row r="1" ht="22.5" customHeight="1" s="150">
      <c r="A1" s="32" t="inlineStr">
        <is>
          <t>Segment</t>
        </is>
      </c>
      <c r="B1" s="34" t="n"/>
      <c r="C1" s="34" t="inlineStr">
        <is>
          <t>Complete</t>
        </is>
      </c>
      <c r="D1" s="49" t="inlineStr">
        <is>
          <t>Complete</t>
        </is>
      </c>
      <c r="E1" s="49" t="inlineStr">
        <is>
          <t>Complete</t>
        </is>
      </c>
      <c r="F1" s="103" t="inlineStr">
        <is>
          <t>Fail</t>
        </is>
      </c>
      <c r="G1" s="103" t="inlineStr">
        <is>
          <t>Fail</t>
        </is>
      </c>
      <c r="H1" s="103" t="inlineStr">
        <is>
          <t>Fail</t>
        </is>
      </c>
      <c r="I1" s="111" t="n"/>
      <c r="J1" s="104" t="inlineStr">
        <is>
          <t>Complete</t>
        </is>
      </c>
      <c r="K1" s="104" t="inlineStr">
        <is>
          <t>Column 1</t>
        </is>
      </c>
      <c r="L1" s="104" t="inlineStr">
        <is>
          <t>Column 2</t>
        </is>
      </c>
      <c r="M1" s="104" t="inlineStr">
        <is>
          <t>Column 3</t>
        </is>
      </c>
      <c r="N1" s="34" t="n"/>
      <c r="O1" s="34" t="inlineStr">
        <is>
          <t>Complete</t>
        </is>
      </c>
      <c r="P1" s="49" t="inlineStr">
        <is>
          <t>Complete</t>
        </is>
      </c>
      <c r="Q1" s="49" t="inlineStr">
        <is>
          <t>Complete</t>
        </is>
      </c>
      <c r="R1" s="103" t="inlineStr">
        <is>
          <t>Fail</t>
        </is>
      </c>
      <c r="S1" s="103" t="inlineStr">
        <is>
          <t>Fail</t>
        </is>
      </c>
      <c r="T1" s="103" t="inlineStr">
        <is>
          <t>Fail</t>
        </is>
      </c>
      <c r="V1" s="104" t="inlineStr">
        <is>
          <t>Complete</t>
        </is>
      </c>
      <c r="W1" s="104" t="inlineStr">
        <is>
          <t>Column 1</t>
        </is>
      </c>
      <c r="X1" s="104" t="inlineStr">
        <is>
          <t>Column 2</t>
        </is>
      </c>
    </row>
    <row r="2" ht="22.5" customHeight="1" s="150">
      <c r="A2" s="40" t="inlineStr">
        <is>
          <t>Level</t>
        </is>
      </c>
      <c r="B2" s="105" t="inlineStr">
        <is>
          <t>Total USED Booster</t>
        </is>
      </c>
      <c r="C2" s="105" t="inlineStr">
        <is>
          <t>Booster A used</t>
        </is>
      </c>
      <c r="D2" s="105" t="inlineStr">
        <is>
          <t>Booster B used</t>
        </is>
      </c>
      <c r="E2" s="105" t="inlineStr">
        <is>
          <t>Booster C used</t>
        </is>
      </c>
      <c r="F2" s="105" t="inlineStr">
        <is>
          <t>Booster A used</t>
        </is>
      </c>
      <c r="G2" s="105" t="inlineStr">
        <is>
          <t>Booster B used</t>
        </is>
      </c>
      <c r="H2" s="105" t="inlineStr">
        <is>
          <t>Booster C used</t>
        </is>
      </c>
      <c r="I2" s="106" t="inlineStr">
        <is>
          <t>%_used_booster</t>
        </is>
      </c>
      <c r="J2" s="107" t="inlineStr">
        <is>
          <t>%_A_used</t>
        </is>
      </c>
      <c r="K2" s="107" t="inlineStr">
        <is>
          <t>%_B_used</t>
        </is>
      </c>
      <c r="L2" s="107" t="inlineStr">
        <is>
          <t>%_C_used</t>
        </is>
      </c>
      <c r="M2" s="107" t="inlineStr">
        <is>
          <t>Total not USED Booster</t>
        </is>
      </c>
      <c r="N2" s="105" t="inlineStr">
        <is>
          <t>Total OWNED Booster</t>
        </is>
      </c>
      <c r="O2" s="105" t="inlineStr">
        <is>
          <t>Booster A owned</t>
        </is>
      </c>
      <c r="P2" s="105" t="inlineStr">
        <is>
          <t>Booster B owned</t>
        </is>
      </c>
      <c r="Q2" s="105" t="inlineStr">
        <is>
          <t>Booster C owned</t>
        </is>
      </c>
      <c r="R2" s="105" t="inlineStr">
        <is>
          <t>Booster A owned</t>
        </is>
      </c>
      <c r="S2" s="105" t="inlineStr">
        <is>
          <t>Booster B owned</t>
        </is>
      </c>
      <c r="T2" s="105" t="inlineStr">
        <is>
          <t>Booster C owned</t>
        </is>
      </c>
      <c r="U2" s="115" t="inlineStr">
        <is>
          <t>Total Rewarded</t>
        </is>
      </c>
      <c r="V2" s="107" t="inlineStr">
        <is>
          <t>%_A_owned</t>
        </is>
      </c>
      <c r="W2" s="107" t="inlineStr">
        <is>
          <t>%_B_owned</t>
        </is>
      </c>
      <c r="X2" s="107" t="inlineStr">
        <is>
          <t>%_C_owned</t>
        </is>
      </c>
    </row>
    <row r="3" ht="22.5" customHeight="1" s="150">
      <c r="A3" s="34" t="n">
        <v>1</v>
      </c>
      <c r="B3" s="109">
        <f>C3+D3+E3+F3+G3+H3</f>
        <v/>
      </c>
      <c r="C3" s="110" t="n">
        <v>0</v>
      </c>
      <c r="D3" s="110" t="n">
        <v>0</v>
      </c>
      <c r="E3" s="110" t="n">
        <v>0</v>
      </c>
      <c r="F3" s="110" t="n">
        <v>0</v>
      </c>
      <c r="G3" s="110" t="n">
        <v>0</v>
      </c>
      <c r="H3" s="110" t="n">
        <v>0</v>
      </c>
      <c r="I3" s="111">
        <f>(100*B3)/N3</f>
        <v/>
      </c>
      <c r="J3" s="112">
        <f>((C3+F3)*100)/B3</f>
        <v/>
      </c>
      <c r="K3" s="112">
        <f>((D3+G3)*100)/B3</f>
        <v/>
      </c>
      <c r="L3" s="112">
        <f>((E3+H3)*100)/B3</f>
        <v/>
      </c>
      <c r="M3" s="113" t="n"/>
      <c r="N3" s="109">
        <f>O3+P3+Q3+R3+S3+T3</f>
        <v/>
      </c>
      <c r="O3" s="110" t="n">
        <v>0</v>
      </c>
      <c r="P3" s="110" t="n">
        <v>0</v>
      </c>
      <c r="Q3" s="110" t="n">
        <v>0</v>
      </c>
      <c r="R3" s="110" t="n">
        <v>0</v>
      </c>
      <c r="S3" s="110" t="n">
        <v>0</v>
      </c>
      <c r="T3" s="110" t="n">
        <v>0</v>
      </c>
      <c r="U3" s="50" t="n">
        <v>13</v>
      </c>
      <c r="V3" s="112">
        <f>((O3+R3)*100)/N3</f>
        <v/>
      </c>
      <c r="W3" s="112">
        <f>((P3+S3)*100)/N3</f>
        <v/>
      </c>
      <c r="X3" s="112">
        <f>((Q3+T3)*100)/N3</f>
        <v/>
      </c>
    </row>
    <row r="4" ht="22.5" customHeight="1" s="150">
      <c r="A4" s="34" t="n">
        <v>2</v>
      </c>
      <c r="B4" s="109">
        <f>C4+D4+E4+F4+G4+H4</f>
        <v/>
      </c>
      <c r="C4" s="110" t="n">
        <v>0</v>
      </c>
      <c r="D4" s="110" t="n">
        <v>0</v>
      </c>
      <c r="E4" s="110" t="n">
        <v>0</v>
      </c>
      <c r="F4" s="110" t="n">
        <v>0</v>
      </c>
      <c r="G4" s="110" t="n">
        <v>0</v>
      </c>
      <c r="H4" s="110" t="n">
        <v>0</v>
      </c>
      <c r="I4" s="111">
        <f>(100*B4)/N4</f>
        <v/>
      </c>
      <c r="J4" s="112">
        <f>((C4+F4)*100)/B4</f>
        <v/>
      </c>
      <c r="K4" s="112">
        <f>((D4+G4)*100)/B4</f>
        <v/>
      </c>
      <c r="L4" s="112">
        <f>((E4+H4)*100)/B4</f>
        <v/>
      </c>
      <c r="M4" s="114">
        <f>N4-B3</f>
        <v/>
      </c>
      <c r="N4" s="109">
        <f>O4+P4+Q4+R4+S4+T4</f>
        <v/>
      </c>
      <c r="O4" s="110" t="n">
        <v>0</v>
      </c>
      <c r="P4" s="110" t="n">
        <v>0</v>
      </c>
      <c r="Q4" s="110" t="n">
        <v>0</v>
      </c>
      <c r="R4" s="110" t="n">
        <v>0</v>
      </c>
      <c r="S4" s="110" t="n">
        <v>0</v>
      </c>
      <c r="T4" s="110" t="n">
        <v>0</v>
      </c>
      <c r="U4" s="50" t="n">
        <v>5</v>
      </c>
      <c r="V4" s="112">
        <f>((O4+R4)*100)/N4</f>
        <v/>
      </c>
      <c r="W4" s="112">
        <f>((P4+S4)*100)/N4</f>
        <v/>
      </c>
      <c r="X4" s="112">
        <f>((Q4+T4)*100)/N4</f>
        <v/>
      </c>
    </row>
    <row r="5" ht="22.5" customHeight="1" s="150">
      <c r="A5" s="34" t="n">
        <v>3</v>
      </c>
      <c r="B5" s="109">
        <f>C5+D5+E5+F5+G5+H5</f>
        <v/>
      </c>
      <c r="C5" s="110" t="n">
        <v>0</v>
      </c>
      <c r="D5" s="110" t="n">
        <v>0</v>
      </c>
      <c r="E5" s="110" t="n">
        <v>0</v>
      </c>
      <c r="F5" s="110" t="n">
        <v>0</v>
      </c>
      <c r="G5" s="110" t="n">
        <v>0</v>
      </c>
      <c r="H5" s="110" t="n">
        <v>0</v>
      </c>
      <c r="I5" s="111">
        <f>(100*B5)/N5</f>
        <v/>
      </c>
      <c r="J5" s="112">
        <f>((C5+F5)*100)/B5</f>
        <v/>
      </c>
      <c r="K5" s="112">
        <f>((D5+G5)*100)/B5</f>
        <v/>
      </c>
      <c r="L5" s="112">
        <f>((E5+H5)*100)/B5</f>
        <v/>
      </c>
      <c r="M5" s="114">
        <f>N5-B4</f>
        <v/>
      </c>
      <c r="N5" s="109">
        <f>O5+P5+Q5+R5+S5+T5</f>
        <v/>
      </c>
      <c r="O5" s="110" t="n">
        <v>0</v>
      </c>
      <c r="P5" s="110" t="n">
        <v>0</v>
      </c>
      <c r="Q5" s="110" t="n">
        <v>0</v>
      </c>
      <c r="R5" s="110" t="n">
        <v>0</v>
      </c>
      <c r="S5" s="110" t="n">
        <v>0</v>
      </c>
      <c r="T5" s="110" t="n">
        <v>0</v>
      </c>
      <c r="U5" s="50" t="n">
        <v>10</v>
      </c>
      <c r="V5" s="112">
        <f>((O5+R5)*100)/N5</f>
        <v/>
      </c>
      <c r="W5" s="112">
        <f>((P5+S5)*100)/N5</f>
        <v/>
      </c>
      <c r="X5" s="112">
        <f>((Q5+T5)*100)/N5</f>
        <v/>
      </c>
    </row>
    <row r="6" ht="22.5" customHeight="1" s="150">
      <c r="A6" s="34" t="n">
        <v>4</v>
      </c>
      <c r="B6" s="109">
        <f>C6+D6+E6+F6+G6+H6</f>
        <v/>
      </c>
      <c r="C6" s="110" t="n">
        <v>0</v>
      </c>
      <c r="D6" s="110" t="n">
        <v>0</v>
      </c>
      <c r="E6" s="110" t="n">
        <v>0</v>
      </c>
      <c r="F6" s="110" t="n">
        <v>0</v>
      </c>
      <c r="G6" s="110" t="n">
        <v>0</v>
      </c>
      <c r="H6" s="110" t="n">
        <v>0</v>
      </c>
      <c r="I6" s="111">
        <f>(100*B6)/N6</f>
        <v/>
      </c>
      <c r="J6" s="112">
        <f>((C6+F6)*100)/B6</f>
        <v/>
      </c>
      <c r="K6" s="112">
        <f>((D6+G6)*100)/B6</f>
        <v/>
      </c>
      <c r="L6" s="112">
        <f>((E6+H6)*100)/B6</f>
        <v/>
      </c>
      <c r="M6" s="114">
        <f>N6-B5</f>
        <v/>
      </c>
      <c r="N6" s="109">
        <f>O6+P6+Q6+R6+S6+T6</f>
        <v/>
      </c>
      <c r="O6" s="110" t="n">
        <v>0</v>
      </c>
      <c r="P6" s="110" t="n">
        <v>0</v>
      </c>
      <c r="Q6" s="110" t="n">
        <v>0</v>
      </c>
      <c r="R6" s="110" t="n">
        <v>0</v>
      </c>
      <c r="S6" s="110" t="n">
        <v>0</v>
      </c>
      <c r="T6" s="110" t="n">
        <v>0</v>
      </c>
      <c r="U6" s="50" t="n">
        <v>0</v>
      </c>
      <c r="V6" s="112">
        <f>((O6+R6)*100)/N6</f>
        <v/>
      </c>
      <c r="W6" s="112">
        <f>((P6+S6)*100)/N6</f>
        <v/>
      </c>
      <c r="X6" s="112">
        <f>((Q6+T6)*100)/N6</f>
        <v/>
      </c>
    </row>
    <row r="7" ht="22.5" customHeight="1" s="150">
      <c r="A7" s="34" t="n">
        <v>5</v>
      </c>
      <c r="B7" s="109">
        <f>C7+D7+E7+F7+G7+H7</f>
        <v/>
      </c>
      <c r="C7" s="110" t="n">
        <v>0</v>
      </c>
      <c r="D7" s="110" t="n">
        <v>0</v>
      </c>
      <c r="E7" s="110" t="n">
        <v>0</v>
      </c>
      <c r="F7" s="110" t="n">
        <v>0</v>
      </c>
      <c r="G7" s="110" t="n">
        <v>0</v>
      </c>
      <c r="H7" s="110" t="n">
        <v>0</v>
      </c>
      <c r="I7" s="111">
        <f>(100*B7)/N7</f>
        <v/>
      </c>
      <c r="J7" s="112">
        <f>((C7+F7)*100)/B7</f>
        <v/>
      </c>
      <c r="K7" s="112">
        <f>((D7+G7)*100)/B7</f>
        <v/>
      </c>
      <c r="L7" s="112">
        <f>((E7+H7)*100)/B7</f>
        <v/>
      </c>
      <c r="M7" s="114">
        <f>N7-B6</f>
        <v/>
      </c>
      <c r="N7" s="109">
        <f>O7+P7+Q7+R7+S7+T7</f>
        <v/>
      </c>
      <c r="O7" s="110" t="n">
        <v>0</v>
      </c>
      <c r="P7" s="110" t="n">
        <v>0</v>
      </c>
      <c r="Q7" s="110" t="n">
        <v>0</v>
      </c>
      <c r="R7" s="110" t="n">
        <v>0</v>
      </c>
      <c r="S7" s="110" t="n">
        <v>0</v>
      </c>
      <c r="T7" s="110" t="n">
        <v>0</v>
      </c>
      <c r="U7" s="50" t="n">
        <v>3</v>
      </c>
      <c r="V7" s="112">
        <f>((O7+R7)*100)/N7</f>
        <v/>
      </c>
      <c r="W7" s="112">
        <f>((P7+S7)*100)/N7</f>
        <v/>
      </c>
      <c r="X7" s="112">
        <f>((Q7+T7)*100)/N7</f>
        <v/>
      </c>
    </row>
    <row r="8" ht="22.5" customHeight="1" s="150">
      <c r="A8" s="34" t="n">
        <v>6</v>
      </c>
      <c r="B8" s="109">
        <f>C8+D8+E8+F8+G8+H8</f>
        <v/>
      </c>
      <c r="C8" s="110" t="n">
        <v>0</v>
      </c>
      <c r="D8" s="110" t="n">
        <v>0</v>
      </c>
      <c r="E8" s="110" t="n">
        <v>0</v>
      </c>
      <c r="F8" s="110" t="n">
        <v>0</v>
      </c>
      <c r="G8" s="110" t="n">
        <v>0</v>
      </c>
      <c r="H8" s="110" t="n">
        <v>0</v>
      </c>
      <c r="I8" s="111">
        <f>(100*B8)/N8</f>
        <v/>
      </c>
      <c r="J8" s="112">
        <f>((C8+F8)*100)/B8</f>
        <v/>
      </c>
      <c r="K8" s="112">
        <f>((D8+G8)*100)/B8</f>
        <v/>
      </c>
      <c r="L8" s="112">
        <f>((E8+H8)*100)/B8</f>
        <v/>
      </c>
      <c r="M8" s="114">
        <f>N8-B7</f>
        <v/>
      </c>
      <c r="N8" s="109">
        <f>O8+P8+Q8+R8+S8+T8</f>
        <v/>
      </c>
      <c r="O8" s="110" t="n">
        <v>0</v>
      </c>
      <c r="P8" s="110" t="n">
        <v>0</v>
      </c>
      <c r="Q8" s="110" t="n">
        <v>0</v>
      </c>
      <c r="R8" s="110" t="n">
        <v>0</v>
      </c>
      <c r="S8" s="110" t="n">
        <v>0</v>
      </c>
      <c r="T8" s="110" t="n">
        <v>0</v>
      </c>
      <c r="U8" s="50" t="n">
        <v>13</v>
      </c>
      <c r="V8" s="112">
        <f>((O8+R8)*100)/N8</f>
        <v/>
      </c>
      <c r="W8" s="112">
        <f>((P8+S8)*100)/N8</f>
        <v/>
      </c>
      <c r="X8" s="112">
        <f>((Q8+T8)*100)/N8</f>
        <v/>
      </c>
    </row>
    <row r="9" ht="22.5" customHeight="1" s="150">
      <c r="A9" s="34" t="n">
        <v>7</v>
      </c>
      <c r="B9" s="109">
        <f>C9+D9+E9+F9+G9+H9</f>
        <v/>
      </c>
      <c r="C9" s="110" t="n">
        <v>0</v>
      </c>
      <c r="D9" s="110" t="n">
        <v>0</v>
      </c>
      <c r="E9" s="110" t="n">
        <v>0</v>
      </c>
      <c r="F9" s="110" t="n">
        <v>0</v>
      </c>
      <c r="G9" s="110" t="n">
        <v>0</v>
      </c>
      <c r="H9" s="110" t="n">
        <v>0</v>
      </c>
      <c r="I9" s="111">
        <f>(100*B9)/N9</f>
        <v/>
      </c>
      <c r="J9" s="112">
        <f>((C9+F9)*100)/B9</f>
        <v/>
      </c>
      <c r="K9" s="112">
        <f>((D9+G9)*100)/B9</f>
        <v/>
      </c>
      <c r="L9" s="112">
        <f>((E9+H9)*100)/B9</f>
        <v/>
      </c>
      <c r="M9" s="114">
        <f>N9-B8</f>
        <v/>
      </c>
      <c r="N9" s="109">
        <f>O9+P9+Q9+R9+S9+T9</f>
        <v/>
      </c>
      <c r="O9" s="110" t="n">
        <v>0</v>
      </c>
      <c r="P9" s="110" t="n">
        <v>0</v>
      </c>
      <c r="Q9" s="110" t="n">
        <v>0</v>
      </c>
      <c r="R9" s="110" t="n">
        <v>0</v>
      </c>
      <c r="S9" s="110" t="n">
        <v>0</v>
      </c>
      <c r="T9" s="110" t="n">
        <v>0</v>
      </c>
      <c r="U9" s="50" t="n">
        <v>0</v>
      </c>
      <c r="V9" s="112">
        <f>((O9+R9)*100)/N9</f>
        <v/>
      </c>
      <c r="W9" s="112">
        <f>((P9+S9)*100)/N9</f>
        <v/>
      </c>
      <c r="X9" s="112">
        <f>((Q9+T9)*100)/N9</f>
        <v/>
      </c>
    </row>
    <row r="10" ht="22.5" customHeight="1" s="150">
      <c r="A10" s="34" t="n">
        <v>8</v>
      </c>
      <c r="B10" s="109">
        <f>C10+D10+E10+F10+G10+H10</f>
        <v/>
      </c>
      <c r="C10" s="110" t="n">
        <v>8331.29720776387</v>
      </c>
      <c r="D10" s="110" t="n">
        <v>0</v>
      </c>
      <c r="E10" s="110" t="n">
        <v>0</v>
      </c>
      <c r="F10" s="110" t="n">
        <v>5.1586979614637</v>
      </c>
      <c r="G10" s="110" t="n">
        <v>0</v>
      </c>
      <c r="H10" s="110" t="n">
        <v>0</v>
      </c>
      <c r="I10" s="111">
        <f>(100*B10)/N10</f>
        <v/>
      </c>
      <c r="J10" s="112">
        <f>((C10+F10)*100)/B10</f>
        <v/>
      </c>
      <c r="K10" s="112">
        <f>((D10+G10)*100)/B10</f>
        <v/>
      </c>
      <c r="L10" s="112">
        <f>((E10+H10)*100)/B10</f>
        <v/>
      </c>
      <c r="M10" s="114">
        <f>N10-B9</f>
        <v/>
      </c>
      <c r="N10" s="109">
        <f>O10+P10+Q10+R10+S10+T10</f>
        <v/>
      </c>
      <c r="O10" s="110" t="n">
        <v>8470.58205272339</v>
      </c>
      <c r="P10" s="110" t="n">
        <v>0</v>
      </c>
      <c r="Q10" s="110" t="n">
        <v>0</v>
      </c>
      <c r="R10" s="110" t="n">
        <v>255.355549092453</v>
      </c>
      <c r="S10" s="110" t="n">
        <v>0</v>
      </c>
      <c r="T10" s="110" t="n">
        <v>0</v>
      </c>
      <c r="U10" s="50" t="n">
        <v>0</v>
      </c>
      <c r="V10" s="112">
        <f>((O10+R10)*100)/N10</f>
        <v/>
      </c>
      <c r="W10" s="112">
        <f>((P10+S10)*100)/N10</f>
        <v/>
      </c>
      <c r="X10" s="112">
        <f>((Q10+T10)*100)/N10</f>
        <v/>
      </c>
    </row>
    <row r="11" ht="22.5" customHeight="1" s="150">
      <c r="A11" s="34" t="n">
        <v>9</v>
      </c>
      <c r="B11" s="109">
        <f>C11+D11+E11+F11+G11+H11</f>
        <v/>
      </c>
      <c r="C11" s="110" t="n">
        <v>152.181589863179</v>
      </c>
      <c r="D11" s="110" t="n">
        <v>0</v>
      </c>
      <c r="E11" s="110" t="n">
        <v>0</v>
      </c>
      <c r="F11" s="110" t="n">
        <v>0</v>
      </c>
      <c r="G11" s="110" t="n">
        <v>0</v>
      </c>
      <c r="H11" s="110" t="n">
        <v>0</v>
      </c>
      <c r="I11" s="111">
        <f>(100*B11)/N11</f>
        <v/>
      </c>
      <c r="J11" s="112">
        <f>((C11+F11)*100)/B11</f>
        <v/>
      </c>
      <c r="K11" s="112">
        <f>((D11+G11)*100)/B11</f>
        <v/>
      </c>
      <c r="L11" s="112">
        <f>((E11+H11)*100)/B11</f>
        <v/>
      </c>
      <c r="M11" s="114">
        <f>N11-B10</f>
        <v/>
      </c>
      <c r="N11" s="109">
        <f>O11+P11+Q11+R11+S11+T11</f>
        <v/>
      </c>
      <c r="O11" s="110" t="n">
        <v>8207.488456688739</v>
      </c>
      <c r="P11" s="110" t="n">
        <v>0</v>
      </c>
      <c r="Q11" s="110" t="n">
        <v>0</v>
      </c>
      <c r="R11" s="110" t="n">
        <v>353.370810360263</v>
      </c>
      <c r="S11" s="110" t="n">
        <v>0</v>
      </c>
      <c r="T11" s="110" t="n">
        <v>0</v>
      </c>
      <c r="U11" s="50" t="n">
        <v>28</v>
      </c>
      <c r="V11" s="112">
        <f>((O11+R11)*100)/N11</f>
        <v/>
      </c>
      <c r="W11" s="112">
        <f>((P11+S11)*100)/N11</f>
        <v/>
      </c>
      <c r="X11" s="112">
        <f>((Q11+T11)*100)/N11</f>
        <v/>
      </c>
    </row>
    <row r="12" ht="22.5" customHeight="1" s="150">
      <c r="A12" s="34" t="n">
        <v>10</v>
      </c>
      <c r="B12" s="109">
        <f>C12+D12+E12+F12+G12+H12</f>
        <v/>
      </c>
      <c r="C12" s="110" t="n">
        <v>100.594610248542</v>
      </c>
      <c r="D12" s="110" t="n">
        <v>0</v>
      </c>
      <c r="E12" s="110" t="n">
        <v>0</v>
      </c>
      <c r="F12" s="110" t="n">
        <v>5.1586979614637</v>
      </c>
      <c r="G12" s="110" t="n">
        <v>0</v>
      </c>
      <c r="H12" s="110" t="n">
        <v>0</v>
      </c>
      <c r="I12" s="111">
        <f>(100*B12)/N12</f>
        <v/>
      </c>
      <c r="J12" s="112">
        <f>((C12+F12)*100)/B12</f>
        <v/>
      </c>
      <c r="K12" s="112">
        <f>((D12+G12)*100)/B12</f>
        <v/>
      </c>
      <c r="L12" s="112">
        <f>((E12+H12)*100)/B12</f>
        <v/>
      </c>
      <c r="M12" s="114">
        <f>N12-B11</f>
        <v/>
      </c>
      <c r="N12" s="109">
        <f>O12+P12+Q12+R12+S12+T12</f>
        <v/>
      </c>
      <c r="O12" s="110" t="n">
        <v>7900.54592798165</v>
      </c>
      <c r="P12" s="110" t="n">
        <v>0</v>
      </c>
      <c r="Q12" s="110" t="n">
        <v>0</v>
      </c>
      <c r="R12" s="110" t="n">
        <v>159.919636805374</v>
      </c>
      <c r="S12" s="110" t="n">
        <v>0</v>
      </c>
      <c r="T12" s="110" t="n">
        <v>0</v>
      </c>
      <c r="U12" s="50" t="n">
        <v>36</v>
      </c>
      <c r="V12" s="112">
        <f>((O12+R12)*100)/N12</f>
        <v/>
      </c>
      <c r="W12" s="112">
        <f>((P12+S12)*100)/N12</f>
        <v/>
      </c>
      <c r="X12" s="112">
        <f>((Q12+T12)*100)/N12</f>
        <v/>
      </c>
    </row>
    <row r="13" ht="22.5" customHeight="1" s="150">
      <c r="A13" s="34" t="n">
        <v>11</v>
      </c>
      <c r="B13" s="109">
        <f>C13+D13+E13+F13+G13+H13</f>
        <v/>
      </c>
      <c r="C13" s="110" t="n">
        <v>417.854534878559</v>
      </c>
      <c r="D13" s="110" t="n">
        <v>0</v>
      </c>
      <c r="E13" s="110" t="n">
        <v>0</v>
      </c>
      <c r="F13" s="110" t="n">
        <v>85.11851636415101</v>
      </c>
      <c r="G13" s="110" t="n">
        <v>0</v>
      </c>
      <c r="H13" s="110" t="n">
        <v>0</v>
      </c>
      <c r="I13" s="111">
        <f>(100*B13)/N13</f>
        <v/>
      </c>
      <c r="J13" s="112">
        <f>((C13+F13)*100)/B13</f>
        <v/>
      </c>
      <c r="K13" s="112">
        <f>((D13+G13)*100)/B13</f>
        <v/>
      </c>
      <c r="L13" s="112">
        <f>((E13+H13)*100)/B13</f>
        <v/>
      </c>
      <c r="M13" s="114">
        <f>N13-B12</f>
        <v/>
      </c>
      <c r="N13" s="109">
        <f>O13+P13+Q13+R13+S13+T13</f>
        <v/>
      </c>
      <c r="O13" s="110" t="n">
        <v>6876.54438263111</v>
      </c>
      <c r="P13" s="110" t="n">
        <v>0</v>
      </c>
      <c r="Q13" s="110" t="n">
        <v>0</v>
      </c>
      <c r="R13" s="110" t="n">
        <v>2605.14247053916</v>
      </c>
      <c r="S13" s="110" t="n">
        <v>0</v>
      </c>
      <c r="T13" s="110" t="n">
        <v>0</v>
      </c>
      <c r="U13" s="50" t="n">
        <v>1470</v>
      </c>
      <c r="V13" s="112">
        <f>((O13+R13)*100)/N13</f>
        <v/>
      </c>
      <c r="W13" s="112">
        <f>((P13+S13)*100)/N13</f>
        <v/>
      </c>
      <c r="X13" s="112">
        <f>((Q13+T13)*100)/N13</f>
        <v/>
      </c>
    </row>
    <row r="14" ht="22.5" customHeight="1" s="150">
      <c r="A14" s="34" t="n">
        <v>12</v>
      </c>
      <c r="B14" s="109">
        <f>C14+D14+E14+F14+G14+H14</f>
        <v/>
      </c>
      <c r="C14" s="110" t="n">
        <v>36.1108857302459</v>
      </c>
      <c r="D14" s="110" t="n">
        <v>7173.16951541527</v>
      </c>
      <c r="E14" s="110" t="n">
        <v>0</v>
      </c>
      <c r="F14" s="110" t="n">
        <v>0</v>
      </c>
      <c r="G14" s="110" t="n">
        <v>5.1586979614637</v>
      </c>
      <c r="H14" s="110" t="n">
        <v>0</v>
      </c>
      <c r="I14" s="111">
        <f>(100*B14)/N14</f>
        <v/>
      </c>
      <c r="J14" s="112">
        <f>((C14+F14)*100)/B14</f>
        <v/>
      </c>
      <c r="K14" s="112">
        <f>((D14+G14)*100)/B14</f>
        <v/>
      </c>
      <c r="L14" s="112">
        <f>((E14+H14)*100)/B14</f>
        <v/>
      </c>
      <c r="M14" s="114">
        <f>N14-B13</f>
        <v/>
      </c>
      <c r="N14" s="109">
        <f>O14+P14+Q14+R14+S14+T14</f>
        <v/>
      </c>
      <c r="O14" s="110" t="n">
        <v>6497.38008246353</v>
      </c>
      <c r="P14" s="110" t="n">
        <v>7039.04336841721</v>
      </c>
      <c r="Q14" s="110" t="n">
        <v>0</v>
      </c>
      <c r="R14" s="110" t="n">
        <v>59.3250265568325</v>
      </c>
      <c r="S14" s="110" t="n">
        <v>103.173959229273</v>
      </c>
      <c r="T14" s="110" t="n">
        <v>0</v>
      </c>
      <c r="U14" s="50" t="n">
        <v>867</v>
      </c>
      <c r="V14" s="112">
        <f>((O14+R14)*100)/N14</f>
        <v/>
      </c>
      <c r="W14" s="112">
        <f>((P14+S14)*100)/N14</f>
        <v/>
      </c>
      <c r="X14" s="112">
        <f>((Q14+T14)*100)/N14</f>
        <v/>
      </c>
    </row>
    <row r="15" ht="22.5" customHeight="1" s="150">
      <c r="A15" s="34" t="n">
        <v>13</v>
      </c>
      <c r="B15" s="109">
        <f>C15+D15+E15+F15+G15+H15</f>
        <v/>
      </c>
      <c r="C15" s="110" t="n">
        <v>18.0554428651229</v>
      </c>
      <c r="D15" s="110" t="n">
        <v>46.4282816531733</v>
      </c>
      <c r="E15" s="110" t="n">
        <v>0</v>
      </c>
      <c r="F15" s="110" t="n">
        <v>0</v>
      </c>
      <c r="G15" s="110" t="n">
        <v>0</v>
      </c>
      <c r="H15" s="110" t="n">
        <v>0</v>
      </c>
      <c r="I15" s="111">
        <f>(100*B15)/N15</f>
        <v/>
      </c>
      <c r="J15" s="112">
        <f>((C15+F15)*100)/B15</f>
        <v/>
      </c>
      <c r="K15" s="112">
        <f>((D15+G15)*100)/B15</f>
        <v/>
      </c>
      <c r="L15" s="112">
        <f>((E15+H15)*100)/B15</f>
        <v/>
      </c>
      <c r="M15" s="114">
        <f>N15-B14</f>
        <v/>
      </c>
      <c r="N15" s="109">
        <f>O15+P15+Q15+R15+S15+T15</f>
        <v/>
      </c>
      <c r="O15" s="110" t="n">
        <v>6352.93653954254</v>
      </c>
      <c r="P15" s="110" t="n">
        <v>6853.33024180452</v>
      </c>
      <c r="Q15" s="110" t="n">
        <v>0</v>
      </c>
      <c r="R15" s="110" t="n">
        <v>20.6347918458548</v>
      </c>
      <c r="S15" s="110" t="n">
        <v>20.6347918458548</v>
      </c>
      <c r="T15" s="110" t="n">
        <v>0</v>
      </c>
      <c r="U15" s="50" t="n">
        <v>818</v>
      </c>
      <c r="V15" s="112">
        <f>((O15+R15)*100)/N15</f>
        <v/>
      </c>
      <c r="W15" s="112">
        <f>((P15+S15)*100)/N15</f>
        <v/>
      </c>
      <c r="X15" s="112">
        <f>((Q15+T15)*100)/N15</f>
        <v/>
      </c>
    </row>
    <row r="16" ht="22.5" customHeight="1" s="150">
      <c r="A16" s="34" t="n">
        <v>14</v>
      </c>
      <c r="B16" s="109">
        <f>C16+D16+E16+F16+G16+H16</f>
        <v/>
      </c>
      <c r="C16" s="110" t="n">
        <v>147.022891901715</v>
      </c>
      <c r="D16" s="110" t="n">
        <v>92.8565633063466</v>
      </c>
      <c r="E16" s="110" t="n">
        <v>0</v>
      </c>
      <c r="F16" s="110" t="n">
        <v>28.3728387880503</v>
      </c>
      <c r="G16" s="110" t="n">
        <v>167.65768374757</v>
      </c>
      <c r="H16" s="110" t="n">
        <v>0</v>
      </c>
      <c r="I16" s="111">
        <f>(100*B16)/N16</f>
        <v/>
      </c>
      <c r="J16" s="112">
        <f>((C16+F16)*100)/B16</f>
        <v/>
      </c>
      <c r="K16" s="112">
        <f>((D16+G16)*100)/B16</f>
        <v/>
      </c>
      <c r="L16" s="112">
        <f>((E16+H16)*100)/B16</f>
        <v/>
      </c>
      <c r="M16" s="114">
        <f>N16-B15</f>
        <v/>
      </c>
      <c r="N16" s="109">
        <f>O16+P16+Q16+R16+S16+T16</f>
        <v/>
      </c>
      <c r="O16" s="110" t="n">
        <v>5986.66898427862</v>
      </c>
      <c r="P16" s="110" t="n">
        <v>6394.20612323425</v>
      </c>
      <c r="Q16" s="110" t="n">
        <v>0</v>
      </c>
      <c r="R16" s="110" t="n">
        <v>2563.87288684745</v>
      </c>
      <c r="S16" s="110" t="n">
        <v>2697.99903384551</v>
      </c>
      <c r="T16" s="110" t="n">
        <v>0</v>
      </c>
      <c r="U16" s="50" t="n">
        <v>1119</v>
      </c>
      <c r="V16" s="112">
        <f>((O16+R16)*100)/N16</f>
        <v/>
      </c>
      <c r="W16" s="112">
        <f>((P16+S16)*100)/N16</f>
        <v/>
      </c>
      <c r="X16" s="112">
        <f>((Q16+T16)*100)/N16</f>
        <v/>
      </c>
    </row>
    <row r="17" ht="22.5" customHeight="1" s="150">
      <c r="A17" s="34" t="n">
        <v>15</v>
      </c>
      <c r="B17" s="109">
        <f>C17+D17+E17+F17+G17+H17</f>
        <v/>
      </c>
      <c r="C17" s="110" t="n">
        <v>46.4282816531733</v>
      </c>
      <c r="D17" s="110" t="n">
        <v>69.6424224797599</v>
      </c>
      <c r="E17" s="110" t="n">
        <v>0</v>
      </c>
      <c r="F17" s="110" t="n">
        <v>5.1586979614637</v>
      </c>
      <c r="G17" s="110" t="n">
        <v>5.1586979614637</v>
      </c>
      <c r="H17" s="110" t="n">
        <v>0</v>
      </c>
      <c r="I17" s="111">
        <f>(100*B17)/N17</f>
        <v/>
      </c>
      <c r="J17" s="112">
        <f>((C17+F17)*100)/B17</f>
        <v/>
      </c>
      <c r="K17" s="112">
        <f>((D17+G17)*100)/B17</f>
        <v/>
      </c>
      <c r="L17" s="112">
        <f>((E17+H17)*100)/B17</f>
        <v/>
      </c>
      <c r="M17" s="114">
        <f>N17-B16</f>
        <v/>
      </c>
      <c r="N17" s="109">
        <f>O17+P17+Q17+R17+S17+T17</f>
        <v/>
      </c>
      <c r="O17" s="110" t="n">
        <v>5837.06674339617</v>
      </c>
      <c r="P17" s="110" t="n">
        <v>6223.96909050595</v>
      </c>
      <c r="Q17" s="110" t="n">
        <v>0</v>
      </c>
      <c r="R17" s="110" t="n">
        <v>185.713126612693</v>
      </c>
      <c r="S17" s="110" t="n">
        <v>206.347918458547</v>
      </c>
      <c r="T17" s="110" t="n">
        <v>0</v>
      </c>
      <c r="U17" s="50" t="n">
        <v>751</v>
      </c>
      <c r="V17" s="112">
        <f>((O17+R17)*100)/N17</f>
        <v/>
      </c>
      <c r="W17" s="112">
        <f>((P17+S17)*100)/N17</f>
        <v/>
      </c>
      <c r="X17" s="112">
        <f>((Q17+T17)*100)/N17</f>
        <v/>
      </c>
    </row>
    <row r="18" ht="22.5" customHeight="1" s="150">
      <c r="A18" s="34" t="n">
        <v>16</v>
      </c>
      <c r="B18" s="109">
        <f>C18+D18+E18+F18+G18+H18</f>
        <v/>
      </c>
      <c r="C18" s="110" t="n">
        <v>20.6347918458548</v>
      </c>
      <c r="D18" s="110" t="n">
        <v>46.4282816531733</v>
      </c>
      <c r="E18" s="110" t="n">
        <v>6262.65932521693</v>
      </c>
      <c r="F18" s="110" t="n">
        <v>0</v>
      </c>
      <c r="G18" s="110" t="n">
        <v>10.3173959229274</v>
      </c>
      <c r="H18" s="110" t="n">
        <v>203.768569477816</v>
      </c>
      <c r="I18" s="111">
        <f>(100*B18)/N18</f>
        <v/>
      </c>
      <c r="J18" s="112">
        <f>((C18+F18)*100)/B18</f>
        <v/>
      </c>
      <c r="K18" s="112">
        <f>((D18+G18)*100)/B18</f>
        <v/>
      </c>
      <c r="L18" s="112">
        <f>((E18+H18)*100)/B18</f>
        <v/>
      </c>
      <c r="M18" s="114">
        <f>N18-B17</f>
        <v/>
      </c>
      <c r="N18" s="109">
        <f>O18+P18+Q18+R18+S18+T18</f>
        <v/>
      </c>
      <c r="O18" s="110" t="n">
        <v>5684.88515353299</v>
      </c>
      <c r="P18" s="110" t="n">
        <v>6043.41466185472</v>
      </c>
      <c r="Q18" s="110" t="n">
        <v>6489.64203552133</v>
      </c>
      <c r="R18" s="110" t="n">
        <v>368.846904244654</v>
      </c>
      <c r="S18" s="110" t="n">
        <v>386.902347109777</v>
      </c>
      <c r="T18" s="110" t="n">
        <v>590.670916587593</v>
      </c>
      <c r="U18" s="50" t="n">
        <v>704</v>
      </c>
      <c r="V18" s="112">
        <f>((O18+R18)*100)/N18</f>
        <v/>
      </c>
      <c r="W18" s="112">
        <f>((P18+S18)*100)/N18</f>
        <v/>
      </c>
      <c r="X18" s="112">
        <f>((Q18+T18)*100)/N18</f>
        <v/>
      </c>
    </row>
    <row r="19" ht="22.5" customHeight="1" s="150">
      <c r="A19" s="34" t="n">
        <v>17</v>
      </c>
      <c r="B19" s="109">
        <f>C19+D19+E19+F19+G19+H19</f>
        <v/>
      </c>
      <c r="C19" s="110" t="n">
        <v>28.3728387880503</v>
      </c>
      <c r="D19" s="110" t="n">
        <v>54.1663285953688</v>
      </c>
      <c r="E19" s="110" t="n">
        <v>38.6902347109777</v>
      </c>
      <c r="F19" s="110" t="n">
        <v>0</v>
      </c>
      <c r="G19" s="110" t="n">
        <v>2.57934898073185</v>
      </c>
      <c r="H19" s="110" t="n">
        <v>2.57934898073185</v>
      </c>
      <c r="I19" s="111">
        <f>(100*B19)/N19</f>
        <v/>
      </c>
      <c r="J19" s="112">
        <f>((C19+F19)*100)/B19</f>
        <v/>
      </c>
      <c r="K19" s="112">
        <f>((D19+G19)*100)/B19</f>
        <v/>
      </c>
      <c r="L19" s="112">
        <f>((E19+H19)*100)/B19</f>
        <v/>
      </c>
      <c r="M19" s="114">
        <f>N19-B18</f>
        <v/>
      </c>
      <c r="N19" s="109">
        <f>O19+P19+Q19+R19+S19+T19</f>
        <v/>
      </c>
      <c r="O19" s="110" t="n">
        <v>5543.02095959274</v>
      </c>
      <c r="P19" s="110" t="n">
        <v>5852.54283728056</v>
      </c>
      <c r="Q19" s="110" t="n">
        <v>6298.77021094717</v>
      </c>
      <c r="R19" s="110" t="n">
        <v>203.768569477816</v>
      </c>
      <c r="S19" s="110" t="n">
        <v>196.03052253562</v>
      </c>
      <c r="T19" s="110" t="n">
        <v>237.30010622733</v>
      </c>
      <c r="U19" s="50" t="n">
        <v>735</v>
      </c>
      <c r="V19" s="112">
        <f>((O19+R19)*100)/N19</f>
        <v/>
      </c>
      <c r="W19" s="112">
        <f>((P19+S19)*100)/N19</f>
        <v/>
      </c>
      <c r="X19" s="112">
        <f>((Q19+T19)*100)/N19</f>
        <v/>
      </c>
    </row>
    <row r="20" ht="22.5" customHeight="1" s="150">
      <c r="A20" s="34" t="n">
        <v>18</v>
      </c>
      <c r="B20" s="109">
        <f>C20+D20+E20+F20+G20+H20</f>
        <v/>
      </c>
      <c r="C20" s="110" t="n">
        <v>2.57934898073185</v>
      </c>
      <c r="D20" s="110" t="n">
        <v>18.0554428651229</v>
      </c>
      <c r="E20" s="110" t="n">
        <v>12.8967449036592</v>
      </c>
      <c r="F20" s="110" t="n">
        <v>0</v>
      </c>
      <c r="G20" s="110" t="n">
        <v>0</v>
      </c>
      <c r="H20" s="110" t="n">
        <v>0</v>
      </c>
      <c r="I20" s="111">
        <f>(100*B20)/N20</f>
        <v/>
      </c>
      <c r="J20" s="112">
        <f>((C20+F20)*100)/B20</f>
        <v/>
      </c>
      <c r="K20" s="112">
        <f>((D20+G20)*100)/B20</f>
        <v/>
      </c>
      <c r="L20" s="112">
        <f>((E20+H20)*100)/B20</f>
        <v/>
      </c>
      <c r="M20" s="114">
        <f>N20-B19</f>
        <v/>
      </c>
      <c r="N20" s="109">
        <f>O20+P20+Q20+R20+S20+T20</f>
        <v/>
      </c>
      <c r="O20" s="110" t="n">
        <v>5475.95788609371</v>
      </c>
      <c r="P20" s="110" t="n">
        <v>5767.42432091641</v>
      </c>
      <c r="Q20" s="110" t="n">
        <v>6211.07234560229</v>
      </c>
      <c r="R20" s="110" t="n">
        <v>12.8967449036592</v>
      </c>
      <c r="S20" s="110" t="n">
        <v>18.0554428651229</v>
      </c>
      <c r="T20" s="110" t="n">
        <v>23.2141408265866</v>
      </c>
      <c r="U20" s="50" t="n">
        <v>694</v>
      </c>
      <c r="V20" s="112">
        <f>((O20+R20)*100)/N20</f>
        <v/>
      </c>
      <c r="W20" s="112">
        <f>((P20+S20)*100)/N20</f>
        <v/>
      </c>
      <c r="X20" s="112">
        <f>((Q20+T20)*100)/N20</f>
        <v/>
      </c>
    </row>
    <row r="21" ht="22.5" customHeight="1" s="150">
      <c r="A21" s="34" t="n">
        <v>19</v>
      </c>
      <c r="B21" s="109">
        <f>C21+D21+E21+F21+G21+H21</f>
        <v/>
      </c>
      <c r="C21" s="110" t="n">
        <v>12.8967449036592</v>
      </c>
      <c r="D21" s="110" t="n">
        <v>23.2141408265866</v>
      </c>
      <c r="E21" s="110" t="n">
        <v>15.4760938843911</v>
      </c>
      <c r="F21" s="110" t="n">
        <v>0</v>
      </c>
      <c r="G21" s="110" t="n">
        <v>0</v>
      </c>
      <c r="H21" s="110" t="n">
        <v>0</v>
      </c>
      <c r="I21" s="111">
        <f>(100*B21)/N21</f>
        <v/>
      </c>
      <c r="J21" s="112">
        <f>((C21+F21)*100)/B21</f>
        <v/>
      </c>
      <c r="K21" s="112">
        <f>((D21+G21)*100)/B21</f>
        <v/>
      </c>
      <c r="L21" s="112">
        <f>((E21+H21)*100)/B21</f>
        <v/>
      </c>
      <c r="M21" s="114">
        <f>N21-B20</f>
        <v/>
      </c>
      <c r="N21" s="109">
        <f>O21+P21+Q21+R21+S21+T21</f>
        <v/>
      </c>
      <c r="O21" s="110" t="n">
        <v>5460.48179220932</v>
      </c>
      <c r="P21" s="110" t="n">
        <v>5718.41669028251</v>
      </c>
      <c r="Q21" s="110" t="n">
        <v>6151.74731904546</v>
      </c>
      <c r="R21" s="110" t="n">
        <v>30.9521877687822</v>
      </c>
      <c r="S21" s="110" t="n">
        <v>33.531536749514</v>
      </c>
      <c r="T21" s="110" t="n">
        <v>41.2695836917096</v>
      </c>
      <c r="U21" s="50" t="n">
        <v>1352</v>
      </c>
      <c r="V21" s="112">
        <f>((O21+R21)*100)/N21</f>
        <v/>
      </c>
      <c r="W21" s="112">
        <f>((P21+S21)*100)/N21</f>
        <v/>
      </c>
      <c r="X21" s="112">
        <f>((Q21+T21)*100)/N21</f>
        <v/>
      </c>
    </row>
    <row r="22" ht="22.5" customHeight="1" s="150">
      <c r="A22" s="34" t="n">
        <v>20</v>
      </c>
      <c r="B22" s="109">
        <f>C22+D22+E22+F22+G22+H22</f>
        <v/>
      </c>
      <c r="C22" s="110" t="n">
        <v>201.189220497084</v>
      </c>
      <c r="D22" s="110" t="n">
        <v>324.997971572213</v>
      </c>
      <c r="E22" s="110" t="n">
        <v>345.632763418067</v>
      </c>
      <c r="F22" s="110" t="n">
        <v>20.6347918458548</v>
      </c>
      <c r="G22" s="110" t="n">
        <v>214.085965400743</v>
      </c>
      <c r="H22" s="110" t="n">
        <v>33.531536749514</v>
      </c>
      <c r="I22" s="111">
        <f>(100*B22)/N22</f>
        <v/>
      </c>
      <c r="J22" s="112">
        <f>((C22+F22)*100)/B22</f>
        <v/>
      </c>
      <c r="K22" s="112">
        <f>((D22+G22)*100)/B22</f>
        <v/>
      </c>
      <c r="L22" s="112">
        <f>((E22+H22)*100)/B22</f>
        <v/>
      </c>
      <c r="M22" s="114">
        <f>N22-B21</f>
        <v/>
      </c>
      <c r="N22" s="109">
        <f>O22+P22+Q22+R22+S22+T22</f>
        <v/>
      </c>
      <c r="O22" s="110" t="n">
        <v>5166.43600840589</v>
      </c>
      <c r="P22" s="110" t="n">
        <v>5171.59470636735</v>
      </c>
      <c r="Q22" s="110" t="n">
        <v>5643.61556984128</v>
      </c>
      <c r="R22" s="110" t="n">
        <v>412.695836917095</v>
      </c>
      <c r="S22" s="110" t="n">
        <v>250.196851130989</v>
      </c>
      <c r="T22" s="110" t="n">
        <v>453.965420608805</v>
      </c>
      <c r="U22" s="50" t="n">
        <v>874</v>
      </c>
      <c r="V22" s="112">
        <f>((O22+R22)*100)/N22</f>
        <v/>
      </c>
      <c r="W22" s="112">
        <f>((P22+S22)*100)/N22</f>
        <v/>
      </c>
      <c r="X22" s="112">
        <f>((Q22+T22)*100)/N22</f>
        <v/>
      </c>
    </row>
    <row r="23" ht="22.5" customHeight="1" s="150">
      <c r="A23" s="34" t="n">
        <v>21</v>
      </c>
      <c r="B23" s="109">
        <f>C23+D23+E23+F23+G23+H23</f>
        <v/>
      </c>
      <c r="C23" s="110" t="n">
        <v>51.5869796146369</v>
      </c>
      <c r="D23" s="110" t="n">
        <v>121.229402094396</v>
      </c>
      <c r="E23" s="110" t="n">
        <v>51.5869796146369</v>
      </c>
      <c r="F23" s="110" t="n">
        <v>0</v>
      </c>
      <c r="G23" s="110" t="n">
        <v>2.57934898073185</v>
      </c>
      <c r="H23" s="110" t="n">
        <v>0</v>
      </c>
      <c r="I23" s="111">
        <f>(100*B23)/N23</f>
        <v/>
      </c>
      <c r="J23" s="112">
        <f>((C23+F23)*100)/B23</f>
        <v/>
      </c>
      <c r="K23" s="112">
        <f>((D23+G23)*100)/B23</f>
        <v/>
      </c>
      <c r="L23" s="112">
        <f>((E23+H23)*100)/B23</f>
        <v/>
      </c>
      <c r="M23" s="114">
        <f>N23-B22</f>
        <v/>
      </c>
      <c r="N23" s="109">
        <f>O23+P23+Q23+R23+S23+T23</f>
        <v/>
      </c>
      <c r="O23" s="110" t="n">
        <v>5478.53723507444</v>
      </c>
      <c r="P23" s="110" t="n">
        <v>5398.57741667176</v>
      </c>
      <c r="Q23" s="110" t="n">
        <v>5744.21018008982</v>
      </c>
      <c r="R23" s="110" t="n">
        <v>67.06307349902811</v>
      </c>
      <c r="S23" s="110" t="n">
        <v>74.8011204412236</v>
      </c>
      <c r="T23" s="110" t="n">
        <v>79.9598184026873</v>
      </c>
      <c r="U23" s="50" t="n">
        <v>1638</v>
      </c>
      <c r="V23" s="112">
        <f>((O23+R23)*100)/N23</f>
        <v/>
      </c>
      <c r="W23" s="112">
        <f>((P23+S23)*100)/N23</f>
        <v/>
      </c>
      <c r="X23" s="112">
        <f>((Q23+T23)*100)/N23</f>
        <v/>
      </c>
    </row>
    <row r="24" ht="22.5" customHeight="1" s="150">
      <c r="A24" s="34" t="n">
        <v>22</v>
      </c>
      <c r="B24" s="109">
        <f>C24+D24+E24+F24+G24+H24</f>
        <v/>
      </c>
      <c r="C24" s="110" t="n">
        <v>10.3173959229274</v>
      </c>
      <c r="D24" s="110" t="n">
        <v>10.3173959229274</v>
      </c>
      <c r="E24" s="110" t="n">
        <v>10.3173959229274</v>
      </c>
      <c r="F24" s="110" t="n">
        <v>0</v>
      </c>
      <c r="G24" s="110" t="n">
        <v>0</v>
      </c>
      <c r="H24" s="110" t="n">
        <v>0</v>
      </c>
      <c r="I24" s="111">
        <f>(100*B24)/N24</f>
        <v/>
      </c>
      <c r="J24" s="112">
        <f>((C24+F24)*100)/B24</f>
        <v/>
      </c>
      <c r="K24" s="112">
        <f>((D24+G24)*100)/B24</f>
        <v/>
      </c>
      <c r="L24" s="112">
        <f>((E24+H24)*100)/B24</f>
        <v/>
      </c>
      <c r="M24" s="114">
        <f>N24-B23</f>
        <v/>
      </c>
      <c r="N24" s="109">
        <f>O24+P24+Q24+R24+S24+T24</f>
        <v/>
      </c>
      <c r="O24" s="110" t="n">
        <v>5437.26765138274</v>
      </c>
      <c r="P24" s="110" t="n">
        <v>5318.61759826907</v>
      </c>
      <c r="Q24" s="110" t="n">
        <v>5643.61556984128</v>
      </c>
      <c r="R24" s="110" t="n">
        <v>28.3728387880503</v>
      </c>
      <c r="S24" s="110" t="n">
        <v>28.3728387880503</v>
      </c>
      <c r="T24" s="110" t="n">
        <v>30.9521877687822</v>
      </c>
      <c r="U24" s="50" t="n">
        <v>859</v>
      </c>
      <c r="V24" s="112">
        <f>((O24+R24)*100)/N24</f>
        <v/>
      </c>
      <c r="W24" s="112">
        <f>((P24+S24)*100)/N24</f>
        <v/>
      </c>
      <c r="X24" s="112">
        <f>((Q24+T24)*100)/N24</f>
        <v/>
      </c>
    </row>
    <row r="25" ht="22.5" customHeight="1" s="150">
      <c r="A25" s="34" t="n">
        <v>23</v>
      </c>
      <c r="B25" s="109">
        <f>C25+D25+E25+F25+G25+H25</f>
        <v/>
      </c>
      <c r="C25" s="110" t="n">
        <v>582.932869645398</v>
      </c>
      <c r="D25" s="110" t="n">
        <v>1312.88863119251</v>
      </c>
      <c r="E25" s="110" t="n">
        <v>794.439486065409</v>
      </c>
      <c r="F25" s="110" t="n">
        <v>98.0152612678103</v>
      </c>
      <c r="G25" s="110" t="n">
        <v>134.126146998056</v>
      </c>
      <c r="H25" s="110" t="n">
        <v>139.284844959519</v>
      </c>
      <c r="I25" s="111">
        <f>(100*B25)/N25</f>
        <v/>
      </c>
      <c r="J25" s="112">
        <f>((C25+F25)*100)/B25</f>
        <v/>
      </c>
      <c r="K25" s="112">
        <f>((D25+G25)*100)/B25</f>
        <v/>
      </c>
      <c r="L25" s="112">
        <f>((E25+H25)*100)/B25</f>
        <v/>
      </c>
      <c r="M25" s="114">
        <f>N25-B24</f>
        <v/>
      </c>
      <c r="N25" s="109">
        <f>O25+P25+Q25+R25+S25+T25</f>
        <v/>
      </c>
      <c r="O25" s="110" t="n">
        <v>4789.85105721904</v>
      </c>
      <c r="P25" s="110" t="n">
        <v>3979.93547726924</v>
      </c>
      <c r="Q25" s="110" t="n">
        <v>4704.73254085489</v>
      </c>
      <c r="R25" s="110" t="n">
        <v>1307.72993323104</v>
      </c>
      <c r="S25" s="110" t="n">
        <v>1238.08751075128</v>
      </c>
      <c r="T25" s="110" t="n">
        <v>1454.75282513276</v>
      </c>
      <c r="U25" s="50" t="n">
        <v>934</v>
      </c>
      <c r="V25" s="112">
        <f>((O25+R25)*100)/N25</f>
        <v/>
      </c>
      <c r="W25" s="112">
        <f>((P25+S25)*100)/N25</f>
        <v/>
      </c>
      <c r="X25" s="112">
        <f>((Q25+T25)*100)/N25</f>
        <v/>
      </c>
    </row>
    <row r="26" ht="22.5" customHeight="1" s="150">
      <c r="A26" s="34" t="n">
        <v>24</v>
      </c>
      <c r="B26" s="109">
        <f>C26+D26+E26+F26+G26+H26</f>
        <v/>
      </c>
      <c r="C26" s="110" t="n">
        <v>668.051386009549</v>
      </c>
      <c r="D26" s="110" t="n">
        <v>330.156669533676</v>
      </c>
      <c r="E26" s="110" t="n">
        <v>544.24263493442</v>
      </c>
      <c r="F26" s="110" t="n">
        <v>5.1586979614637</v>
      </c>
      <c r="G26" s="110" t="n">
        <v>7.73804694219555</v>
      </c>
      <c r="H26" s="110" t="n">
        <v>126.38810005586</v>
      </c>
      <c r="I26" s="111">
        <f>(100*B26)/N26</f>
        <v/>
      </c>
      <c r="J26" s="112">
        <f>((C26+F26)*100)/B26</f>
        <v/>
      </c>
      <c r="K26" s="112">
        <f>((D26+G26)*100)/B26</f>
        <v/>
      </c>
      <c r="L26" s="112">
        <f>((E26+H26)*100)/B26</f>
        <v/>
      </c>
      <c r="M26" s="114">
        <f>N26-B25</f>
        <v/>
      </c>
      <c r="N26" s="109">
        <f>O26+P26+Q26+R26+S26+T26</f>
        <v/>
      </c>
      <c r="O26" s="110" t="n">
        <v>4312.67149578365</v>
      </c>
      <c r="P26" s="110" t="n">
        <v>3727.15927715752</v>
      </c>
      <c r="Q26" s="110" t="n">
        <v>4152.75185897827</v>
      </c>
      <c r="R26" s="110" t="n">
        <v>541.663285953688</v>
      </c>
      <c r="S26" s="110" t="n">
        <v>453.965420608805</v>
      </c>
      <c r="T26" s="110" t="n">
        <v>518.449145127101</v>
      </c>
      <c r="U26" s="50" t="n">
        <v>846</v>
      </c>
      <c r="V26" s="112">
        <f>((O26+R26)*100)/N26</f>
        <v/>
      </c>
      <c r="W26" s="112">
        <f>((P26+S26)*100)/N26</f>
        <v/>
      </c>
      <c r="X26" s="112">
        <f>((Q26+T26)*100)/N26</f>
        <v/>
      </c>
    </row>
    <row r="27" ht="22.5" customHeight="1" s="150">
      <c r="A27" s="34" t="n">
        <v>25</v>
      </c>
      <c r="B27" s="109">
        <f>C27+D27+E27+F27+G27+H27</f>
        <v/>
      </c>
      <c r="C27" s="110" t="n">
        <v>2.57934898073185</v>
      </c>
      <c r="D27" s="110" t="n">
        <v>5.1586979614637</v>
      </c>
      <c r="E27" s="110" t="n">
        <v>5.1586979614637</v>
      </c>
      <c r="F27" s="110" t="n">
        <v>0</v>
      </c>
      <c r="G27" s="110" t="n">
        <v>0</v>
      </c>
      <c r="H27" s="110" t="n">
        <v>0</v>
      </c>
      <c r="I27" s="111">
        <f>(100*B27)/N27</f>
        <v/>
      </c>
      <c r="J27" s="112">
        <f>((C27+F27)*100)/B27</f>
        <v/>
      </c>
      <c r="K27" s="112">
        <f>((D27+G27)*100)/B27</f>
        <v/>
      </c>
      <c r="L27" s="112">
        <f>((E27+H27)*100)/B27</f>
        <v/>
      </c>
      <c r="M27" s="114">
        <f>N27-B26</f>
        <v/>
      </c>
      <c r="N27" s="109">
        <f>O27+P27+Q27+R27+S27+T27</f>
        <v/>
      </c>
      <c r="O27" s="110" t="n">
        <v>4268.82256311121</v>
      </c>
      <c r="P27" s="110" t="n">
        <v>3711.68318327313</v>
      </c>
      <c r="Q27" s="110" t="n">
        <v>4121.79967120949</v>
      </c>
      <c r="R27" s="110" t="n">
        <v>5.1586979614637</v>
      </c>
      <c r="S27" s="110" t="n">
        <v>5.1586979614637</v>
      </c>
      <c r="T27" s="110" t="n">
        <v>7.73804694219555</v>
      </c>
      <c r="U27" s="50" t="n">
        <v>725</v>
      </c>
      <c r="V27" s="112">
        <f>((O27+R27)*100)/N27</f>
        <v/>
      </c>
      <c r="W27" s="112">
        <f>((P27+S27)*100)/N27</f>
        <v/>
      </c>
      <c r="X27" s="112">
        <f>((Q27+T27)*100)/N27</f>
        <v/>
      </c>
    </row>
    <row r="28" ht="22.5" customHeight="1" s="150">
      <c r="A28" s="34" t="n">
        <v>26</v>
      </c>
      <c r="B28" s="109">
        <f>C28+D28+E28+F28+G28+H28</f>
        <v/>
      </c>
      <c r="C28" s="110" t="n">
        <v>2.57934898073185</v>
      </c>
      <c r="D28" s="110" t="n">
        <v>2.57934898073185</v>
      </c>
      <c r="E28" s="110" t="n">
        <v>2.57934898073185</v>
      </c>
      <c r="F28" s="110" t="n">
        <v>0</v>
      </c>
      <c r="G28" s="110" t="n">
        <v>0</v>
      </c>
      <c r="H28" s="110" t="n">
        <v>0</v>
      </c>
      <c r="I28" s="111">
        <f>(100*B28)/N28</f>
        <v/>
      </c>
      <c r="J28" s="112">
        <f>((C28+F28)*100)/B28</f>
        <v/>
      </c>
      <c r="K28" s="112">
        <f>((D28+G28)*100)/B28</f>
        <v/>
      </c>
      <c r="L28" s="112">
        <f>((E28+H28)*100)/B28</f>
        <v/>
      </c>
      <c r="M28" s="114">
        <f>N28-B27</f>
        <v/>
      </c>
      <c r="N28" s="109">
        <f>O28+P28+Q28+R28+S28+T28</f>
        <v/>
      </c>
      <c r="O28" s="110" t="n">
        <v>4235.29102636169</v>
      </c>
      <c r="P28" s="110" t="n">
        <v>3654.93750569703</v>
      </c>
      <c r="Q28" s="110" t="n">
        <v>4062.47464465266</v>
      </c>
      <c r="R28" s="110" t="n">
        <v>0</v>
      </c>
      <c r="S28" s="110" t="n">
        <v>0</v>
      </c>
      <c r="T28" s="110" t="n">
        <v>0</v>
      </c>
      <c r="U28" s="50" t="n">
        <v>642</v>
      </c>
      <c r="V28" s="112">
        <f>((O28+R28)*100)/N28</f>
        <v/>
      </c>
      <c r="W28" s="112">
        <f>((P28+S28)*100)/N28</f>
        <v/>
      </c>
      <c r="X28" s="112">
        <f>((Q28+T28)*100)/N28</f>
        <v/>
      </c>
    </row>
    <row r="29" ht="22.5" customHeight="1" s="150">
      <c r="A29" s="34" t="n">
        <v>27</v>
      </c>
      <c r="B29" s="109">
        <f>C29+D29+E29+F29+G29+H29</f>
        <v/>
      </c>
      <c r="C29" s="110" t="n">
        <v>33.531536749514</v>
      </c>
      <c r="D29" s="110" t="n">
        <v>10.3173959229274</v>
      </c>
      <c r="E29" s="110" t="n">
        <v>7.73804694219555</v>
      </c>
      <c r="F29" s="110" t="n">
        <v>5.1586979614637</v>
      </c>
      <c r="G29" s="110" t="n">
        <v>10.3173959229274</v>
      </c>
      <c r="H29" s="110" t="n">
        <v>0</v>
      </c>
      <c r="I29" s="111">
        <f>(100*B29)/N29</f>
        <v/>
      </c>
      <c r="J29" s="112">
        <f>((C29+F29)*100)/B29</f>
        <v/>
      </c>
      <c r="K29" s="112">
        <f>((D29+G29)*100)/B29</f>
        <v/>
      </c>
      <c r="L29" s="112">
        <f>((E29+H29)*100)/B29</f>
        <v/>
      </c>
      <c r="M29" s="114">
        <f>N29-B28</f>
        <v/>
      </c>
      <c r="N29" s="109">
        <f>O29+P29+Q29+R29+S29+T29</f>
        <v/>
      </c>
      <c r="O29" s="110" t="n">
        <v>4175.96599980486</v>
      </c>
      <c r="P29" s="110" t="n">
        <v>3603.35052608239</v>
      </c>
      <c r="Q29" s="110" t="n">
        <v>3990.25287319217</v>
      </c>
      <c r="R29" s="110" t="n">
        <v>1292.25383934665</v>
      </c>
      <c r="S29" s="110" t="n">
        <v>1062.69178006152</v>
      </c>
      <c r="T29" s="110" t="n">
        <v>1289.67449036592</v>
      </c>
      <c r="U29" s="50" t="n">
        <v>782</v>
      </c>
      <c r="V29" s="112">
        <f>((O29+R29)*100)/N29</f>
        <v/>
      </c>
      <c r="W29" s="112">
        <f>((P29+S29)*100)/N29</f>
        <v/>
      </c>
      <c r="X29" s="112">
        <f>((Q29+T29)*100)/N29</f>
        <v/>
      </c>
    </row>
    <row r="30" ht="22.5" customHeight="1" s="150">
      <c r="A30" s="34" t="n">
        <v>28</v>
      </c>
      <c r="B30" s="109">
        <f>C30+D30+E30+F30+G30+H30</f>
        <v/>
      </c>
      <c r="C30" s="110" t="n">
        <v>2.57934898073185</v>
      </c>
      <c r="D30" s="110" t="n">
        <v>5.1586979614637</v>
      </c>
      <c r="E30" s="110" t="n">
        <v>2.57934898073185</v>
      </c>
      <c r="F30" s="110" t="n">
        <v>0</v>
      </c>
      <c r="G30" s="110" t="n">
        <v>0</v>
      </c>
      <c r="H30" s="110" t="n">
        <v>0</v>
      </c>
      <c r="I30" s="111">
        <f>(100*B30)/N30</f>
        <v/>
      </c>
      <c r="J30" s="112">
        <f>((C30+F30)*100)/B30</f>
        <v/>
      </c>
      <c r="K30" s="112">
        <f>((D30+G30)*100)/B30</f>
        <v/>
      </c>
      <c r="L30" s="112">
        <f>((E30+H30)*100)/B30</f>
        <v/>
      </c>
      <c r="M30" s="114">
        <f>N30-B29</f>
        <v/>
      </c>
      <c r="N30" s="109">
        <f>O30+P30+Q30+R30+S30+T30</f>
        <v/>
      </c>
      <c r="O30" s="110" t="n">
        <v>4137.27576509388</v>
      </c>
      <c r="P30" s="110" t="n">
        <v>3538.86680156409</v>
      </c>
      <c r="Q30" s="110" t="n">
        <v>3923.18979969314</v>
      </c>
      <c r="R30" s="110" t="n">
        <v>10.3173959229274</v>
      </c>
      <c r="S30" s="110" t="n">
        <v>12.8967449036592</v>
      </c>
      <c r="T30" s="110" t="n">
        <v>10.3173959229274</v>
      </c>
      <c r="U30" s="50" t="n">
        <v>624</v>
      </c>
      <c r="V30" s="112">
        <f>((O30+R30)*100)/N30</f>
        <v/>
      </c>
      <c r="W30" s="112">
        <f>((P30+S30)*100)/N30</f>
        <v/>
      </c>
      <c r="X30" s="112">
        <f>((Q30+T30)*100)/N30</f>
        <v/>
      </c>
    </row>
    <row r="31" ht="22.5" customHeight="1" s="150">
      <c r="A31" s="34" t="n">
        <v>29</v>
      </c>
      <c r="B31" s="109">
        <f>C31+D31+E31+F31+G31+H31</f>
        <v/>
      </c>
      <c r="C31" s="110" t="n">
        <v>5.1586979614637</v>
      </c>
      <c r="D31" s="110" t="n">
        <v>2.57934898073185</v>
      </c>
      <c r="E31" s="110" t="n">
        <v>0</v>
      </c>
      <c r="F31" s="110" t="n">
        <v>0</v>
      </c>
      <c r="G31" s="110" t="n">
        <v>0</v>
      </c>
      <c r="H31" s="110" t="n">
        <v>0</v>
      </c>
      <c r="I31" s="111">
        <f>(100*B31)/N31</f>
        <v/>
      </c>
      <c r="J31" s="112">
        <f>((C31+F31)*100)/B31</f>
        <v/>
      </c>
      <c r="K31" s="112">
        <f>((D31+G31)*100)/B31</f>
        <v/>
      </c>
      <c r="L31" s="112">
        <f>((E31+H31)*100)/B31</f>
        <v/>
      </c>
      <c r="M31" s="114">
        <f>N31-B30</f>
        <v/>
      </c>
      <c r="N31" s="109">
        <f>O31+P31+Q31+R31+S31+T31</f>
        <v/>
      </c>
      <c r="O31" s="110" t="n">
        <v>4090.84748344071</v>
      </c>
      <c r="P31" s="110" t="n">
        <v>3513.07331175677</v>
      </c>
      <c r="Q31" s="110" t="n">
        <v>3884.49956498216</v>
      </c>
      <c r="R31" s="110" t="n">
        <v>113.491355152201</v>
      </c>
      <c r="S31" s="110" t="n">
        <v>105.753308210005</v>
      </c>
      <c r="T31" s="110" t="n">
        <v>131.546798017324</v>
      </c>
      <c r="U31" s="50" t="n">
        <v>616</v>
      </c>
      <c r="V31" s="112">
        <f>((O31+R31)*100)/N31</f>
        <v/>
      </c>
      <c r="W31" s="112">
        <f>((P31+S31)*100)/N31</f>
        <v/>
      </c>
      <c r="X31" s="112">
        <f>((Q31+T31)*100)/N31</f>
        <v/>
      </c>
    </row>
    <row r="32" ht="22.5" customHeight="1" s="150">
      <c r="A32" s="34" t="n">
        <v>30</v>
      </c>
      <c r="B32" s="109">
        <f>C32+D32+E32+F32+G32+H32</f>
        <v/>
      </c>
      <c r="C32" s="110" t="n">
        <v>12.8967449036592</v>
      </c>
      <c r="D32" s="110" t="n">
        <v>33.531536749514</v>
      </c>
      <c r="E32" s="110" t="n">
        <v>20.6347918458548</v>
      </c>
      <c r="F32" s="110" t="n">
        <v>0</v>
      </c>
      <c r="G32" s="110" t="n">
        <v>2.57934898073185</v>
      </c>
      <c r="H32" s="110" t="n">
        <v>0</v>
      </c>
      <c r="I32" s="111">
        <f>(100*B32)/N32</f>
        <v/>
      </c>
      <c r="J32" s="112">
        <f>((C32+F32)*100)/B32</f>
        <v/>
      </c>
      <c r="K32" s="112">
        <f>((D32+G32)*100)/B32</f>
        <v/>
      </c>
      <c r="L32" s="112">
        <f>((E32+H32)*100)/B32</f>
        <v/>
      </c>
      <c r="M32" s="114">
        <f>N32-B31</f>
        <v/>
      </c>
      <c r="N32" s="109">
        <f>O32+P32+Q32+R32+S32+T32</f>
        <v/>
      </c>
      <c r="O32" s="110" t="n">
        <v>4062.47464465266</v>
      </c>
      <c r="P32" s="110" t="n">
        <v>3469.22437908433</v>
      </c>
      <c r="Q32" s="110" t="n">
        <v>3840.65063230972</v>
      </c>
      <c r="R32" s="110" t="n">
        <v>263.093596034648</v>
      </c>
      <c r="S32" s="110" t="n">
        <v>211.506616420011</v>
      </c>
      <c r="T32" s="110" t="n">
        <v>275.990340938307</v>
      </c>
      <c r="U32" s="50" t="n">
        <v>660</v>
      </c>
      <c r="V32" s="112">
        <f>((O32+R32)*100)/N32</f>
        <v/>
      </c>
      <c r="W32" s="112">
        <f>((P32+S32)*100)/N32</f>
        <v/>
      </c>
      <c r="X32" s="112">
        <f>((Q32+T32)*100)/N32</f>
        <v/>
      </c>
    </row>
    <row r="33" ht="22.5" customHeight="1" s="150">
      <c r="A33" s="34" t="n">
        <v>31</v>
      </c>
      <c r="B33" s="109">
        <f>C33+D33+E33+F33+G33+H33</f>
        <v/>
      </c>
      <c r="C33" s="110" t="n">
        <v>61.9043755375644</v>
      </c>
      <c r="D33" s="110" t="n">
        <v>43.8489326724414</v>
      </c>
      <c r="E33" s="110" t="n">
        <v>30.9521877687822</v>
      </c>
      <c r="F33" s="110" t="n">
        <v>2.57934898073185</v>
      </c>
      <c r="G33" s="110" t="n">
        <v>7.73804694219555</v>
      </c>
      <c r="H33" s="110" t="n">
        <v>5.1586979614637</v>
      </c>
      <c r="I33" s="111">
        <f>(100*B33)/N33</f>
        <v/>
      </c>
      <c r="J33" s="112">
        <f>((C33+F33)*100)/B33</f>
        <v/>
      </c>
      <c r="K33" s="112">
        <f>((D33+G33)*100)/B33</f>
        <v/>
      </c>
      <c r="L33" s="112">
        <f>((E33+H33)*100)/B33</f>
        <v/>
      </c>
      <c r="M33" s="114">
        <f>N33-B32</f>
        <v/>
      </c>
      <c r="N33" s="109">
        <f>O33+P33+Q33+R33+S33+T33</f>
        <v/>
      </c>
      <c r="O33" s="110" t="n">
        <v>3951.56263848119</v>
      </c>
      <c r="P33" s="110" t="n">
        <v>3355.73302393213</v>
      </c>
      <c r="Q33" s="110" t="n">
        <v>3716.84188123459</v>
      </c>
      <c r="R33" s="110" t="n">
        <v>1790.0681926279</v>
      </c>
      <c r="S33" s="110" t="n">
        <v>1485.70501290154</v>
      </c>
      <c r="T33" s="110" t="n">
        <v>1777.17144772424</v>
      </c>
      <c r="U33" s="50" t="n">
        <v>843</v>
      </c>
      <c r="V33" s="112">
        <f>((O33+R33)*100)/N33</f>
        <v/>
      </c>
      <c r="W33" s="112">
        <f>((P33+S33)*100)/N33</f>
        <v/>
      </c>
      <c r="X33" s="112">
        <f>((Q33+T33)*100)/N33</f>
        <v/>
      </c>
    </row>
    <row r="34" ht="22.5" customHeight="1" s="150">
      <c r="A34" s="34" t="n">
        <v>32</v>
      </c>
      <c r="B34" s="109">
        <f>C34+D34+E34+F34+G34+H34</f>
        <v/>
      </c>
      <c r="C34" s="110" t="n">
        <v>159.919636805374</v>
      </c>
      <c r="D34" s="110" t="n">
        <v>67.06307349902811</v>
      </c>
      <c r="E34" s="110" t="n">
        <v>56.7456775761007</v>
      </c>
      <c r="F34" s="110" t="n">
        <v>0</v>
      </c>
      <c r="G34" s="110" t="n">
        <v>2.57934898073185</v>
      </c>
      <c r="H34" s="110" t="n">
        <v>15.4760938843911</v>
      </c>
      <c r="I34" s="111">
        <f>(100*B34)/N34</f>
        <v/>
      </c>
      <c r="J34" s="112">
        <f>((C34+F34)*100)/B34</f>
        <v/>
      </c>
      <c r="K34" s="112">
        <f>((D34+G34)*100)/B34</f>
        <v/>
      </c>
      <c r="L34" s="112">
        <f>((E34+H34)*100)/B34</f>
        <v/>
      </c>
      <c r="M34" s="114">
        <f>N34-B33</f>
        <v/>
      </c>
      <c r="N34" s="109">
        <f>O34+P34+Q34+R34+S34+T34</f>
        <v/>
      </c>
      <c r="O34" s="110" t="n">
        <v>3778.74625677216</v>
      </c>
      <c r="P34" s="110" t="n">
        <v>3224.18622591481</v>
      </c>
      <c r="Q34" s="110" t="n">
        <v>3564.66029137141</v>
      </c>
      <c r="R34" s="110" t="n">
        <v>696.424224797599</v>
      </c>
      <c r="S34" s="110" t="n">
        <v>546.821983915152</v>
      </c>
      <c r="T34" s="110" t="n">
        <v>637.099198240766</v>
      </c>
      <c r="U34" s="50" t="n">
        <v>704</v>
      </c>
      <c r="V34" s="112">
        <f>((O34+R34)*100)/N34</f>
        <v/>
      </c>
      <c r="W34" s="112">
        <f>((P34+S34)*100)/N34</f>
        <v/>
      </c>
      <c r="X34" s="112">
        <f>((Q34+T34)*100)/N34</f>
        <v/>
      </c>
    </row>
    <row r="35" ht="22.5" customHeight="1" s="150">
      <c r="A35" s="34" t="n">
        <v>33</v>
      </c>
      <c r="B35" s="109">
        <f>C35+D35+E35+F35+G35+H35</f>
        <v/>
      </c>
      <c r="C35" s="110" t="n">
        <v>20.6347918458548</v>
      </c>
      <c r="D35" s="110" t="n">
        <v>10.3173959229274</v>
      </c>
      <c r="E35" s="110" t="n">
        <v>5.1586979614637</v>
      </c>
      <c r="F35" s="110" t="n">
        <v>2.57934898073185</v>
      </c>
      <c r="G35" s="110" t="n">
        <v>0</v>
      </c>
      <c r="H35" s="110" t="n">
        <v>0</v>
      </c>
      <c r="I35" s="111">
        <f>(100*B35)/N35</f>
        <v/>
      </c>
      <c r="J35" s="112">
        <f>((C35+F35)*100)/B35</f>
        <v/>
      </c>
      <c r="K35" s="112">
        <f>((D35+G35)*100)/B35</f>
        <v/>
      </c>
      <c r="L35" s="112">
        <f>((E35+H35)*100)/B35</f>
        <v/>
      </c>
      <c r="M35" s="114">
        <f>N35-B34</f>
        <v/>
      </c>
      <c r="N35" s="109">
        <f>O35+P35+Q35+R35+S35+T35</f>
        <v/>
      </c>
      <c r="O35" s="110" t="n">
        <v>3771.00820982996</v>
      </c>
      <c r="P35" s="110" t="n">
        <v>3185.49599120383</v>
      </c>
      <c r="Q35" s="110" t="n">
        <v>3536.28745258336</v>
      </c>
      <c r="R35" s="110" t="n">
        <v>392.061045071241</v>
      </c>
      <c r="S35" s="110" t="n">
        <v>386.902347109777</v>
      </c>
      <c r="T35" s="110" t="n">
        <v>451.386071628073</v>
      </c>
      <c r="U35" s="50" t="n">
        <v>627</v>
      </c>
      <c r="V35" s="112">
        <f>((O35+R35)*100)/N35</f>
        <v/>
      </c>
      <c r="W35" s="112">
        <f>((P35+S35)*100)/N35</f>
        <v/>
      </c>
      <c r="X35" s="112">
        <f>((Q35+T35)*100)/N35</f>
        <v/>
      </c>
    </row>
    <row r="36" ht="22.5" customHeight="1" s="150">
      <c r="A36" s="34" t="n">
        <v>34</v>
      </c>
      <c r="B36" s="109">
        <f>C36+D36+E36+F36+G36+H36</f>
        <v/>
      </c>
      <c r="C36" s="110" t="n">
        <v>30.9521877687822</v>
      </c>
      <c r="D36" s="110" t="n">
        <v>15.4760938843911</v>
      </c>
      <c r="E36" s="110" t="n">
        <v>15.4760938843911</v>
      </c>
      <c r="F36" s="110" t="n">
        <v>0</v>
      </c>
      <c r="G36" s="110" t="n">
        <v>0</v>
      </c>
      <c r="H36" s="110" t="n">
        <v>2.57934898073185</v>
      </c>
      <c r="I36" s="111">
        <f>(100*B36)/N36</f>
        <v/>
      </c>
      <c r="J36" s="112">
        <f>((C36+F36)*100)/B36</f>
        <v/>
      </c>
      <c r="K36" s="112">
        <f>((D36+G36)*100)/B36</f>
        <v/>
      </c>
      <c r="L36" s="112">
        <f>((E36+H36)*100)/B36</f>
        <v/>
      </c>
      <c r="M36" s="114">
        <f>N36-B35</f>
        <v/>
      </c>
      <c r="N36" s="109">
        <f>O36+P36+Q36+R36+S36+T36</f>
        <v/>
      </c>
      <c r="O36" s="110" t="n">
        <v>3696.20708938874</v>
      </c>
      <c r="P36" s="110" t="n">
        <v>3115.85356872407</v>
      </c>
      <c r="Q36" s="110" t="n">
        <v>3453.74828519994</v>
      </c>
      <c r="R36" s="110" t="n">
        <v>116.070704132933</v>
      </c>
      <c r="S36" s="110" t="n">
        <v>79.9598184026873</v>
      </c>
      <c r="T36" s="110" t="n">
        <v>90.27721432561469</v>
      </c>
      <c r="U36" s="50" t="n">
        <v>606</v>
      </c>
      <c r="V36" s="112">
        <f>((O36+R36)*100)/N36</f>
        <v/>
      </c>
      <c r="W36" s="112">
        <f>((P36+S36)*100)/N36</f>
        <v/>
      </c>
      <c r="X36" s="112">
        <f>((Q36+T36)*100)/N36</f>
        <v/>
      </c>
    </row>
    <row r="37" ht="22.5" customHeight="1" s="150">
      <c r="A37" s="34" t="n">
        <v>35</v>
      </c>
      <c r="B37" s="109">
        <f>C37+D37+E37+F37+G37+H37</f>
        <v/>
      </c>
      <c r="C37" s="110" t="n">
        <v>41.2695836917096</v>
      </c>
      <c r="D37" s="110" t="n">
        <v>33.531536749514</v>
      </c>
      <c r="E37" s="110" t="n">
        <v>23.2141408265866</v>
      </c>
      <c r="F37" s="110" t="n">
        <v>0</v>
      </c>
      <c r="G37" s="110" t="n">
        <v>0</v>
      </c>
      <c r="H37" s="110" t="n">
        <v>2.57934898073185</v>
      </c>
      <c r="I37" s="111">
        <f>(100*B37)/N37</f>
        <v/>
      </c>
      <c r="J37" s="112">
        <f>((C37+F37)*100)/B37</f>
        <v/>
      </c>
      <c r="K37" s="112">
        <f>((D37+G37)*100)/B37</f>
        <v/>
      </c>
      <c r="L37" s="112">
        <f>((E37+H37)*100)/B37</f>
        <v/>
      </c>
      <c r="M37" s="114">
        <f>N37-B36</f>
        <v/>
      </c>
      <c r="N37" s="109">
        <f>O37+P37+Q37+R37+S37+T37</f>
        <v/>
      </c>
      <c r="O37" s="110" t="n">
        <v>3660.09620365849</v>
      </c>
      <c r="P37" s="110" t="n">
        <v>3069.4252870709</v>
      </c>
      <c r="Q37" s="110" t="n">
        <v>3404.74065456604</v>
      </c>
      <c r="R37" s="110" t="n">
        <v>631.940500279303</v>
      </c>
      <c r="S37" s="110" t="n">
        <v>518.449145127101</v>
      </c>
      <c r="T37" s="110" t="n">
        <v>613.88505741418</v>
      </c>
      <c r="U37" s="50" t="n">
        <v>653</v>
      </c>
      <c r="V37" s="112">
        <f>((O37+R37)*100)/N37</f>
        <v/>
      </c>
      <c r="W37" s="112">
        <f>((P37+S37)*100)/N37</f>
        <v/>
      </c>
      <c r="X37" s="112">
        <f>((Q37+T37)*100)/N37</f>
        <v/>
      </c>
    </row>
    <row r="38" ht="22.5" customHeight="1" s="150">
      <c r="A38" s="34" t="n">
        <v>36</v>
      </c>
      <c r="B38" s="109">
        <f>C38+D38+E38+F38+G38+H38</f>
        <v/>
      </c>
      <c r="C38" s="110" t="n">
        <v>5.1586979614637</v>
      </c>
      <c r="D38" s="110" t="n">
        <v>5.1586979614637</v>
      </c>
      <c r="E38" s="110" t="n">
        <v>2.57934898073185</v>
      </c>
      <c r="F38" s="110" t="n">
        <v>10.3173959229274</v>
      </c>
      <c r="G38" s="110" t="n">
        <v>2.57934898073185</v>
      </c>
      <c r="H38" s="110" t="n">
        <v>10.3173959229274</v>
      </c>
      <c r="I38" s="111">
        <f>(100*B38)/N38</f>
        <v/>
      </c>
      <c r="J38" s="112">
        <f>((C38+F38)*100)/B38</f>
        <v/>
      </c>
      <c r="K38" s="112">
        <f>((D38+G38)*100)/B38</f>
        <v/>
      </c>
      <c r="L38" s="112">
        <f>((E38+H38)*100)/B38</f>
        <v/>
      </c>
      <c r="M38" s="114">
        <f>N38-B37</f>
        <v/>
      </c>
      <c r="N38" s="109">
        <f>O38+P38+Q38+R38+S38+T38</f>
        <v/>
      </c>
      <c r="O38" s="110" t="n">
        <v>3623.98531792824</v>
      </c>
      <c r="P38" s="110" t="n">
        <v>3007.52091153333</v>
      </c>
      <c r="Q38" s="110" t="n">
        <v>3363.47107087433</v>
      </c>
      <c r="R38" s="110" t="n">
        <v>10.3173959229274</v>
      </c>
      <c r="S38" s="110" t="n">
        <v>15.4760938843911</v>
      </c>
      <c r="T38" s="110" t="n">
        <v>5.1586979614637</v>
      </c>
      <c r="U38" s="50" t="n">
        <v>580</v>
      </c>
      <c r="V38" s="112">
        <f>((O38+R38)*100)/N38</f>
        <v/>
      </c>
      <c r="W38" s="112">
        <f>((P38+S38)*100)/N38</f>
        <v/>
      </c>
      <c r="X38" s="112">
        <f>((Q38+T38)*100)/N38</f>
        <v/>
      </c>
    </row>
    <row r="39" ht="22.5" customHeight="1" s="150">
      <c r="A39" s="34" t="n">
        <v>37</v>
      </c>
      <c r="B39" s="109">
        <f>C39+D39+E39+F39+G39+H39</f>
        <v/>
      </c>
      <c r="C39" s="110" t="n">
        <v>2.57934898073185</v>
      </c>
      <c r="D39" s="110" t="n">
        <v>5.1586979614637</v>
      </c>
      <c r="E39" s="110" t="n">
        <v>0</v>
      </c>
      <c r="F39" s="110" t="n">
        <v>0</v>
      </c>
      <c r="G39" s="110" t="n">
        <v>0</v>
      </c>
      <c r="H39" s="110" t="n">
        <v>5.1586979614637</v>
      </c>
      <c r="I39" s="111">
        <f>(100*B39)/N39</f>
        <v/>
      </c>
      <c r="J39" s="112">
        <f>((C39+F39)*100)/B39</f>
        <v/>
      </c>
      <c r="K39" s="112">
        <f>((D39+G39)*100)/B39</f>
        <v/>
      </c>
      <c r="L39" s="112">
        <f>((E39+H39)*100)/B39</f>
        <v/>
      </c>
      <c r="M39" s="114">
        <f>N39-B38</f>
        <v/>
      </c>
      <c r="N39" s="109">
        <f>O39+P39+Q39+R39+S39+T39</f>
        <v/>
      </c>
      <c r="O39" s="110" t="n">
        <v>3608.50922404385</v>
      </c>
      <c r="P39" s="110" t="n">
        <v>2984.30677070675</v>
      </c>
      <c r="Q39" s="110" t="n">
        <v>3322.20148718262</v>
      </c>
      <c r="R39" s="110" t="n">
        <v>7.73804694219555</v>
      </c>
      <c r="S39" s="110" t="n">
        <v>10.3173959229274</v>
      </c>
      <c r="T39" s="110" t="n">
        <v>5.1586979614637</v>
      </c>
      <c r="U39" s="50" t="n">
        <v>485</v>
      </c>
      <c r="V39" s="112">
        <f>((O39+R39)*100)/N39</f>
        <v/>
      </c>
      <c r="W39" s="112">
        <f>((P39+S39)*100)/N39</f>
        <v/>
      </c>
      <c r="X39" s="112">
        <f>((Q39+T39)*100)/N39</f>
        <v/>
      </c>
    </row>
    <row r="40" ht="22.5" customHeight="1" s="150">
      <c r="A40" s="34" t="n">
        <v>38</v>
      </c>
      <c r="B40" s="109">
        <f>C40+D40+E40+F40+G40+H40</f>
        <v/>
      </c>
      <c r="C40" s="110" t="n">
        <v>15.4760938843911</v>
      </c>
      <c r="D40" s="110" t="n">
        <v>2.57934898073185</v>
      </c>
      <c r="E40" s="110" t="n">
        <v>5.1586979614637</v>
      </c>
      <c r="F40" s="110" t="n">
        <v>0</v>
      </c>
      <c r="G40" s="110" t="n">
        <v>0</v>
      </c>
      <c r="H40" s="110" t="n">
        <v>0</v>
      </c>
      <c r="I40" s="111">
        <f>(100*B40)/N40</f>
        <v/>
      </c>
      <c r="J40" s="112">
        <f>((C40+F40)*100)/B40</f>
        <v/>
      </c>
      <c r="K40" s="112">
        <f>((D40+G40)*100)/B40</f>
        <v/>
      </c>
      <c r="L40" s="112">
        <f>((E40+H40)*100)/B40</f>
        <v/>
      </c>
      <c r="M40" s="114">
        <f>N40-B39</f>
        <v/>
      </c>
      <c r="N40" s="109">
        <f>O40+P40+Q40+R40+S40+T40</f>
        <v/>
      </c>
      <c r="O40" s="110" t="n">
        <v>3590.45378117873</v>
      </c>
      <c r="P40" s="110" t="n">
        <v>2984.30677070675</v>
      </c>
      <c r="Q40" s="110" t="n">
        <v>3306.72539329823</v>
      </c>
      <c r="R40" s="110" t="n">
        <v>10.3173959229274</v>
      </c>
      <c r="S40" s="110" t="n">
        <v>15.4760938843911</v>
      </c>
      <c r="T40" s="110" t="n">
        <v>20.6347918458548</v>
      </c>
      <c r="U40" s="50" t="n">
        <v>537</v>
      </c>
      <c r="V40" s="112">
        <f>((O40+R40)*100)/N40</f>
        <v/>
      </c>
      <c r="W40" s="112">
        <f>((P40+S40)*100)/N40</f>
        <v/>
      </c>
      <c r="X40" s="112">
        <f>((Q40+T40)*100)/N40</f>
        <v/>
      </c>
    </row>
    <row r="41" ht="22.5" customHeight="1" s="150">
      <c r="A41" s="34" t="n">
        <v>39</v>
      </c>
      <c r="B41" s="109">
        <f>C41+D41+E41+F41+G41+H41</f>
        <v/>
      </c>
      <c r="C41" s="110" t="n">
        <v>128.967449036592</v>
      </c>
      <c r="D41" s="110" t="n">
        <v>43.8489326724414</v>
      </c>
      <c r="E41" s="110" t="n">
        <v>72.22177146049179</v>
      </c>
      <c r="F41" s="110" t="n">
        <v>190.871824574156</v>
      </c>
      <c r="G41" s="110" t="n">
        <v>172.816381709033</v>
      </c>
      <c r="H41" s="110" t="n">
        <v>154.760938843911</v>
      </c>
      <c r="I41" s="111">
        <f>(100*B41)/N41</f>
        <v/>
      </c>
      <c r="J41" s="112">
        <f>((C41+F41)*100)/B41</f>
        <v/>
      </c>
      <c r="K41" s="112">
        <f>((D41+G41)*100)/B41</f>
        <v/>
      </c>
      <c r="L41" s="112">
        <f>((E41+H41)*100)/B41</f>
        <v/>
      </c>
      <c r="M41" s="114">
        <f>N41-B40</f>
        <v/>
      </c>
      <c r="N41" s="109">
        <f>O41+P41+Q41+R41+S41+T41</f>
        <v/>
      </c>
      <c r="O41" s="110" t="n">
        <v>3363.47107087433</v>
      </c>
      <c r="P41" s="110" t="n">
        <v>2744.42731549868</v>
      </c>
      <c r="Q41" s="110" t="n">
        <v>3030.73505235992</v>
      </c>
      <c r="R41" s="110" t="n">
        <v>4098.5855303829</v>
      </c>
      <c r="S41" s="110" t="n">
        <v>3317.04278922115</v>
      </c>
      <c r="T41" s="110" t="n">
        <v>3946.40394051973</v>
      </c>
      <c r="U41" s="50" t="n">
        <v>978</v>
      </c>
      <c r="V41" s="112">
        <f>((O41+R41)*100)/N41</f>
        <v/>
      </c>
      <c r="W41" s="112">
        <f>((P41+S41)*100)/N41</f>
        <v/>
      </c>
      <c r="X41" s="112">
        <f>((Q41+T41)*100)/N41</f>
        <v/>
      </c>
    </row>
    <row r="42" ht="22.5" customHeight="1" s="150">
      <c r="A42" s="34" t="n">
        <v>40</v>
      </c>
      <c r="B42" s="109">
        <f>C42+D42+E42+F42+G42+H42</f>
        <v/>
      </c>
      <c r="C42" s="110" t="n">
        <v>1287.09514138519</v>
      </c>
      <c r="D42" s="110" t="n">
        <v>472.020863473928</v>
      </c>
      <c r="E42" s="110" t="n">
        <v>938.883028986393</v>
      </c>
      <c r="F42" s="110" t="n">
        <v>928.565633063466</v>
      </c>
      <c r="G42" s="110" t="n">
        <v>397.219743032704</v>
      </c>
      <c r="H42" s="110" t="n">
        <v>438.489326724414</v>
      </c>
      <c r="I42" s="111">
        <f>(100*B42)/N42</f>
        <v/>
      </c>
      <c r="J42" s="112">
        <f>((C42+F42)*100)/B42</f>
        <v/>
      </c>
      <c r="K42" s="112">
        <f>((D42+G42)*100)/B42</f>
        <v/>
      </c>
      <c r="L42" s="112">
        <f>((E42+H42)*100)/B42</f>
        <v/>
      </c>
      <c r="M42" s="114">
        <f>N42-B41</f>
        <v/>
      </c>
      <c r="N42" s="109">
        <f>O42+P42+Q42+R42+S42+T42</f>
        <v/>
      </c>
      <c r="O42" s="110" t="n">
        <v>2476.17502150257</v>
      </c>
      <c r="P42" s="110" t="n">
        <v>2200.18468056426</v>
      </c>
      <c r="Q42" s="110" t="n">
        <v>1859.71061510766</v>
      </c>
      <c r="R42" s="110" t="n">
        <v>4170.8073018434</v>
      </c>
      <c r="S42" s="110" t="n">
        <v>3613.66792200532</v>
      </c>
      <c r="T42" s="110" t="n">
        <v>3484.70047296872</v>
      </c>
      <c r="U42" s="50" t="n">
        <v>1377</v>
      </c>
      <c r="V42" s="112">
        <f>((O42+R42)*100)/N42</f>
        <v/>
      </c>
      <c r="W42" s="112">
        <f>((P42+S42)*100)/N42</f>
        <v/>
      </c>
      <c r="X42" s="112">
        <f>((Q42+T42)*100)/N42</f>
        <v/>
      </c>
    </row>
    <row r="43" ht="22.5" customHeight="1" s="150">
      <c r="A43" s="34" t="n">
        <v>41</v>
      </c>
      <c r="B43" s="109">
        <f>C43+D43+E43+F43+G43+H43</f>
        <v/>
      </c>
      <c r="C43" s="110" t="n">
        <v>61.9043755375644</v>
      </c>
      <c r="D43" s="110" t="n">
        <v>38.6902347109777</v>
      </c>
      <c r="E43" s="110" t="n">
        <v>25.7934898073184</v>
      </c>
      <c r="F43" s="110" t="n">
        <v>0</v>
      </c>
      <c r="G43" s="110" t="n">
        <v>0</v>
      </c>
      <c r="H43" s="110" t="n">
        <v>0</v>
      </c>
      <c r="I43" s="111">
        <f>(100*B43)/N43</f>
        <v/>
      </c>
      <c r="J43" s="112">
        <f>((C43+F43)*100)/B43</f>
        <v/>
      </c>
      <c r="K43" s="112">
        <f>((D43+G43)*100)/B43</f>
        <v/>
      </c>
      <c r="L43" s="112">
        <f>((E43+H43)*100)/B43</f>
        <v/>
      </c>
      <c r="M43" s="114">
        <f>N43-B42</f>
        <v/>
      </c>
      <c r="N43" s="109">
        <f>O43+P43+Q43+R43+S43+T43</f>
        <v/>
      </c>
      <c r="O43" s="110" t="n">
        <v>3371.20911781652</v>
      </c>
      <c r="P43" s="110" t="n">
        <v>2174.39119075694</v>
      </c>
      <c r="Q43" s="110" t="n">
        <v>1872.60736001132</v>
      </c>
      <c r="R43" s="110" t="n">
        <v>15.4760938843911</v>
      </c>
      <c r="S43" s="110" t="n">
        <v>7.73804694219555</v>
      </c>
      <c r="T43" s="110" t="n">
        <v>12.8967449036592</v>
      </c>
      <c r="U43" s="50" t="n">
        <v>586</v>
      </c>
      <c r="V43" s="112">
        <f>((O43+R43)*100)/N43</f>
        <v/>
      </c>
      <c r="W43" s="112">
        <f>((P43+S43)*100)/N43</f>
        <v/>
      </c>
      <c r="X43" s="112">
        <f>((Q43+T43)*100)/N43</f>
        <v/>
      </c>
    </row>
    <row r="44" ht="22.5" customHeight="1" s="150">
      <c r="A44" s="34" t="n">
        <v>42</v>
      </c>
      <c r="B44" s="109">
        <f>C44+D44+E44+F44+G44+H44</f>
        <v/>
      </c>
      <c r="C44" s="110" t="n">
        <v>998.208055543225</v>
      </c>
      <c r="D44" s="110" t="n">
        <v>95.43591228707839</v>
      </c>
      <c r="E44" s="110" t="n">
        <v>327.577320552944</v>
      </c>
      <c r="F44" s="110" t="n">
        <v>180.554428651229</v>
      </c>
      <c r="G44" s="110" t="n">
        <v>98.0152612678103</v>
      </c>
      <c r="H44" s="110" t="n">
        <v>49.0076306339051</v>
      </c>
      <c r="I44" s="111">
        <f>(100*B44)/N44</f>
        <v/>
      </c>
      <c r="J44" s="112">
        <f>((C44+F44)*100)/B44</f>
        <v/>
      </c>
      <c r="K44" s="112">
        <f>((D44+G44)*100)/B44</f>
        <v/>
      </c>
      <c r="L44" s="112">
        <f>((E44+H44)*100)/B44</f>
        <v/>
      </c>
      <c r="M44" s="114">
        <f>N44-B43</f>
        <v/>
      </c>
      <c r="N44" s="109">
        <f>O44+P44+Q44+R44+S44+T44</f>
        <v/>
      </c>
      <c r="O44" s="110" t="n">
        <v>3002.36221357187</v>
      </c>
      <c r="P44" s="110" t="n">
        <v>2068.63788254694</v>
      </c>
      <c r="Q44" s="110" t="n">
        <v>1568.24418028496</v>
      </c>
      <c r="R44" s="110" t="n">
        <v>4782.11301027684</v>
      </c>
      <c r="S44" s="110" t="n">
        <v>3164.86119935798</v>
      </c>
      <c r="T44" s="110" t="n">
        <v>2452.96088067598</v>
      </c>
      <c r="U44" s="50" t="n">
        <v>1168</v>
      </c>
      <c r="V44" s="112">
        <f>((O44+R44)*100)/N44</f>
        <v/>
      </c>
      <c r="W44" s="112">
        <f>((P44+S44)*100)/N44</f>
        <v/>
      </c>
      <c r="X44" s="112">
        <f>((Q44+T44)*100)/N44</f>
        <v/>
      </c>
    </row>
    <row r="45" ht="22.5" customHeight="1" s="150">
      <c r="A45" s="34" t="n">
        <v>43</v>
      </c>
      <c r="B45" s="109">
        <f>C45+D45+E45+F45+G45+H45</f>
        <v/>
      </c>
      <c r="C45" s="110" t="n">
        <v>412.695836917095</v>
      </c>
      <c r="D45" s="110" t="n">
        <v>49.0076306339051</v>
      </c>
      <c r="E45" s="110" t="n">
        <v>82.5391673834192</v>
      </c>
      <c r="F45" s="110" t="n">
        <v>2.57934898073185</v>
      </c>
      <c r="G45" s="110" t="n">
        <v>0</v>
      </c>
      <c r="H45" s="110" t="n">
        <v>5.1586979614637</v>
      </c>
      <c r="I45" s="111">
        <f>(100*B45)/N45</f>
        <v/>
      </c>
      <c r="J45" s="112">
        <f>((C45+F45)*100)/B45</f>
        <v/>
      </c>
      <c r="K45" s="112">
        <f>((D45+G45)*100)/B45</f>
        <v/>
      </c>
      <c r="L45" s="112">
        <f>((E45+H45)*100)/B45</f>
        <v/>
      </c>
      <c r="M45" s="114">
        <f>N45-B44</f>
        <v/>
      </c>
      <c r="N45" s="109">
        <f>O45+P45+Q45+R45+S45+T45</f>
        <v/>
      </c>
      <c r="O45" s="110" t="n">
        <v>2930.14044211138</v>
      </c>
      <c r="P45" s="110" t="n">
        <v>2024.7889498745</v>
      </c>
      <c r="Q45" s="110" t="n">
        <v>1493.44305984374</v>
      </c>
      <c r="R45" s="110" t="n">
        <v>229.562059285134</v>
      </c>
      <c r="S45" s="110" t="n">
        <v>162.498985786106</v>
      </c>
      <c r="T45" s="110" t="n">
        <v>108.332657190737</v>
      </c>
      <c r="U45" s="50" t="n">
        <v>660</v>
      </c>
      <c r="V45" s="112">
        <f>((O45+R45)*100)/N45</f>
        <v/>
      </c>
      <c r="W45" s="112">
        <f>((P45+S45)*100)/N45</f>
        <v/>
      </c>
      <c r="X45" s="112">
        <f>((Q45+T45)*100)/N45</f>
        <v/>
      </c>
    </row>
    <row r="46" ht="22.5" customHeight="1" s="150">
      <c r="A46" s="34" t="n">
        <v>44</v>
      </c>
      <c r="B46" s="109">
        <f>C46+D46+E46+F46+G46+H46</f>
        <v/>
      </c>
      <c r="C46" s="110" t="n">
        <v>10.3173959229274</v>
      </c>
      <c r="D46" s="110" t="n">
        <v>2.57934898073185</v>
      </c>
      <c r="E46" s="110" t="n">
        <v>0</v>
      </c>
      <c r="F46" s="110" t="n">
        <v>0</v>
      </c>
      <c r="G46" s="110" t="n">
        <v>0</v>
      </c>
      <c r="H46" s="110" t="n">
        <v>0</v>
      </c>
      <c r="I46" s="111">
        <f>(100*B46)/N46</f>
        <v/>
      </c>
      <c r="J46" s="112">
        <f>((C46+F46)*100)/B46</f>
        <v/>
      </c>
      <c r="K46" s="112">
        <f>((D46+G46)*100)/B46</f>
        <v/>
      </c>
      <c r="L46" s="112">
        <f>((E46+H46)*100)/B46</f>
        <v/>
      </c>
      <c r="M46" s="114">
        <f>N46-B45</f>
        <v/>
      </c>
      <c r="N46" s="109">
        <f>O46+P46+Q46+R46+S46+T46</f>
        <v/>
      </c>
      <c r="O46" s="110" t="n">
        <v>3095.21877687822</v>
      </c>
      <c r="P46" s="110" t="n">
        <v>2011.89220497084</v>
      </c>
      <c r="Q46" s="110" t="n">
        <v>1488.28436188227</v>
      </c>
      <c r="R46" s="110" t="n">
        <v>7.73804694219555</v>
      </c>
      <c r="S46" s="110" t="n">
        <v>0</v>
      </c>
      <c r="T46" s="110" t="n">
        <v>0</v>
      </c>
      <c r="U46" s="50" t="n">
        <v>567</v>
      </c>
      <c r="V46" s="112">
        <f>((O46+R46)*100)/N46</f>
        <v/>
      </c>
      <c r="W46" s="112">
        <f>((P46+S46)*100)/N46</f>
        <v/>
      </c>
      <c r="X46" s="112">
        <f>((Q46+T46)*100)/N46</f>
        <v/>
      </c>
    </row>
    <row r="47" ht="22.5" customHeight="1" s="150">
      <c r="A47" s="34" t="n">
        <v>45</v>
      </c>
      <c r="B47" s="109">
        <f>C47+D47+E47+F47+G47+H47</f>
        <v/>
      </c>
      <c r="C47" s="110" t="n">
        <v>2.57934898073185</v>
      </c>
      <c r="D47" s="110" t="n">
        <v>0</v>
      </c>
      <c r="E47" s="110" t="n">
        <v>0</v>
      </c>
      <c r="F47" s="110" t="n">
        <v>0</v>
      </c>
      <c r="G47" s="110" t="n">
        <v>0</v>
      </c>
      <c r="H47" s="110" t="n">
        <v>0</v>
      </c>
      <c r="I47" s="111">
        <f>(100*B47)/N47</f>
        <v/>
      </c>
      <c r="J47" s="112">
        <f>((C47+F47)*100)/B47</f>
        <v/>
      </c>
      <c r="K47" s="112">
        <f>((D47+G47)*100)/B47</f>
        <v/>
      </c>
      <c r="L47" s="112">
        <f>((E47+H47)*100)/B47</f>
        <v/>
      </c>
      <c r="M47" s="114">
        <f>N47-B46</f>
        <v/>
      </c>
      <c r="N47" s="109">
        <f>O47+P47+Q47+R47+S47+T47</f>
        <v/>
      </c>
      <c r="O47" s="110" t="n">
        <v>3216.44817897261</v>
      </c>
      <c r="P47" s="110" t="n">
        <v>2019.63025191303</v>
      </c>
      <c r="Q47" s="110" t="n">
        <v>1496.02240882447</v>
      </c>
      <c r="R47" s="110" t="n">
        <v>10.3173959229274</v>
      </c>
      <c r="S47" s="110" t="n">
        <v>0</v>
      </c>
      <c r="T47" s="110" t="n">
        <v>2.57934898073185</v>
      </c>
      <c r="U47" s="50" t="n">
        <v>544</v>
      </c>
      <c r="V47" s="112">
        <f>((O47+R47)*100)/N47</f>
        <v/>
      </c>
      <c r="W47" s="112">
        <f>((P47+S47)*100)/N47</f>
        <v/>
      </c>
      <c r="X47" s="112">
        <f>((Q47+T47)*100)/N47</f>
        <v/>
      </c>
    </row>
    <row r="48" ht="22.5" customHeight="1" s="150">
      <c r="A48" s="34" t="n">
        <v>46</v>
      </c>
      <c r="B48" s="109">
        <f>C48+D48+E48+F48+G48+H48</f>
        <v/>
      </c>
      <c r="C48" s="110" t="n">
        <v>5.1586979614637</v>
      </c>
      <c r="D48" s="110" t="n">
        <v>0</v>
      </c>
      <c r="E48" s="110" t="n">
        <v>0</v>
      </c>
      <c r="F48" s="110" t="n">
        <v>0</v>
      </c>
      <c r="G48" s="110" t="n">
        <v>0</v>
      </c>
      <c r="H48" s="110" t="n">
        <v>0</v>
      </c>
      <c r="I48" s="111">
        <f>(100*B48)/N48</f>
        <v/>
      </c>
      <c r="J48" s="112">
        <f>((C48+F48)*100)/B48</f>
        <v/>
      </c>
      <c r="K48" s="112">
        <f>((D48+G48)*100)/B48</f>
        <v/>
      </c>
      <c r="L48" s="112">
        <f>((E48+H48)*100)/B48</f>
        <v/>
      </c>
      <c r="M48" s="114">
        <f>N48-B47</f>
        <v/>
      </c>
      <c r="N48" s="109">
        <f>O48+P48+Q48+R48+S48+T48</f>
        <v/>
      </c>
      <c r="O48" s="110" t="n">
        <v>3317.04278922115</v>
      </c>
      <c r="P48" s="110" t="n">
        <v>2019.63025191303</v>
      </c>
      <c r="Q48" s="110" t="n">
        <v>1511.49850270886</v>
      </c>
      <c r="R48" s="110" t="n">
        <v>0</v>
      </c>
      <c r="S48" s="110" t="n">
        <v>0</v>
      </c>
      <c r="T48" s="110" t="n">
        <v>0</v>
      </c>
      <c r="U48" s="50" t="n">
        <v>511</v>
      </c>
      <c r="V48" s="112">
        <f>((O48+R48)*100)/N48</f>
        <v/>
      </c>
      <c r="W48" s="112">
        <f>((P48+S48)*100)/N48</f>
        <v/>
      </c>
      <c r="X48" s="112">
        <f>((Q48+T48)*100)/N48</f>
        <v/>
      </c>
    </row>
    <row r="49" ht="22.5" customHeight="1" s="150">
      <c r="A49" s="34" t="n">
        <v>47</v>
      </c>
      <c r="B49" s="109">
        <f>C49+D49+E49+F49+G49+H49</f>
        <v/>
      </c>
      <c r="C49" s="110" t="n">
        <v>0</v>
      </c>
      <c r="D49" s="110" t="n">
        <v>0</v>
      </c>
      <c r="E49" s="110" t="n">
        <v>2.57934898073185</v>
      </c>
      <c r="F49" s="110" t="n">
        <v>0</v>
      </c>
      <c r="G49" s="110" t="n">
        <v>0</v>
      </c>
      <c r="H49" s="110" t="n">
        <v>0</v>
      </c>
      <c r="I49" s="111">
        <f>(100*B49)/N49</f>
        <v/>
      </c>
      <c r="J49" s="112">
        <f>((C49+F49)*100)/B49</f>
        <v/>
      </c>
      <c r="K49" s="112">
        <f>((D49+G49)*100)/B49</f>
        <v/>
      </c>
      <c r="L49" s="112">
        <f>((E49+H49)*100)/B49</f>
        <v/>
      </c>
      <c r="M49" s="114">
        <f>N49-B48</f>
        <v/>
      </c>
      <c r="N49" s="109">
        <f>O49+P49+Q49+R49+S49+T49</f>
        <v/>
      </c>
      <c r="O49" s="110" t="n">
        <v>3355.73302393213</v>
      </c>
      <c r="P49" s="110" t="n">
        <v>2011.89220497084</v>
      </c>
      <c r="Q49" s="110" t="n">
        <v>1511.49850270886</v>
      </c>
      <c r="R49" s="110" t="n">
        <v>0</v>
      </c>
      <c r="S49" s="110" t="n">
        <v>0</v>
      </c>
      <c r="T49" s="110" t="n">
        <v>0</v>
      </c>
      <c r="U49" s="50" t="n">
        <v>508</v>
      </c>
      <c r="V49" s="112">
        <f>((O49+R49)*100)/N49</f>
        <v/>
      </c>
      <c r="W49" s="112">
        <f>((P49+S49)*100)/N49</f>
        <v/>
      </c>
      <c r="X49" s="112">
        <f>((Q49+T49)*100)/N49</f>
        <v/>
      </c>
    </row>
    <row r="50" ht="22.5" customHeight="1" s="150">
      <c r="A50" s="34" t="n">
        <v>48</v>
      </c>
      <c r="B50" s="109">
        <f>C50+D50+E50+F50+G50+H50</f>
        <v/>
      </c>
      <c r="C50" s="110" t="n">
        <v>28.3728387880503</v>
      </c>
      <c r="D50" s="110" t="n">
        <v>2.57934898073185</v>
      </c>
      <c r="E50" s="110" t="n">
        <v>2.57934898073185</v>
      </c>
      <c r="F50" s="110" t="n">
        <v>15.4760938843911</v>
      </c>
      <c r="G50" s="110" t="n">
        <v>0</v>
      </c>
      <c r="H50" s="110" t="n">
        <v>2.57934898073185</v>
      </c>
      <c r="I50" s="111">
        <f>(100*B50)/N50</f>
        <v/>
      </c>
      <c r="J50" s="112">
        <f>((C50+F50)*100)/B50</f>
        <v/>
      </c>
      <c r="K50" s="112">
        <f>((D50+G50)*100)/B50</f>
        <v/>
      </c>
      <c r="L50" s="112">
        <f>((E50+H50)*100)/B50</f>
        <v/>
      </c>
      <c r="M50" s="114">
        <f>N50-B49</f>
        <v/>
      </c>
      <c r="N50" s="109">
        <f>O50+P50+Q50+R50+S50+T50</f>
        <v/>
      </c>
      <c r="O50" s="110" t="n">
        <v>3915.45175275094</v>
      </c>
      <c r="P50" s="110" t="n">
        <v>2006.73350700937</v>
      </c>
      <c r="Q50" s="110" t="n">
        <v>1511.49850270886</v>
      </c>
      <c r="R50" s="110" t="n">
        <v>729.955761547113</v>
      </c>
      <c r="S50" s="110" t="n">
        <v>299.204481764894</v>
      </c>
      <c r="T50" s="110" t="n">
        <v>211.506616420011</v>
      </c>
      <c r="U50" s="50" t="n">
        <v>573</v>
      </c>
      <c r="V50" s="112">
        <f>((O50+R50)*100)/N50</f>
        <v/>
      </c>
      <c r="W50" s="112">
        <f>((P50+S50)*100)/N50</f>
        <v/>
      </c>
      <c r="X50" s="112">
        <f>((Q50+T50)*100)/N50</f>
        <v/>
      </c>
    </row>
    <row r="51" ht="22.5" customHeight="1" s="150">
      <c r="A51" s="34" t="n">
        <v>49</v>
      </c>
      <c r="B51" s="109">
        <f>C51+D51+E51+F51+G51+H51</f>
        <v/>
      </c>
      <c r="C51" s="110" t="n">
        <v>229.562059285134</v>
      </c>
      <c r="D51" s="110" t="n">
        <v>43.8489326724414</v>
      </c>
      <c r="E51" s="110" t="n">
        <v>2.57934898073185</v>
      </c>
      <c r="F51" s="110" t="n">
        <v>95.43591228707839</v>
      </c>
      <c r="G51" s="110" t="n">
        <v>64.4837245182962</v>
      </c>
      <c r="H51" s="110" t="n">
        <v>15.4760938843911</v>
      </c>
      <c r="I51" s="111">
        <f>(100*B51)/N51</f>
        <v/>
      </c>
      <c r="J51" s="112">
        <f>((C51+F51)*100)/B51</f>
        <v/>
      </c>
      <c r="K51" s="112">
        <f>((D51+G51)*100)/B51</f>
        <v/>
      </c>
      <c r="L51" s="112">
        <f>((E51+H51)*100)/B51</f>
        <v/>
      </c>
      <c r="M51" s="114">
        <f>N51-B50</f>
        <v/>
      </c>
      <c r="N51" s="109">
        <f>O51+P51+Q51+R51+S51+T51</f>
        <v/>
      </c>
      <c r="O51" s="110" t="n">
        <v>3734.89732409971</v>
      </c>
      <c r="P51" s="110" t="n">
        <v>1924.19433962596</v>
      </c>
      <c r="Q51" s="110" t="n">
        <v>1496.02240882447</v>
      </c>
      <c r="R51" s="110" t="n">
        <v>4330.72693864877</v>
      </c>
      <c r="S51" s="110" t="n">
        <v>1947.40848045254</v>
      </c>
      <c r="T51" s="110" t="n">
        <v>1619.8311598996</v>
      </c>
      <c r="U51" s="50" t="n">
        <v>978</v>
      </c>
      <c r="V51" s="112">
        <f>((O51+R51)*100)/N51</f>
        <v/>
      </c>
      <c r="W51" s="112">
        <f>((P51+S51)*100)/N51</f>
        <v/>
      </c>
      <c r="X51" s="112">
        <f>((Q51+T51)*100)/N51</f>
        <v/>
      </c>
    </row>
    <row r="52" ht="22.5" customHeight="1" s="150">
      <c r="A52" s="34" t="n">
        <v>50</v>
      </c>
      <c r="B52" s="109">
        <f>C52+D52+E52+F52+G52+H52</f>
        <v/>
      </c>
      <c r="C52" s="110" t="n">
        <v>637.099198240766</v>
      </c>
      <c r="D52" s="110" t="n">
        <v>203.768569477816</v>
      </c>
      <c r="E52" s="110" t="n">
        <v>165.078334766838</v>
      </c>
      <c r="F52" s="110" t="n">
        <v>139.284844959519</v>
      </c>
      <c r="G52" s="110" t="n">
        <v>134.126146998056</v>
      </c>
      <c r="H52" s="110" t="n">
        <v>79.9598184026873</v>
      </c>
      <c r="I52" s="111">
        <f>(100*B52)/N52</f>
        <v/>
      </c>
      <c r="J52" s="112">
        <f>((C52+F52)*100)/B52</f>
        <v/>
      </c>
      <c r="K52" s="112">
        <f>((D52+G52)*100)/B52</f>
        <v/>
      </c>
      <c r="L52" s="112">
        <f>((E52+H52)*100)/B52</f>
        <v/>
      </c>
      <c r="M52" s="114">
        <f>N52-B51</f>
        <v/>
      </c>
      <c r="N52" s="109">
        <f>O52+P52+Q52+R52+S52+T52</f>
        <v/>
      </c>
      <c r="O52" s="110" t="n">
        <v>3876.76151803997</v>
      </c>
      <c r="P52" s="110" t="n">
        <v>1710.10837422521</v>
      </c>
      <c r="Q52" s="110" t="n">
        <v>1320.6266781347</v>
      </c>
      <c r="R52" s="110" t="n">
        <v>3355.73302393213</v>
      </c>
      <c r="S52" s="110" t="n">
        <v>1385.110402653</v>
      </c>
      <c r="T52" s="110" t="n">
        <v>1240.66685973202</v>
      </c>
      <c r="U52" s="50" t="n">
        <v>890</v>
      </c>
      <c r="V52" s="112">
        <f>((O52+R52)*100)/N52</f>
        <v/>
      </c>
      <c r="W52" s="112">
        <f>((P52+S52)*100)/N52</f>
        <v/>
      </c>
      <c r="X52" s="112">
        <f>((Q52+T52)*100)/N52</f>
        <v/>
      </c>
    </row>
    <row r="53" ht="22.5" customHeight="1" s="150">
      <c r="A53" s="34" t="n">
        <v>51</v>
      </c>
      <c r="B53" s="109">
        <f>C53+D53+E53+F53+G53+H53</f>
        <v/>
      </c>
      <c r="C53" s="110" t="n">
        <v>1400.58649653739</v>
      </c>
      <c r="D53" s="110" t="n">
        <v>423.013232840023</v>
      </c>
      <c r="E53" s="110" t="n">
        <v>549.401332895884</v>
      </c>
      <c r="F53" s="110" t="n">
        <v>404.9577899749</v>
      </c>
      <c r="G53" s="110" t="n">
        <v>304.363179726358</v>
      </c>
      <c r="H53" s="110" t="n">
        <v>183.133777631961</v>
      </c>
      <c r="I53" s="111">
        <f>(100*B53)/N53</f>
        <v/>
      </c>
      <c r="J53" s="112">
        <f>((C53+F53)*100)/B53</f>
        <v/>
      </c>
      <c r="K53" s="112">
        <f>((D53+G53)*100)/B53</f>
        <v/>
      </c>
      <c r="L53" s="112">
        <f>((E53+H53)*100)/B53</f>
        <v/>
      </c>
      <c r="M53" s="114">
        <f>N53-B52</f>
        <v/>
      </c>
      <c r="N53" s="109">
        <f>O53+P53+Q53+R53+S53+T53</f>
        <v/>
      </c>
      <c r="O53" s="110" t="n">
        <v>3273.19385654871</v>
      </c>
      <c r="P53" s="110" t="n">
        <v>1924.19433962596</v>
      </c>
      <c r="Q53" s="110" t="n">
        <v>913.089539179074</v>
      </c>
      <c r="R53" s="110" t="n">
        <v>3051.36984420577</v>
      </c>
      <c r="S53" s="110" t="n">
        <v>2014.47155395157</v>
      </c>
      <c r="T53" s="110" t="n">
        <v>959.517820832248</v>
      </c>
      <c r="U53" s="50" t="n">
        <v>993</v>
      </c>
      <c r="V53" s="112">
        <f>((O53+R53)*100)/N53</f>
        <v/>
      </c>
      <c r="W53" s="112">
        <f>((P53+S53)*100)/N53</f>
        <v/>
      </c>
      <c r="X53" s="112">
        <f>((Q53+T53)*100)/N53</f>
        <v/>
      </c>
    </row>
    <row r="54" ht="22.5" customHeight="1" s="150">
      <c r="A54" s="34" t="n">
        <v>52</v>
      </c>
      <c r="B54" s="109">
        <f>C54+D54+E54+F54+G54+H54</f>
        <v/>
      </c>
      <c r="C54" s="110" t="n">
        <v>1083.32657190737</v>
      </c>
      <c r="D54" s="110" t="n">
        <v>134.126146998056</v>
      </c>
      <c r="E54" s="110" t="n">
        <v>159.919636805374</v>
      </c>
      <c r="F54" s="110" t="n">
        <v>18.0554428651229</v>
      </c>
      <c r="G54" s="110" t="n">
        <v>12.8967449036592</v>
      </c>
      <c r="H54" s="110" t="n">
        <v>10.3173959229274</v>
      </c>
      <c r="I54" s="111">
        <f>(100*B54)/N54</f>
        <v/>
      </c>
      <c r="J54" s="112">
        <f>((C54+F54)*100)/B54</f>
        <v/>
      </c>
      <c r="K54" s="112">
        <f>((D54+G54)*100)/B54</f>
        <v/>
      </c>
      <c r="L54" s="112">
        <f>((E54+H54)*100)/B54</f>
        <v/>
      </c>
      <c r="M54" s="114">
        <f>N54-B53</f>
        <v/>
      </c>
      <c r="N54" s="109">
        <f>O54+P54+Q54+R54+S54+T54</f>
        <v/>
      </c>
      <c r="O54" s="110" t="n">
        <v>2832.12518084357</v>
      </c>
      <c r="P54" s="110" t="n">
        <v>2097.01072133499</v>
      </c>
      <c r="Q54" s="110" t="n">
        <v>812.494928930532</v>
      </c>
      <c r="R54" s="110" t="n">
        <v>541.663285953688</v>
      </c>
      <c r="S54" s="110" t="n">
        <v>459.124118570269</v>
      </c>
      <c r="T54" s="110" t="n">
        <v>193.451173554888</v>
      </c>
      <c r="U54" s="50" t="n">
        <v>678</v>
      </c>
      <c r="V54" s="112">
        <f>((O54+R54)*100)/N54</f>
        <v/>
      </c>
      <c r="W54" s="112">
        <f>((P54+S54)*100)/N54</f>
        <v/>
      </c>
      <c r="X54" s="112">
        <f>((Q54+T54)*100)/N54</f>
        <v/>
      </c>
    </row>
    <row r="55" ht="22.5" customHeight="1" s="150">
      <c r="A55" s="34" t="n">
        <v>53</v>
      </c>
      <c r="B55" s="109">
        <f>C55+D55+E55+F55+G55+H55</f>
        <v/>
      </c>
      <c r="C55" s="110" t="n">
        <v>15.4760938843911</v>
      </c>
      <c r="D55" s="110" t="n">
        <v>7.73804694219555</v>
      </c>
      <c r="E55" s="110" t="n">
        <v>5.1586979614637</v>
      </c>
      <c r="F55" s="110" t="n">
        <v>0</v>
      </c>
      <c r="G55" s="110" t="n">
        <v>0</v>
      </c>
      <c r="H55" s="110" t="n">
        <v>0</v>
      </c>
      <c r="I55" s="111">
        <f>(100*B55)/N55</f>
        <v/>
      </c>
      <c r="J55" s="112">
        <f>((C55+F55)*100)/B55</f>
        <v/>
      </c>
      <c r="K55" s="112">
        <f>((D55+G55)*100)/B55</f>
        <v/>
      </c>
      <c r="L55" s="112">
        <f>((E55+H55)*100)/B55</f>
        <v/>
      </c>
      <c r="M55" s="114">
        <f>N55-B54</f>
        <v/>
      </c>
      <c r="N55" s="109">
        <f>O55+P55+Q55+R55+S55+T55</f>
        <v/>
      </c>
      <c r="O55" s="110" t="n">
        <v>2971.41002580309</v>
      </c>
      <c r="P55" s="110" t="n">
        <v>2220.81947241012</v>
      </c>
      <c r="Q55" s="110" t="n">
        <v>835.709069757119</v>
      </c>
      <c r="R55" s="110" t="n">
        <v>0</v>
      </c>
      <c r="S55" s="110" t="n">
        <v>2.57934898073185</v>
      </c>
      <c r="T55" s="110" t="n">
        <v>0</v>
      </c>
      <c r="U55" s="50" t="n">
        <v>503</v>
      </c>
      <c r="V55" s="112">
        <f>((O55+R55)*100)/N55</f>
        <v/>
      </c>
      <c r="W55" s="112">
        <f>((P55+S55)*100)/N55</f>
        <v/>
      </c>
      <c r="X55" s="112">
        <f>((Q55+T55)*100)/N55</f>
        <v/>
      </c>
    </row>
    <row r="56" ht="22.5" customHeight="1" s="150">
      <c r="A56" s="34" t="n">
        <v>54</v>
      </c>
      <c r="B56" s="109">
        <f>C56+D56+E56+F56+G56+H56</f>
        <v/>
      </c>
      <c r="C56" s="110" t="n">
        <v>10.3173959229274</v>
      </c>
      <c r="D56" s="110" t="n">
        <v>2.57934898073185</v>
      </c>
      <c r="E56" s="110" t="n">
        <v>0</v>
      </c>
      <c r="F56" s="110" t="n">
        <v>0</v>
      </c>
      <c r="G56" s="110" t="n">
        <v>0</v>
      </c>
      <c r="H56" s="110" t="n">
        <v>0</v>
      </c>
      <c r="I56" s="111">
        <f>(100*B56)/N56</f>
        <v/>
      </c>
      <c r="J56" s="112">
        <f>((C56+F56)*100)/B56</f>
        <v/>
      </c>
      <c r="K56" s="112">
        <f>((D56+G56)*100)/B56</f>
        <v/>
      </c>
      <c r="L56" s="112">
        <f>((E56+H56)*100)/B56</f>
        <v/>
      </c>
      <c r="M56" s="114">
        <f>N56-B55</f>
        <v/>
      </c>
      <c r="N56" s="109">
        <f>O56+P56+Q56+R56+S56+T56</f>
        <v/>
      </c>
      <c r="O56" s="110" t="n">
        <v>3048.79049522504</v>
      </c>
      <c r="P56" s="110" t="n">
        <v>2331.73147858159</v>
      </c>
      <c r="Q56" s="110" t="n">
        <v>817.6536268919961</v>
      </c>
      <c r="R56" s="110" t="n">
        <v>0</v>
      </c>
      <c r="S56" s="110" t="n">
        <v>0</v>
      </c>
      <c r="T56" s="110" t="n">
        <v>0</v>
      </c>
      <c r="U56" s="50" t="n">
        <v>480</v>
      </c>
      <c r="V56" s="112">
        <f>((O56+R56)*100)/N56</f>
        <v/>
      </c>
      <c r="W56" s="112">
        <f>((P56+S56)*100)/N56</f>
        <v/>
      </c>
      <c r="X56" s="112">
        <f>((Q56+T56)*100)/N56</f>
        <v/>
      </c>
    </row>
    <row r="57" ht="22.5" customHeight="1" s="150">
      <c r="A57" s="34" t="n">
        <v>55</v>
      </c>
      <c r="B57" s="109">
        <f>C57+D57+E57+F57+G57+H57</f>
        <v/>
      </c>
      <c r="C57" s="110" t="n">
        <v>453.965420608805</v>
      </c>
      <c r="D57" s="110" t="n">
        <v>38.6902347109777</v>
      </c>
      <c r="E57" s="110" t="n">
        <v>46.4282816531733</v>
      </c>
      <c r="F57" s="110" t="n">
        <v>562.298077799543</v>
      </c>
      <c r="G57" s="110" t="n">
        <v>299.204481764894</v>
      </c>
      <c r="H57" s="110" t="n">
        <v>131.546798017324</v>
      </c>
      <c r="I57" s="111">
        <f>(100*B57)/N57</f>
        <v/>
      </c>
      <c r="J57" s="112">
        <f>((C57+F57)*100)/B57</f>
        <v/>
      </c>
      <c r="K57" s="112">
        <f>((D57+G57)*100)/B57</f>
        <v/>
      </c>
      <c r="L57" s="112">
        <f>((E57+H57)*100)/B57</f>
        <v/>
      </c>
      <c r="M57" s="114">
        <f>N57-B56</f>
        <v/>
      </c>
      <c r="N57" s="109">
        <f>O57+P57+Q57+R57+S57+T57</f>
        <v/>
      </c>
      <c r="O57" s="110" t="n">
        <v>2682.52293996112</v>
      </c>
      <c r="P57" s="110" t="n">
        <v>2130.5422580845</v>
      </c>
      <c r="Q57" s="110" t="n">
        <v>755.749251354432</v>
      </c>
      <c r="R57" s="110" t="n">
        <v>8261.65478528411</v>
      </c>
      <c r="S57" s="110" t="n">
        <v>6899.75852345769</v>
      </c>
      <c r="T57" s="110" t="n">
        <v>2411.69129698427</v>
      </c>
      <c r="U57" s="50" t="n">
        <v>1112</v>
      </c>
      <c r="V57" s="112">
        <f>((O57+R57)*100)/N57</f>
        <v/>
      </c>
      <c r="W57" s="112">
        <f>((P57+S57)*100)/N57</f>
        <v/>
      </c>
      <c r="X57" s="112">
        <f>((Q57+T57)*100)/N57</f>
        <v/>
      </c>
    </row>
    <row r="58" ht="22.5" customHeight="1" s="150">
      <c r="A58" s="34" t="n">
        <v>56</v>
      </c>
      <c r="B58" s="109">
        <f>C58+D58+E58+F58+G58+H58</f>
        <v/>
      </c>
      <c r="C58" s="110" t="n">
        <v>5.1586979614637</v>
      </c>
      <c r="D58" s="110" t="n">
        <v>0</v>
      </c>
      <c r="E58" s="110" t="n">
        <v>5.1586979614637</v>
      </c>
      <c r="F58" s="110" t="n">
        <v>7.73804694219555</v>
      </c>
      <c r="G58" s="110" t="n">
        <v>2.57934898073185</v>
      </c>
      <c r="H58" s="110" t="n">
        <v>7.73804694219555</v>
      </c>
      <c r="I58" s="111">
        <f>(100*B58)/N58</f>
        <v/>
      </c>
      <c r="J58" s="112">
        <f>((C58+F58)*100)/B58</f>
        <v/>
      </c>
      <c r="K58" s="112">
        <f>((D58+G58)*100)/B58</f>
        <v/>
      </c>
      <c r="L58" s="112">
        <f>((E58+H58)*100)/B58</f>
        <v/>
      </c>
      <c r="M58" s="114">
        <f>N58-B57</f>
        <v/>
      </c>
      <c r="N58" s="109">
        <f>O58+P58+Q58+R58+S58+T58</f>
        <v/>
      </c>
      <c r="O58" s="110" t="n">
        <v>2824.38713390137</v>
      </c>
      <c r="P58" s="110" t="n">
        <v>2164.07379483402</v>
      </c>
      <c r="Q58" s="110" t="n">
        <v>753.1699023737</v>
      </c>
      <c r="R58" s="110" t="n">
        <v>201.189220497084</v>
      </c>
      <c r="S58" s="110" t="n">
        <v>28.3728387880503</v>
      </c>
      <c r="T58" s="110" t="n">
        <v>10.3173959229274</v>
      </c>
      <c r="U58" s="50" t="n">
        <v>467</v>
      </c>
      <c r="V58" s="112">
        <f>((O58+R58)*100)/N58</f>
        <v/>
      </c>
      <c r="W58" s="112">
        <f>((P58+S58)*100)/N58</f>
        <v/>
      </c>
      <c r="X58" s="112">
        <f>((Q58+T58)*100)/N58</f>
        <v/>
      </c>
    </row>
    <row r="59" ht="22.5" customHeight="1" s="150">
      <c r="A59" s="34" t="n">
        <v>57</v>
      </c>
      <c r="B59" s="109">
        <f>C59+D59+E59+F59+G59+H59</f>
        <v/>
      </c>
      <c r="C59" s="110" t="n">
        <v>0</v>
      </c>
      <c r="D59" s="110" t="n">
        <v>0</v>
      </c>
      <c r="E59" s="110" t="n">
        <v>0</v>
      </c>
      <c r="F59" s="110" t="n">
        <v>0</v>
      </c>
      <c r="G59" s="110" t="n">
        <v>2.57934898073185</v>
      </c>
      <c r="H59" s="110" t="n">
        <v>0</v>
      </c>
      <c r="I59" s="111">
        <f>(100*B59)/N59</f>
        <v/>
      </c>
      <c r="J59" s="112">
        <f>((C59+F59)*100)/B59</f>
        <v/>
      </c>
      <c r="K59" s="112">
        <f>((D59+G59)*100)/B59</f>
        <v/>
      </c>
      <c r="L59" s="112">
        <f>((E59+H59)*100)/B59</f>
        <v/>
      </c>
      <c r="M59" s="114">
        <f>N59-B58</f>
        <v/>
      </c>
      <c r="N59" s="109">
        <f>O59+P59+Q59+R59+S59+T59</f>
        <v/>
      </c>
      <c r="O59" s="110" t="n">
        <v>2873.39476453528</v>
      </c>
      <c r="P59" s="110" t="n">
        <v>2220.81947241012</v>
      </c>
      <c r="Q59" s="110" t="n">
        <v>758.3286003351629</v>
      </c>
      <c r="R59" s="110" t="n">
        <v>2.57934898073185</v>
      </c>
      <c r="S59" s="110" t="n">
        <v>0</v>
      </c>
      <c r="T59" s="110" t="n">
        <v>0</v>
      </c>
      <c r="U59" s="50" t="n">
        <v>428</v>
      </c>
      <c r="V59" s="112">
        <f>((O59+R59)*100)/N59</f>
        <v/>
      </c>
      <c r="W59" s="112">
        <f>((P59+S59)*100)/N59</f>
        <v/>
      </c>
      <c r="X59" s="112">
        <f>((Q59+T59)*100)/N59</f>
        <v/>
      </c>
    </row>
    <row r="60" ht="22.5" customHeight="1" s="150">
      <c r="A60" s="34" t="n">
        <v>58</v>
      </c>
      <c r="B60" s="109">
        <f>C60+D60+E60+F60+G60+H60</f>
        <v/>
      </c>
      <c r="C60" s="110" t="n">
        <v>43.8489326724414</v>
      </c>
      <c r="D60" s="110" t="n">
        <v>10.3173959229274</v>
      </c>
      <c r="E60" s="110" t="n">
        <v>5.1586979614637</v>
      </c>
      <c r="F60" s="110" t="n">
        <v>0</v>
      </c>
      <c r="G60" s="110" t="n">
        <v>2.57934898073185</v>
      </c>
      <c r="H60" s="110" t="n">
        <v>0</v>
      </c>
      <c r="I60" s="111">
        <f>(100*B60)/N60</f>
        <v/>
      </c>
      <c r="J60" s="112">
        <f>((C60+F60)*100)/B60</f>
        <v/>
      </c>
      <c r="K60" s="112">
        <f>((D60+G60)*100)/B60</f>
        <v/>
      </c>
      <c r="L60" s="112">
        <f>((E60+H60)*100)/B60</f>
        <v/>
      </c>
      <c r="M60" s="114">
        <f>N60-B59</f>
        <v/>
      </c>
      <c r="N60" s="109">
        <f>O60+P60+Q60+R60+S60+T60</f>
        <v/>
      </c>
      <c r="O60" s="110" t="n">
        <v>2984.30677070675</v>
      </c>
      <c r="P60" s="110" t="n">
        <v>2231.13686833305</v>
      </c>
      <c r="Q60" s="110" t="n">
        <v>755.749251354432</v>
      </c>
      <c r="R60" s="110" t="n">
        <v>368.846904244654</v>
      </c>
      <c r="S60" s="110" t="n">
        <v>226.982710304402</v>
      </c>
      <c r="T60" s="110" t="n">
        <v>90.27721432561469</v>
      </c>
      <c r="U60" s="50" t="n">
        <v>469</v>
      </c>
      <c r="V60" s="112">
        <f>((O60+R60)*100)/N60</f>
        <v/>
      </c>
      <c r="W60" s="112">
        <f>((P60+S60)*100)/N60</f>
        <v/>
      </c>
      <c r="X60" s="112">
        <f>((Q60+T60)*100)/N60</f>
        <v/>
      </c>
    </row>
    <row r="61" ht="22.5" customHeight="1" s="150">
      <c r="A61" s="34" t="n">
        <v>59</v>
      </c>
      <c r="B61" s="109">
        <f>C61+D61+E61+F61+G61+H61</f>
        <v/>
      </c>
      <c r="C61" s="110" t="n">
        <v>884.716700391024</v>
      </c>
      <c r="D61" s="110" t="n">
        <v>188.292475593425</v>
      </c>
      <c r="E61" s="110" t="n">
        <v>87.6978653448828</v>
      </c>
      <c r="F61" s="110" t="n">
        <v>5.1586979614637</v>
      </c>
      <c r="G61" s="110" t="n">
        <v>49.0076306339051</v>
      </c>
      <c r="H61" s="110" t="n">
        <v>15.4760938843911</v>
      </c>
      <c r="I61" s="111">
        <f>(100*B61)/N61</f>
        <v/>
      </c>
      <c r="J61" s="112">
        <f>((C61+F61)*100)/B61</f>
        <v/>
      </c>
      <c r="K61" s="112">
        <f>((D61+G61)*100)/B61</f>
        <v/>
      </c>
      <c r="L61" s="112">
        <f>((E61+H61)*100)/B61</f>
        <v/>
      </c>
      <c r="M61" s="114">
        <f>N61-B60</f>
        <v/>
      </c>
      <c r="N61" s="109">
        <f>O61+P61+Q61+R61+S61+T61</f>
        <v/>
      </c>
      <c r="O61" s="110" t="n">
        <v>2543.2380950016</v>
      </c>
      <c r="P61" s="110" t="n">
        <v>2048.00309070108</v>
      </c>
      <c r="Q61" s="110" t="n">
        <v>719.638365624186</v>
      </c>
      <c r="R61" s="110" t="n">
        <v>1547.60938843911</v>
      </c>
      <c r="S61" s="110" t="n">
        <v>1379.95170469153</v>
      </c>
      <c r="T61" s="110" t="n">
        <v>407.537138955632</v>
      </c>
      <c r="U61" s="50" t="n">
        <v>653</v>
      </c>
      <c r="V61" s="112">
        <f>((O61+R61)*100)/N61</f>
        <v/>
      </c>
      <c r="W61" s="112">
        <f>((P61+S61)*100)/N61</f>
        <v/>
      </c>
      <c r="X61" s="112">
        <f>((Q61+T61)*100)/N61</f>
        <v/>
      </c>
    </row>
    <row r="62" ht="22.5" customHeight="1" s="150">
      <c r="A62" s="34" t="n">
        <v>60</v>
      </c>
      <c r="B62" s="109">
        <f>C62+D62+E62+F62+G62+H62</f>
        <v/>
      </c>
      <c r="C62" s="110" t="n">
        <v>201.189220497084</v>
      </c>
      <c r="D62" s="110" t="n">
        <v>54.1663285953688</v>
      </c>
      <c r="E62" s="110" t="n">
        <v>28.3728387880503</v>
      </c>
      <c r="F62" s="110" t="n">
        <v>0</v>
      </c>
      <c r="G62" s="110" t="n">
        <v>2.57934898073185</v>
      </c>
      <c r="H62" s="110" t="n">
        <v>12.8967449036592</v>
      </c>
      <c r="I62" s="111">
        <f>(100*B62)/N62</f>
        <v/>
      </c>
      <c r="J62" s="112">
        <f>((C62+F62)*100)/B62</f>
        <v/>
      </c>
      <c r="K62" s="112">
        <f>((D62+G62)*100)/B62</f>
        <v/>
      </c>
      <c r="L62" s="112">
        <f>((E62+H62)*100)/B62</f>
        <v/>
      </c>
      <c r="M62" s="114">
        <f>N62-B61</f>
        <v/>
      </c>
      <c r="N62" s="109">
        <f>O62+P62+Q62+R62+S62+T62</f>
        <v/>
      </c>
      <c r="O62" s="110" t="n">
        <v>2540.65874602087</v>
      </c>
      <c r="P62" s="110" t="n">
        <v>2019.63025191303</v>
      </c>
      <c r="Q62" s="110" t="n">
        <v>696.424224797599</v>
      </c>
      <c r="R62" s="110" t="n">
        <v>152.181589863179</v>
      </c>
      <c r="S62" s="110" t="n">
        <v>208.927267439279</v>
      </c>
      <c r="T62" s="110" t="n">
        <v>59.3250265568325</v>
      </c>
      <c r="U62" s="50" t="n">
        <v>475</v>
      </c>
      <c r="V62" s="112">
        <f>((O62+R62)*100)/N62</f>
        <v/>
      </c>
      <c r="W62" s="112">
        <f>((P62+S62)*100)/N62</f>
        <v/>
      </c>
      <c r="X62" s="112">
        <f>((Q62+T62)*100)/N62</f>
        <v/>
      </c>
    </row>
    <row r="63" ht="22.5" customHeight="1" s="150">
      <c r="A63" s="34" t="n">
        <v>61</v>
      </c>
      <c r="B63" s="109">
        <f>C63+D63+E63+F63+G63+H63</f>
        <v/>
      </c>
      <c r="C63" s="110" t="n">
        <v>286.307736861235</v>
      </c>
      <c r="D63" s="110" t="n">
        <v>38.6902347109777</v>
      </c>
      <c r="E63" s="110" t="n">
        <v>30.9521877687822</v>
      </c>
      <c r="F63" s="110" t="n">
        <v>54.1663285953688</v>
      </c>
      <c r="G63" s="110" t="n">
        <v>18.0554428651229</v>
      </c>
      <c r="H63" s="110" t="n">
        <v>10.3173959229274</v>
      </c>
      <c r="I63" s="111">
        <f>(100*B63)/N63</f>
        <v/>
      </c>
      <c r="J63" s="112">
        <f>((C63+F63)*100)/B63</f>
        <v/>
      </c>
      <c r="K63" s="112">
        <f>((D63+G63)*100)/B63</f>
        <v/>
      </c>
      <c r="L63" s="112">
        <f>((E63+H63)*100)/B63</f>
        <v/>
      </c>
      <c r="M63" s="114">
        <f>N63-B62</f>
        <v/>
      </c>
      <c r="N63" s="109">
        <f>O63+P63+Q63+R63+S63+T63</f>
        <v/>
      </c>
      <c r="O63" s="110" t="n">
        <v>2566.45223582819</v>
      </c>
      <c r="P63" s="110" t="n">
        <v>2022.20960089377</v>
      </c>
      <c r="Q63" s="110" t="n">
        <v>691.265526836135</v>
      </c>
      <c r="R63" s="110" t="n">
        <v>1637.88660276472</v>
      </c>
      <c r="S63" s="110" t="n">
        <v>1269.03969852007</v>
      </c>
      <c r="T63" s="110" t="n">
        <v>402.378440994168</v>
      </c>
      <c r="U63" s="50" t="n">
        <v>647</v>
      </c>
      <c r="V63" s="112">
        <f>((O63+R63)*100)/N63</f>
        <v/>
      </c>
      <c r="W63" s="112">
        <f>((P63+S63)*100)/N63</f>
        <v/>
      </c>
      <c r="X63" s="112">
        <f>((Q63+T63)*100)/N63</f>
        <v/>
      </c>
    </row>
    <row r="64" ht="22.5" customHeight="1" s="150">
      <c r="A64" s="34" t="n">
        <v>62</v>
      </c>
      <c r="B64" s="109">
        <f>C64+D64+E64+F64+G64+H64</f>
        <v/>
      </c>
      <c r="C64" s="110" t="n">
        <v>306.94252870709</v>
      </c>
      <c r="D64" s="110" t="n">
        <v>46.4282816531733</v>
      </c>
      <c r="E64" s="110" t="n">
        <v>28.3728387880503</v>
      </c>
      <c r="F64" s="110" t="n">
        <v>77.3804694219555</v>
      </c>
      <c r="G64" s="110" t="n">
        <v>30.9521877687822</v>
      </c>
      <c r="H64" s="110" t="n">
        <v>20.6347918458548</v>
      </c>
      <c r="I64" s="111">
        <f>(100*B64)/N64</f>
        <v/>
      </c>
      <c r="J64" s="112">
        <f>((C64+F64)*100)/B64</f>
        <v/>
      </c>
      <c r="K64" s="112">
        <f>((D64+G64)*100)/B64</f>
        <v/>
      </c>
      <c r="L64" s="112">
        <f>((E64+H64)*100)/B64</f>
        <v/>
      </c>
      <c r="M64" s="114">
        <f>N64-B63</f>
        <v/>
      </c>
      <c r="N64" s="109">
        <f>O64+P64+Q64+R64+S64+T64</f>
        <v/>
      </c>
      <c r="O64" s="110" t="n">
        <v>2447.80218271452</v>
      </c>
      <c r="P64" s="110" t="n">
        <v>2001.57480904791</v>
      </c>
      <c r="Q64" s="110" t="n">
        <v>662.892688048085</v>
      </c>
      <c r="R64" s="110" t="n">
        <v>1444.43542920983</v>
      </c>
      <c r="S64" s="110" t="n">
        <v>1119.43745763762</v>
      </c>
      <c r="T64" s="110" t="n">
        <v>384.322998129045</v>
      </c>
      <c r="U64" s="50" t="n">
        <v>593</v>
      </c>
      <c r="V64" s="112">
        <f>((O64+R64)*100)/N64</f>
        <v/>
      </c>
      <c r="W64" s="112">
        <f>((P64+S64)*100)/N64</f>
        <v/>
      </c>
      <c r="X64" s="112">
        <f>((Q64+T64)*100)/N64</f>
        <v/>
      </c>
    </row>
    <row r="65" ht="22.5" customHeight="1" s="150">
      <c r="A65" s="34" t="n">
        <v>63</v>
      </c>
      <c r="B65" s="109">
        <f>C65+D65+E65+F65+G65+H65</f>
        <v/>
      </c>
      <c r="C65" s="110" t="n">
        <v>18.0554428651229</v>
      </c>
      <c r="D65" s="110" t="n">
        <v>7.73804694219555</v>
      </c>
      <c r="E65" s="110" t="n">
        <v>5.1586979614637</v>
      </c>
      <c r="F65" s="110" t="n">
        <v>0</v>
      </c>
      <c r="G65" s="110" t="n">
        <v>0</v>
      </c>
      <c r="H65" s="110" t="n">
        <v>2.57934898073185</v>
      </c>
      <c r="I65" s="111">
        <f>(100*B65)/N65</f>
        <v/>
      </c>
      <c r="J65" s="112">
        <f>((C65+F65)*100)/B65</f>
        <v/>
      </c>
      <c r="K65" s="112">
        <f>((D65+G65)*100)/B65</f>
        <v/>
      </c>
      <c r="L65" s="112">
        <f>((E65+H65)*100)/B65</f>
        <v/>
      </c>
      <c r="M65" s="114">
        <f>N65-B64</f>
        <v/>
      </c>
      <c r="N65" s="109">
        <f>O65+P65+Q65+R65+S65+T65</f>
        <v/>
      </c>
      <c r="O65" s="110" t="n">
        <v>2499.38916232916</v>
      </c>
      <c r="P65" s="110" t="n">
        <v>2029.94764783596</v>
      </c>
      <c r="Q65" s="110" t="n">
        <v>644.837245182962</v>
      </c>
      <c r="R65" s="110" t="n">
        <v>15.4760938843911</v>
      </c>
      <c r="S65" s="110" t="n">
        <v>10.3173959229274</v>
      </c>
      <c r="T65" s="110" t="n">
        <v>2.57934898073185</v>
      </c>
      <c r="U65" s="50" t="n">
        <v>449</v>
      </c>
      <c r="V65" s="112">
        <f>((O65+R65)*100)/N65</f>
        <v/>
      </c>
      <c r="W65" s="112">
        <f>((P65+S65)*100)/N65</f>
        <v/>
      </c>
      <c r="X65" s="112">
        <f>((Q65+T65)*100)/N65</f>
        <v/>
      </c>
    </row>
    <row r="66" ht="22.5" customHeight="1" s="150">
      <c r="A66" s="34" t="n">
        <v>64</v>
      </c>
      <c r="B66" s="109">
        <f>C66+D66+E66+F66+G66+H66</f>
        <v/>
      </c>
      <c r="C66" s="110" t="n">
        <v>128.967449036592</v>
      </c>
      <c r="D66" s="110" t="n">
        <v>10.3173959229274</v>
      </c>
      <c r="E66" s="110" t="n">
        <v>5.1586979614637</v>
      </c>
      <c r="F66" s="110" t="n">
        <v>18.0554428651229</v>
      </c>
      <c r="G66" s="110" t="n">
        <v>5.1586979614637</v>
      </c>
      <c r="H66" s="110" t="n">
        <v>2.57934898073185</v>
      </c>
      <c r="I66" s="111">
        <f>(100*B66)/N66</f>
        <v/>
      </c>
      <c r="J66" s="112">
        <f>((C66+F66)*100)/B66</f>
        <v/>
      </c>
      <c r="K66" s="112">
        <f>((D66+G66)*100)/B66</f>
        <v/>
      </c>
      <c r="L66" s="112">
        <f>((E66+H66)*100)/B66</f>
        <v/>
      </c>
      <c r="M66" s="114">
        <f>N66-B65</f>
        <v/>
      </c>
      <c r="N66" s="109">
        <f>O66+P66+Q66+R66+S66+T66</f>
        <v/>
      </c>
      <c r="O66" s="110" t="n">
        <v>2478.7543704833</v>
      </c>
      <c r="P66" s="110" t="n">
        <v>2042.84439273962</v>
      </c>
      <c r="Q66" s="110" t="n">
        <v>652.5752921251579</v>
      </c>
      <c r="R66" s="110" t="n">
        <v>704.162271739795</v>
      </c>
      <c r="S66" s="110" t="n">
        <v>588.091567606861</v>
      </c>
      <c r="T66" s="110" t="n">
        <v>188.292475593425</v>
      </c>
      <c r="U66" s="50" t="n">
        <v>495</v>
      </c>
      <c r="V66" s="112">
        <f>((O66+R66)*100)/N66</f>
        <v/>
      </c>
      <c r="W66" s="112">
        <f>((P66+S66)*100)/N66</f>
        <v/>
      </c>
      <c r="X66" s="112">
        <f>((Q66+T66)*100)/N66</f>
        <v/>
      </c>
    </row>
    <row r="67" ht="22.5" customHeight="1" s="150">
      <c r="A67" s="34" t="n">
        <v>65</v>
      </c>
      <c r="B67" s="109">
        <f>C67+D67+E67+F67+G67+H67</f>
        <v/>
      </c>
      <c r="C67" s="110" t="n">
        <v>1413.48324144105</v>
      </c>
      <c r="D67" s="110" t="n">
        <v>139.284844959519</v>
      </c>
      <c r="E67" s="110" t="n">
        <v>136.705495978788</v>
      </c>
      <c r="F67" s="110" t="n">
        <v>2625.77726238502</v>
      </c>
      <c r="G67" s="110" t="n">
        <v>603.567661491252</v>
      </c>
      <c r="H67" s="110" t="n">
        <v>283.728387880503</v>
      </c>
      <c r="I67" s="111">
        <f>(100*B67)/N67</f>
        <v/>
      </c>
      <c r="J67" s="112">
        <f>((C67+F67)*100)/B67</f>
        <v/>
      </c>
      <c r="K67" s="112">
        <f>((D67+G67)*100)/B67</f>
        <v/>
      </c>
      <c r="L67" s="112">
        <f>((E67+H67)*100)/B67</f>
        <v/>
      </c>
      <c r="M67" s="114">
        <f>N67-B66</f>
        <v/>
      </c>
      <c r="N67" s="109">
        <f>O67+P67+Q67+R67+S67+T67</f>
        <v/>
      </c>
      <c r="O67" s="110" t="n">
        <v>1751.37795791692</v>
      </c>
      <c r="P67" s="110" t="n">
        <v>1436.69738226764</v>
      </c>
      <c r="Q67" s="110" t="n">
        <v>472.020863473928</v>
      </c>
      <c r="R67" s="110" t="n">
        <v>7593.60339927456</v>
      </c>
      <c r="S67" s="110" t="n">
        <v>8393.201583301439</v>
      </c>
      <c r="T67" s="110" t="n">
        <v>2251.7716601789</v>
      </c>
      <c r="U67" s="50" t="n">
        <v>1153</v>
      </c>
      <c r="V67" s="112">
        <f>((O67+R67)*100)/N67</f>
        <v/>
      </c>
      <c r="W67" s="112">
        <f>((P67+S67)*100)/N67</f>
        <v/>
      </c>
      <c r="X67" s="112">
        <f>((Q67+T67)*100)/N67</f>
        <v/>
      </c>
    </row>
    <row r="68" ht="22.5" customHeight="1" s="150">
      <c r="A68" s="34" t="n">
        <v>66</v>
      </c>
      <c r="B68" s="109">
        <f>C68+D68+E68+F68+G68+H68</f>
        <v/>
      </c>
      <c r="C68" s="110" t="n">
        <v>18.0554428651229</v>
      </c>
      <c r="D68" s="110" t="n">
        <v>5.1586979614637</v>
      </c>
      <c r="E68" s="110" t="n">
        <v>0</v>
      </c>
      <c r="F68" s="110" t="n">
        <v>0</v>
      </c>
      <c r="G68" s="110" t="n">
        <v>0</v>
      </c>
      <c r="H68" s="110" t="n">
        <v>0</v>
      </c>
      <c r="I68" s="111">
        <f>(100*B68)/N68</f>
        <v/>
      </c>
      <c r="J68" s="112">
        <f>((C68+F68)*100)/B68</f>
        <v/>
      </c>
      <c r="K68" s="112">
        <f>((D68+G68)*100)/B68</f>
        <v/>
      </c>
      <c r="L68" s="112">
        <f>((E68+H68)*100)/B68</f>
        <v/>
      </c>
      <c r="M68" s="114">
        <f>N68-B67</f>
        <v/>
      </c>
      <c r="N68" s="109">
        <f>O68+P68+Q68+R68+S68+T68</f>
        <v/>
      </c>
      <c r="O68" s="110" t="n">
        <v>1782.3301456857</v>
      </c>
      <c r="P68" s="110" t="n">
        <v>1467.64957003642</v>
      </c>
      <c r="Q68" s="110" t="n">
        <v>477.179561435392</v>
      </c>
      <c r="R68" s="110" t="n">
        <v>10.3173959229274</v>
      </c>
      <c r="S68" s="110" t="n">
        <v>10.3173959229274</v>
      </c>
      <c r="T68" s="110" t="n">
        <v>2.57934898073185</v>
      </c>
      <c r="U68" s="50" t="n">
        <v>366</v>
      </c>
      <c r="V68" s="112">
        <f>((O68+R68)*100)/N68</f>
        <v/>
      </c>
      <c r="W68" s="112">
        <f>((P68+S68)*100)/N68</f>
        <v/>
      </c>
      <c r="X68" s="112">
        <f>((Q68+T68)*100)/N68</f>
        <v/>
      </c>
    </row>
    <row r="69" ht="22.5" customHeight="1" s="150">
      <c r="A69" s="34" t="n">
        <v>67</v>
      </c>
      <c r="B69" s="109">
        <f>C69+D69+E69+F69+G69+H69</f>
        <v/>
      </c>
      <c r="C69" s="110" t="n">
        <v>175.395730689765</v>
      </c>
      <c r="D69" s="110" t="n">
        <v>30.9521877687822</v>
      </c>
      <c r="E69" s="110" t="n">
        <v>10.3173959229274</v>
      </c>
      <c r="F69" s="110" t="n">
        <v>30.9521877687822</v>
      </c>
      <c r="G69" s="110" t="n">
        <v>10.3173959229274</v>
      </c>
      <c r="H69" s="110" t="n">
        <v>5.1586979614637</v>
      </c>
      <c r="I69" s="111">
        <f>(100*B69)/N69</f>
        <v/>
      </c>
      <c r="J69" s="112">
        <f>((C69+F69)*100)/B69</f>
        <v/>
      </c>
      <c r="K69" s="112">
        <f>((D69+G69)*100)/B69</f>
        <v/>
      </c>
      <c r="L69" s="112">
        <f>((E69+H69)*100)/B69</f>
        <v/>
      </c>
      <c r="M69" s="114">
        <f>N69-B68</f>
        <v/>
      </c>
      <c r="N69" s="109">
        <f>O69+P69+Q69+R69+S69+T69</f>
        <v/>
      </c>
      <c r="O69" s="110" t="n">
        <v>1725.5844681096</v>
      </c>
      <c r="P69" s="110" t="n">
        <v>1454.75282513276</v>
      </c>
      <c r="Q69" s="110" t="n">
        <v>497.814353281247</v>
      </c>
      <c r="R69" s="110" t="n">
        <v>343.053414437336</v>
      </c>
      <c r="S69" s="110" t="n">
        <v>265.67294501538</v>
      </c>
      <c r="T69" s="110" t="n">
        <v>92.8565633063466</v>
      </c>
      <c r="U69" s="50" t="n">
        <v>444</v>
      </c>
      <c r="V69" s="112">
        <f>((O69+R69)*100)/N69</f>
        <v/>
      </c>
      <c r="W69" s="112">
        <f>((P69+S69)*100)/N69</f>
        <v/>
      </c>
      <c r="X69" s="112">
        <f>((Q69+T69)*100)/N69</f>
        <v/>
      </c>
    </row>
    <row r="70" ht="22.5" customHeight="1" s="150">
      <c r="A70" s="34" t="n">
        <v>68</v>
      </c>
      <c r="B70" s="109">
        <f>C70+D70+E70+F70+G70+H70</f>
        <v/>
      </c>
      <c r="C70" s="110" t="n">
        <v>79.9598184026873</v>
      </c>
      <c r="D70" s="110" t="n">
        <v>10.3173959229274</v>
      </c>
      <c r="E70" s="110" t="n">
        <v>0</v>
      </c>
      <c r="F70" s="110" t="n">
        <v>2.57934898073185</v>
      </c>
      <c r="G70" s="110" t="n">
        <v>2.57934898073185</v>
      </c>
      <c r="H70" s="110" t="n">
        <v>0</v>
      </c>
      <c r="I70" s="111">
        <f>(100*B70)/N70</f>
        <v/>
      </c>
      <c r="J70" s="112">
        <f>((C70+F70)*100)/B70</f>
        <v/>
      </c>
      <c r="K70" s="112">
        <f>((D70+G70)*100)/B70</f>
        <v/>
      </c>
      <c r="L70" s="112">
        <f>((E70+H70)*100)/B70</f>
        <v/>
      </c>
      <c r="M70" s="114">
        <f>N70-B69</f>
        <v/>
      </c>
      <c r="N70" s="109">
        <f>O70+P70+Q70+R70+S70+T70</f>
        <v/>
      </c>
      <c r="O70" s="110" t="n">
        <v>1805.54428651229</v>
      </c>
      <c r="P70" s="110" t="n">
        <v>1599.19636805374</v>
      </c>
      <c r="Q70" s="110" t="n">
        <v>521.028494107833</v>
      </c>
      <c r="R70" s="110" t="n">
        <v>317.259924630017</v>
      </c>
      <c r="S70" s="110" t="n">
        <v>317.259924630017</v>
      </c>
      <c r="T70" s="110" t="n">
        <v>85.11851636415101</v>
      </c>
      <c r="U70" s="50" t="n">
        <v>418</v>
      </c>
      <c r="V70" s="112">
        <f>((O70+R70)*100)/N70</f>
        <v/>
      </c>
      <c r="W70" s="112">
        <f>((P70+S70)*100)/N70</f>
        <v/>
      </c>
      <c r="X70" s="112">
        <f>((Q70+T70)*100)/N70</f>
        <v/>
      </c>
    </row>
    <row r="71" ht="22.5" customHeight="1" s="150">
      <c r="A71" s="34" t="n">
        <v>69</v>
      </c>
      <c r="B71" s="109">
        <f>C71+D71+E71+F71+G71+H71</f>
        <v/>
      </c>
      <c r="C71" s="110" t="n">
        <v>74.8011204412236</v>
      </c>
      <c r="D71" s="110" t="n">
        <v>7.73804694219555</v>
      </c>
      <c r="E71" s="110" t="n">
        <v>2.57934898073185</v>
      </c>
      <c r="F71" s="110" t="n">
        <v>0</v>
      </c>
      <c r="G71" s="110" t="n">
        <v>2.57934898073185</v>
      </c>
      <c r="H71" s="110" t="n">
        <v>0</v>
      </c>
      <c r="I71" s="111">
        <f>(100*B71)/N71</f>
        <v/>
      </c>
      <c r="J71" s="112">
        <f>((C71+F71)*100)/B71</f>
        <v/>
      </c>
      <c r="K71" s="112">
        <f>((D71+G71)*100)/B71</f>
        <v/>
      </c>
      <c r="L71" s="112">
        <f>((E71+H71)*100)/B71</f>
        <v/>
      </c>
      <c r="M71" s="114">
        <f>N71-B70</f>
        <v/>
      </c>
      <c r="N71" s="109">
        <f>O71+P71+Q71+R71+S71+T71</f>
        <v/>
      </c>
      <c r="O71" s="110" t="n">
        <v>1802.96493753156</v>
      </c>
      <c r="P71" s="110" t="n">
        <v>1588.87897213081</v>
      </c>
      <c r="Q71" s="110" t="n">
        <v>531.345890030761</v>
      </c>
      <c r="R71" s="110" t="n">
        <v>242.458804188793</v>
      </c>
      <c r="S71" s="110" t="n">
        <v>190.871824574156</v>
      </c>
      <c r="T71" s="110" t="n">
        <v>67.06307349902811</v>
      </c>
      <c r="U71" s="50" t="n">
        <v>423</v>
      </c>
      <c r="V71" s="112">
        <f>((O71+R71)*100)/N71</f>
        <v/>
      </c>
      <c r="W71" s="112">
        <f>((P71+S71)*100)/N71</f>
        <v/>
      </c>
      <c r="X71" s="112">
        <f>((Q71+T71)*100)/N71</f>
        <v/>
      </c>
    </row>
    <row r="72" ht="22.5" customHeight="1" s="150">
      <c r="A72" s="34" t="n">
        <v>70</v>
      </c>
      <c r="B72" s="109">
        <f>C72+D72+E72+F72+G72+H72</f>
        <v/>
      </c>
      <c r="C72" s="110" t="n">
        <v>30.9521877687822</v>
      </c>
      <c r="D72" s="110" t="n">
        <v>0</v>
      </c>
      <c r="E72" s="110" t="n">
        <v>0</v>
      </c>
      <c r="F72" s="110" t="n">
        <v>0</v>
      </c>
      <c r="G72" s="110" t="n">
        <v>0</v>
      </c>
      <c r="H72" s="110" t="n">
        <v>0</v>
      </c>
      <c r="I72" s="111">
        <f>(100*B72)/N72</f>
        <v/>
      </c>
      <c r="J72" s="112">
        <f>((C72+F72)*100)/B72</f>
        <v/>
      </c>
      <c r="K72" s="112">
        <f>((D72+G72)*100)/B72</f>
        <v/>
      </c>
      <c r="L72" s="112">
        <f>((E72+H72)*100)/B72</f>
        <v/>
      </c>
      <c r="M72" s="114">
        <f>N72-B71</f>
        <v/>
      </c>
      <c r="N72" s="109">
        <f>O72+P72+Q72+R72+S72+T72</f>
        <v/>
      </c>
      <c r="O72" s="110" t="n">
        <v>1867.44866204985</v>
      </c>
      <c r="P72" s="110" t="n">
        <v>1599.19636805374</v>
      </c>
      <c r="Q72" s="110" t="n">
        <v>539.0839369729561</v>
      </c>
      <c r="R72" s="110" t="n">
        <v>69.6424224797599</v>
      </c>
      <c r="S72" s="110" t="n">
        <v>49.0076306339051</v>
      </c>
      <c r="T72" s="110" t="n">
        <v>28.3728387880503</v>
      </c>
      <c r="U72" s="50" t="n">
        <v>364</v>
      </c>
      <c r="V72" s="112">
        <f>((O72+R72)*100)/N72</f>
        <v/>
      </c>
      <c r="W72" s="112">
        <f>((P72+S72)*100)/N72</f>
        <v/>
      </c>
      <c r="X72" s="112">
        <f>((Q72+T72)*100)/N72</f>
        <v/>
      </c>
    </row>
    <row r="73" ht="22.5" customHeight="1" s="150">
      <c r="A73" s="34" t="n">
        <v>71</v>
      </c>
      <c r="B73" s="109">
        <f>C73+D73+E73+F73+G73+H73</f>
        <v/>
      </c>
      <c r="C73" s="110" t="n">
        <v>159.919636805374</v>
      </c>
      <c r="D73" s="110" t="n">
        <v>20.6347918458548</v>
      </c>
      <c r="E73" s="110" t="n">
        <v>20.6347918458548</v>
      </c>
      <c r="F73" s="110" t="n">
        <v>15.4760938843911</v>
      </c>
      <c r="G73" s="110" t="n">
        <v>7.73804694219555</v>
      </c>
      <c r="H73" s="110" t="n">
        <v>7.73804694219555</v>
      </c>
      <c r="I73" s="111">
        <f>(100*B73)/N73</f>
        <v/>
      </c>
      <c r="J73" s="112">
        <f>((C73+F73)*100)/B73</f>
        <v/>
      </c>
      <c r="K73" s="112">
        <f>((D73+G73)*100)/B73</f>
        <v/>
      </c>
      <c r="L73" s="112">
        <f>((E73+H73)*100)/B73</f>
        <v/>
      </c>
      <c r="M73" s="114">
        <f>N73-B72</f>
        <v/>
      </c>
      <c r="N73" s="109">
        <f>O73+P73+Q73+R73+S73+T73</f>
        <v/>
      </c>
      <c r="O73" s="110" t="n">
        <v>1800.38558855083</v>
      </c>
      <c r="P73" s="110" t="n">
        <v>1586.29962315008</v>
      </c>
      <c r="Q73" s="110" t="n">
        <v>521.028494107833</v>
      </c>
      <c r="R73" s="110" t="n">
        <v>224.40336132367</v>
      </c>
      <c r="S73" s="110" t="n">
        <v>211.506616420011</v>
      </c>
      <c r="T73" s="110" t="n">
        <v>69.6424224797599</v>
      </c>
      <c r="U73" s="50" t="n">
        <v>384</v>
      </c>
      <c r="V73" s="112">
        <f>((O73+R73)*100)/N73</f>
        <v/>
      </c>
      <c r="W73" s="112">
        <f>((P73+S73)*100)/N73</f>
        <v/>
      </c>
      <c r="X73" s="112">
        <f>((Q73+T73)*100)/N73</f>
        <v/>
      </c>
    </row>
    <row r="74" ht="22.5" customHeight="1" s="150">
      <c r="A74" s="34" t="n">
        <v>72</v>
      </c>
      <c r="B74" s="109">
        <f>C74+D74+E74+F74+G74+H74</f>
        <v/>
      </c>
      <c r="C74" s="110" t="n">
        <v>260.514247053916</v>
      </c>
      <c r="D74" s="110" t="n">
        <v>28.3728387880503</v>
      </c>
      <c r="E74" s="110" t="n">
        <v>18.0554428651229</v>
      </c>
      <c r="F74" s="110" t="n">
        <v>0</v>
      </c>
      <c r="G74" s="110" t="n">
        <v>0</v>
      </c>
      <c r="H74" s="110" t="n">
        <v>0</v>
      </c>
      <c r="I74" s="111">
        <f>(100*B74)/N74</f>
        <v/>
      </c>
      <c r="J74" s="112">
        <f>((C74+F74)*100)/B74</f>
        <v/>
      </c>
      <c r="K74" s="112">
        <f>((D74+G74)*100)/B74</f>
        <v/>
      </c>
      <c r="L74" s="112">
        <f>((E74+H74)*100)/B74</f>
        <v/>
      </c>
      <c r="M74" s="114">
        <f>N74-B73</f>
        <v/>
      </c>
      <c r="N74" s="109">
        <f>O74+P74+Q74+R74+S74+T74</f>
        <v/>
      </c>
      <c r="O74" s="110" t="n">
        <v>1759.11600485912</v>
      </c>
      <c r="P74" s="110" t="n">
        <v>1588.87897213081</v>
      </c>
      <c r="Q74" s="110" t="n">
        <v>502.97305124271</v>
      </c>
      <c r="R74" s="110" t="n">
        <v>5.1586979614637</v>
      </c>
      <c r="S74" s="110" t="n">
        <v>20.6347918458548</v>
      </c>
      <c r="T74" s="110" t="n">
        <v>0</v>
      </c>
      <c r="U74" s="50" t="n">
        <v>371</v>
      </c>
      <c r="V74" s="112">
        <f>((O74+R74)*100)/N74</f>
        <v/>
      </c>
      <c r="W74" s="112">
        <f>((P74+S74)*100)/N74</f>
        <v/>
      </c>
      <c r="X74" s="112">
        <f>((Q74+T74)*100)/N74</f>
        <v/>
      </c>
    </row>
    <row r="75" ht="22.5" customHeight="1" s="150">
      <c r="A75" s="34" t="n">
        <v>73</v>
      </c>
      <c r="B75" s="109">
        <f>C75+D75+E75+F75+G75+H75</f>
        <v/>
      </c>
      <c r="C75" s="110" t="n">
        <v>299.204481764894</v>
      </c>
      <c r="D75" s="110" t="n">
        <v>30.9521877687822</v>
      </c>
      <c r="E75" s="110" t="n">
        <v>12.8967449036592</v>
      </c>
      <c r="F75" s="110" t="n">
        <v>25.7934898073184</v>
      </c>
      <c r="G75" s="110" t="n">
        <v>12.8967449036592</v>
      </c>
      <c r="H75" s="110" t="n">
        <v>7.73804694219555</v>
      </c>
      <c r="I75" s="111">
        <f>(100*B75)/N75</f>
        <v/>
      </c>
      <c r="J75" s="112">
        <f>((C75+F75)*100)/B75</f>
        <v/>
      </c>
      <c r="K75" s="112">
        <f>((D75+G75)*100)/B75</f>
        <v/>
      </c>
      <c r="L75" s="112">
        <f>((E75+H75)*100)/B75</f>
        <v/>
      </c>
      <c r="M75" s="114">
        <f>N75-B74</f>
        <v/>
      </c>
      <c r="N75" s="109">
        <f>O75+P75+Q75+R75+S75+T75</f>
        <v/>
      </c>
      <c r="O75" s="110" t="n">
        <v>1676.5768374757</v>
      </c>
      <c r="P75" s="110" t="n">
        <v>1591.45832111155</v>
      </c>
      <c r="Q75" s="110" t="n">
        <v>487.496957358319</v>
      </c>
      <c r="R75" s="110" t="n">
        <v>546.821983915152</v>
      </c>
      <c r="S75" s="110" t="n">
        <v>559.718728818811</v>
      </c>
      <c r="T75" s="110" t="n">
        <v>203.768569477816</v>
      </c>
      <c r="U75" s="50" t="n">
        <v>446</v>
      </c>
      <c r="V75" s="112">
        <f>((O75+R75)*100)/N75</f>
        <v/>
      </c>
      <c r="W75" s="112">
        <f>((P75+S75)*100)/N75</f>
        <v/>
      </c>
      <c r="X75" s="112">
        <f>((Q75+T75)*100)/N75</f>
        <v/>
      </c>
    </row>
    <row r="76" ht="22.5" customHeight="1" s="150">
      <c r="A76" s="34" t="n">
        <v>74</v>
      </c>
      <c r="B76" s="109">
        <f>C76+D76+E76+F76+G76+H76</f>
        <v/>
      </c>
      <c r="C76" s="110" t="n">
        <v>25.7934898073184</v>
      </c>
      <c r="D76" s="110" t="n">
        <v>2.57934898073185</v>
      </c>
      <c r="E76" s="110" t="n">
        <v>0</v>
      </c>
      <c r="F76" s="110" t="n">
        <v>0</v>
      </c>
      <c r="G76" s="110" t="n">
        <v>0</v>
      </c>
      <c r="H76" s="110" t="n">
        <v>0</v>
      </c>
      <c r="I76" s="111">
        <f>(100*B76)/N76</f>
        <v/>
      </c>
      <c r="J76" s="112">
        <f>((C76+F76)*100)/B76</f>
        <v/>
      </c>
      <c r="K76" s="112">
        <f>((D76+G76)*100)/B76</f>
        <v/>
      </c>
      <c r="L76" s="112">
        <f>((E76+H76)*100)/B76</f>
        <v/>
      </c>
      <c r="M76" s="114">
        <f>N76-B75</f>
        <v/>
      </c>
      <c r="N76" s="109">
        <f>O76+P76+Q76+R76+S76+T76</f>
        <v/>
      </c>
      <c r="O76" s="110" t="n">
        <v>1707.52902524448</v>
      </c>
      <c r="P76" s="110" t="n">
        <v>1588.87897213081</v>
      </c>
      <c r="Q76" s="110" t="n">
        <v>484.917608377587</v>
      </c>
      <c r="R76" s="110" t="n">
        <v>69.6424224797599</v>
      </c>
      <c r="S76" s="110" t="n">
        <v>56.7456775761007</v>
      </c>
      <c r="T76" s="110" t="n">
        <v>23.2141408265866</v>
      </c>
      <c r="U76" s="50" t="n">
        <v>346</v>
      </c>
      <c r="V76" s="112">
        <f>((O76+R76)*100)/N76</f>
        <v/>
      </c>
      <c r="W76" s="112">
        <f>((P76+S76)*100)/N76</f>
        <v/>
      </c>
      <c r="X76" s="112">
        <f>((Q76+T76)*100)/N76</f>
        <v/>
      </c>
    </row>
    <row r="77" ht="22.5" customHeight="1" s="150">
      <c r="A77" s="34" t="n">
        <v>75</v>
      </c>
      <c r="B77" s="109">
        <f>C77+D77+E77+F77+G77+H77</f>
        <v/>
      </c>
      <c r="C77" s="110" t="n">
        <v>435.909977743682</v>
      </c>
      <c r="D77" s="110" t="n">
        <v>110.912006171469</v>
      </c>
      <c r="E77" s="110" t="n">
        <v>105.753308210005</v>
      </c>
      <c r="F77" s="110" t="n">
        <v>1096.22331681103</v>
      </c>
      <c r="G77" s="110" t="n">
        <v>239.879455208062</v>
      </c>
      <c r="H77" s="110" t="n">
        <v>116.070704132933</v>
      </c>
      <c r="I77" s="111">
        <f>(100*B77)/N77</f>
        <v/>
      </c>
      <c r="J77" s="112">
        <f>((C77+F77)*100)/B77</f>
        <v/>
      </c>
      <c r="K77" s="112">
        <f>((D77+G77)*100)/B77</f>
        <v/>
      </c>
      <c r="L77" s="112">
        <f>((E77+H77)*100)/B77</f>
        <v/>
      </c>
      <c r="M77" s="114">
        <f>N77-B76</f>
        <v/>
      </c>
      <c r="N77" s="109">
        <f>O77+P77+Q77+R77+S77+T77</f>
        <v/>
      </c>
      <c r="O77" s="110" t="n">
        <v>1679.15618645643</v>
      </c>
      <c r="P77" s="110" t="n">
        <v>1377.3723557108</v>
      </c>
      <c r="Q77" s="110" t="n">
        <v>446.22737366661</v>
      </c>
      <c r="R77" s="110" t="n">
        <v>4013.46701401875</v>
      </c>
      <c r="S77" s="110" t="n">
        <v>3716.84188123459</v>
      </c>
      <c r="T77" s="110" t="n">
        <v>1152.96899438713</v>
      </c>
      <c r="U77" s="50" t="n">
        <v>867</v>
      </c>
      <c r="V77" s="112">
        <f>((O77+R77)*100)/N77</f>
        <v/>
      </c>
      <c r="W77" s="112">
        <f>((P77+S77)*100)/N77</f>
        <v/>
      </c>
      <c r="X77" s="112">
        <f>((Q77+T77)*100)/N77</f>
        <v/>
      </c>
    </row>
    <row r="78" ht="22.5" customHeight="1" s="150">
      <c r="A78" s="34" t="n">
        <v>76</v>
      </c>
      <c r="B78" s="109">
        <f>C78+D78+E78+F78+G78+H78</f>
        <v/>
      </c>
      <c r="C78" s="110" t="n">
        <v>5.1586979614637</v>
      </c>
      <c r="D78" s="110" t="n">
        <v>2.57934898073185</v>
      </c>
      <c r="E78" s="110" t="n">
        <v>0</v>
      </c>
      <c r="F78" s="110" t="n">
        <v>0</v>
      </c>
      <c r="G78" s="110" t="n">
        <v>0</v>
      </c>
      <c r="H78" s="110" t="n">
        <v>0</v>
      </c>
      <c r="I78" s="111">
        <f>(100*B78)/N78</f>
        <v/>
      </c>
      <c r="J78" s="112">
        <f>((C78+F78)*100)/B78</f>
        <v/>
      </c>
      <c r="K78" s="112">
        <f>((D78+G78)*100)/B78</f>
        <v/>
      </c>
      <c r="L78" s="112">
        <f>((E78+H78)*100)/B78</f>
        <v/>
      </c>
      <c r="M78" s="114">
        <f>N78-B77</f>
        <v/>
      </c>
      <c r="N78" s="109">
        <f>O78+P78+Q78+R78+S78+T78</f>
        <v/>
      </c>
      <c r="O78" s="110" t="n">
        <v>1723.00511912887</v>
      </c>
      <c r="P78" s="110" t="n">
        <v>1405.74519449885</v>
      </c>
      <c r="Q78" s="110" t="n">
        <v>479.758910416124</v>
      </c>
      <c r="R78" s="110" t="n">
        <v>5.1586979614637</v>
      </c>
      <c r="S78" s="110" t="n">
        <v>7.73804694219555</v>
      </c>
      <c r="T78" s="110" t="n">
        <v>5.1586979614637</v>
      </c>
      <c r="U78" s="50" t="n">
        <v>338</v>
      </c>
      <c r="V78" s="112">
        <f>((O78+R78)*100)/N78</f>
        <v/>
      </c>
      <c r="W78" s="112">
        <f>((P78+S78)*100)/N78</f>
        <v/>
      </c>
      <c r="X78" s="112">
        <f>((Q78+T78)*100)/N78</f>
        <v/>
      </c>
    </row>
    <row r="79" ht="22.5" customHeight="1" s="150">
      <c r="A79" s="34" t="n">
        <v>77</v>
      </c>
      <c r="B79" s="109">
        <f>C79+D79+E79+F79+G79+H79</f>
        <v/>
      </c>
      <c r="C79" s="110" t="n">
        <v>10.3173959229274</v>
      </c>
      <c r="D79" s="110" t="n">
        <v>2.57934898073185</v>
      </c>
      <c r="E79" s="110" t="n">
        <v>2.57934898073185</v>
      </c>
      <c r="F79" s="110" t="n">
        <v>2.57934898073185</v>
      </c>
      <c r="G79" s="110" t="n">
        <v>2.57934898073185</v>
      </c>
      <c r="H79" s="110" t="n">
        <v>0</v>
      </c>
      <c r="I79" s="111">
        <f>(100*B79)/N79</f>
        <v/>
      </c>
      <c r="J79" s="112">
        <f>((C79+F79)*100)/B79</f>
        <v/>
      </c>
      <c r="K79" s="112">
        <f>((D79+G79)*100)/B79</f>
        <v/>
      </c>
      <c r="L79" s="112">
        <f>((E79+H79)*100)/B79</f>
        <v/>
      </c>
      <c r="M79" s="114">
        <f>N79-B78</f>
        <v/>
      </c>
      <c r="N79" s="109">
        <f>O79+P79+Q79+R79+S79+T79</f>
        <v/>
      </c>
      <c r="O79" s="110" t="n">
        <v>1735.90186403253</v>
      </c>
      <c r="P79" s="110" t="n">
        <v>1410.90389246032</v>
      </c>
      <c r="Q79" s="110" t="n">
        <v>482.338259396855</v>
      </c>
      <c r="R79" s="110" t="n">
        <v>41.2695836917096</v>
      </c>
      <c r="S79" s="110" t="n">
        <v>18.0554428651229</v>
      </c>
      <c r="T79" s="110" t="n">
        <v>2.57934898073185</v>
      </c>
      <c r="U79" s="50" t="n">
        <v>307</v>
      </c>
      <c r="V79" s="112">
        <f>((O79+R79)*100)/N79</f>
        <v/>
      </c>
      <c r="W79" s="112">
        <f>((P79+S79)*100)/N79</f>
        <v/>
      </c>
      <c r="X79" s="112">
        <f>((Q79+T79)*100)/N79</f>
        <v/>
      </c>
    </row>
    <row r="80" ht="22.5" customHeight="1" s="150">
      <c r="A80" s="34" t="n">
        <v>78</v>
      </c>
      <c r="B80" s="109">
        <f>C80+D80+E80+F80+G80+H80</f>
        <v/>
      </c>
      <c r="C80" s="110" t="n">
        <v>5.1586979614637</v>
      </c>
      <c r="D80" s="110" t="n">
        <v>0</v>
      </c>
      <c r="E80" s="110" t="n">
        <v>0</v>
      </c>
      <c r="F80" s="110" t="n">
        <v>0</v>
      </c>
      <c r="G80" s="110" t="n">
        <v>0</v>
      </c>
      <c r="H80" s="110" t="n">
        <v>0</v>
      </c>
      <c r="I80" s="111">
        <f>(100*B80)/N80</f>
        <v/>
      </c>
      <c r="J80" s="112">
        <f>((C80+F80)*100)/B80</f>
        <v/>
      </c>
      <c r="K80" s="112">
        <f>((D80+G80)*100)/B80</f>
        <v/>
      </c>
      <c r="L80" s="112">
        <f>((E80+H80)*100)/B80</f>
        <v/>
      </c>
      <c r="M80" s="114">
        <f>N80-B79</f>
        <v/>
      </c>
      <c r="N80" s="109">
        <f>O80+P80+Q80+R80+S80+T80</f>
        <v/>
      </c>
      <c r="O80" s="110" t="n">
        <v>1777.17144772424</v>
      </c>
      <c r="P80" s="110" t="n">
        <v>1439.27673124837</v>
      </c>
      <c r="Q80" s="110" t="n">
        <v>559.718728818811</v>
      </c>
      <c r="R80" s="110" t="n">
        <v>5.1586979614637</v>
      </c>
      <c r="S80" s="110" t="n">
        <v>0</v>
      </c>
      <c r="T80" s="110" t="n">
        <v>0</v>
      </c>
      <c r="U80" s="50" t="n">
        <v>333</v>
      </c>
      <c r="V80" s="112">
        <f>((O80+R80)*100)/N80</f>
        <v/>
      </c>
      <c r="W80" s="112">
        <f>((P80+S80)*100)/N80</f>
        <v/>
      </c>
      <c r="X80" s="112">
        <f>((Q80+T80)*100)/N80</f>
        <v/>
      </c>
    </row>
    <row r="81" ht="22.5" customHeight="1" s="150">
      <c r="A81" s="34" t="n">
        <v>79</v>
      </c>
      <c r="B81" s="109">
        <f>C81+D81+E81+F81+G81+H81</f>
        <v/>
      </c>
      <c r="C81" s="110" t="n">
        <v>128.967449036592</v>
      </c>
      <c r="D81" s="110" t="n">
        <v>18.0554428651229</v>
      </c>
      <c r="E81" s="110" t="n">
        <v>20.6347918458548</v>
      </c>
      <c r="F81" s="110" t="n">
        <v>15.4760938843911</v>
      </c>
      <c r="G81" s="110" t="n">
        <v>2.57934898073185</v>
      </c>
      <c r="H81" s="110" t="n">
        <v>0</v>
      </c>
      <c r="I81" s="111">
        <f>(100*B81)/N81</f>
        <v/>
      </c>
      <c r="J81" s="112">
        <f>((C81+F81)*100)/B81</f>
        <v/>
      </c>
      <c r="K81" s="112">
        <f>((D81+G81)*100)/B81</f>
        <v/>
      </c>
      <c r="L81" s="112">
        <f>((E81+H81)*100)/B81</f>
        <v/>
      </c>
      <c r="M81" s="114">
        <f>N81-B80</f>
        <v/>
      </c>
      <c r="N81" s="109">
        <f>O81+P81+Q81+R81+S81+T81</f>
        <v/>
      </c>
      <c r="O81" s="110" t="n">
        <v>1725.5844681096</v>
      </c>
      <c r="P81" s="110" t="n">
        <v>1416.06259042178</v>
      </c>
      <c r="Q81" s="110" t="n">
        <v>546.821983915152</v>
      </c>
      <c r="R81" s="110" t="n">
        <v>562.298077799543</v>
      </c>
      <c r="S81" s="110" t="n">
        <v>376.58495118685</v>
      </c>
      <c r="T81" s="110" t="n">
        <v>198.609871516352</v>
      </c>
      <c r="U81" s="50" t="n">
        <v>364</v>
      </c>
      <c r="V81" s="112">
        <f>((O81+R81)*100)/N81</f>
        <v/>
      </c>
      <c r="W81" s="112">
        <f>((P81+S81)*100)/N81</f>
        <v/>
      </c>
      <c r="X81" s="112">
        <f>((Q81+T81)*100)/N81</f>
        <v/>
      </c>
    </row>
    <row r="82" ht="22.5" customHeight="1" s="150">
      <c r="A82" s="34" t="n">
        <v>80</v>
      </c>
      <c r="B82" s="109">
        <f>C82+D82+E82+F82+G82+H82</f>
        <v/>
      </c>
      <c r="C82" s="110" t="n">
        <v>642.25789620223</v>
      </c>
      <c r="D82" s="110" t="n">
        <v>54.1663285953688</v>
      </c>
      <c r="E82" s="110" t="n">
        <v>61.9043755375644</v>
      </c>
      <c r="F82" s="110" t="n">
        <v>203.768569477816</v>
      </c>
      <c r="G82" s="110" t="n">
        <v>61.9043755375644</v>
      </c>
      <c r="H82" s="110" t="n">
        <v>20.6347918458548</v>
      </c>
      <c r="I82" s="111">
        <f>(100*B82)/N82</f>
        <v/>
      </c>
      <c r="J82" s="112">
        <f>((C82+F82)*100)/B82</f>
        <v/>
      </c>
      <c r="K82" s="112">
        <f>((D82+G82)*100)/B82</f>
        <v/>
      </c>
      <c r="L82" s="112">
        <f>((E82+H82)*100)/B82</f>
        <v/>
      </c>
      <c r="M82" s="114">
        <f>N82-B81</f>
        <v/>
      </c>
      <c r="N82" s="109">
        <f>O82+P82+Q82+R82+S82+T82</f>
        <v/>
      </c>
      <c r="O82" s="110" t="n">
        <v>1601.77571703447</v>
      </c>
      <c r="P82" s="110" t="n">
        <v>1392.84844959519</v>
      </c>
      <c r="Q82" s="110" t="n">
        <v>541.663285953688</v>
      </c>
      <c r="R82" s="110" t="n">
        <v>2060.89983560474</v>
      </c>
      <c r="S82" s="110" t="n">
        <v>1833.91712530034</v>
      </c>
      <c r="T82" s="110" t="n">
        <v>724.797063585649</v>
      </c>
      <c r="U82" s="50" t="n">
        <v>619</v>
      </c>
      <c r="V82" s="112">
        <f>((O82+R82)*100)/N82</f>
        <v/>
      </c>
      <c r="W82" s="112">
        <f>((P82+S82)*100)/N82</f>
        <v/>
      </c>
      <c r="X82" s="112">
        <f>((Q82+T82)*100)/N82</f>
        <v/>
      </c>
    </row>
    <row r="83" ht="22.5" customHeight="1" s="150">
      <c r="A83" s="34" t="n">
        <v>81</v>
      </c>
      <c r="B83" s="109">
        <f>C83+D83+E83+F83+G83+H83</f>
        <v/>
      </c>
      <c r="C83" s="110" t="n">
        <v>268.252293996112</v>
      </c>
      <c r="D83" s="110" t="n">
        <v>15.4760938843911</v>
      </c>
      <c r="E83" s="110" t="n">
        <v>28.3728387880503</v>
      </c>
      <c r="F83" s="110" t="n">
        <v>46.4282816531733</v>
      </c>
      <c r="G83" s="110" t="n">
        <v>7.73804694219555</v>
      </c>
      <c r="H83" s="110" t="n">
        <v>5.1586979614637</v>
      </c>
      <c r="I83" s="111">
        <f>(100*B83)/N83</f>
        <v/>
      </c>
      <c r="J83" s="112">
        <f>((C83+F83)*100)/B83</f>
        <v/>
      </c>
      <c r="K83" s="112">
        <f>((D83+G83)*100)/B83</f>
        <v/>
      </c>
      <c r="L83" s="112">
        <f>((E83+H83)*100)/B83</f>
        <v/>
      </c>
      <c r="M83" s="114">
        <f>N83-B82</f>
        <v/>
      </c>
      <c r="N83" s="109">
        <f>O83+P83+Q83+R83+S83+T83</f>
        <v/>
      </c>
      <c r="O83" s="110" t="n">
        <v>1483.12566392081</v>
      </c>
      <c r="P83" s="110" t="n">
        <v>1377.3723557108</v>
      </c>
      <c r="Q83" s="110" t="n">
        <v>526.187192069297</v>
      </c>
      <c r="R83" s="110" t="n">
        <v>812.494928930532</v>
      </c>
      <c r="S83" s="110" t="n">
        <v>794.439486065409</v>
      </c>
      <c r="T83" s="110" t="n">
        <v>265.67294501538</v>
      </c>
      <c r="U83" s="50" t="n">
        <v>493</v>
      </c>
      <c r="V83" s="112">
        <f>((O83+R83)*100)/N83</f>
        <v/>
      </c>
      <c r="W83" s="112">
        <f>((P83+S83)*100)/N83</f>
        <v/>
      </c>
      <c r="X83" s="112">
        <f>((Q83+T83)*100)/N83</f>
        <v/>
      </c>
    </row>
    <row r="84" ht="22.5" customHeight="1" s="150">
      <c r="A84" s="34" t="n">
        <v>82</v>
      </c>
      <c r="B84" s="109">
        <f>C84+D84+E84+F84+G84+H84</f>
        <v/>
      </c>
      <c r="C84" s="110" t="n">
        <v>72.22177146049179</v>
      </c>
      <c r="D84" s="110" t="n">
        <v>15.4760938843911</v>
      </c>
      <c r="E84" s="110" t="n">
        <v>20.6347918458548</v>
      </c>
      <c r="F84" s="110" t="n">
        <v>18.0554428651229</v>
      </c>
      <c r="G84" s="110" t="n">
        <v>20.6347918458548</v>
      </c>
      <c r="H84" s="110" t="n">
        <v>12.8967449036592</v>
      </c>
      <c r="I84" s="111">
        <f>(100*B84)/N84</f>
        <v/>
      </c>
      <c r="J84" s="112">
        <f>((C84+F84)*100)/B84</f>
        <v/>
      </c>
      <c r="K84" s="112">
        <f>((D84+G84)*100)/B84</f>
        <v/>
      </c>
      <c r="L84" s="112">
        <f>((E84+H84)*100)/B84</f>
        <v/>
      </c>
      <c r="M84" s="114">
        <f>N84-B83</f>
        <v/>
      </c>
      <c r="N84" s="109">
        <f>O84+P84+Q84+R84+S84+T84</f>
        <v/>
      </c>
      <c r="O84" s="110" t="n">
        <v>1508.91915372813</v>
      </c>
      <c r="P84" s="110" t="n">
        <v>1377.3723557108</v>
      </c>
      <c r="Q84" s="110" t="n">
        <v>533.925239011492</v>
      </c>
      <c r="R84" s="110" t="n">
        <v>353.370810360263</v>
      </c>
      <c r="S84" s="110" t="n">
        <v>322.418622591481</v>
      </c>
      <c r="T84" s="110" t="n">
        <v>154.760938843911</v>
      </c>
      <c r="U84" s="50" t="n">
        <v>382</v>
      </c>
      <c r="V84" s="112">
        <f>((O84+R84)*100)/N84</f>
        <v/>
      </c>
      <c r="W84" s="112">
        <f>((P84+S84)*100)/N84</f>
        <v/>
      </c>
      <c r="X84" s="112">
        <f>((Q84+T84)*100)/N84</f>
        <v/>
      </c>
    </row>
    <row r="85" ht="22.5" customHeight="1" s="150">
      <c r="A85" s="34" t="n">
        <v>83</v>
      </c>
      <c r="B85" s="109">
        <f>C85+D85+E85+F85+G85+H85</f>
        <v/>
      </c>
      <c r="C85" s="110" t="n">
        <v>7.73804694219555</v>
      </c>
      <c r="D85" s="110" t="n">
        <v>0</v>
      </c>
      <c r="E85" s="110" t="n">
        <v>0</v>
      </c>
      <c r="F85" s="110" t="n">
        <v>0</v>
      </c>
      <c r="G85" s="110" t="n">
        <v>0</v>
      </c>
      <c r="H85" s="110" t="n">
        <v>0</v>
      </c>
      <c r="I85" s="111">
        <f>(100*B85)/N85</f>
        <v/>
      </c>
      <c r="J85" s="112">
        <f>((C85+F85)*100)/B85</f>
        <v/>
      </c>
      <c r="K85" s="112">
        <f>((D85+G85)*100)/B85</f>
        <v/>
      </c>
      <c r="L85" s="112">
        <f>((E85+H85)*100)/B85</f>
        <v/>
      </c>
      <c r="M85" s="114">
        <f>N85-B84</f>
        <v/>
      </c>
      <c r="N85" s="109">
        <f>O85+P85+Q85+R85+S85+T85</f>
        <v/>
      </c>
      <c r="O85" s="110" t="n">
        <v>1545.03003945837</v>
      </c>
      <c r="P85" s="110" t="n">
        <v>1354.15821488422</v>
      </c>
      <c r="Q85" s="110" t="n">
        <v>533.925239011492</v>
      </c>
      <c r="R85" s="110" t="n">
        <v>0</v>
      </c>
      <c r="S85" s="110" t="n">
        <v>0</v>
      </c>
      <c r="T85" s="110" t="n">
        <v>0</v>
      </c>
      <c r="U85" s="50" t="n">
        <v>338</v>
      </c>
      <c r="V85" s="112">
        <f>((O85+R85)*100)/N85</f>
        <v/>
      </c>
      <c r="W85" s="112">
        <f>((P85+S85)*100)/N85</f>
        <v/>
      </c>
      <c r="X85" s="112">
        <f>((Q85+T85)*100)/N85</f>
        <v/>
      </c>
    </row>
    <row r="86" ht="22.5" customHeight="1" s="150">
      <c r="A86" s="34" t="n">
        <v>84</v>
      </c>
      <c r="B86" s="109">
        <f>C86+D86+E86+F86+G86+H86</f>
        <v/>
      </c>
      <c r="C86" s="110" t="n">
        <v>49.0076306339051</v>
      </c>
      <c r="D86" s="110" t="n">
        <v>108.332657190737</v>
      </c>
      <c r="E86" s="110" t="n">
        <v>36.1108857302459</v>
      </c>
      <c r="F86" s="110" t="n">
        <v>15.4760938843911</v>
      </c>
      <c r="G86" s="110" t="n">
        <v>72.22177146049179</v>
      </c>
      <c r="H86" s="110" t="n">
        <v>20.6347918458548</v>
      </c>
      <c r="I86" s="111">
        <f>(100*B86)/N86</f>
        <v/>
      </c>
      <c r="J86" s="112">
        <f>((C86+F86)*100)/B86</f>
        <v/>
      </c>
      <c r="K86" s="112">
        <f>((D86+G86)*100)/B86</f>
        <v/>
      </c>
      <c r="L86" s="112">
        <f>((E86+H86)*100)/B86</f>
        <v/>
      </c>
      <c r="M86" s="114">
        <f>N86-B85</f>
        <v/>
      </c>
      <c r="N86" s="109">
        <f>O86+P86+Q86+R86+S86+T86</f>
        <v/>
      </c>
      <c r="O86" s="110" t="n">
        <v>1529.55394557398</v>
      </c>
      <c r="P86" s="110" t="n">
        <v>1243.24620871275</v>
      </c>
      <c r="Q86" s="110" t="n">
        <v>500.393702261978</v>
      </c>
      <c r="R86" s="110" t="n">
        <v>773.804694219555</v>
      </c>
      <c r="S86" s="110" t="n">
        <v>487.496957358319</v>
      </c>
      <c r="T86" s="110" t="n">
        <v>257.934898073185</v>
      </c>
      <c r="U86" s="50" t="n">
        <v>438</v>
      </c>
      <c r="V86" s="112">
        <f>((O86+R86)*100)/N86</f>
        <v/>
      </c>
      <c r="W86" s="112">
        <f>((P86+S86)*100)/N86</f>
        <v/>
      </c>
      <c r="X86" s="112">
        <f>((Q86+T86)*100)/N86</f>
        <v/>
      </c>
    </row>
    <row r="87" ht="22.5" customHeight="1" s="150">
      <c r="A87" s="34" t="n">
        <v>85</v>
      </c>
      <c r="B87" s="109">
        <f>C87+D87+E87+F87+G87+H87</f>
        <v/>
      </c>
      <c r="C87" s="110" t="n">
        <v>322.418622591481</v>
      </c>
      <c r="D87" s="110" t="n">
        <v>10.3173959229274</v>
      </c>
      <c r="E87" s="110" t="n">
        <v>28.3728387880503</v>
      </c>
      <c r="F87" s="110" t="n">
        <v>77.3804694219555</v>
      </c>
      <c r="G87" s="110" t="n">
        <v>12.8967449036592</v>
      </c>
      <c r="H87" s="110" t="n">
        <v>12.8967449036592</v>
      </c>
      <c r="I87" s="111">
        <f>(100*B87)/N87</f>
        <v/>
      </c>
      <c r="J87" s="112">
        <f>((C87+F87)*100)/B87</f>
        <v/>
      </c>
      <c r="K87" s="112">
        <f>((D87+G87)*100)/B87</f>
        <v/>
      </c>
      <c r="L87" s="112">
        <f>((E87+H87)*100)/B87</f>
        <v/>
      </c>
      <c r="M87" s="114">
        <f>N87-B86</f>
        <v/>
      </c>
      <c r="N87" s="109">
        <f>O87+P87+Q87+R87+S87+T87</f>
        <v/>
      </c>
      <c r="O87" s="110" t="n">
        <v>1475.38761697861</v>
      </c>
      <c r="P87" s="110" t="n">
        <v>1217.45271890543</v>
      </c>
      <c r="Q87" s="110" t="n">
        <v>466.862165512464</v>
      </c>
      <c r="R87" s="110" t="n">
        <v>1681.73553543716</v>
      </c>
      <c r="S87" s="110" t="n">
        <v>1238.08751075128</v>
      </c>
      <c r="T87" s="110" t="n">
        <v>495.235004300515</v>
      </c>
      <c r="U87" s="50" t="n">
        <v>578</v>
      </c>
      <c r="V87" s="112">
        <f>((O87+R87)*100)/N87</f>
        <v/>
      </c>
      <c r="W87" s="112">
        <f>((P87+S87)*100)/N87</f>
        <v/>
      </c>
      <c r="X87" s="112">
        <f>((Q87+T87)*100)/N87</f>
        <v/>
      </c>
    </row>
    <row r="88" ht="22.5" customHeight="1" s="150">
      <c r="A88" s="34" t="n">
        <v>86</v>
      </c>
      <c r="B88" s="109">
        <f>C88+D88+E88+F88+G88+H88</f>
        <v/>
      </c>
      <c r="C88" s="110" t="n">
        <v>64.4837245182962</v>
      </c>
      <c r="D88" s="110" t="n">
        <v>5.1586979614637</v>
      </c>
      <c r="E88" s="110" t="n">
        <v>2.57934898073185</v>
      </c>
      <c r="F88" s="110" t="n">
        <v>2.57934898073185</v>
      </c>
      <c r="G88" s="110" t="n">
        <v>0</v>
      </c>
      <c r="H88" s="110" t="n">
        <v>0</v>
      </c>
      <c r="I88" s="111">
        <f>(100*B88)/N88</f>
        <v/>
      </c>
      <c r="J88" s="112">
        <f>((C88+F88)*100)/B88</f>
        <v/>
      </c>
      <c r="K88" s="112">
        <f>((D88+G88)*100)/B88</f>
        <v/>
      </c>
      <c r="L88" s="112">
        <f>((E88+H88)*100)/B88</f>
        <v/>
      </c>
      <c r="M88" s="114">
        <f>N88-B87</f>
        <v/>
      </c>
      <c r="N88" s="109">
        <f>O88+P88+Q88+R88+S88+T88</f>
        <v/>
      </c>
      <c r="O88" s="110" t="n">
        <v>1493.44305984374</v>
      </c>
      <c r="P88" s="110" t="n">
        <v>1196.81792705957</v>
      </c>
      <c r="Q88" s="110" t="n">
        <v>469.441514493196</v>
      </c>
      <c r="R88" s="110" t="n">
        <v>56.7456775761007</v>
      </c>
      <c r="S88" s="110" t="n">
        <v>12.8967449036592</v>
      </c>
      <c r="T88" s="110" t="n">
        <v>7.73804694219555</v>
      </c>
      <c r="U88" s="50" t="n">
        <v>289</v>
      </c>
      <c r="V88" s="112">
        <f>((O88+R88)*100)/N88</f>
        <v/>
      </c>
      <c r="W88" s="112">
        <f>((P88+S88)*100)/N88</f>
        <v/>
      </c>
      <c r="X88" s="112">
        <f>((Q88+T88)*100)/N88</f>
        <v/>
      </c>
    </row>
    <row r="89" ht="22.5" customHeight="1" s="150">
      <c r="A89" s="34" t="n">
        <v>87</v>
      </c>
      <c r="B89" s="109">
        <f>C89+D89+E89+F89+G89+H89</f>
        <v/>
      </c>
      <c r="C89" s="110" t="n">
        <v>477.179561435392</v>
      </c>
      <c r="D89" s="110" t="n">
        <v>67.06307349902811</v>
      </c>
      <c r="E89" s="110" t="n">
        <v>82.5391673834192</v>
      </c>
      <c r="F89" s="110" t="n">
        <v>319.839273610749</v>
      </c>
      <c r="G89" s="110" t="n">
        <v>59.3250265568325</v>
      </c>
      <c r="H89" s="110" t="n">
        <v>46.4282816531733</v>
      </c>
      <c r="I89" s="111">
        <f>(100*B89)/N89</f>
        <v/>
      </c>
      <c r="J89" s="112">
        <f>((C89+F89)*100)/B89</f>
        <v/>
      </c>
      <c r="K89" s="112">
        <f>((D89+G89)*100)/B89</f>
        <v/>
      </c>
      <c r="L89" s="112">
        <f>((E89+H89)*100)/B89</f>
        <v/>
      </c>
      <c r="M89" s="114">
        <f>N89-B88</f>
        <v/>
      </c>
      <c r="N89" s="109">
        <f>O89+P89+Q89+R89+S89+T89</f>
        <v/>
      </c>
      <c r="O89" s="110" t="n">
        <v>1325.78537609617</v>
      </c>
      <c r="P89" s="110" t="n">
        <v>1132.33420254128</v>
      </c>
      <c r="Q89" s="110" t="n">
        <v>464.282816531733</v>
      </c>
      <c r="R89" s="110" t="n">
        <v>1960.3052253562</v>
      </c>
      <c r="S89" s="110" t="n">
        <v>1666.25944155277</v>
      </c>
      <c r="T89" s="110" t="n">
        <v>753.1699023737</v>
      </c>
      <c r="U89" s="50" t="n">
        <v>544</v>
      </c>
      <c r="V89" s="112">
        <f>((O89+R89)*100)/N89</f>
        <v/>
      </c>
      <c r="W89" s="112">
        <f>((P89+S89)*100)/N89</f>
        <v/>
      </c>
      <c r="X89" s="112">
        <f>((Q89+T89)*100)/N89</f>
        <v/>
      </c>
    </row>
    <row r="90" ht="22.5" customHeight="1" s="150">
      <c r="A90" s="34" t="n">
        <v>88</v>
      </c>
      <c r="B90" s="109">
        <f>C90+D90+E90+F90+G90+H90</f>
        <v/>
      </c>
      <c r="C90" s="110" t="n">
        <v>12.8967449036592</v>
      </c>
      <c r="D90" s="110" t="n">
        <v>0</v>
      </c>
      <c r="E90" s="110" t="n">
        <v>0</v>
      </c>
      <c r="F90" s="110" t="n">
        <v>0</v>
      </c>
      <c r="G90" s="110" t="n">
        <v>0</v>
      </c>
      <c r="H90" s="110" t="n">
        <v>0</v>
      </c>
      <c r="I90" s="111">
        <f>(100*B90)/N90</f>
        <v/>
      </c>
      <c r="J90" s="112">
        <f>((C90+F90)*100)/B90</f>
        <v/>
      </c>
      <c r="K90" s="112">
        <f>((D90+G90)*100)/B90</f>
        <v/>
      </c>
      <c r="L90" s="112">
        <f>((E90+H90)*100)/B90</f>
        <v/>
      </c>
      <c r="M90" s="114">
        <f>N90-B89</f>
        <v/>
      </c>
      <c r="N90" s="109">
        <f>O90+P90+Q90+R90+S90+T90</f>
        <v/>
      </c>
      <c r="O90" s="110" t="n">
        <v>1374.79300673007</v>
      </c>
      <c r="P90" s="110" t="n">
        <v>1150.3896454064</v>
      </c>
      <c r="Q90" s="110" t="n">
        <v>482.338259396855</v>
      </c>
      <c r="R90" s="110" t="n">
        <v>175.395730689765</v>
      </c>
      <c r="S90" s="110" t="n">
        <v>190.871824574156</v>
      </c>
      <c r="T90" s="110" t="n">
        <v>54.1663285953688</v>
      </c>
      <c r="U90" s="50" t="n">
        <v>328</v>
      </c>
      <c r="V90" s="112">
        <f>((O90+R90)*100)/N90</f>
        <v/>
      </c>
      <c r="W90" s="112">
        <f>((P90+S90)*100)/N90</f>
        <v/>
      </c>
      <c r="X90" s="112">
        <f>((Q90+T90)*100)/N90</f>
        <v/>
      </c>
    </row>
    <row r="91" ht="22.5" customHeight="1" s="150">
      <c r="A91" s="34" t="n">
        <v>89</v>
      </c>
      <c r="B91" s="109">
        <f>C91+D91+E91+F91+G91+H91</f>
        <v/>
      </c>
      <c r="C91" s="110" t="n">
        <v>20.6347918458548</v>
      </c>
      <c r="D91" s="110" t="n">
        <v>0</v>
      </c>
      <c r="E91" s="110" t="n">
        <v>0</v>
      </c>
      <c r="F91" s="110" t="n">
        <v>0</v>
      </c>
      <c r="G91" s="110" t="n">
        <v>0</v>
      </c>
      <c r="H91" s="110" t="n">
        <v>2.57934898073185</v>
      </c>
      <c r="I91" s="111">
        <f>(100*B91)/N91</f>
        <v/>
      </c>
      <c r="J91" s="112">
        <f>((C91+F91)*100)/B91</f>
        <v/>
      </c>
      <c r="K91" s="112">
        <f>((D91+G91)*100)/B91</f>
        <v/>
      </c>
      <c r="L91" s="112">
        <f>((E91+H91)*100)/B91</f>
        <v/>
      </c>
      <c r="M91" s="114">
        <f>N91-B90</f>
        <v/>
      </c>
      <c r="N91" s="109">
        <f>O91+P91+Q91+R91+S91+T91</f>
        <v/>
      </c>
      <c r="O91" s="110" t="n">
        <v>1612.0931129574</v>
      </c>
      <c r="P91" s="110" t="n">
        <v>1168.44508827152</v>
      </c>
      <c r="Q91" s="110" t="n">
        <v>490.076306339051</v>
      </c>
      <c r="R91" s="110" t="n">
        <v>77.3804694219555</v>
      </c>
      <c r="S91" s="110" t="n">
        <v>59.3250265568325</v>
      </c>
      <c r="T91" s="110" t="n">
        <v>23.2141408265866</v>
      </c>
      <c r="U91" s="50" t="n">
        <v>297</v>
      </c>
      <c r="V91" s="112">
        <f>((O91+R91)*100)/N91</f>
        <v/>
      </c>
      <c r="W91" s="112">
        <f>((P91+S91)*100)/N91</f>
        <v/>
      </c>
      <c r="X91" s="112">
        <f>((Q91+T91)*100)/N91</f>
        <v/>
      </c>
    </row>
    <row r="92" ht="22.5" customHeight="1" s="150">
      <c r="A92" s="34" t="n">
        <v>90</v>
      </c>
      <c r="B92" s="109">
        <f>C92+D92+E92+F92+G92+H92</f>
        <v/>
      </c>
      <c r="C92" s="110" t="n">
        <v>404.9577899749</v>
      </c>
      <c r="D92" s="110" t="n">
        <v>38.6902347109777</v>
      </c>
      <c r="E92" s="110" t="n">
        <v>79.9598184026873</v>
      </c>
      <c r="F92" s="110" t="n">
        <v>128.967449036592</v>
      </c>
      <c r="G92" s="110" t="n">
        <v>28.3728387880503</v>
      </c>
      <c r="H92" s="110" t="n">
        <v>12.8967449036592</v>
      </c>
      <c r="I92" s="111">
        <f>(100*B92)/N92</f>
        <v/>
      </c>
      <c r="J92" s="112">
        <f>((C92+F92)*100)/B92</f>
        <v/>
      </c>
      <c r="K92" s="112">
        <f>((D92+G92)*100)/B92</f>
        <v/>
      </c>
      <c r="L92" s="112">
        <f>((E92+H92)*100)/B92</f>
        <v/>
      </c>
      <c r="M92" s="114">
        <f>N92-B91</f>
        <v/>
      </c>
      <c r="N92" s="109">
        <f>O92+P92+Q92+R92+S92+T92</f>
        <v/>
      </c>
      <c r="O92" s="110" t="n">
        <v>1501.18110678593</v>
      </c>
      <c r="P92" s="110" t="n">
        <v>1122.01680661835</v>
      </c>
      <c r="Q92" s="110" t="n">
        <v>438.489326724414</v>
      </c>
      <c r="R92" s="110" t="n">
        <v>900.1927942754151</v>
      </c>
      <c r="S92" s="110" t="n">
        <v>884.716700391024</v>
      </c>
      <c r="T92" s="110" t="n">
        <v>265.67294501538</v>
      </c>
      <c r="U92" s="50" t="n">
        <v>415</v>
      </c>
      <c r="V92" s="112">
        <f>((O92+R92)*100)/N92</f>
        <v/>
      </c>
      <c r="W92" s="112">
        <f>((P92+S92)*100)/N92</f>
        <v/>
      </c>
      <c r="X92" s="112">
        <f>((Q92+T92)*100)/N92</f>
        <v/>
      </c>
    </row>
    <row r="93" ht="22.5" customHeight="1" s="150">
      <c r="A93" s="34" t="n">
        <v>91</v>
      </c>
      <c r="B93" s="109">
        <f>C93+D93+E93+F93+G93+H93</f>
        <v/>
      </c>
      <c r="C93" s="110" t="n">
        <v>389.481696090509</v>
      </c>
      <c r="D93" s="110" t="n">
        <v>25.7934898073184</v>
      </c>
      <c r="E93" s="110" t="n">
        <v>18.0554428651229</v>
      </c>
      <c r="F93" s="110" t="n">
        <v>0</v>
      </c>
      <c r="G93" s="110" t="n">
        <v>5.1586979614637</v>
      </c>
      <c r="H93" s="110" t="n">
        <v>5.1586979614637</v>
      </c>
      <c r="I93" s="111">
        <f>(100*B93)/N93</f>
        <v/>
      </c>
      <c r="J93" s="112">
        <f>((C93+F93)*100)/B93</f>
        <v/>
      </c>
      <c r="K93" s="112">
        <f>((D93+G93)*100)/B93</f>
        <v/>
      </c>
      <c r="L93" s="112">
        <f>((E93+H93)*100)/B93</f>
        <v/>
      </c>
      <c r="M93" s="114">
        <f>N93-B92</f>
        <v/>
      </c>
      <c r="N93" s="109">
        <f>O93+P93+Q93+R93+S93+T93</f>
        <v/>
      </c>
      <c r="O93" s="110" t="n">
        <v>1400.58649653739</v>
      </c>
      <c r="P93" s="110" t="n">
        <v>1111.69941069542</v>
      </c>
      <c r="Q93" s="110" t="n">
        <v>420.433883859291</v>
      </c>
      <c r="R93" s="110" t="n">
        <v>162.498985786106</v>
      </c>
      <c r="S93" s="110" t="n">
        <v>211.506616420011</v>
      </c>
      <c r="T93" s="110" t="n">
        <v>95.43591228707839</v>
      </c>
      <c r="U93" s="50" t="n">
        <v>302</v>
      </c>
      <c r="V93" s="112">
        <f>((O93+R93)*100)/N93</f>
        <v/>
      </c>
      <c r="W93" s="112">
        <f>((P93+S93)*100)/N93</f>
        <v/>
      </c>
      <c r="X93" s="112">
        <f>((Q93+T93)*100)/N93</f>
        <v/>
      </c>
    </row>
    <row r="94" ht="22.5" customHeight="1" s="150">
      <c r="A94" s="34" t="n">
        <v>92</v>
      </c>
      <c r="B94" s="109">
        <f>C94+D94+E94+F94+G94+H94</f>
        <v/>
      </c>
      <c r="C94" s="110" t="n">
        <v>100.594610248542</v>
      </c>
      <c r="D94" s="110" t="n">
        <v>144.443542920983</v>
      </c>
      <c r="E94" s="110" t="n">
        <v>25.7934898073184</v>
      </c>
      <c r="F94" s="110" t="n">
        <v>49.0076306339051</v>
      </c>
      <c r="G94" s="110" t="n">
        <v>38.6902347109777</v>
      </c>
      <c r="H94" s="110" t="n">
        <v>25.7934898073184</v>
      </c>
      <c r="I94" s="111">
        <f>(100*B94)/N94</f>
        <v/>
      </c>
      <c r="J94" s="112">
        <f>((C94+F94)*100)/B94</f>
        <v/>
      </c>
      <c r="K94" s="112">
        <f>((D94+G94)*100)/B94</f>
        <v/>
      </c>
      <c r="L94" s="112">
        <f>((E94+H94)*100)/B94</f>
        <v/>
      </c>
      <c r="M94" s="114">
        <f>N94-B93</f>
        <v/>
      </c>
      <c r="N94" s="109">
        <f>O94+P94+Q94+R94+S94+T94</f>
        <v/>
      </c>
      <c r="O94" s="110" t="n">
        <v>1485.70501290154</v>
      </c>
      <c r="P94" s="110" t="n">
        <v>1011.10480044688</v>
      </c>
      <c r="Q94" s="110" t="n">
        <v>420.433883859291</v>
      </c>
      <c r="R94" s="110" t="n">
        <v>905.351492236879</v>
      </c>
      <c r="S94" s="110" t="n">
        <v>624.202453337107</v>
      </c>
      <c r="T94" s="110" t="n">
        <v>170.237032728302</v>
      </c>
      <c r="U94" s="50" t="n">
        <v>395</v>
      </c>
      <c r="V94" s="112">
        <f>((O94+R94)*100)/N94</f>
        <v/>
      </c>
      <c r="W94" s="112">
        <f>((P94+S94)*100)/N94</f>
        <v/>
      </c>
      <c r="X94" s="112">
        <f>((Q94+T94)*100)/N94</f>
        <v/>
      </c>
    </row>
    <row r="95" ht="22.5" customHeight="1" s="150">
      <c r="A95" s="34" t="n">
        <v>93</v>
      </c>
      <c r="B95" s="109">
        <f>C95+D95+E95+F95+G95+H95</f>
        <v/>
      </c>
      <c r="C95" s="110" t="n">
        <v>7.73804694219555</v>
      </c>
      <c r="D95" s="110" t="n">
        <v>0</v>
      </c>
      <c r="E95" s="110" t="n">
        <v>0</v>
      </c>
      <c r="F95" s="110" t="n">
        <v>0</v>
      </c>
      <c r="G95" s="110" t="n">
        <v>0</v>
      </c>
      <c r="H95" s="110" t="n">
        <v>0</v>
      </c>
      <c r="I95" s="111">
        <f>(100*B95)/N95</f>
        <v/>
      </c>
      <c r="J95" s="112">
        <f>((C95+F95)*100)/B95</f>
        <v/>
      </c>
      <c r="K95" s="112">
        <f>((D95+G95)*100)/B95</f>
        <v/>
      </c>
      <c r="L95" s="112">
        <f>((E95+H95)*100)/B95</f>
        <v/>
      </c>
      <c r="M95" s="114">
        <f>N95-B94</f>
        <v/>
      </c>
      <c r="N95" s="109">
        <f>O95+P95+Q95+R95+S95+T95</f>
        <v/>
      </c>
      <c r="O95" s="110" t="n">
        <v>1532.13329455471</v>
      </c>
      <c r="P95" s="110" t="n">
        <v>1024.00154535054</v>
      </c>
      <c r="Q95" s="110" t="n">
        <v>423.013232840023</v>
      </c>
      <c r="R95" s="110" t="n">
        <v>2.57934898073185</v>
      </c>
      <c r="S95" s="110" t="n">
        <v>18.0554428651229</v>
      </c>
      <c r="T95" s="110" t="n">
        <v>12.8967449036592</v>
      </c>
      <c r="U95" s="50" t="n">
        <v>271</v>
      </c>
      <c r="V95" s="112">
        <f>((O95+R95)*100)/N95</f>
        <v/>
      </c>
      <c r="W95" s="112">
        <f>((P95+S95)*100)/N95</f>
        <v/>
      </c>
      <c r="X95" s="112">
        <f>((Q95+T95)*100)/N95</f>
        <v/>
      </c>
    </row>
    <row r="96" ht="22.5" customHeight="1" s="150">
      <c r="A96" s="34" t="n">
        <v>94</v>
      </c>
      <c r="B96" s="109">
        <f>C96+D96+E96+F96+G96+H96</f>
        <v/>
      </c>
      <c r="C96" s="110" t="n">
        <v>10.3173959229274</v>
      </c>
      <c r="D96" s="110" t="n">
        <v>0</v>
      </c>
      <c r="E96" s="110" t="n">
        <v>0</v>
      </c>
      <c r="F96" s="110" t="n">
        <v>0</v>
      </c>
      <c r="G96" s="110" t="n">
        <v>0</v>
      </c>
      <c r="H96" s="110" t="n">
        <v>0</v>
      </c>
      <c r="I96" s="111">
        <f>(100*B96)/N96</f>
        <v/>
      </c>
      <c r="J96" s="112">
        <f>((C96+F96)*100)/B96</f>
        <v/>
      </c>
      <c r="K96" s="112">
        <f>((D96+G96)*100)/B96</f>
        <v/>
      </c>
      <c r="L96" s="112">
        <f>((E96+H96)*100)/B96</f>
        <v/>
      </c>
      <c r="M96" s="114">
        <f>N96-B95</f>
        <v/>
      </c>
      <c r="N96" s="109">
        <f>O96+P96+Q96+R96+S96+T96</f>
        <v/>
      </c>
      <c r="O96" s="110" t="n">
        <v>1552.76808640057</v>
      </c>
      <c r="P96" s="110" t="n">
        <v>1018.84284738908</v>
      </c>
      <c r="Q96" s="110" t="n">
        <v>425.592581820755</v>
      </c>
      <c r="R96" s="110" t="n">
        <v>5.1586979614637</v>
      </c>
      <c r="S96" s="110" t="n">
        <v>2.57934898073185</v>
      </c>
      <c r="T96" s="110" t="n">
        <v>0</v>
      </c>
      <c r="U96" s="50" t="n">
        <v>261</v>
      </c>
      <c r="V96" s="112">
        <f>((O96+R96)*100)/N96</f>
        <v/>
      </c>
      <c r="W96" s="112">
        <f>((P96+S96)*100)/N96</f>
        <v/>
      </c>
      <c r="X96" s="112">
        <f>((Q96+T96)*100)/N96</f>
        <v/>
      </c>
    </row>
    <row r="97" ht="22.5" customHeight="1" s="150">
      <c r="A97" s="34" t="n">
        <v>95</v>
      </c>
      <c r="B97" s="109">
        <f>C97+D97+E97+F97+G97+H97</f>
        <v/>
      </c>
      <c r="C97" s="110" t="n">
        <v>469.441514493196</v>
      </c>
      <c r="D97" s="110" t="n">
        <v>46.4282816531733</v>
      </c>
      <c r="E97" s="110" t="n">
        <v>116.070704132933</v>
      </c>
      <c r="F97" s="110" t="n">
        <v>964.676518793711</v>
      </c>
      <c r="G97" s="110" t="n">
        <v>170.237032728302</v>
      </c>
      <c r="H97" s="110" t="n">
        <v>183.133777631961</v>
      </c>
      <c r="I97" s="111">
        <f>(100*B97)/N97</f>
        <v/>
      </c>
      <c r="J97" s="112">
        <f>((C97+F97)*100)/B97</f>
        <v/>
      </c>
      <c r="K97" s="112">
        <f>((D97+G97)*100)/B97</f>
        <v/>
      </c>
      <c r="L97" s="112">
        <f>((E97+H97)*100)/B97</f>
        <v/>
      </c>
      <c r="M97" s="114">
        <f>N97-B96</f>
        <v/>
      </c>
      <c r="N97" s="109">
        <f>O97+P97+Q97+R97+S97+T97</f>
        <v/>
      </c>
      <c r="O97" s="110" t="n">
        <v>1421.22128838324</v>
      </c>
      <c r="P97" s="110" t="n">
        <v>915.668888159806</v>
      </c>
      <c r="Q97" s="110" t="n">
        <v>368.846904244654</v>
      </c>
      <c r="R97" s="110" t="n">
        <v>3345.4156280092</v>
      </c>
      <c r="S97" s="110" t="n">
        <v>2806.33169103625</v>
      </c>
      <c r="T97" s="110" t="n">
        <v>755.749251354432</v>
      </c>
      <c r="U97" s="50" t="n">
        <v>622</v>
      </c>
      <c r="V97" s="112">
        <f>((O97+R97)*100)/N97</f>
        <v/>
      </c>
      <c r="W97" s="112">
        <f>((P97+S97)*100)/N97</f>
        <v/>
      </c>
      <c r="X97" s="112">
        <f>((Q97+T97)*100)/N97</f>
        <v/>
      </c>
    </row>
    <row r="98" ht="22.5" customHeight="1" s="150">
      <c r="A98" s="34" t="n">
        <v>96</v>
      </c>
      <c r="B98" s="109">
        <f>C98+D98+E98+F98+G98+H98</f>
        <v/>
      </c>
      <c r="C98" s="110" t="n">
        <v>172.816381709033</v>
      </c>
      <c r="D98" s="110" t="n">
        <v>43.8489326724414</v>
      </c>
      <c r="E98" s="110" t="n">
        <v>28.3728387880503</v>
      </c>
      <c r="F98" s="110" t="n">
        <v>7.73804694219555</v>
      </c>
      <c r="G98" s="110" t="n">
        <v>0</v>
      </c>
      <c r="H98" s="110" t="n">
        <v>5.1586979614637</v>
      </c>
      <c r="I98" s="111">
        <f>(100*B98)/N98</f>
        <v/>
      </c>
      <c r="J98" s="112">
        <f>((C98+F98)*100)/B98</f>
        <v/>
      </c>
      <c r="K98" s="112">
        <f>((D98+G98)*100)/B98</f>
        <v/>
      </c>
      <c r="L98" s="112">
        <f>((E98+H98)*100)/B98</f>
        <v/>
      </c>
      <c r="M98" s="114">
        <f>N98-B97</f>
        <v/>
      </c>
      <c r="N98" s="109">
        <f>O98+P98+Q98+R98+S98+T98</f>
        <v/>
      </c>
      <c r="O98" s="110" t="n">
        <v>1392.84844959519</v>
      </c>
      <c r="P98" s="110" t="n">
        <v>905.351492236879</v>
      </c>
      <c r="Q98" s="110" t="n">
        <v>363.68820628319</v>
      </c>
      <c r="R98" s="110" t="n">
        <v>332.736018514408</v>
      </c>
      <c r="S98" s="110" t="n">
        <v>188.292475593425</v>
      </c>
      <c r="T98" s="110" t="n">
        <v>41.2695836917096</v>
      </c>
      <c r="U98" s="50" t="n">
        <v>302</v>
      </c>
      <c r="V98" s="112">
        <f>((O98+R98)*100)/N98</f>
        <v/>
      </c>
      <c r="W98" s="112">
        <f>((P98+S98)*100)/N98</f>
        <v/>
      </c>
      <c r="X98" s="112">
        <f>((Q98+T98)*100)/N98</f>
        <v/>
      </c>
    </row>
    <row r="99" ht="22.5" customHeight="1" s="150">
      <c r="A99" s="34" t="n">
        <v>97</v>
      </c>
      <c r="B99" s="109">
        <f>C99+D99+E99+F99+G99+H99</f>
        <v/>
      </c>
      <c r="C99" s="110" t="n">
        <v>288.887085841967</v>
      </c>
      <c r="D99" s="110" t="n">
        <v>15.4760938843911</v>
      </c>
      <c r="E99" s="110" t="n">
        <v>10.3173959229274</v>
      </c>
      <c r="F99" s="110" t="n">
        <v>56.7456775761007</v>
      </c>
      <c r="G99" s="110" t="n">
        <v>12.8967449036592</v>
      </c>
      <c r="H99" s="110" t="n">
        <v>10.3173959229274</v>
      </c>
      <c r="I99" s="111">
        <f>(100*B99)/N99</f>
        <v/>
      </c>
      <c r="J99" s="112">
        <f>((C99+F99)*100)/B99</f>
        <v/>
      </c>
      <c r="K99" s="112">
        <f>((D99+G99)*100)/B99</f>
        <v/>
      </c>
      <c r="L99" s="112">
        <f>((E99+H99)*100)/B99</f>
        <v/>
      </c>
      <c r="M99" s="114">
        <f>N99-B98</f>
        <v/>
      </c>
      <c r="N99" s="109">
        <f>O99+P99+Q99+R99+S99+T99</f>
        <v/>
      </c>
      <c r="O99" s="110" t="n">
        <v>1325.78537609617</v>
      </c>
      <c r="P99" s="110" t="n">
        <v>920.82758612127</v>
      </c>
      <c r="Q99" s="110" t="n">
        <v>361.108857302459</v>
      </c>
      <c r="R99" s="110" t="n">
        <v>856.343861602974</v>
      </c>
      <c r="S99" s="110" t="n">
        <v>570.036124741738</v>
      </c>
      <c r="T99" s="110" t="n">
        <v>183.133777631961</v>
      </c>
      <c r="U99" s="50" t="n">
        <v>441</v>
      </c>
      <c r="V99" s="112">
        <f>((O99+R99)*100)/N99</f>
        <v/>
      </c>
      <c r="W99" s="112">
        <f>((P99+S99)*100)/N99</f>
        <v/>
      </c>
      <c r="X99" s="112">
        <f>((Q99+T99)*100)/N99</f>
        <v/>
      </c>
    </row>
    <row r="100" ht="22.5" customHeight="1" s="150">
      <c r="A100" s="34" t="n">
        <v>98</v>
      </c>
      <c r="B100" s="109">
        <f>C100+D100+E100+F100+G100+H100</f>
        <v/>
      </c>
      <c r="C100" s="110" t="n">
        <v>12.8967449036592</v>
      </c>
      <c r="D100" s="110" t="n">
        <v>2.57934898073185</v>
      </c>
      <c r="E100" s="110" t="n">
        <v>0</v>
      </c>
      <c r="F100" s="110" t="n">
        <v>0</v>
      </c>
      <c r="G100" s="110" t="n">
        <v>0</v>
      </c>
      <c r="H100" s="110" t="n">
        <v>0</v>
      </c>
      <c r="I100" s="111">
        <f>(100*B100)/N100</f>
        <v/>
      </c>
      <c r="J100" s="112">
        <f>((C100+F100)*100)/B100</f>
        <v/>
      </c>
      <c r="K100" s="112">
        <f>((D100+G100)*100)/B100</f>
        <v/>
      </c>
      <c r="L100" s="112">
        <f>((E100+H100)*100)/B100</f>
        <v/>
      </c>
      <c r="M100" s="114">
        <f>N100-B99</f>
        <v/>
      </c>
      <c r="N100" s="109">
        <f>O100+P100+Q100+R100+S100+T100</f>
        <v/>
      </c>
      <c r="O100" s="110" t="n">
        <v>1392.84844959519</v>
      </c>
      <c r="P100" s="110" t="n">
        <v>938.883028986393</v>
      </c>
      <c r="Q100" s="110" t="n">
        <v>366.267555263922</v>
      </c>
      <c r="R100" s="110" t="n">
        <v>28.3728387880503</v>
      </c>
      <c r="S100" s="110" t="n">
        <v>25.7934898073184</v>
      </c>
      <c r="T100" s="110" t="n">
        <v>12.8967449036592</v>
      </c>
      <c r="U100" s="50" t="n">
        <v>248</v>
      </c>
      <c r="V100" s="112">
        <f>((O100+R100)*100)/N100</f>
        <v/>
      </c>
      <c r="W100" s="112">
        <f>((P100+S100)*100)/N100</f>
        <v/>
      </c>
      <c r="X100" s="112">
        <f>((Q100+T100)*100)/N100</f>
        <v/>
      </c>
    </row>
    <row r="101" ht="22.5" customHeight="1" s="150">
      <c r="A101" s="34" t="n">
        <v>99</v>
      </c>
      <c r="B101" s="109">
        <f>C101+D101+E101+F101+G101+H101</f>
        <v/>
      </c>
      <c r="C101" s="110" t="n">
        <v>121.229402094396</v>
      </c>
      <c r="D101" s="110" t="n">
        <v>0</v>
      </c>
      <c r="E101" s="110" t="n">
        <v>5.1586979614637</v>
      </c>
      <c r="F101" s="110" t="n">
        <v>7.73804694219555</v>
      </c>
      <c r="G101" s="110" t="n">
        <v>0</v>
      </c>
      <c r="H101" s="110" t="n">
        <v>0</v>
      </c>
      <c r="I101" s="111">
        <f>(100*B101)/N101</f>
        <v/>
      </c>
      <c r="J101" s="112">
        <f>((C101+F101)*100)/B101</f>
        <v/>
      </c>
      <c r="K101" s="112">
        <f>((D101+G101)*100)/B101</f>
        <v/>
      </c>
      <c r="L101" s="112">
        <f>((E101+H101)*100)/B101</f>
        <v/>
      </c>
      <c r="M101" s="114">
        <f>N101-B100</f>
        <v/>
      </c>
      <c r="N101" s="109">
        <f>O101+P101+Q101+R101+S101+T101</f>
        <v/>
      </c>
      <c r="O101" s="110" t="n">
        <v>1395.42779857593</v>
      </c>
      <c r="P101" s="110" t="n">
        <v>967.255867774443</v>
      </c>
      <c r="Q101" s="110" t="n">
        <v>363.68820628319</v>
      </c>
      <c r="R101" s="110" t="n">
        <v>121.229402094396</v>
      </c>
      <c r="S101" s="110" t="n">
        <v>123.808751075128</v>
      </c>
      <c r="T101" s="110" t="n">
        <v>36.1108857302459</v>
      </c>
      <c r="U101" s="50" t="n">
        <v>289</v>
      </c>
      <c r="V101" s="112">
        <f>((O101+R101)*100)/N101</f>
        <v/>
      </c>
      <c r="W101" s="112">
        <f>((P101+S101)*100)/N101</f>
        <v/>
      </c>
      <c r="X101" s="112">
        <f>((Q101+T101)*100)/N101</f>
        <v/>
      </c>
    </row>
    <row r="102" ht="22.5" customHeight="1" s="150">
      <c r="A102" s="34" t="n">
        <v>100</v>
      </c>
      <c r="B102" s="109">
        <f>C102+D102+E102+F102+G102+H102</f>
        <v/>
      </c>
      <c r="C102" s="110" t="n">
        <v>5.1586979614637</v>
      </c>
      <c r="D102" s="110" t="n">
        <v>0</v>
      </c>
      <c r="E102" s="110" t="n">
        <v>0</v>
      </c>
      <c r="F102" s="110" t="n">
        <v>0</v>
      </c>
      <c r="G102" s="110" t="n">
        <v>0</v>
      </c>
      <c r="H102" s="110" t="n">
        <v>0</v>
      </c>
      <c r="I102" s="111">
        <f>(100*B102)/N102</f>
        <v/>
      </c>
      <c r="J102" s="112">
        <f>((C102+F102)*100)/B102</f>
        <v/>
      </c>
      <c r="K102" s="112">
        <f>((D102+G102)*100)/B102</f>
        <v/>
      </c>
      <c r="L102" s="112">
        <f>((E102+H102)*100)/B102</f>
        <v/>
      </c>
      <c r="M102" s="114">
        <f>N102-B101</f>
        <v/>
      </c>
      <c r="N102" s="109">
        <f>O102+P102+Q102+R102+S102+T102</f>
        <v/>
      </c>
      <c r="O102" s="110" t="n">
        <v>1418.64193940251</v>
      </c>
      <c r="P102" s="110" t="n">
        <v>985.311310639566</v>
      </c>
      <c r="Q102" s="110" t="n">
        <v>368.846904244654</v>
      </c>
      <c r="R102" s="110" t="n">
        <v>2.57934898073185</v>
      </c>
      <c r="S102" s="110" t="n">
        <v>2.57934898073185</v>
      </c>
      <c r="T102" s="110" t="n">
        <v>2.57934898073185</v>
      </c>
      <c r="U102" s="50" t="n">
        <v>222</v>
      </c>
      <c r="V102" s="112">
        <f>((O102+R102)*100)/N102</f>
        <v/>
      </c>
      <c r="W102" s="112">
        <f>((P102+S102)*100)/N102</f>
        <v/>
      </c>
      <c r="X102" s="112">
        <f>((Q102+T102)*100)/N102</f>
        <v/>
      </c>
    </row>
    <row r="103" ht="22.5" customHeight="1" s="150">
      <c r="A103" s="34" t="n">
        <v>101</v>
      </c>
      <c r="B103" s="109">
        <f>C103+D103+E103+F103+G103+H103</f>
        <v/>
      </c>
      <c r="C103" s="110" t="n">
        <v>2.57934898073185</v>
      </c>
      <c r="D103" s="110" t="n">
        <v>2.57934898073185</v>
      </c>
      <c r="E103" s="110" t="n">
        <v>0</v>
      </c>
      <c r="F103" s="110" t="n">
        <v>0</v>
      </c>
      <c r="G103" s="110" t="n">
        <v>0</v>
      </c>
      <c r="H103" s="110" t="n">
        <v>0</v>
      </c>
      <c r="I103" s="111">
        <f>(100*B103)/N103</f>
        <v/>
      </c>
      <c r="J103" s="112">
        <f>((C103+F103)*100)/B103</f>
        <v/>
      </c>
      <c r="K103" s="112">
        <f>((D103+G103)*100)/B103</f>
        <v/>
      </c>
      <c r="L103" s="112">
        <f>((E103+H103)*100)/B103</f>
        <v/>
      </c>
      <c r="M103" s="114">
        <f>N103-B102</f>
        <v/>
      </c>
      <c r="N103" s="109">
        <f>O103+P103+Q103+R103+S103+T103</f>
        <v/>
      </c>
      <c r="O103" s="110" t="n">
        <v>1447.01477819056</v>
      </c>
      <c r="P103" s="110" t="n">
        <v>951.779773890052</v>
      </c>
      <c r="Q103" s="110" t="n">
        <v>355.950159340995</v>
      </c>
      <c r="R103" s="110" t="n">
        <v>10.3173959229274</v>
      </c>
      <c r="S103" s="110" t="n">
        <v>0</v>
      </c>
      <c r="T103" s="110" t="n">
        <v>0</v>
      </c>
      <c r="U103" s="50" t="n">
        <v>242</v>
      </c>
      <c r="V103" s="112">
        <f>((O103+R103)*100)/N103</f>
        <v/>
      </c>
      <c r="W103" s="112">
        <f>((P103+S103)*100)/N103</f>
        <v/>
      </c>
      <c r="X103" s="112">
        <f>((Q103+T103)*100)/N103</f>
        <v/>
      </c>
    </row>
    <row r="104" ht="22.5" customHeight="1" s="150">
      <c r="A104" s="34" t="n">
        <v>102</v>
      </c>
      <c r="B104" s="109">
        <f>C104+D104+E104+F104+G104+H104</f>
        <v/>
      </c>
      <c r="C104" s="110" t="n">
        <v>0</v>
      </c>
      <c r="D104" s="110" t="n">
        <v>2.57934898073185</v>
      </c>
      <c r="E104" s="110" t="n">
        <v>0</v>
      </c>
      <c r="F104" s="110" t="n">
        <v>0</v>
      </c>
      <c r="G104" s="110" t="n">
        <v>2.57934898073185</v>
      </c>
      <c r="H104" s="110" t="n">
        <v>0</v>
      </c>
      <c r="I104" s="111">
        <f>(100*B104)/N104</f>
        <v/>
      </c>
      <c r="J104" s="112">
        <f>((C104+F104)*100)/B104</f>
        <v/>
      </c>
      <c r="K104" s="112">
        <f>((D104+G104)*100)/B104</f>
        <v/>
      </c>
      <c r="L104" s="112">
        <f>((E104+H104)*100)/B104</f>
        <v/>
      </c>
      <c r="M104" s="114">
        <f>N104-B103</f>
        <v/>
      </c>
      <c r="N104" s="109">
        <f>O104+P104+Q104+R104+S104+T104</f>
        <v/>
      </c>
      <c r="O104" s="110" t="n">
        <v>1493.44305984374</v>
      </c>
      <c r="P104" s="110" t="n">
        <v>969.835216755175</v>
      </c>
      <c r="Q104" s="110" t="n">
        <v>371.426253225386</v>
      </c>
      <c r="R104" s="110" t="n">
        <v>30.9521877687822</v>
      </c>
      <c r="S104" s="110" t="n">
        <v>38.6902347109777</v>
      </c>
      <c r="T104" s="110" t="n">
        <v>12.8967449036592</v>
      </c>
      <c r="U104" s="50" t="n">
        <v>230</v>
      </c>
      <c r="V104" s="112">
        <f>((O104+R104)*100)/N104</f>
        <v/>
      </c>
      <c r="W104" s="112">
        <f>((P104+S104)*100)/N104</f>
        <v/>
      </c>
      <c r="X104" s="112">
        <f>((Q104+T104)*100)/N104</f>
        <v/>
      </c>
    </row>
    <row r="105" ht="22.5" customHeight="1" s="150">
      <c r="A105" s="34" t="n">
        <v>103</v>
      </c>
      <c r="B105" s="109">
        <f>C105+D105+E105+F105+G105+H105</f>
        <v/>
      </c>
      <c r="C105" s="110" t="n">
        <v>0</v>
      </c>
      <c r="D105" s="110" t="n">
        <v>2.57934898073185</v>
      </c>
      <c r="E105" s="110" t="n">
        <v>0</v>
      </c>
      <c r="F105" s="110" t="n">
        <v>0</v>
      </c>
      <c r="G105" s="110" t="n">
        <v>0</v>
      </c>
      <c r="H105" s="110" t="n">
        <v>0</v>
      </c>
      <c r="I105" s="111">
        <f>(100*B105)/N105</f>
        <v/>
      </c>
      <c r="J105" s="112">
        <f>((C105+F105)*100)/B105</f>
        <v/>
      </c>
      <c r="K105" s="112">
        <f>((D105+G105)*100)/B105</f>
        <v/>
      </c>
      <c r="L105" s="112">
        <f>((E105+H105)*100)/B105</f>
        <v/>
      </c>
      <c r="M105" s="114">
        <f>N105-B104</f>
        <v/>
      </c>
      <c r="N105" s="109">
        <f>O105+P105+Q105+R105+S105+T105</f>
        <v/>
      </c>
      <c r="O105" s="110" t="n">
        <v>1506.3398047474</v>
      </c>
      <c r="P105" s="110" t="n">
        <v>974.993914716639</v>
      </c>
      <c r="Q105" s="110" t="n">
        <v>368.846904244654</v>
      </c>
      <c r="R105" s="110" t="n">
        <v>10.3173959229274</v>
      </c>
      <c r="S105" s="110" t="n">
        <v>15.4760938843911</v>
      </c>
      <c r="T105" s="110" t="n">
        <v>0</v>
      </c>
      <c r="U105" s="50" t="n">
        <v>230</v>
      </c>
      <c r="V105" s="112">
        <f>((O105+R105)*100)/N105</f>
        <v/>
      </c>
      <c r="W105" s="112">
        <f>((P105+S105)*100)/N105</f>
        <v/>
      </c>
      <c r="X105" s="112">
        <f>((Q105+T105)*100)/N105</f>
        <v/>
      </c>
    </row>
    <row r="106" ht="22.5" customHeight="1" s="150">
      <c r="A106" s="34" t="n">
        <v>104</v>
      </c>
      <c r="B106" s="109">
        <f>C106+D106+E106+F106+G106+H106</f>
        <v/>
      </c>
      <c r="C106" s="110" t="n">
        <v>203.768569477816</v>
      </c>
      <c r="D106" s="110" t="n">
        <v>36.1108857302459</v>
      </c>
      <c r="E106" s="110" t="n">
        <v>23.2141408265866</v>
      </c>
      <c r="F106" s="110" t="n">
        <v>74.8011204412236</v>
      </c>
      <c r="G106" s="110" t="n">
        <v>15.4760938843911</v>
      </c>
      <c r="H106" s="110" t="n">
        <v>5.1586979614637</v>
      </c>
      <c r="I106" s="111">
        <f>(100*B106)/N106</f>
        <v/>
      </c>
      <c r="J106" s="112">
        <f>((C106+F106)*100)/B106</f>
        <v/>
      </c>
      <c r="K106" s="112">
        <f>((D106+G106)*100)/B106</f>
        <v/>
      </c>
      <c r="L106" s="112">
        <f>((E106+H106)*100)/B106</f>
        <v/>
      </c>
      <c r="M106" s="114">
        <f>N106-B105</f>
        <v/>
      </c>
      <c r="N106" s="109">
        <f>O106+P106+Q106+R106+S106+T106</f>
        <v/>
      </c>
      <c r="O106" s="110" t="n">
        <v>1413.48324144105</v>
      </c>
      <c r="P106" s="110" t="n">
        <v>974.993914716639</v>
      </c>
      <c r="Q106" s="110" t="n">
        <v>361.108857302459</v>
      </c>
      <c r="R106" s="110" t="n">
        <v>451.386071628073</v>
      </c>
      <c r="S106" s="110" t="n">
        <v>270.831642976844</v>
      </c>
      <c r="T106" s="110" t="n">
        <v>46.4282816531733</v>
      </c>
      <c r="U106" s="50" t="n">
        <v>263</v>
      </c>
      <c r="V106" s="112">
        <f>((O106+R106)*100)/N106</f>
        <v/>
      </c>
      <c r="W106" s="112">
        <f>((P106+S106)*100)/N106</f>
        <v/>
      </c>
      <c r="X106" s="112">
        <f>((Q106+T106)*100)/N106</f>
        <v/>
      </c>
    </row>
    <row r="107" ht="22.5" customHeight="1" s="150">
      <c r="A107" s="34" t="n">
        <v>105</v>
      </c>
      <c r="B107" s="109">
        <f>C107+D107+E107+F107+G107+H107</f>
        <v/>
      </c>
      <c r="C107" s="110" t="n">
        <v>296.625132784162</v>
      </c>
      <c r="D107" s="110" t="n">
        <v>18.0554428651229</v>
      </c>
      <c r="E107" s="110" t="n">
        <v>10.3173959229274</v>
      </c>
      <c r="F107" s="110" t="n">
        <v>43.8489326724414</v>
      </c>
      <c r="G107" s="110" t="n">
        <v>5.1586979614637</v>
      </c>
      <c r="H107" s="110" t="n">
        <v>7.73804694219555</v>
      </c>
      <c r="I107" s="111">
        <f>(100*B107)/N107</f>
        <v/>
      </c>
      <c r="J107" s="112">
        <f>((C107+F107)*100)/B107</f>
        <v/>
      </c>
      <c r="K107" s="112">
        <f>((D107+G107)*100)/B107</f>
        <v/>
      </c>
      <c r="L107" s="112">
        <f>((E107+H107)*100)/B107</f>
        <v/>
      </c>
      <c r="M107" s="114">
        <f>N107-B106</f>
        <v/>
      </c>
      <c r="N107" s="109">
        <f>O107+P107+Q107+R107+S107+T107</f>
        <v/>
      </c>
      <c r="O107" s="110" t="n">
        <v>1367.05495978788</v>
      </c>
      <c r="P107" s="110" t="n">
        <v>964.676518793711</v>
      </c>
      <c r="Q107" s="110" t="n">
        <v>353.370810360263</v>
      </c>
      <c r="R107" s="110" t="n">
        <v>745.431855431504</v>
      </c>
      <c r="S107" s="110" t="n">
        <v>513.2904471656381</v>
      </c>
      <c r="T107" s="110" t="n">
        <v>165.078334766838</v>
      </c>
      <c r="U107" s="50" t="n">
        <v>322</v>
      </c>
      <c r="V107" s="112">
        <f>((O107+R107)*100)/N107</f>
        <v/>
      </c>
      <c r="W107" s="112">
        <f>((P107+S107)*100)/N107</f>
        <v/>
      </c>
      <c r="X107" s="112">
        <f>((Q107+T107)*100)/N107</f>
        <v/>
      </c>
    </row>
    <row r="108" ht="22.5" customHeight="1" s="150">
      <c r="A108" s="34" t="n">
        <v>106</v>
      </c>
      <c r="B108" s="109">
        <f>C108+D108+E108+F108+G108+H108</f>
        <v/>
      </c>
      <c r="C108" s="110" t="n">
        <v>180.554428651229</v>
      </c>
      <c r="D108" s="110" t="n">
        <v>7.73804694219555</v>
      </c>
      <c r="E108" s="110" t="n">
        <v>10.3173959229274</v>
      </c>
      <c r="F108" s="110" t="n">
        <v>41.2695836917096</v>
      </c>
      <c r="G108" s="110" t="n">
        <v>5.1586979614637</v>
      </c>
      <c r="H108" s="110" t="n">
        <v>5.1586979614637</v>
      </c>
      <c r="I108" s="111">
        <f>(100*B108)/N108</f>
        <v/>
      </c>
      <c r="J108" s="112">
        <f>((C108+F108)*100)/B108</f>
        <v/>
      </c>
      <c r="K108" s="112">
        <f>((D108+G108)*100)/B108</f>
        <v/>
      </c>
      <c r="L108" s="112">
        <f>((E108+H108)*100)/B108</f>
        <v/>
      </c>
      <c r="M108" s="114">
        <f>N108-B107</f>
        <v/>
      </c>
      <c r="N108" s="109">
        <f>O108+P108+Q108+R108+S108+T108</f>
        <v/>
      </c>
      <c r="O108" s="110" t="n">
        <v>1279.35709444299</v>
      </c>
      <c r="P108" s="110" t="n">
        <v>938.883028986393</v>
      </c>
      <c r="Q108" s="110" t="n">
        <v>345.632763418067</v>
      </c>
      <c r="R108" s="110" t="n">
        <v>497.814353281247</v>
      </c>
      <c r="S108" s="110" t="n">
        <v>291.466434822699</v>
      </c>
      <c r="T108" s="110" t="n">
        <v>72.22177146049179</v>
      </c>
      <c r="U108" s="50" t="n">
        <v>291</v>
      </c>
      <c r="V108" s="112">
        <f>((O108+R108)*100)/N108</f>
        <v/>
      </c>
      <c r="W108" s="112">
        <f>((P108+S108)*100)/N108</f>
        <v/>
      </c>
      <c r="X108" s="112">
        <f>((Q108+T108)*100)/N108</f>
        <v/>
      </c>
    </row>
    <row r="109" ht="22.5" customHeight="1" s="150">
      <c r="A109" s="34" t="n">
        <v>107</v>
      </c>
      <c r="B109" s="109">
        <f>C109+D109+E109+F109+G109+H109</f>
        <v/>
      </c>
      <c r="C109" s="110" t="n">
        <v>508.131749204174</v>
      </c>
      <c r="D109" s="110" t="n">
        <v>23.2141408265866</v>
      </c>
      <c r="E109" s="110" t="n">
        <v>110.912006171469</v>
      </c>
      <c r="F109" s="110" t="n">
        <v>322.418622591481</v>
      </c>
      <c r="G109" s="110" t="n">
        <v>15.4760938843911</v>
      </c>
      <c r="H109" s="110" t="n">
        <v>25.7934898073184</v>
      </c>
      <c r="I109" s="111">
        <f>(100*B109)/N109</f>
        <v/>
      </c>
      <c r="J109" s="112">
        <f>((C109+F109)*100)/B109</f>
        <v/>
      </c>
      <c r="K109" s="112">
        <f>((D109+G109)*100)/B109</f>
        <v/>
      </c>
      <c r="L109" s="112">
        <f>((E109+H109)*100)/B109</f>
        <v/>
      </c>
      <c r="M109" s="114">
        <f>N109-B108</f>
        <v/>
      </c>
      <c r="N109" s="109">
        <f>O109+P109+Q109+R109+S109+T109</f>
        <v/>
      </c>
      <c r="O109" s="110" t="n">
        <v>1204.55597400177</v>
      </c>
      <c r="P109" s="110" t="n">
        <v>977.573263697371</v>
      </c>
      <c r="Q109" s="110" t="n">
        <v>288.887085841967</v>
      </c>
      <c r="R109" s="110" t="n">
        <v>647.416594163694</v>
      </c>
      <c r="S109" s="110" t="n">
        <v>603.567661491252</v>
      </c>
      <c r="T109" s="110" t="n">
        <v>121.229402094396</v>
      </c>
      <c r="U109" s="50" t="n">
        <v>397</v>
      </c>
      <c r="V109" s="112">
        <f>((O109+R109)*100)/N109</f>
        <v/>
      </c>
      <c r="W109" s="112">
        <f>((P109+S109)*100)/N109</f>
        <v/>
      </c>
      <c r="X109" s="112">
        <f>((Q109+T109)*100)/N109</f>
        <v/>
      </c>
    </row>
    <row r="110" ht="22.5" customHeight="1" s="150">
      <c r="A110" s="34" t="n">
        <v>108</v>
      </c>
      <c r="B110" s="109">
        <f>C110+D110+E110+F110+G110+H110</f>
        <v/>
      </c>
      <c r="C110" s="110" t="n">
        <v>281.149038899771</v>
      </c>
      <c r="D110" s="110" t="n">
        <v>15.4760938843911</v>
      </c>
      <c r="E110" s="110" t="n">
        <v>38.6902347109777</v>
      </c>
      <c r="F110" s="110" t="n">
        <v>64.4837245182962</v>
      </c>
      <c r="G110" s="110" t="n">
        <v>28.3728387880503</v>
      </c>
      <c r="H110" s="110" t="n">
        <v>10.3173959229274</v>
      </c>
      <c r="I110" s="111">
        <f>(100*B110)/N110</f>
        <v/>
      </c>
      <c r="J110" s="112">
        <f>((C110+F110)*100)/B110</f>
        <v/>
      </c>
      <c r="K110" s="112">
        <f>((D110+G110)*100)/B110</f>
        <v/>
      </c>
      <c r="L110" s="112">
        <f>((E110+H110)*100)/B110</f>
        <v/>
      </c>
      <c r="M110" s="114">
        <f>N110-B109</f>
        <v/>
      </c>
      <c r="N110" s="109">
        <f>O110+P110+Q110+R110+S110+T110</f>
        <v/>
      </c>
      <c r="O110" s="110" t="n">
        <v>1207.1353229825</v>
      </c>
      <c r="P110" s="110" t="n">
        <v>1034.31894127347</v>
      </c>
      <c r="Q110" s="110" t="n">
        <v>281.149038899771</v>
      </c>
      <c r="R110" s="110" t="n">
        <v>722.217714604918</v>
      </c>
      <c r="S110" s="110" t="n">
        <v>502.97305124271</v>
      </c>
      <c r="T110" s="110" t="n">
        <v>59.3250265568325</v>
      </c>
      <c r="U110" s="50" t="n">
        <v>322</v>
      </c>
      <c r="V110" s="112">
        <f>((O110+R110)*100)/N110</f>
        <v/>
      </c>
      <c r="W110" s="112">
        <f>((P110+S110)*100)/N110</f>
        <v/>
      </c>
      <c r="X110" s="112">
        <f>((Q110+T110)*100)/N110</f>
        <v/>
      </c>
    </row>
    <row r="111" ht="22.5" customHeight="1" s="150">
      <c r="A111" s="34" t="n">
        <v>109</v>
      </c>
      <c r="B111" s="109">
        <f>C111+D111+E111+F111+G111+H111</f>
        <v/>
      </c>
      <c r="C111" s="110" t="n">
        <v>12.8967449036592</v>
      </c>
      <c r="D111" s="110" t="n">
        <v>2.57934898073185</v>
      </c>
      <c r="E111" s="110" t="n">
        <v>0</v>
      </c>
      <c r="F111" s="110" t="n">
        <v>0</v>
      </c>
      <c r="G111" s="110" t="n">
        <v>7.73804694219555</v>
      </c>
      <c r="H111" s="110" t="n">
        <v>0</v>
      </c>
      <c r="I111" s="111">
        <f>(100*B111)/N111</f>
        <v/>
      </c>
      <c r="J111" s="112">
        <f>((C111+F111)*100)/B111</f>
        <v/>
      </c>
      <c r="K111" s="112">
        <f>((D111+G111)*100)/B111</f>
        <v/>
      </c>
      <c r="L111" s="112">
        <f>((E111+H111)*100)/B111</f>
        <v/>
      </c>
      <c r="M111" s="114">
        <f>N111-B110</f>
        <v/>
      </c>
      <c r="N111" s="109">
        <f>O111+P111+Q111+R111+S111+T111</f>
        <v/>
      </c>
      <c r="O111" s="110" t="n">
        <v>1279.35709444299</v>
      </c>
      <c r="P111" s="110" t="n">
        <v>1039.47763923493</v>
      </c>
      <c r="Q111" s="110" t="n">
        <v>288.887085841967</v>
      </c>
      <c r="R111" s="110" t="n">
        <v>224.40336132367</v>
      </c>
      <c r="S111" s="110" t="n">
        <v>216.665314381475</v>
      </c>
      <c r="T111" s="110" t="n">
        <v>36.1108857302459</v>
      </c>
      <c r="U111" s="50" t="n">
        <v>258</v>
      </c>
      <c r="V111" s="112">
        <f>((O111+R111)*100)/N111</f>
        <v/>
      </c>
      <c r="W111" s="112">
        <f>((P111+S111)*100)/N111</f>
        <v/>
      </c>
      <c r="X111" s="112">
        <f>((Q111+T111)*100)/N111</f>
        <v/>
      </c>
    </row>
    <row r="112" ht="22.5" customHeight="1" s="150">
      <c r="A112" s="34" t="n">
        <v>110</v>
      </c>
      <c r="B112" s="109">
        <f>C112+D112+E112+F112+G112+H112</f>
        <v/>
      </c>
      <c r="C112" s="110" t="n">
        <v>136.705495978788</v>
      </c>
      <c r="D112" s="110" t="n">
        <v>7.73804694219555</v>
      </c>
      <c r="E112" s="110" t="n">
        <v>7.73804694219555</v>
      </c>
      <c r="F112" s="110" t="n">
        <v>23.2141408265866</v>
      </c>
      <c r="G112" s="110" t="n">
        <v>0</v>
      </c>
      <c r="H112" s="110" t="n">
        <v>0</v>
      </c>
      <c r="I112" s="111">
        <f>(100*B112)/N112</f>
        <v/>
      </c>
      <c r="J112" s="112">
        <f>((C112+F112)*100)/B112</f>
        <v/>
      </c>
      <c r="K112" s="112">
        <f>((D112+G112)*100)/B112</f>
        <v/>
      </c>
      <c r="L112" s="112">
        <f>((E112+H112)*100)/B112</f>
        <v/>
      </c>
      <c r="M112" s="114">
        <f>N112-B111</f>
        <v/>
      </c>
      <c r="N112" s="109">
        <f>O112+P112+Q112+R112+S112+T112</f>
        <v/>
      </c>
      <c r="O112" s="110" t="n">
        <v>1235.50816177055</v>
      </c>
      <c r="P112" s="110" t="n">
        <v>1039.47763923493</v>
      </c>
      <c r="Q112" s="110" t="n">
        <v>288.887085841967</v>
      </c>
      <c r="R112" s="110" t="n">
        <v>392.061045071241</v>
      </c>
      <c r="S112" s="110" t="n">
        <v>410.116487936364</v>
      </c>
      <c r="T112" s="110" t="n">
        <v>64.4837245182962</v>
      </c>
      <c r="U112" s="50" t="n">
        <v>322</v>
      </c>
      <c r="V112" s="112">
        <f>((O112+R112)*100)/N112</f>
        <v/>
      </c>
      <c r="W112" s="112">
        <f>((P112+S112)*100)/N112</f>
        <v/>
      </c>
      <c r="X112" s="112">
        <f>((Q112+T112)*100)/N112</f>
        <v/>
      </c>
    </row>
    <row r="113" ht="22.5" customHeight="1" s="150">
      <c r="A113" s="34" t="n">
        <v>111</v>
      </c>
      <c r="B113" s="109">
        <f>C113+D113+E113+F113+G113+H113</f>
        <v/>
      </c>
      <c r="C113" s="110" t="n">
        <v>366.267555263922</v>
      </c>
      <c r="D113" s="110" t="n">
        <v>33.531536749514</v>
      </c>
      <c r="E113" s="110" t="n">
        <v>43.8489326724414</v>
      </c>
      <c r="F113" s="110" t="n">
        <v>113.491355152201</v>
      </c>
      <c r="G113" s="110" t="n">
        <v>23.2141408265866</v>
      </c>
      <c r="H113" s="110" t="n">
        <v>10.3173959229274</v>
      </c>
      <c r="I113" s="111">
        <f>(100*B113)/N113</f>
        <v/>
      </c>
      <c r="J113" s="112">
        <f>((C113+F113)*100)/B113</f>
        <v/>
      </c>
      <c r="K113" s="112">
        <f>((D113+G113)*100)/B113</f>
        <v/>
      </c>
      <c r="L113" s="112">
        <f>((E113+H113)*100)/B113</f>
        <v/>
      </c>
      <c r="M113" s="114">
        <f>N113-B112</f>
        <v/>
      </c>
      <c r="N113" s="109">
        <f>O113+P113+Q113+R113+S113+T113</f>
        <v/>
      </c>
      <c r="O113" s="110" t="n">
        <v>1178.76248419445</v>
      </c>
      <c r="P113" s="110" t="n">
        <v>1039.47763923493</v>
      </c>
      <c r="Q113" s="110" t="n">
        <v>291.466434822699</v>
      </c>
      <c r="R113" s="110" t="n">
        <v>495.235004300515</v>
      </c>
      <c r="S113" s="110" t="n">
        <v>441.068675705146</v>
      </c>
      <c r="T113" s="110" t="n">
        <v>82.5391673834192</v>
      </c>
      <c r="U113" s="50" t="n">
        <v>346</v>
      </c>
      <c r="V113" s="112">
        <f>((O113+R113)*100)/N113</f>
        <v/>
      </c>
      <c r="W113" s="112">
        <f>((P113+S113)*100)/N113</f>
        <v/>
      </c>
      <c r="X113" s="112">
        <f>((Q113+T113)*100)/N113</f>
        <v/>
      </c>
    </row>
    <row r="114" ht="22.5" customHeight="1" s="150">
      <c r="A114" s="34" t="n">
        <v>112</v>
      </c>
      <c r="B114" s="109">
        <f>C114+D114+E114+F114+G114+H114</f>
        <v/>
      </c>
      <c r="C114" s="110" t="n">
        <v>428.171930801487</v>
      </c>
      <c r="D114" s="110" t="n">
        <v>23.2141408265866</v>
      </c>
      <c r="E114" s="110" t="n">
        <v>46.4282816531733</v>
      </c>
      <c r="F114" s="110" t="n">
        <v>250.196851130989</v>
      </c>
      <c r="G114" s="110" t="n">
        <v>49.0076306339051</v>
      </c>
      <c r="H114" s="110" t="n">
        <v>20.6347918458548</v>
      </c>
      <c r="I114" s="111">
        <f>(100*B114)/N114</f>
        <v/>
      </c>
      <c r="J114" s="112">
        <f>((C114+F114)*100)/B114</f>
        <v/>
      </c>
      <c r="K114" s="112">
        <f>((D114+G114)*100)/B114</f>
        <v/>
      </c>
      <c r="L114" s="112">
        <f>((E114+H114)*100)/B114</f>
        <v/>
      </c>
      <c r="M114" s="114">
        <f>N114-B113</f>
        <v/>
      </c>
      <c r="N114" s="109">
        <f>O114+P114+Q114+R114+S114+T114</f>
        <v/>
      </c>
      <c r="O114" s="110" t="n">
        <v>1073.00917598444</v>
      </c>
      <c r="P114" s="110" t="n">
        <v>1008.52545146615</v>
      </c>
      <c r="Q114" s="110" t="n">
        <v>268.252293996112</v>
      </c>
      <c r="R114" s="110" t="n">
        <v>1085.9059208881</v>
      </c>
      <c r="S114" s="110" t="n">
        <v>1281.93644342372</v>
      </c>
      <c r="T114" s="110" t="n">
        <v>273.410991957576</v>
      </c>
      <c r="U114" s="50" t="n">
        <v>405</v>
      </c>
      <c r="V114" s="112">
        <f>((O114+R114)*100)/N114</f>
        <v/>
      </c>
      <c r="W114" s="112">
        <f>((P114+S114)*100)/N114</f>
        <v/>
      </c>
      <c r="X114" s="112">
        <f>((Q114+T114)*100)/N114</f>
        <v/>
      </c>
    </row>
    <row r="115" ht="22.5" customHeight="1" s="150">
      <c r="A115" s="34" t="n">
        <v>113</v>
      </c>
      <c r="B115" s="109">
        <f>C115+D115+E115+F115+G115+H115</f>
        <v/>
      </c>
      <c r="C115" s="110" t="n">
        <v>10.3173959229274</v>
      </c>
      <c r="D115" s="110" t="n">
        <v>2.57934898073185</v>
      </c>
      <c r="E115" s="110" t="n">
        <v>0</v>
      </c>
      <c r="F115" s="110" t="n">
        <v>0</v>
      </c>
      <c r="G115" s="110" t="n">
        <v>0</v>
      </c>
      <c r="H115" s="110" t="n">
        <v>0</v>
      </c>
      <c r="I115" s="111">
        <f>(100*B115)/N115</f>
        <v/>
      </c>
      <c r="J115" s="112">
        <f>((C115+F115)*100)/B115</f>
        <v/>
      </c>
      <c r="K115" s="112">
        <f>((D115+G115)*100)/B115</f>
        <v/>
      </c>
      <c r="L115" s="112">
        <f>((E115+H115)*100)/B115</f>
        <v/>
      </c>
      <c r="M115" s="114">
        <f>N115-B114</f>
        <v/>
      </c>
      <c r="N115" s="109">
        <f>O115+P115+Q115+R115+S115+T115</f>
        <v/>
      </c>
      <c r="O115" s="110" t="n">
        <v>1127.17550457981</v>
      </c>
      <c r="P115" s="110" t="n">
        <v>1060.11243108079</v>
      </c>
      <c r="Q115" s="110" t="n">
        <v>283.728387880503</v>
      </c>
      <c r="R115" s="110" t="n">
        <v>5.1586979614637</v>
      </c>
      <c r="S115" s="110" t="n">
        <v>2.57934898073185</v>
      </c>
      <c r="T115" s="110" t="n">
        <v>0</v>
      </c>
      <c r="U115" s="50" t="n">
        <v>248</v>
      </c>
      <c r="V115" s="112">
        <f>((O115+R115)*100)/N115</f>
        <v/>
      </c>
      <c r="W115" s="112">
        <f>((P115+S115)*100)/N115</f>
        <v/>
      </c>
      <c r="X115" s="112">
        <f>((Q115+T115)*100)/N115</f>
        <v/>
      </c>
    </row>
    <row r="116" ht="22.5" customHeight="1" s="150">
      <c r="A116" s="34" t="n">
        <v>114</v>
      </c>
      <c r="B116" s="109">
        <f>C116+D116+E116+F116+G116+H116</f>
        <v/>
      </c>
      <c r="C116" s="110" t="n">
        <v>69.6424224797599</v>
      </c>
      <c r="D116" s="110" t="n">
        <v>10.3173959229274</v>
      </c>
      <c r="E116" s="110" t="n">
        <v>10.3173959229274</v>
      </c>
      <c r="F116" s="110" t="n">
        <v>25.7934898073184</v>
      </c>
      <c r="G116" s="110" t="n">
        <v>0</v>
      </c>
      <c r="H116" s="110" t="n">
        <v>0</v>
      </c>
      <c r="I116" s="111">
        <f>(100*B116)/N116</f>
        <v/>
      </c>
      <c r="J116" s="112">
        <f>((C116+F116)*100)/B116</f>
        <v/>
      </c>
      <c r="K116" s="112">
        <f>((D116+G116)*100)/B116</f>
        <v/>
      </c>
      <c r="L116" s="112">
        <f>((E116+H116)*100)/B116</f>
        <v/>
      </c>
      <c r="M116" s="114">
        <f>N116-B115</f>
        <v/>
      </c>
      <c r="N116" s="109">
        <f>O116+P116+Q116+R116+S116+T116</f>
        <v/>
      </c>
      <c r="O116" s="110" t="n">
        <v>1155.54834336786</v>
      </c>
      <c r="P116" s="110" t="n">
        <v>1062.69178006152</v>
      </c>
      <c r="Q116" s="110" t="n">
        <v>278.569689919039</v>
      </c>
      <c r="R116" s="110" t="n">
        <v>245.038153169525</v>
      </c>
      <c r="S116" s="110" t="n">
        <v>286.307736861235</v>
      </c>
      <c r="T116" s="110" t="n">
        <v>18.0554428651229</v>
      </c>
      <c r="U116" s="50" t="n">
        <v>304</v>
      </c>
      <c r="V116" s="112">
        <f>((O116+R116)*100)/N116</f>
        <v/>
      </c>
      <c r="W116" s="112">
        <f>((P116+S116)*100)/N116</f>
        <v/>
      </c>
      <c r="X116" s="112">
        <f>((Q116+T116)*100)/N116</f>
        <v/>
      </c>
    </row>
    <row r="117" ht="22.5" customHeight="1" s="150">
      <c r="A117" s="34" t="n">
        <v>115</v>
      </c>
      <c r="B117" s="109">
        <f>C117+D117+E117+F117+G117+H117</f>
        <v/>
      </c>
      <c r="C117" s="110" t="n">
        <v>90.27721432561469</v>
      </c>
      <c r="D117" s="110" t="n">
        <v>123.808751075128</v>
      </c>
      <c r="E117" s="110" t="n">
        <v>77.3804694219555</v>
      </c>
      <c r="F117" s="110" t="n">
        <v>193.451173554888</v>
      </c>
      <c r="G117" s="110" t="n">
        <v>201.189220497084</v>
      </c>
      <c r="H117" s="110" t="n">
        <v>79.9598184026873</v>
      </c>
      <c r="I117" s="111">
        <f>(100*B117)/N117</f>
        <v/>
      </c>
      <c r="J117" s="112">
        <f>((C117+F117)*100)/B117</f>
        <v/>
      </c>
      <c r="K117" s="112">
        <f>((D117+G117)*100)/B117</f>
        <v/>
      </c>
      <c r="L117" s="112">
        <f>((E117+H117)*100)/B117</f>
        <v/>
      </c>
      <c r="M117" s="114">
        <f>N117-B116</f>
        <v/>
      </c>
      <c r="N117" s="109">
        <f>O117+P117+Q117+R117+S117+T117</f>
        <v/>
      </c>
      <c r="O117" s="110" t="n">
        <v>1176.18313521372</v>
      </c>
      <c r="P117" s="110" t="n">
        <v>897.6134452946829</v>
      </c>
      <c r="Q117" s="110" t="n">
        <v>278.569689919039</v>
      </c>
      <c r="R117" s="110" t="n">
        <v>2259.5097071211</v>
      </c>
      <c r="S117" s="110" t="n">
        <v>1351.57886590348</v>
      </c>
      <c r="T117" s="110" t="n">
        <v>381.743649148313</v>
      </c>
      <c r="U117" s="50" t="n">
        <v>500</v>
      </c>
      <c r="V117" s="112">
        <f>((O117+R117)*100)/N117</f>
        <v/>
      </c>
      <c r="W117" s="112">
        <f>((P117+S117)*100)/N117</f>
        <v/>
      </c>
      <c r="X117" s="112">
        <f>((Q117+T117)*100)/N117</f>
        <v/>
      </c>
    </row>
    <row r="118" ht="22.5" customHeight="1" s="150">
      <c r="A118" s="34" t="n">
        <v>116</v>
      </c>
      <c r="B118" s="109">
        <f>C118+D118+E118+F118+G118+H118</f>
        <v/>
      </c>
      <c r="C118" s="110" t="n">
        <v>121.229402094396</v>
      </c>
      <c r="D118" s="110" t="n">
        <v>2.57934898073185</v>
      </c>
      <c r="E118" s="110" t="n">
        <v>2.57934898073185</v>
      </c>
      <c r="F118" s="110" t="n">
        <v>10.3173959229274</v>
      </c>
      <c r="G118" s="110" t="n">
        <v>0</v>
      </c>
      <c r="H118" s="110" t="n">
        <v>0</v>
      </c>
      <c r="I118" s="111">
        <f>(100*B118)/N118</f>
        <v/>
      </c>
      <c r="J118" s="112">
        <f>((C118+F118)*100)/B118</f>
        <v/>
      </c>
      <c r="K118" s="112">
        <f>((D118+G118)*100)/B118</f>
        <v/>
      </c>
      <c r="L118" s="112">
        <f>((E118+H118)*100)/B118</f>
        <v/>
      </c>
      <c r="M118" s="114">
        <f>N118-B117</f>
        <v/>
      </c>
      <c r="N118" s="109">
        <f>O118+P118+Q118+R118+S118+T118</f>
        <v/>
      </c>
      <c r="O118" s="110" t="n">
        <v>1119.43745763762</v>
      </c>
      <c r="P118" s="110" t="n">
        <v>910.510190198343</v>
      </c>
      <c r="Q118" s="110" t="n">
        <v>288.887085841967</v>
      </c>
      <c r="R118" s="110" t="n">
        <v>319.839273610749</v>
      </c>
      <c r="S118" s="110" t="n">
        <v>193.451173554888</v>
      </c>
      <c r="T118" s="110" t="n">
        <v>59.3250265568325</v>
      </c>
      <c r="U118" s="50" t="n">
        <v>315</v>
      </c>
      <c r="V118" s="112">
        <f>((O118+R118)*100)/N118</f>
        <v/>
      </c>
      <c r="W118" s="112">
        <f>((P118+S118)*100)/N118</f>
        <v/>
      </c>
      <c r="X118" s="112">
        <f>((Q118+T118)*100)/N118</f>
        <v/>
      </c>
    </row>
    <row r="119" ht="22.5" customHeight="1" s="150">
      <c r="A119" s="34" t="n">
        <v>117</v>
      </c>
      <c r="B119" s="109">
        <f>C119+D119+E119+F119+G119+H119</f>
        <v/>
      </c>
      <c r="C119" s="110" t="n">
        <v>33.531536749514</v>
      </c>
      <c r="D119" s="110" t="n">
        <v>136.705495978788</v>
      </c>
      <c r="E119" s="110" t="n">
        <v>46.4282816531733</v>
      </c>
      <c r="F119" s="110" t="n">
        <v>23.2141408265866</v>
      </c>
      <c r="G119" s="110" t="n">
        <v>15.4760938843911</v>
      </c>
      <c r="H119" s="110" t="n">
        <v>25.7934898073184</v>
      </c>
      <c r="I119" s="111">
        <f>(100*B119)/N119</f>
        <v/>
      </c>
      <c r="J119" s="112">
        <f>((C119+F119)*100)/B119</f>
        <v/>
      </c>
      <c r="K119" s="112">
        <f>((D119+G119)*100)/B119</f>
        <v/>
      </c>
      <c r="L119" s="112">
        <f>((E119+H119)*100)/B119</f>
        <v/>
      </c>
      <c r="M119" s="114">
        <f>N119-B118</f>
        <v/>
      </c>
      <c r="N119" s="109">
        <f>O119+P119+Q119+R119+S119+T119</f>
        <v/>
      </c>
      <c r="O119" s="110" t="n">
        <v>1119.43745763762</v>
      </c>
      <c r="P119" s="110" t="n">
        <v>809.9155799498</v>
      </c>
      <c r="Q119" s="110" t="n">
        <v>257.934898073185</v>
      </c>
      <c r="R119" s="110" t="n">
        <v>183.133777631961</v>
      </c>
      <c r="S119" s="110" t="n">
        <v>82.5391673834192</v>
      </c>
      <c r="T119" s="110" t="n">
        <v>23.2141408265866</v>
      </c>
      <c r="U119" s="50" t="n">
        <v>286</v>
      </c>
      <c r="V119" s="112">
        <f>((O119+R119)*100)/N119</f>
        <v/>
      </c>
      <c r="W119" s="112">
        <f>((P119+S119)*100)/N119</f>
        <v/>
      </c>
      <c r="X119" s="112">
        <f>((Q119+T119)*100)/N119</f>
        <v/>
      </c>
    </row>
    <row r="120" ht="22.5" customHeight="1" s="150">
      <c r="A120" s="34" t="n">
        <v>118</v>
      </c>
      <c r="B120" s="109">
        <f>C120+D120+E120+F120+G120+H120</f>
        <v/>
      </c>
      <c r="C120" s="110" t="n">
        <v>472.020863473928</v>
      </c>
      <c r="D120" s="110" t="n">
        <v>51.5869796146369</v>
      </c>
      <c r="E120" s="110" t="n">
        <v>87.6978653448828</v>
      </c>
      <c r="F120" s="110" t="n">
        <v>85.11851636415101</v>
      </c>
      <c r="G120" s="110" t="n">
        <v>7.73804694219555</v>
      </c>
      <c r="H120" s="110" t="n">
        <v>20.6347918458548</v>
      </c>
      <c r="I120" s="111">
        <f>(100*B120)/N120</f>
        <v/>
      </c>
      <c r="J120" s="112">
        <f>((C120+F120)*100)/B120</f>
        <v/>
      </c>
      <c r="K120" s="112">
        <f>((D120+G120)*100)/B120</f>
        <v/>
      </c>
      <c r="L120" s="112">
        <f>((E120+H120)*100)/B120</f>
        <v/>
      </c>
      <c r="M120" s="114">
        <f>N120-B119</f>
        <v/>
      </c>
      <c r="N120" s="109">
        <f>O120+P120+Q120+R120+S120+T120</f>
        <v/>
      </c>
      <c r="O120" s="110" t="n">
        <v>1021.42219636981</v>
      </c>
      <c r="P120" s="110" t="n">
        <v>817.6536268919961</v>
      </c>
      <c r="Q120" s="110" t="n">
        <v>221.824012342939</v>
      </c>
      <c r="R120" s="110" t="n">
        <v>453.965420608805</v>
      </c>
      <c r="S120" s="110" t="n">
        <v>330.156669533676</v>
      </c>
      <c r="T120" s="110" t="n">
        <v>33.531536749514</v>
      </c>
      <c r="U120" s="50" t="n">
        <v>348</v>
      </c>
      <c r="V120" s="112">
        <f>((O120+R120)*100)/N120</f>
        <v/>
      </c>
      <c r="W120" s="112">
        <f>((P120+S120)*100)/N120</f>
        <v/>
      </c>
      <c r="X120" s="112">
        <f>((Q120+T120)*100)/N120</f>
        <v/>
      </c>
    </row>
    <row r="121" ht="22.5" customHeight="1" s="150">
      <c r="A121" s="34" t="n">
        <v>119</v>
      </c>
      <c r="B121" s="109">
        <f>C121+D121+E121+F121+G121+H121</f>
        <v/>
      </c>
      <c r="C121" s="110" t="n">
        <v>43.8489326724414</v>
      </c>
      <c r="D121" s="110" t="n">
        <v>7.73804694219555</v>
      </c>
      <c r="E121" s="110" t="n">
        <v>5.1586979614637</v>
      </c>
      <c r="F121" s="110" t="n">
        <v>33.531536749514</v>
      </c>
      <c r="G121" s="110" t="n">
        <v>2.57934898073185</v>
      </c>
      <c r="H121" s="110" t="n">
        <v>12.8967449036592</v>
      </c>
      <c r="I121" s="111">
        <f>(100*B121)/N121</f>
        <v/>
      </c>
      <c r="J121" s="112">
        <f>((C121+F121)*100)/B121</f>
        <v/>
      </c>
      <c r="K121" s="112">
        <f>((D121+G121)*100)/B121</f>
        <v/>
      </c>
      <c r="L121" s="112">
        <f>((E121+H121)*100)/B121</f>
        <v/>
      </c>
      <c r="M121" s="114">
        <f>N121-B120</f>
        <v/>
      </c>
      <c r="N121" s="109">
        <f>O121+P121+Q121+R121+S121+T121</f>
        <v/>
      </c>
      <c r="O121" s="110" t="n">
        <v>1034.31894127347</v>
      </c>
      <c r="P121" s="110" t="n">
        <v>820.232975872728</v>
      </c>
      <c r="Q121" s="110" t="n">
        <v>237.30010622733</v>
      </c>
      <c r="R121" s="110" t="n">
        <v>495.235004300515</v>
      </c>
      <c r="S121" s="110" t="n">
        <v>306.94252870709</v>
      </c>
      <c r="T121" s="110" t="n">
        <v>72.22177146049179</v>
      </c>
      <c r="U121" s="50" t="n">
        <v>320</v>
      </c>
      <c r="V121" s="112">
        <f>((O121+R121)*100)/N121</f>
        <v/>
      </c>
      <c r="W121" s="112">
        <f>((P121+S121)*100)/N121</f>
        <v/>
      </c>
      <c r="X121" s="112">
        <f>((Q121+T121)*100)/N121</f>
        <v/>
      </c>
    </row>
    <row r="122" ht="22.5" customHeight="1" s="150">
      <c r="A122" s="34" t="n">
        <v>120</v>
      </c>
      <c r="B122" s="109">
        <f>C122+D122+E122+F122+G122+H122</f>
        <v/>
      </c>
      <c r="C122" s="110" t="n">
        <v>528.766541050029</v>
      </c>
      <c r="D122" s="110" t="n">
        <v>69.6424224797599</v>
      </c>
      <c r="E122" s="110" t="n">
        <v>92.8565633063466</v>
      </c>
      <c r="F122" s="110" t="n">
        <v>665.472037028817</v>
      </c>
      <c r="G122" s="110" t="n">
        <v>90.27721432561469</v>
      </c>
      <c r="H122" s="110" t="n">
        <v>87.6978653448828</v>
      </c>
      <c r="I122" s="111">
        <f>(100*B122)/N122</f>
        <v/>
      </c>
      <c r="J122" s="112">
        <f>((C122+F122)*100)/B122</f>
        <v/>
      </c>
      <c r="K122" s="112">
        <f>((D122+G122)*100)/B122</f>
        <v/>
      </c>
      <c r="L122" s="112">
        <f>((E122+H122)*100)/B122</f>
        <v/>
      </c>
      <c r="M122" s="114">
        <f>N122-B121</f>
        <v/>
      </c>
      <c r="N122" s="109">
        <f>O122+P122+Q122+R122+S122+T122</f>
        <v/>
      </c>
      <c r="O122" s="110" t="n">
        <v>959.517820832248</v>
      </c>
      <c r="P122" s="110" t="n">
        <v>727.376412566381</v>
      </c>
      <c r="Q122" s="110" t="n">
        <v>185.713126612693</v>
      </c>
      <c r="R122" s="110" t="n">
        <v>1702.37032728302</v>
      </c>
      <c r="S122" s="110" t="n">
        <v>1431.53868430617</v>
      </c>
      <c r="T122" s="110" t="n">
        <v>355.950159340995</v>
      </c>
      <c r="U122" s="50" t="n">
        <v>531</v>
      </c>
      <c r="V122" s="112">
        <f>((O122+R122)*100)/N122</f>
        <v/>
      </c>
      <c r="W122" s="112">
        <f>((P122+S122)*100)/N122</f>
        <v/>
      </c>
      <c r="X122" s="112">
        <f>((Q122+T122)*100)/N122</f>
        <v/>
      </c>
    </row>
    <row r="123" ht="22.5" customHeight="1" s="150">
      <c r="A123" s="34" t="n">
        <v>121</v>
      </c>
      <c r="B123" s="109">
        <f>C123+D123+E123+F123+G123+H123</f>
        <v/>
      </c>
      <c r="C123" s="110" t="n">
        <v>420.433883859291</v>
      </c>
      <c r="D123" s="110" t="n">
        <v>25.7934898073184</v>
      </c>
      <c r="E123" s="110" t="n">
        <v>15.4760938843911</v>
      </c>
      <c r="F123" s="110" t="n">
        <v>36.1108857302459</v>
      </c>
      <c r="G123" s="110" t="n">
        <v>0</v>
      </c>
      <c r="H123" s="110" t="n">
        <v>2.57934898073185</v>
      </c>
      <c r="I123" s="111">
        <f>(100*B123)/N123</f>
        <v/>
      </c>
      <c r="J123" s="112">
        <f>((C123+F123)*100)/B123</f>
        <v/>
      </c>
      <c r="K123" s="112">
        <f>((D123+G123)*100)/B123</f>
        <v/>
      </c>
      <c r="L123" s="112">
        <f>((E123+H123)*100)/B123</f>
        <v/>
      </c>
      <c r="M123" s="114">
        <f>N123-B122</f>
        <v/>
      </c>
      <c r="N123" s="109">
        <f>O123+P123+Q123+R123+S123+T123</f>
        <v/>
      </c>
      <c r="O123" s="110" t="n">
        <v>907.930841217611</v>
      </c>
      <c r="P123" s="110" t="n">
        <v>784.122090142482</v>
      </c>
      <c r="Q123" s="110" t="n">
        <v>206.347918458547</v>
      </c>
      <c r="R123" s="110" t="n">
        <v>319.839273610749</v>
      </c>
      <c r="S123" s="110" t="n">
        <v>324.997971572213</v>
      </c>
      <c r="T123" s="110" t="n">
        <v>43.8489326724414</v>
      </c>
      <c r="U123" s="50" t="n">
        <v>359</v>
      </c>
      <c r="V123" s="112">
        <f>((O123+R123)*100)/N123</f>
        <v/>
      </c>
      <c r="W123" s="112">
        <f>((P123+S123)*100)/N123</f>
        <v/>
      </c>
      <c r="X123" s="112">
        <f>((Q123+T123)*100)/N123</f>
        <v/>
      </c>
    </row>
    <row r="124" ht="22.5" customHeight="1" s="150">
      <c r="A124" s="34" t="n">
        <v>122</v>
      </c>
      <c r="B124" s="109">
        <f>C124+D124+E124+F124+G124+H124</f>
        <v/>
      </c>
      <c r="C124" s="110" t="n">
        <v>51.5869796146369</v>
      </c>
      <c r="D124" s="110" t="n">
        <v>2.57934898073185</v>
      </c>
      <c r="E124" s="110" t="n">
        <v>2.57934898073185</v>
      </c>
      <c r="F124" s="110" t="n">
        <v>0</v>
      </c>
      <c r="G124" s="110" t="n">
        <v>0</v>
      </c>
      <c r="H124" s="110" t="n">
        <v>0</v>
      </c>
      <c r="I124" s="111">
        <f>(100*B124)/N124</f>
        <v/>
      </c>
      <c r="J124" s="112">
        <f>((C124+F124)*100)/B124</f>
        <v/>
      </c>
      <c r="K124" s="112">
        <f>((D124+G124)*100)/B124</f>
        <v/>
      </c>
      <c r="L124" s="112">
        <f>((E124+H124)*100)/B124</f>
        <v/>
      </c>
      <c r="M124" s="114">
        <f>N124-B123</f>
        <v/>
      </c>
      <c r="N124" s="109">
        <f>O124+P124+Q124+R124+S124+T124</f>
        <v/>
      </c>
      <c r="O124" s="110" t="n">
        <v>951.779773890052</v>
      </c>
      <c r="P124" s="110" t="n">
        <v>809.9155799498</v>
      </c>
      <c r="Q124" s="110" t="n">
        <v>211.506616420011</v>
      </c>
      <c r="R124" s="110" t="n">
        <v>20.6347918458548</v>
      </c>
      <c r="S124" s="110" t="n">
        <v>5.1586979614637</v>
      </c>
      <c r="T124" s="110" t="n">
        <v>0</v>
      </c>
      <c r="U124" s="50" t="n">
        <v>271</v>
      </c>
      <c r="V124" s="112">
        <f>((O124+R124)*100)/N124</f>
        <v/>
      </c>
      <c r="W124" s="112">
        <f>((P124+S124)*100)/N124</f>
        <v/>
      </c>
      <c r="X124" s="112">
        <f>((Q124+T124)*100)/N124</f>
        <v/>
      </c>
    </row>
    <row r="125" ht="22.5" customHeight="1" s="150">
      <c r="A125" s="34" t="n">
        <v>123</v>
      </c>
      <c r="B125" s="109">
        <f>C125+D125+E125+F125+G125+H125</f>
        <v/>
      </c>
      <c r="C125" s="110" t="n">
        <v>12.8967449036592</v>
      </c>
      <c r="D125" s="110" t="n">
        <v>5.1586979614637</v>
      </c>
      <c r="E125" s="110" t="n">
        <v>0</v>
      </c>
      <c r="F125" s="110" t="n">
        <v>0</v>
      </c>
      <c r="G125" s="110" t="n">
        <v>0</v>
      </c>
      <c r="H125" s="110" t="n">
        <v>0</v>
      </c>
      <c r="I125" s="111">
        <f>(100*B125)/N125</f>
        <v/>
      </c>
      <c r="J125" s="112">
        <f>((C125+F125)*100)/B125</f>
        <v/>
      </c>
      <c r="K125" s="112">
        <f>((D125+G125)*100)/B125</f>
        <v/>
      </c>
      <c r="L125" s="112">
        <f>((E125+H125)*100)/B125</f>
        <v/>
      </c>
      <c r="M125" s="114">
        <f>N125-B124</f>
        <v/>
      </c>
      <c r="N125" s="109">
        <f>O125+P125+Q125+R125+S125+T125</f>
        <v/>
      </c>
      <c r="O125" s="110" t="n">
        <v>977.573263697371</v>
      </c>
      <c r="P125" s="110" t="n">
        <v>822.81232485346</v>
      </c>
      <c r="Q125" s="110" t="n">
        <v>219.244663362207</v>
      </c>
      <c r="R125" s="110" t="n">
        <v>0</v>
      </c>
      <c r="S125" s="110" t="n">
        <v>12.8967449036592</v>
      </c>
      <c r="T125" s="110" t="n">
        <v>0</v>
      </c>
      <c r="U125" s="50" t="n">
        <v>253</v>
      </c>
      <c r="V125" s="112">
        <f>((O125+R125)*100)/N125</f>
        <v/>
      </c>
      <c r="W125" s="112">
        <f>((P125+S125)*100)/N125</f>
        <v/>
      </c>
      <c r="X125" s="112">
        <f>((Q125+T125)*100)/N125</f>
        <v/>
      </c>
    </row>
    <row r="126" ht="22.5" customHeight="1" s="150">
      <c r="A126" s="34" t="n">
        <v>124</v>
      </c>
      <c r="B126" s="109">
        <f>C126+D126+E126+F126+G126+H126</f>
        <v/>
      </c>
      <c r="C126" s="110" t="n">
        <v>531.345890030761</v>
      </c>
      <c r="D126" s="110" t="n">
        <v>87.6978653448828</v>
      </c>
      <c r="E126" s="110" t="n">
        <v>43.8489326724414</v>
      </c>
      <c r="F126" s="110" t="n">
        <v>833.129720776387</v>
      </c>
      <c r="G126" s="110" t="n">
        <v>131.546798017324</v>
      </c>
      <c r="H126" s="110" t="n">
        <v>521.028494107833</v>
      </c>
      <c r="I126" s="111">
        <f>(100*B126)/N126</f>
        <v/>
      </c>
      <c r="J126" s="112">
        <f>((C126+F126)*100)/B126</f>
        <v/>
      </c>
      <c r="K126" s="112">
        <f>((D126+G126)*100)/B126</f>
        <v/>
      </c>
      <c r="L126" s="112">
        <f>((E126+H126)*100)/B126</f>
        <v/>
      </c>
      <c r="M126" s="114">
        <f>N126-B125</f>
        <v/>
      </c>
      <c r="N126" s="109">
        <f>O126+P126+Q126+R126+S126+T126</f>
        <v/>
      </c>
      <c r="O126" s="110" t="n">
        <v>900.1927942754151</v>
      </c>
      <c r="P126" s="110" t="n">
        <v>727.376412566381</v>
      </c>
      <c r="Q126" s="110" t="n">
        <v>170.237032728302</v>
      </c>
      <c r="R126" s="110" t="n">
        <v>1594.03767009228</v>
      </c>
      <c r="S126" s="110" t="n">
        <v>1369.63430876861</v>
      </c>
      <c r="T126" s="110" t="n">
        <v>263.093596034648</v>
      </c>
      <c r="U126" s="50" t="n">
        <v>490</v>
      </c>
      <c r="V126" s="112">
        <f>((O126+R126)*100)/N126</f>
        <v/>
      </c>
      <c r="W126" s="112">
        <f>((P126+S126)*100)/N126</f>
        <v/>
      </c>
      <c r="X126" s="112">
        <f>((Q126+T126)*100)/N126</f>
        <v/>
      </c>
    </row>
    <row r="127" ht="22.5" customHeight="1" s="150">
      <c r="A127" s="34" t="n">
        <v>125</v>
      </c>
      <c r="B127" s="109">
        <f>C127+D127+E127+F127+G127+H127</f>
        <v/>
      </c>
      <c r="C127" s="110" t="n">
        <v>18.0554428651229</v>
      </c>
      <c r="D127" s="110" t="n">
        <v>5.1586979614637</v>
      </c>
      <c r="E127" s="110" t="n">
        <v>2.57934898073185</v>
      </c>
      <c r="F127" s="110" t="n">
        <v>0</v>
      </c>
      <c r="G127" s="110" t="n">
        <v>0</v>
      </c>
      <c r="H127" s="110" t="n">
        <v>0</v>
      </c>
      <c r="I127" s="111">
        <f>(100*B127)/N127</f>
        <v/>
      </c>
      <c r="J127" s="112">
        <f>((C127+F127)*100)/B127</f>
        <v/>
      </c>
      <c r="K127" s="112">
        <f>((D127+G127)*100)/B127</f>
        <v/>
      </c>
      <c r="L127" s="112">
        <f>((E127+H127)*100)/B127</f>
        <v/>
      </c>
      <c r="M127" s="114">
        <f>N127-B126</f>
        <v/>
      </c>
      <c r="N127" s="109">
        <f>O127+P127+Q127+R127+S127+T127</f>
        <v/>
      </c>
      <c r="O127" s="110" t="n">
        <v>895.034096313952</v>
      </c>
      <c r="P127" s="110" t="n">
        <v>717.059016643454</v>
      </c>
      <c r="Q127" s="110" t="n">
        <v>170.237032728302</v>
      </c>
      <c r="R127" s="110" t="n">
        <v>10.3173959229274</v>
      </c>
      <c r="S127" s="110" t="n">
        <v>5.1586979614637</v>
      </c>
      <c r="T127" s="110" t="n">
        <v>0</v>
      </c>
      <c r="U127" s="50" t="n">
        <v>235</v>
      </c>
      <c r="V127" s="112">
        <f>((O127+R127)*100)/N127</f>
        <v/>
      </c>
      <c r="W127" s="112">
        <f>((P127+S127)*100)/N127</f>
        <v/>
      </c>
      <c r="X127" s="112">
        <f>((Q127+T127)*100)/N127</f>
        <v/>
      </c>
    </row>
    <row r="128" ht="22.5" customHeight="1" s="150">
      <c r="A128" s="34" t="n">
        <v>126</v>
      </c>
      <c r="B128" s="109">
        <f>C128+D128+E128+F128+G128+H128</f>
        <v/>
      </c>
      <c r="C128" s="110" t="n">
        <v>5.1586979614637</v>
      </c>
      <c r="D128" s="110" t="n">
        <v>0</v>
      </c>
      <c r="E128" s="110" t="n">
        <v>0</v>
      </c>
      <c r="F128" s="110" t="n">
        <v>0</v>
      </c>
      <c r="G128" s="110" t="n">
        <v>0</v>
      </c>
      <c r="H128" s="110" t="n">
        <v>0</v>
      </c>
      <c r="I128" s="111">
        <f>(100*B128)/N128</f>
        <v/>
      </c>
      <c r="J128" s="112">
        <f>((C128+F128)*100)/B128</f>
        <v/>
      </c>
      <c r="K128" s="112">
        <f>((D128+G128)*100)/B128</f>
        <v/>
      </c>
      <c r="L128" s="112">
        <f>((E128+H128)*100)/B128</f>
        <v/>
      </c>
      <c r="M128" s="114">
        <f>N128-B127</f>
        <v/>
      </c>
      <c r="N128" s="109">
        <f>O128+P128+Q128+R128+S128+T128</f>
        <v/>
      </c>
      <c r="O128" s="110" t="n">
        <v>900.1927942754151</v>
      </c>
      <c r="P128" s="110" t="n">
        <v>758.3286003351629</v>
      </c>
      <c r="Q128" s="110" t="n">
        <v>183.133777631961</v>
      </c>
      <c r="R128" s="110" t="n">
        <v>10.3173959229274</v>
      </c>
      <c r="S128" s="110" t="n">
        <v>2.57934898073185</v>
      </c>
      <c r="T128" s="110" t="n">
        <v>7.73804694219555</v>
      </c>
      <c r="U128" s="50" t="n">
        <v>242</v>
      </c>
      <c r="V128" s="112">
        <f>((O128+R128)*100)/N128</f>
        <v/>
      </c>
      <c r="W128" s="112">
        <f>((P128+S128)*100)/N128</f>
        <v/>
      </c>
      <c r="X128" s="112">
        <f>((Q128+T128)*100)/N128</f>
        <v/>
      </c>
    </row>
    <row r="129" ht="22.5" customHeight="1" s="150">
      <c r="A129" s="34" t="n">
        <v>127</v>
      </c>
      <c r="B129" s="109">
        <f>C129+D129+E129+F129+G129+H129</f>
        <v/>
      </c>
      <c r="C129" s="110" t="n">
        <v>56.7456775761007</v>
      </c>
      <c r="D129" s="110" t="n">
        <v>7.73804694219555</v>
      </c>
      <c r="E129" s="110" t="n">
        <v>7.73804694219555</v>
      </c>
      <c r="F129" s="110" t="n">
        <v>10.3173959229274</v>
      </c>
      <c r="G129" s="110" t="n">
        <v>0</v>
      </c>
      <c r="H129" s="110" t="n">
        <v>0</v>
      </c>
      <c r="I129" s="111">
        <f>(100*B129)/N129</f>
        <v/>
      </c>
      <c r="J129" s="112">
        <f>((C129+F129)*100)/B129</f>
        <v/>
      </c>
      <c r="K129" s="112">
        <f>((D129+G129)*100)/B129</f>
        <v/>
      </c>
      <c r="L129" s="112">
        <f>((E129+H129)*100)/B129</f>
        <v/>
      </c>
      <c r="M129" s="114">
        <f>N129-B128</f>
        <v/>
      </c>
      <c r="N129" s="109">
        <f>O129+P129+Q129+R129+S129+T129</f>
        <v/>
      </c>
      <c r="O129" s="110" t="n">
        <v>861.502559564437</v>
      </c>
      <c r="P129" s="110" t="n">
        <v>776.384043200286</v>
      </c>
      <c r="Q129" s="110" t="n">
        <v>172.816381709033</v>
      </c>
      <c r="R129" s="110" t="n">
        <v>72.22177146049179</v>
      </c>
      <c r="S129" s="110" t="n">
        <v>49.0076306339051</v>
      </c>
      <c r="T129" s="110" t="n">
        <v>2.57934898073185</v>
      </c>
      <c r="U129" s="50" t="n">
        <v>240</v>
      </c>
      <c r="V129" s="112">
        <f>((O129+R129)*100)/N129</f>
        <v/>
      </c>
      <c r="W129" s="112">
        <f>((P129+S129)*100)/N129</f>
        <v/>
      </c>
      <c r="X129" s="112">
        <f>((Q129+T129)*100)/N129</f>
        <v/>
      </c>
    </row>
    <row r="130" ht="22.5" customHeight="1" s="150">
      <c r="A130" s="34" t="n">
        <v>128</v>
      </c>
      <c r="B130" s="109">
        <f>C130+D130+E130+F130+G130+H130</f>
        <v/>
      </c>
      <c r="C130" s="110" t="n">
        <v>257.934898073185</v>
      </c>
      <c r="D130" s="110" t="n">
        <v>15.4760938843911</v>
      </c>
      <c r="E130" s="110" t="n">
        <v>30.9521877687822</v>
      </c>
      <c r="F130" s="110" t="n">
        <v>116.070704132933</v>
      </c>
      <c r="G130" s="110" t="n">
        <v>30.9521877687822</v>
      </c>
      <c r="H130" s="110" t="n">
        <v>23.2141408265866</v>
      </c>
      <c r="I130" s="111">
        <f>(100*B130)/N130</f>
        <v/>
      </c>
      <c r="J130" s="112">
        <f>((C130+F130)*100)/B130</f>
        <v/>
      </c>
      <c r="K130" s="112">
        <f>((D130+G130)*100)/B130</f>
        <v/>
      </c>
      <c r="L130" s="112">
        <f>((E130+H130)*100)/B130</f>
        <v/>
      </c>
      <c r="M130" s="114">
        <f>N130-B129</f>
        <v/>
      </c>
      <c r="N130" s="109">
        <f>O130+P130+Q130+R130+S130+T130</f>
        <v/>
      </c>
      <c r="O130" s="110" t="n">
        <v>781.54274116175</v>
      </c>
      <c r="P130" s="110" t="n">
        <v>750.590553392968</v>
      </c>
      <c r="Q130" s="110" t="n">
        <v>183.133777631961</v>
      </c>
      <c r="R130" s="110" t="n">
        <v>1098.80266579176</v>
      </c>
      <c r="S130" s="110" t="n">
        <v>956.9384718515161</v>
      </c>
      <c r="T130" s="110" t="n">
        <v>162.498985786106</v>
      </c>
      <c r="U130" s="50" t="n">
        <v>377</v>
      </c>
      <c r="V130" s="112">
        <f>((O130+R130)*100)/N130</f>
        <v/>
      </c>
      <c r="W130" s="112">
        <f>((P130+S130)*100)/N130</f>
        <v/>
      </c>
      <c r="X130" s="112">
        <f>((Q130+T130)*100)/N130</f>
        <v/>
      </c>
    </row>
    <row r="131" ht="22.5" customHeight="1" s="150">
      <c r="A131" s="34" t="n">
        <v>129</v>
      </c>
      <c r="B131" s="109">
        <f>C131+D131+E131+F131+G131+H131</f>
        <v/>
      </c>
      <c r="C131" s="110" t="n">
        <v>141.864193940251</v>
      </c>
      <c r="D131" s="110" t="n">
        <v>12.8967449036592</v>
      </c>
      <c r="E131" s="110" t="n">
        <v>12.8967449036592</v>
      </c>
      <c r="F131" s="110" t="n">
        <v>36.1108857302459</v>
      </c>
      <c r="G131" s="110" t="n">
        <v>0</v>
      </c>
      <c r="H131" s="110" t="n">
        <v>2.57934898073185</v>
      </c>
      <c r="I131" s="111">
        <f>(100*B131)/N131</f>
        <v/>
      </c>
      <c r="J131" s="112">
        <f>((C131+F131)*100)/B131</f>
        <v/>
      </c>
      <c r="K131" s="112">
        <f>((D131+G131)*100)/B131</f>
        <v/>
      </c>
      <c r="L131" s="112">
        <f>((E131+H131)*100)/B131</f>
        <v/>
      </c>
      <c r="M131" s="114">
        <f>N131-B130</f>
        <v/>
      </c>
      <c r="N131" s="109">
        <f>O131+P131+Q131+R131+S131+T131</f>
        <v/>
      </c>
      <c r="O131" s="110" t="n">
        <v>753.1699023737</v>
      </c>
      <c r="P131" s="110" t="n">
        <v>737.693808489309</v>
      </c>
      <c r="Q131" s="110" t="n">
        <v>201.189220497084</v>
      </c>
      <c r="R131" s="110" t="n">
        <v>273.410991957576</v>
      </c>
      <c r="S131" s="110" t="n">
        <v>214.085965400743</v>
      </c>
      <c r="T131" s="110" t="n">
        <v>64.4837245182962</v>
      </c>
      <c r="U131" s="50" t="n">
        <v>325</v>
      </c>
      <c r="V131" s="112">
        <f>((O131+R131)*100)/N131</f>
        <v/>
      </c>
      <c r="W131" s="112">
        <f>((P131+S131)*100)/N131</f>
        <v/>
      </c>
      <c r="X131" s="112">
        <f>((Q131+T131)*100)/N131</f>
        <v/>
      </c>
    </row>
    <row r="132" ht="22.5" customHeight="1" s="150">
      <c r="A132" s="34" t="n">
        <v>130</v>
      </c>
      <c r="B132" s="109">
        <f>C132+D132+E132+F132+G132+H132</f>
        <v/>
      </c>
      <c r="C132" s="110" t="n">
        <v>121.229402094396</v>
      </c>
      <c r="D132" s="110" t="n">
        <v>33.531536749514</v>
      </c>
      <c r="E132" s="110" t="n">
        <v>28.3728387880503</v>
      </c>
      <c r="F132" s="110" t="n">
        <v>25.7934898073184</v>
      </c>
      <c r="G132" s="110" t="n">
        <v>18.0554428651229</v>
      </c>
      <c r="H132" s="110" t="n">
        <v>7.73804694219555</v>
      </c>
      <c r="I132" s="111">
        <f>(100*B132)/N132</f>
        <v/>
      </c>
      <c r="J132" s="112">
        <f>((C132+F132)*100)/B132</f>
        <v/>
      </c>
      <c r="K132" s="112">
        <f>((D132+G132)*100)/B132</f>
        <v/>
      </c>
      <c r="L132" s="112">
        <f>((E132+H132)*100)/B132</f>
        <v/>
      </c>
      <c r="M132" s="114">
        <f>N132-B131</f>
        <v/>
      </c>
      <c r="N132" s="109">
        <f>O132+P132+Q132+R132+S132+T132</f>
        <v/>
      </c>
      <c r="O132" s="110" t="n">
        <v>711.90031868199</v>
      </c>
      <c r="P132" s="110" t="n">
        <v>729.955761547113</v>
      </c>
      <c r="Q132" s="110" t="n">
        <v>193.451173554888</v>
      </c>
      <c r="R132" s="110" t="n">
        <v>234.720757246598</v>
      </c>
      <c r="S132" s="110" t="n">
        <v>245.038153169525</v>
      </c>
      <c r="T132" s="110" t="n">
        <v>51.5869796146369</v>
      </c>
      <c r="U132" s="50" t="n">
        <v>348</v>
      </c>
      <c r="V132" s="112">
        <f>((O132+R132)*100)/N132</f>
        <v/>
      </c>
      <c r="W132" s="112">
        <f>((P132+S132)*100)/N132</f>
        <v/>
      </c>
      <c r="X132" s="112">
        <f>((Q132+T132)*100)/N132</f>
        <v/>
      </c>
    </row>
    <row r="133" ht="22.5" customHeight="1" s="150">
      <c r="A133" s="34" t="n">
        <v>131</v>
      </c>
      <c r="B133" s="109">
        <f>C133+D133+E133+F133+G133+H133</f>
        <v/>
      </c>
      <c r="C133" s="110" t="n">
        <v>105.753308210005</v>
      </c>
      <c r="D133" s="110" t="n">
        <v>23.2141408265866</v>
      </c>
      <c r="E133" s="110" t="n">
        <v>18.0554428651229</v>
      </c>
      <c r="F133" s="110" t="n">
        <v>0</v>
      </c>
      <c r="G133" s="110" t="n">
        <v>0</v>
      </c>
      <c r="H133" s="110" t="n">
        <v>0</v>
      </c>
      <c r="I133" s="111">
        <f>(100*B133)/N133</f>
        <v/>
      </c>
      <c r="J133" s="112">
        <f>((C133+F133)*100)/B133</f>
        <v/>
      </c>
      <c r="K133" s="112">
        <f>((D133+G133)*100)/B133</f>
        <v/>
      </c>
      <c r="L133" s="112">
        <f>((E133+H133)*100)/B133</f>
        <v/>
      </c>
      <c r="M133" s="114">
        <f>N133-B132</f>
        <v/>
      </c>
      <c r="N133" s="109">
        <f>O133+P133+Q133+R133+S133+T133</f>
        <v/>
      </c>
      <c r="O133" s="110" t="n">
        <v>704.162271739795</v>
      </c>
      <c r="P133" s="110" t="n">
        <v>732.5351105278449</v>
      </c>
      <c r="Q133" s="110" t="n">
        <v>190.871824574156</v>
      </c>
      <c r="R133" s="110" t="n">
        <v>41.2695836917096</v>
      </c>
      <c r="S133" s="110" t="n">
        <v>28.3728387880503</v>
      </c>
      <c r="T133" s="110" t="n">
        <v>5.1586979614637</v>
      </c>
      <c r="U133" s="50" t="n">
        <v>271</v>
      </c>
      <c r="V133" s="112">
        <f>((O133+R133)*100)/N133</f>
        <v/>
      </c>
      <c r="W133" s="112">
        <f>((P133+S133)*100)/N133</f>
        <v/>
      </c>
      <c r="X133" s="112">
        <f>((Q133+T133)*100)/N133</f>
        <v/>
      </c>
    </row>
    <row r="134" ht="22.5" customHeight="1" s="150">
      <c r="A134" s="34" t="n">
        <v>132</v>
      </c>
      <c r="B134" s="109">
        <f>C134+D134+E134+F134+G134+H134</f>
        <v/>
      </c>
      <c r="C134" s="110" t="n">
        <v>105.753308210005</v>
      </c>
      <c r="D134" s="110" t="n">
        <v>38.6902347109777</v>
      </c>
      <c r="E134" s="110" t="n">
        <v>25.7934898073184</v>
      </c>
      <c r="F134" s="110" t="n">
        <v>30.9521877687822</v>
      </c>
      <c r="G134" s="110" t="n">
        <v>41.2695836917096</v>
      </c>
      <c r="H134" s="110" t="n">
        <v>0</v>
      </c>
      <c r="I134" s="111">
        <f>(100*B134)/N134</f>
        <v/>
      </c>
      <c r="J134" s="112">
        <f>((C134+F134)*100)/B134</f>
        <v/>
      </c>
      <c r="K134" s="112">
        <f>((D134+G134)*100)/B134</f>
        <v/>
      </c>
      <c r="L134" s="112">
        <f>((E134+H134)*100)/B134</f>
        <v/>
      </c>
      <c r="M134" s="114">
        <f>N134-B133</f>
        <v/>
      </c>
      <c r="N134" s="109">
        <f>O134+P134+Q134+R134+S134+T134</f>
        <v/>
      </c>
      <c r="O134" s="110" t="n">
        <v>701.582922759063</v>
      </c>
      <c r="P134" s="110" t="n">
        <v>691.265526836135</v>
      </c>
      <c r="Q134" s="110" t="n">
        <v>206.347918458547</v>
      </c>
      <c r="R134" s="110" t="n">
        <v>337.894716475872</v>
      </c>
      <c r="S134" s="110" t="n">
        <v>412.695836917095</v>
      </c>
      <c r="T134" s="110" t="n">
        <v>118.650053113665</v>
      </c>
      <c r="U134" s="50" t="n">
        <v>361</v>
      </c>
      <c r="V134" s="112">
        <f>((O134+R134)*100)/N134</f>
        <v/>
      </c>
      <c r="W134" s="112">
        <f>((P134+S134)*100)/N134</f>
        <v/>
      </c>
      <c r="X134" s="112">
        <f>((Q134+T134)*100)/N134</f>
        <v/>
      </c>
    </row>
    <row r="135" ht="22.5" customHeight="1" s="150">
      <c r="A135" s="34" t="n">
        <v>133</v>
      </c>
      <c r="B135" s="109">
        <f>C135+D135+E135+F135+G135+H135</f>
        <v/>
      </c>
      <c r="C135" s="110" t="n">
        <v>539.0839369729561</v>
      </c>
      <c r="D135" s="110" t="n">
        <v>12.8967449036592</v>
      </c>
      <c r="E135" s="110" t="n">
        <v>108.332657190737</v>
      </c>
      <c r="F135" s="110" t="n">
        <v>183.133777631961</v>
      </c>
      <c r="G135" s="110" t="n">
        <v>18.0554428651229</v>
      </c>
      <c r="H135" s="110" t="n">
        <v>20.6347918458548</v>
      </c>
      <c r="I135" s="111">
        <f>(100*B135)/N135</f>
        <v/>
      </c>
      <c r="J135" s="112">
        <f>((C135+F135)*100)/B135</f>
        <v/>
      </c>
      <c r="K135" s="112">
        <f>((D135+G135)*100)/B135</f>
        <v/>
      </c>
      <c r="L135" s="112">
        <f>((E135+H135)*100)/B135</f>
        <v/>
      </c>
      <c r="M135" s="114">
        <f>N135-B134</f>
        <v/>
      </c>
      <c r="N135" s="109">
        <f>O135+P135+Q135+R135+S135+T135</f>
        <v/>
      </c>
      <c r="O135" s="110" t="n">
        <v>820.232975872728</v>
      </c>
      <c r="P135" s="110" t="n">
        <v>699.003573778331</v>
      </c>
      <c r="Q135" s="110" t="n">
        <v>152.181589863179</v>
      </c>
      <c r="R135" s="110" t="n">
        <v>781.54274116175</v>
      </c>
      <c r="S135" s="110" t="n">
        <v>595.8296145490571</v>
      </c>
      <c r="T135" s="110" t="n">
        <v>108.332657190737</v>
      </c>
      <c r="U135" s="50" t="n">
        <v>454</v>
      </c>
      <c r="V135" s="112">
        <f>((O135+R135)*100)/N135</f>
        <v/>
      </c>
      <c r="W135" s="112">
        <f>((P135+S135)*100)/N135</f>
        <v/>
      </c>
      <c r="X135" s="112">
        <f>((Q135+T135)*100)/N135</f>
        <v/>
      </c>
    </row>
    <row r="136" ht="22.5" customHeight="1" s="150">
      <c r="A136" s="34" t="n">
        <v>134</v>
      </c>
      <c r="B136" s="109">
        <f>C136+D136+E136+F136+G136+H136</f>
        <v/>
      </c>
      <c r="C136" s="110" t="n">
        <v>15.4760938843911</v>
      </c>
      <c r="D136" s="110" t="n">
        <v>0</v>
      </c>
      <c r="E136" s="110" t="n">
        <v>0</v>
      </c>
      <c r="F136" s="110" t="n">
        <v>0</v>
      </c>
      <c r="G136" s="110" t="n">
        <v>0</v>
      </c>
      <c r="H136" s="110" t="n">
        <v>0</v>
      </c>
      <c r="I136" s="111">
        <f>(100*B136)/N136</f>
        <v/>
      </c>
      <c r="J136" s="112">
        <f>((C136+F136)*100)/B136</f>
        <v/>
      </c>
      <c r="K136" s="112">
        <f>((D136+G136)*100)/B136</f>
        <v/>
      </c>
      <c r="L136" s="112">
        <f>((E136+H136)*100)/B136</f>
        <v/>
      </c>
      <c r="M136" s="114">
        <f>N136-B135</f>
        <v/>
      </c>
      <c r="N136" s="109">
        <f>O136+P136+Q136+R136+S136+T136</f>
        <v/>
      </c>
      <c r="O136" s="110" t="n">
        <v>858.923210583706</v>
      </c>
      <c r="P136" s="110" t="n">
        <v>735.1144595085771</v>
      </c>
      <c r="Q136" s="110" t="n">
        <v>162.498985786106</v>
      </c>
      <c r="R136" s="110" t="n">
        <v>10.3173959229274</v>
      </c>
      <c r="S136" s="110" t="n">
        <v>0</v>
      </c>
      <c r="T136" s="110" t="n">
        <v>0</v>
      </c>
      <c r="U136" s="50" t="n">
        <v>227</v>
      </c>
      <c r="V136" s="112">
        <f>((O136+R136)*100)/N136</f>
        <v/>
      </c>
      <c r="W136" s="112">
        <f>((P136+S136)*100)/N136</f>
        <v/>
      </c>
      <c r="X136" s="112">
        <f>((Q136+T136)*100)/N136</f>
        <v/>
      </c>
    </row>
    <row r="137" ht="22.5" customHeight="1" s="150">
      <c r="A137" s="34" t="n">
        <v>135</v>
      </c>
      <c r="B137" s="109">
        <f>C137+D137+E137+F137+G137+H137</f>
        <v/>
      </c>
      <c r="C137" s="110" t="n">
        <v>221.824012342939</v>
      </c>
      <c r="D137" s="110" t="n">
        <v>12.8967449036592</v>
      </c>
      <c r="E137" s="110" t="n">
        <v>10.3173959229274</v>
      </c>
      <c r="F137" s="110" t="n">
        <v>51.5869796146369</v>
      </c>
      <c r="G137" s="110" t="n">
        <v>12.8967449036592</v>
      </c>
      <c r="H137" s="110" t="n">
        <v>5.1586979614637</v>
      </c>
      <c r="I137" s="111">
        <f>(100*B137)/N137</f>
        <v/>
      </c>
      <c r="J137" s="112">
        <f>((C137+F137)*100)/B137</f>
        <v/>
      </c>
      <c r="K137" s="112">
        <f>((D137+G137)*100)/B137</f>
        <v/>
      </c>
      <c r="L137" s="112">
        <f>((E137+H137)*100)/B137</f>
        <v/>
      </c>
      <c r="M137" s="114">
        <f>N137-B136</f>
        <v/>
      </c>
      <c r="N137" s="109">
        <f>O137+P137+Q137+R137+S137+T137</f>
        <v/>
      </c>
      <c r="O137" s="110" t="n">
        <v>812.494928930532</v>
      </c>
      <c r="P137" s="110" t="n">
        <v>727.376412566381</v>
      </c>
      <c r="Q137" s="110" t="n">
        <v>185.713126612693</v>
      </c>
      <c r="R137" s="110" t="n">
        <v>750.590553392968</v>
      </c>
      <c r="S137" s="110" t="n">
        <v>915.668888159806</v>
      </c>
      <c r="T137" s="110" t="n">
        <v>165.078334766838</v>
      </c>
      <c r="U137" s="50" t="n">
        <v>353</v>
      </c>
      <c r="V137" s="112">
        <f>((O137+R137)*100)/N137</f>
        <v/>
      </c>
      <c r="W137" s="112">
        <f>((P137+S137)*100)/N137</f>
        <v/>
      </c>
      <c r="X137" s="112">
        <f>((Q137+T137)*100)/N137</f>
        <v/>
      </c>
    </row>
    <row r="138" ht="22.5" customHeight="1" s="150">
      <c r="A138" s="34" t="n">
        <v>136</v>
      </c>
      <c r="B138" s="109">
        <f>C138+D138+E138+F138+G138+H138</f>
        <v/>
      </c>
      <c r="C138" s="110" t="n">
        <v>404.9577899749</v>
      </c>
      <c r="D138" s="110" t="n">
        <v>23.2141408265866</v>
      </c>
      <c r="E138" s="110" t="n">
        <v>64.4837245182962</v>
      </c>
      <c r="F138" s="110" t="n">
        <v>306.94252870709</v>
      </c>
      <c r="G138" s="110" t="n">
        <v>72.22177146049179</v>
      </c>
      <c r="H138" s="110" t="n">
        <v>54.1663285953688</v>
      </c>
      <c r="I138" s="111">
        <f>(100*B138)/N138</f>
        <v/>
      </c>
      <c r="J138" s="112">
        <f>((C138+F138)*100)/B138</f>
        <v/>
      </c>
      <c r="K138" s="112">
        <f>((D138+G138)*100)/B138</f>
        <v/>
      </c>
      <c r="L138" s="112">
        <f>((E138+H138)*100)/B138</f>
        <v/>
      </c>
      <c r="M138" s="114">
        <f>N138-B137</f>
        <v/>
      </c>
      <c r="N138" s="109">
        <f>O138+P138+Q138+R138+S138+T138</f>
        <v/>
      </c>
      <c r="O138" s="110" t="n">
        <v>781.54274116175</v>
      </c>
      <c r="P138" s="110" t="n">
        <v>833.129720776387</v>
      </c>
      <c r="Q138" s="110" t="n">
        <v>177.975079670497</v>
      </c>
      <c r="R138" s="110" t="n">
        <v>1152.96899438713</v>
      </c>
      <c r="S138" s="110" t="n">
        <v>1418.64193940251</v>
      </c>
      <c r="T138" s="110" t="n">
        <v>152.181589863179</v>
      </c>
      <c r="U138" s="50" t="n">
        <v>387</v>
      </c>
      <c r="V138" s="112">
        <f>((O138+R138)*100)/N138</f>
        <v/>
      </c>
      <c r="W138" s="112">
        <f>((P138+S138)*100)/N138</f>
        <v/>
      </c>
      <c r="X138" s="112">
        <f>((Q138+T138)*100)/N138</f>
        <v/>
      </c>
    </row>
    <row r="139" ht="22.5" customHeight="1" s="150">
      <c r="A139" s="34" t="n">
        <v>137</v>
      </c>
      <c r="B139" s="109">
        <f>C139+D139+E139+F139+G139+H139</f>
        <v/>
      </c>
      <c r="C139" s="110" t="n">
        <v>363.68820628319</v>
      </c>
      <c r="D139" s="110" t="n">
        <v>69.6424224797599</v>
      </c>
      <c r="E139" s="110" t="n">
        <v>103.173959229273</v>
      </c>
      <c r="F139" s="110" t="n">
        <v>384.322998129045</v>
      </c>
      <c r="G139" s="110" t="n">
        <v>72.22177146049179</v>
      </c>
      <c r="H139" s="110" t="n">
        <v>25.7934898073184</v>
      </c>
      <c r="I139" s="111">
        <f>(100*B139)/N139</f>
        <v/>
      </c>
      <c r="J139" s="112">
        <f>((C139+F139)*100)/B139</f>
        <v/>
      </c>
      <c r="K139" s="112">
        <f>((D139+G139)*100)/B139</f>
        <v/>
      </c>
      <c r="L139" s="112">
        <f>((E139+H139)*100)/B139</f>
        <v/>
      </c>
      <c r="M139" s="114">
        <f>N139-B138</f>
        <v/>
      </c>
      <c r="N139" s="109">
        <f>O139+P139+Q139+R139+S139+T139</f>
        <v/>
      </c>
      <c r="O139" s="110" t="n">
        <v>675.7894329517439</v>
      </c>
      <c r="P139" s="110" t="n">
        <v>791.8601370846779</v>
      </c>
      <c r="Q139" s="110" t="n">
        <v>152.181589863179</v>
      </c>
      <c r="R139" s="110" t="n">
        <v>1168.44508827152</v>
      </c>
      <c r="S139" s="110" t="n">
        <v>1186.50053113665</v>
      </c>
      <c r="T139" s="110" t="n">
        <v>183.133777631961</v>
      </c>
      <c r="U139" s="50" t="n">
        <v>428</v>
      </c>
      <c r="V139" s="112">
        <f>((O139+R139)*100)/N139</f>
        <v/>
      </c>
      <c r="W139" s="112">
        <f>((P139+S139)*100)/N139</f>
        <v/>
      </c>
      <c r="X139" s="112">
        <f>((Q139+T139)*100)/N139</f>
        <v/>
      </c>
    </row>
    <row r="140" ht="22.5" customHeight="1" s="150">
      <c r="A140" s="34" t="n">
        <v>138</v>
      </c>
      <c r="B140" s="109">
        <f>C140+D140+E140+F140+G140+H140</f>
        <v/>
      </c>
      <c r="C140" s="110" t="n">
        <v>20.6347918458548</v>
      </c>
      <c r="D140" s="110" t="n">
        <v>0</v>
      </c>
      <c r="E140" s="110" t="n">
        <v>0</v>
      </c>
      <c r="F140" s="110" t="n">
        <v>0</v>
      </c>
      <c r="G140" s="110" t="n">
        <v>0</v>
      </c>
      <c r="H140" s="110" t="n">
        <v>0</v>
      </c>
      <c r="I140" s="111">
        <f>(100*B140)/N140</f>
        <v/>
      </c>
      <c r="J140" s="112">
        <f>((C140+F140)*100)/B140</f>
        <v/>
      </c>
      <c r="K140" s="112">
        <f>((D140+G140)*100)/B140</f>
        <v/>
      </c>
      <c r="L140" s="112">
        <f>((E140+H140)*100)/B140</f>
        <v/>
      </c>
      <c r="M140" s="114">
        <f>N140-B139</f>
        <v/>
      </c>
      <c r="N140" s="109">
        <f>O140+P140+Q140+R140+S140+T140</f>
        <v/>
      </c>
      <c r="O140" s="110" t="n">
        <v>706.741620720527</v>
      </c>
      <c r="P140" s="110" t="n">
        <v>825.391673834191</v>
      </c>
      <c r="Q140" s="110" t="n">
        <v>162.498985786106</v>
      </c>
      <c r="R140" s="110" t="n">
        <v>7.73804694219555</v>
      </c>
      <c r="S140" s="110" t="n">
        <v>20.6347918458548</v>
      </c>
      <c r="T140" s="110" t="n">
        <v>0</v>
      </c>
      <c r="U140" s="50" t="n">
        <v>224</v>
      </c>
      <c r="V140" s="112">
        <f>((O140+R140)*100)/N140</f>
        <v/>
      </c>
      <c r="W140" s="112">
        <f>((P140+S140)*100)/N140</f>
        <v/>
      </c>
      <c r="X140" s="112">
        <f>((Q140+T140)*100)/N140</f>
        <v/>
      </c>
    </row>
    <row r="141" ht="22.5" customHeight="1" s="150">
      <c r="A141" s="34" t="n">
        <v>139</v>
      </c>
      <c r="B141" s="109">
        <f>C141+D141+E141+F141+G141+H141</f>
        <v/>
      </c>
      <c r="C141" s="110" t="n">
        <v>141.864193940251</v>
      </c>
      <c r="D141" s="110" t="n">
        <v>38.6902347109777</v>
      </c>
      <c r="E141" s="110" t="n">
        <v>20.6347918458548</v>
      </c>
      <c r="F141" s="110" t="n">
        <v>49.0076306339051</v>
      </c>
      <c r="G141" s="110" t="n">
        <v>64.4837245182962</v>
      </c>
      <c r="H141" s="110" t="n">
        <v>23.2141408265866</v>
      </c>
      <c r="I141" s="111">
        <f>(100*B141)/N141</f>
        <v/>
      </c>
      <c r="J141" s="112">
        <f>((C141+F141)*100)/B141</f>
        <v/>
      </c>
      <c r="K141" s="112">
        <f>((D141+G141)*100)/B141</f>
        <v/>
      </c>
      <c r="L141" s="112">
        <f>((E141+H141)*100)/B141</f>
        <v/>
      </c>
      <c r="M141" s="114">
        <f>N141-B140</f>
        <v/>
      </c>
      <c r="N141" s="109">
        <f>O141+P141+Q141+R141+S141+T141</f>
        <v/>
      </c>
      <c r="O141" s="110" t="n">
        <v>649.995943144426</v>
      </c>
      <c r="P141" s="110" t="n">
        <v>789.280788103946</v>
      </c>
      <c r="Q141" s="110" t="n">
        <v>152.181589863179</v>
      </c>
      <c r="R141" s="110" t="n">
        <v>224.40336132367</v>
      </c>
      <c r="S141" s="110" t="n">
        <v>239.879455208062</v>
      </c>
      <c r="T141" s="110" t="n">
        <v>43.8489326724414</v>
      </c>
      <c r="U141" s="50" t="n">
        <v>276</v>
      </c>
      <c r="V141" s="112">
        <f>((O141+R141)*100)/N141</f>
        <v/>
      </c>
      <c r="W141" s="112">
        <f>((P141+S141)*100)/N141</f>
        <v/>
      </c>
      <c r="X141" s="112">
        <f>((Q141+T141)*100)/N141</f>
        <v/>
      </c>
    </row>
    <row r="142" ht="22.5" customHeight="1" s="150">
      <c r="A142" s="34" t="n">
        <v>140</v>
      </c>
      <c r="B142" s="109">
        <f>C142+D142+E142+F142+G142+H142</f>
        <v/>
      </c>
      <c r="C142" s="110" t="n">
        <v>392.061045071241</v>
      </c>
      <c r="D142" s="110" t="n">
        <v>46.4282816531733</v>
      </c>
      <c r="E142" s="110" t="n">
        <v>41.2695836917096</v>
      </c>
      <c r="F142" s="110" t="n">
        <v>453.965420608805</v>
      </c>
      <c r="G142" s="110" t="n">
        <v>28.3728387880503</v>
      </c>
      <c r="H142" s="110" t="n">
        <v>30.9521877687822</v>
      </c>
      <c r="I142" s="111">
        <f>(100*B142)/N142</f>
        <v/>
      </c>
      <c r="J142" s="112">
        <f>((C142+F142)*100)/B142</f>
        <v/>
      </c>
      <c r="K142" s="112">
        <f>((D142+G142)*100)/B142</f>
        <v/>
      </c>
      <c r="L142" s="112">
        <f>((E142+H142)*100)/B142</f>
        <v/>
      </c>
      <c r="M142" s="114">
        <f>N142-B141</f>
        <v/>
      </c>
      <c r="N142" s="109">
        <f>O142+P142+Q142+R142+S142+T142</f>
        <v/>
      </c>
      <c r="O142" s="110" t="n">
        <v>727.376412566381</v>
      </c>
      <c r="P142" s="110" t="n">
        <v>812.494928930532</v>
      </c>
      <c r="Q142" s="110" t="n">
        <v>159.919636805374</v>
      </c>
      <c r="R142" s="110" t="n">
        <v>1596.61701907301</v>
      </c>
      <c r="S142" s="110" t="n">
        <v>1493.44305984374</v>
      </c>
      <c r="T142" s="110" t="n">
        <v>296.625132784162</v>
      </c>
      <c r="U142" s="50" t="n">
        <v>446</v>
      </c>
      <c r="V142" s="112">
        <f>((O142+R142)*100)/N142</f>
        <v/>
      </c>
      <c r="W142" s="112">
        <f>((P142+S142)*100)/N142</f>
        <v/>
      </c>
      <c r="X142" s="112">
        <f>((Q142+T142)*100)/N142</f>
        <v/>
      </c>
    </row>
    <row r="143" ht="22.5" customHeight="1" s="150">
      <c r="A143" s="34" t="n">
        <v>141</v>
      </c>
      <c r="B143" s="109">
        <f>C143+D143+E143+F143+G143+H143</f>
        <v/>
      </c>
      <c r="C143" s="110" t="n">
        <v>152.181589863179</v>
      </c>
      <c r="D143" s="110" t="n">
        <v>18.0554428651229</v>
      </c>
      <c r="E143" s="110" t="n">
        <v>0</v>
      </c>
      <c r="F143" s="110" t="n">
        <v>33.531536749514</v>
      </c>
      <c r="G143" s="110" t="n">
        <v>2.57934898073185</v>
      </c>
      <c r="H143" s="110" t="n">
        <v>2.57934898073185</v>
      </c>
      <c r="I143" s="111">
        <f>(100*B143)/N143</f>
        <v/>
      </c>
      <c r="J143" s="112">
        <f>((C143+F143)*100)/B143</f>
        <v/>
      </c>
      <c r="K143" s="112">
        <f>((D143+G143)*100)/B143</f>
        <v/>
      </c>
      <c r="L143" s="112">
        <f>((E143+H143)*100)/B143</f>
        <v/>
      </c>
      <c r="M143" s="114">
        <f>N143-B142</f>
        <v/>
      </c>
      <c r="N143" s="109">
        <f>O143+P143+Q143+R143+S143+T143</f>
        <v/>
      </c>
      <c r="O143" s="110" t="n">
        <v>673.210083971012</v>
      </c>
      <c r="P143" s="110" t="n">
        <v>830.550371795655</v>
      </c>
      <c r="Q143" s="110" t="n">
        <v>157.340287824642</v>
      </c>
      <c r="R143" s="110" t="n">
        <v>397.219743032704</v>
      </c>
      <c r="S143" s="110" t="n">
        <v>379.164300167581</v>
      </c>
      <c r="T143" s="110" t="n">
        <v>100.594610248542</v>
      </c>
      <c r="U143" s="50" t="n">
        <v>304</v>
      </c>
      <c r="V143" s="112">
        <f>((O143+R143)*100)/N143</f>
        <v/>
      </c>
      <c r="W143" s="112">
        <f>((P143+S143)*100)/N143</f>
        <v/>
      </c>
      <c r="X143" s="112">
        <f>((Q143+T143)*100)/N143</f>
        <v/>
      </c>
    </row>
    <row r="144" ht="22.5" customHeight="1" s="150">
      <c r="A144" s="34" t="n">
        <v>142</v>
      </c>
      <c r="B144" s="109">
        <f>C144+D144+E144+F144+G144+H144</f>
        <v/>
      </c>
      <c r="C144" s="110" t="n">
        <v>118.650053113665</v>
      </c>
      <c r="D144" s="110" t="n">
        <v>5.1586979614637</v>
      </c>
      <c r="E144" s="110" t="n">
        <v>7.73804694219555</v>
      </c>
      <c r="F144" s="110" t="n">
        <v>25.7934898073184</v>
      </c>
      <c r="G144" s="110" t="n">
        <v>2.57934898073185</v>
      </c>
      <c r="H144" s="110" t="n">
        <v>0</v>
      </c>
      <c r="I144" s="111">
        <f>(100*B144)/N144</f>
        <v/>
      </c>
      <c r="J144" s="112">
        <f>((C144+F144)*100)/B144</f>
        <v/>
      </c>
      <c r="K144" s="112">
        <f>((D144+G144)*100)/B144</f>
        <v/>
      </c>
      <c r="L144" s="112">
        <f>((E144+H144)*100)/B144</f>
        <v/>
      </c>
      <c r="M144" s="114">
        <f>N144-B143</f>
        <v/>
      </c>
      <c r="N144" s="109">
        <f>O144+P144+Q144+R144+S144+T144</f>
        <v/>
      </c>
      <c r="O144" s="110" t="n">
        <v>652.5752921251579</v>
      </c>
      <c r="P144" s="110" t="n">
        <v>853.764512622242</v>
      </c>
      <c r="Q144" s="110" t="n">
        <v>165.078334766838</v>
      </c>
      <c r="R144" s="110" t="n">
        <v>196.03052253562</v>
      </c>
      <c r="S144" s="110" t="n">
        <v>250.196851130989</v>
      </c>
      <c r="T144" s="110" t="n">
        <v>67.06307349902811</v>
      </c>
      <c r="U144" s="50" t="n">
        <v>279</v>
      </c>
      <c r="V144" s="112">
        <f>((O144+R144)*100)/N144</f>
        <v/>
      </c>
      <c r="W144" s="112">
        <f>((P144+S144)*100)/N144</f>
        <v/>
      </c>
      <c r="X144" s="112">
        <f>((Q144+T144)*100)/N144</f>
        <v/>
      </c>
    </row>
    <row r="145" ht="22.5" customHeight="1" s="150">
      <c r="A145" s="34" t="n">
        <v>143</v>
      </c>
      <c r="B145" s="109">
        <f>C145+D145+E145+F145+G145+H145</f>
        <v/>
      </c>
      <c r="C145" s="110" t="n">
        <v>10.3173959229274</v>
      </c>
      <c r="D145" s="110" t="n">
        <v>116.070704132933</v>
      </c>
      <c r="E145" s="110" t="n">
        <v>64.4837245182962</v>
      </c>
      <c r="F145" s="110" t="n">
        <v>2.57934898073185</v>
      </c>
      <c r="G145" s="110" t="n">
        <v>7.73804694219555</v>
      </c>
      <c r="H145" s="110" t="n">
        <v>7.73804694219555</v>
      </c>
      <c r="I145" s="111">
        <f>(100*B145)/N145</f>
        <v/>
      </c>
      <c r="J145" s="112">
        <f>((C145+F145)*100)/B145</f>
        <v/>
      </c>
      <c r="K145" s="112">
        <f>((D145+G145)*100)/B145</f>
        <v/>
      </c>
      <c r="L145" s="112">
        <f>((E145+H145)*100)/B145</f>
        <v/>
      </c>
      <c r="M145" s="114">
        <f>N145-B144</f>
        <v/>
      </c>
      <c r="N145" s="109">
        <f>O145+P145+Q145+R145+S145+T145</f>
        <v/>
      </c>
      <c r="O145" s="110" t="n">
        <v>668.051386009549</v>
      </c>
      <c r="P145" s="110" t="n">
        <v>773.804694219555</v>
      </c>
      <c r="Q145" s="110" t="n">
        <v>134.126146998056</v>
      </c>
      <c r="R145" s="110" t="n">
        <v>108.332657190737</v>
      </c>
      <c r="S145" s="110" t="n">
        <v>85.11851636415101</v>
      </c>
      <c r="T145" s="110" t="n">
        <v>20.6347918458548</v>
      </c>
      <c r="U145" s="50" t="n">
        <v>245</v>
      </c>
      <c r="V145" s="112">
        <f>((O145+R145)*100)/N145</f>
        <v/>
      </c>
      <c r="W145" s="112">
        <f>((P145+S145)*100)/N145</f>
        <v/>
      </c>
      <c r="X145" s="112">
        <f>((Q145+T145)*100)/N145</f>
        <v/>
      </c>
    </row>
    <row r="146" ht="22.5" customHeight="1" s="150">
      <c r="A146" s="34" t="n">
        <v>144</v>
      </c>
      <c r="B146" s="109">
        <f>C146+D146+E146+F146+G146+H146</f>
        <v/>
      </c>
      <c r="C146" s="110" t="n">
        <v>15.4760938843911</v>
      </c>
      <c r="D146" s="110" t="n">
        <v>0</v>
      </c>
      <c r="E146" s="110" t="n">
        <v>5.1586979614637</v>
      </c>
      <c r="F146" s="110" t="n">
        <v>0</v>
      </c>
      <c r="G146" s="110" t="n">
        <v>0</v>
      </c>
      <c r="H146" s="110" t="n">
        <v>0</v>
      </c>
      <c r="I146" s="111">
        <f>(100*B146)/N146</f>
        <v/>
      </c>
      <c r="J146" s="112">
        <f>((C146+F146)*100)/B146</f>
        <v/>
      </c>
      <c r="K146" s="112">
        <f>((D146+G146)*100)/B146</f>
        <v/>
      </c>
      <c r="L146" s="112">
        <f>((E146+H146)*100)/B146</f>
        <v/>
      </c>
      <c r="M146" s="114">
        <f>N146-B145</f>
        <v/>
      </c>
      <c r="N146" s="109">
        <f>O146+P146+Q146+R146+S146+T146</f>
        <v/>
      </c>
      <c r="O146" s="110" t="n">
        <v>670.630734990281</v>
      </c>
      <c r="P146" s="110" t="n">
        <v>804.756881988337</v>
      </c>
      <c r="Q146" s="110" t="n">
        <v>136.705495978788</v>
      </c>
      <c r="R146" s="110" t="n">
        <v>0</v>
      </c>
      <c r="S146" s="110" t="n">
        <v>0</v>
      </c>
      <c r="T146" s="110" t="n">
        <v>0</v>
      </c>
      <c r="U146" s="50" t="n">
        <v>214</v>
      </c>
      <c r="V146" s="112">
        <f>((O146+R146)*100)/N146</f>
        <v/>
      </c>
      <c r="W146" s="112">
        <f>((P146+S146)*100)/N146</f>
        <v/>
      </c>
      <c r="X146" s="112">
        <f>((Q146+T146)*100)/N146</f>
        <v/>
      </c>
    </row>
    <row r="147" ht="22.5" customHeight="1" s="150">
      <c r="A147" s="34" t="n">
        <v>145</v>
      </c>
      <c r="B147" s="109">
        <f>C147+D147+E147+F147+G147+H147</f>
        <v/>
      </c>
      <c r="C147" s="110" t="n">
        <v>214.085965400743</v>
      </c>
      <c r="D147" s="110" t="n">
        <v>20.6347918458548</v>
      </c>
      <c r="E147" s="110" t="n">
        <v>12.8967449036592</v>
      </c>
      <c r="F147" s="110" t="n">
        <v>23.2141408265866</v>
      </c>
      <c r="G147" s="110" t="n">
        <v>15.4760938843911</v>
      </c>
      <c r="H147" s="110" t="n">
        <v>0</v>
      </c>
      <c r="I147" s="111">
        <f>(100*B147)/N147</f>
        <v/>
      </c>
      <c r="J147" s="112">
        <f>((C147+F147)*100)/B147</f>
        <v/>
      </c>
      <c r="K147" s="112">
        <f>((D147+G147)*100)/B147</f>
        <v/>
      </c>
      <c r="L147" s="112">
        <f>((E147+H147)*100)/B147</f>
        <v/>
      </c>
      <c r="M147" s="114">
        <f>N147-B146</f>
        <v/>
      </c>
      <c r="N147" s="109">
        <f>O147+P147+Q147+R147+S147+T147</f>
        <v/>
      </c>
      <c r="O147" s="110" t="n">
        <v>675.7894329517439</v>
      </c>
      <c r="P147" s="110" t="n">
        <v>797.018835046141</v>
      </c>
      <c r="Q147" s="110" t="n">
        <v>144.443542920983</v>
      </c>
      <c r="R147" s="110" t="n">
        <v>376.58495118685</v>
      </c>
      <c r="S147" s="110" t="n">
        <v>435.909977743682</v>
      </c>
      <c r="T147" s="110" t="n">
        <v>98.0152612678103</v>
      </c>
      <c r="U147" s="50" t="n">
        <v>299</v>
      </c>
      <c r="V147" s="112">
        <f>((O147+R147)*100)/N147</f>
        <v/>
      </c>
      <c r="W147" s="112">
        <f>((P147+S147)*100)/N147</f>
        <v/>
      </c>
      <c r="X147" s="112">
        <f>((Q147+T147)*100)/N147</f>
        <v/>
      </c>
    </row>
    <row r="148" ht="22.5" customHeight="1" s="150">
      <c r="A148" s="34" t="n">
        <v>146</v>
      </c>
      <c r="B148" s="109">
        <f>C148+D148+E148+F148+G148+H148</f>
        <v/>
      </c>
      <c r="C148" s="110" t="n">
        <v>56.7456775761007</v>
      </c>
      <c r="D148" s="110" t="n">
        <v>0</v>
      </c>
      <c r="E148" s="110" t="n">
        <v>0</v>
      </c>
      <c r="F148" s="110" t="n">
        <v>0</v>
      </c>
      <c r="G148" s="110" t="n">
        <v>0</v>
      </c>
      <c r="H148" s="110" t="n">
        <v>0</v>
      </c>
      <c r="I148" s="111">
        <f>(100*B148)/N148</f>
        <v/>
      </c>
      <c r="J148" s="112">
        <f>((C148+F148)*100)/B148</f>
        <v/>
      </c>
      <c r="K148" s="112">
        <f>((D148+G148)*100)/B148</f>
        <v/>
      </c>
      <c r="L148" s="112">
        <f>((E148+H148)*100)/B148</f>
        <v/>
      </c>
      <c r="M148" s="114">
        <f>N148-B147</f>
        <v/>
      </c>
      <c r="N148" s="109">
        <f>O148+P148+Q148+R148+S148+T148</f>
        <v/>
      </c>
      <c r="O148" s="110" t="n">
        <v>673.210083971012</v>
      </c>
      <c r="P148" s="110" t="n">
        <v>809.9155799498</v>
      </c>
      <c r="Q148" s="110" t="n">
        <v>147.022891901715</v>
      </c>
      <c r="R148" s="110" t="n">
        <v>0</v>
      </c>
      <c r="S148" s="110" t="n">
        <v>0</v>
      </c>
      <c r="T148" s="110" t="n">
        <v>0</v>
      </c>
      <c r="U148" s="50" t="n">
        <v>219</v>
      </c>
      <c r="V148" s="112">
        <f>((O148+R148)*100)/N148</f>
        <v/>
      </c>
      <c r="W148" s="112">
        <f>((P148+S148)*100)/N148</f>
        <v/>
      </c>
      <c r="X148" s="112">
        <f>((Q148+T148)*100)/N148</f>
        <v/>
      </c>
    </row>
    <row r="149" ht="22.5" customHeight="1" s="150">
      <c r="A149" s="34" t="n">
        <v>147</v>
      </c>
      <c r="B149" s="109">
        <f>C149+D149+E149+F149+G149+H149</f>
        <v/>
      </c>
      <c r="C149" s="110" t="n">
        <v>121.229402094396</v>
      </c>
      <c r="D149" s="110" t="n">
        <v>121.229402094396</v>
      </c>
      <c r="E149" s="110" t="n">
        <v>95.43591228707839</v>
      </c>
      <c r="F149" s="110" t="n">
        <v>198.609871516352</v>
      </c>
      <c r="G149" s="110" t="n">
        <v>190.871824574156</v>
      </c>
      <c r="H149" s="110" t="n">
        <v>98.0152612678103</v>
      </c>
      <c r="I149" s="111">
        <f>(100*B149)/N149</f>
        <v/>
      </c>
      <c r="J149" s="112">
        <f>((C149+F149)*100)/B149</f>
        <v/>
      </c>
      <c r="K149" s="112">
        <f>((D149+G149)*100)/B149</f>
        <v/>
      </c>
      <c r="L149" s="112">
        <f>((E149+H149)*100)/B149</f>
        <v/>
      </c>
      <c r="M149" s="114">
        <f>N149-B148</f>
        <v/>
      </c>
      <c r="N149" s="109">
        <f>O149+P149+Q149+R149+S149+T149</f>
        <v/>
      </c>
      <c r="O149" s="110" t="n">
        <v>699.003573778331</v>
      </c>
      <c r="P149" s="110" t="n">
        <v>680.948130913208</v>
      </c>
      <c r="Q149" s="110" t="n">
        <v>121.229402094396</v>
      </c>
      <c r="R149" s="110" t="n">
        <v>2115.06616420011</v>
      </c>
      <c r="S149" s="110" t="n">
        <v>1560.50613334276</v>
      </c>
      <c r="T149" s="110" t="n">
        <v>306.94252870709</v>
      </c>
      <c r="U149" s="50" t="n">
        <v>431</v>
      </c>
      <c r="V149" s="112">
        <f>((O149+R149)*100)/N149</f>
        <v/>
      </c>
      <c r="W149" s="112">
        <f>((P149+S149)*100)/N149</f>
        <v/>
      </c>
      <c r="X149" s="112">
        <f>((Q149+T149)*100)/N149</f>
        <v/>
      </c>
    </row>
    <row r="150" ht="22.5" customHeight="1" s="150">
      <c r="A150" s="34" t="n">
        <v>148</v>
      </c>
      <c r="B150" s="109">
        <f>C150+D150+E150+F150+G150+H150</f>
        <v/>
      </c>
      <c r="C150" s="110" t="n">
        <v>51.5869796146369</v>
      </c>
      <c r="D150" s="110" t="n">
        <v>0</v>
      </c>
      <c r="E150" s="110" t="n">
        <v>0</v>
      </c>
      <c r="F150" s="110" t="n">
        <v>0</v>
      </c>
      <c r="G150" s="110" t="n">
        <v>0</v>
      </c>
      <c r="H150" s="110" t="n">
        <v>0</v>
      </c>
      <c r="I150" s="111">
        <f>(100*B150)/N150</f>
        <v/>
      </c>
      <c r="J150" s="112">
        <f>((C150+F150)*100)/B150</f>
        <v/>
      </c>
      <c r="K150" s="112">
        <f>((D150+G150)*100)/B150</f>
        <v/>
      </c>
      <c r="L150" s="112">
        <f>((E150+H150)*100)/B150</f>
        <v/>
      </c>
      <c r="M150" s="114">
        <f>N150-B149</f>
        <v/>
      </c>
      <c r="N150" s="109">
        <f>O150+P150+Q150+R150+S150+T150</f>
        <v/>
      </c>
      <c r="O150" s="110" t="n">
        <v>665.472037028817</v>
      </c>
      <c r="P150" s="110" t="n">
        <v>696.424224797599</v>
      </c>
      <c r="Q150" s="110" t="n">
        <v>118.650053113665</v>
      </c>
      <c r="R150" s="110" t="n">
        <v>33.531536749514</v>
      </c>
      <c r="S150" s="110" t="n">
        <v>20.6347918458548</v>
      </c>
      <c r="T150" s="110" t="n">
        <v>0</v>
      </c>
      <c r="U150" s="50" t="n">
        <v>227</v>
      </c>
      <c r="V150" s="112">
        <f>((O150+R150)*100)/N150</f>
        <v/>
      </c>
      <c r="W150" s="112">
        <f>((P150+S150)*100)/N150</f>
        <v/>
      </c>
      <c r="X150" s="112">
        <f>((Q150+T150)*100)/N150</f>
        <v/>
      </c>
    </row>
    <row r="151" ht="22.5" customHeight="1" s="150">
      <c r="A151" s="34" t="n">
        <v>149</v>
      </c>
      <c r="B151" s="109">
        <f>C151+D151+E151+F151+G151+H151</f>
        <v/>
      </c>
      <c r="C151" s="110" t="n">
        <v>157.340287824642</v>
      </c>
      <c r="D151" s="110" t="n">
        <v>7.73804694219555</v>
      </c>
      <c r="E151" s="110" t="n">
        <v>2.57934898073185</v>
      </c>
      <c r="F151" s="110" t="n">
        <v>5.1586979614637</v>
      </c>
      <c r="G151" s="110" t="n">
        <v>7.73804694219555</v>
      </c>
      <c r="H151" s="110" t="n">
        <v>0</v>
      </c>
      <c r="I151" s="111">
        <f>(100*B151)/N151</f>
        <v/>
      </c>
      <c r="J151" s="112">
        <f>((C151+F151)*100)/B151</f>
        <v/>
      </c>
      <c r="K151" s="112">
        <f>((D151+G151)*100)/B151</f>
        <v/>
      </c>
      <c r="L151" s="112">
        <f>((E151+H151)*100)/B151</f>
        <v/>
      </c>
      <c r="M151" s="114">
        <f>N151-B150</f>
        <v/>
      </c>
      <c r="N151" s="109">
        <f>O151+P151+Q151+R151+S151+T151</f>
        <v/>
      </c>
      <c r="O151" s="110" t="n">
        <v>668.051386009549</v>
      </c>
      <c r="P151" s="110" t="n">
        <v>701.582922759063</v>
      </c>
      <c r="Q151" s="110" t="n">
        <v>126.38810005586</v>
      </c>
      <c r="R151" s="110" t="n">
        <v>98.0152612678103</v>
      </c>
      <c r="S151" s="110" t="n">
        <v>49.0076306339051</v>
      </c>
      <c r="T151" s="110" t="n">
        <v>18.0554428651229</v>
      </c>
      <c r="U151" s="50" t="n">
        <v>235</v>
      </c>
      <c r="V151" s="112">
        <f>((O151+R151)*100)/N151</f>
        <v/>
      </c>
      <c r="W151" s="112">
        <f>((P151+S151)*100)/N151</f>
        <v/>
      </c>
      <c r="X151" s="112">
        <f>((Q151+T151)*100)/N151</f>
        <v/>
      </c>
    </row>
    <row r="152" ht="22.5" customHeight="1" s="150">
      <c r="A152" s="34" t="n">
        <v>150</v>
      </c>
      <c r="B152" s="115">
        <f>C152+D152+E152+F152+G152+H152</f>
        <v/>
      </c>
      <c r="C152" s="50" t="n">
        <v>206.347918458547</v>
      </c>
      <c r="D152" s="50" t="n">
        <v>10.3173959229274</v>
      </c>
      <c r="E152" s="50" t="n">
        <v>20.6347918458548</v>
      </c>
      <c r="F152" s="50" t="n">
        <v>77.3804694219555</v>
      </c>
      <c r="G152" s="50" t="n">
        <v>2.57934898073185</v>
      </c>
      <c r="H152" s="50" t="n">
        <v>2.57934898073185</v>
      </c>
      <c r="I152" s="111">
        <f>(100*B152)/N152</f>
        <v/>
      </c>
      <c r="J152" s="112">
        <f>((C152+F152)*100)/B152</f>
        <v/>
      </c>
      <c r="K152" s="112">
        <f>((D152+G152)*100)/B152</f>
        <v/>
      </c>
      <c r="L152" s="112">
        <f>((E152+H152)*100)/B152</f>
        <v/>
      </c>
      <c r="M152" s="114">
        <f>N152-B151</f>
        <v/>
      </c>
      <c r="N152" s="115">
        <f>O152+P152+Q152+R152+S152+T152</f>
        <v/>
      </c>
      <c r="O152" s="50" t="n">
        <v>616.464406394912</v>
      </c>
      <c r="P152" s="50" t="n">
        <v>709.320969701258</v>
      </c>
      <c r="Q152" s="50" t="n">
        <v>134.126146998056</v>
      </c>
      <c r="R152" s="50" t="n">
        <v>278.569689919039</v>
      </c>
      <c r="S152" s="50" t="n">
        <v>327.577320552944</v>
      </c>
      <c r="T152" s="50" t="n">
        <v>64.4837245182962</v>
      </c>
      <c r="U152" s="50" t="n">
        <v>276</v>
      </c>
      <c r="V152" s="112">
        <f>((O152+R152)*100)/N152</f>
        <v/>
      </c>
      <c r="W152" s="112">
        <f>((P152+S152)*100)/N152</f>
        <v/>
      </c>
      <c r="X152" s="112">
        <f>((Q152+T152)*100)/N152</f>
        <v/>
      </c>
    </row>
    <row r="153" ht="22.5" customHeight="1" s="150">
      <c r="A153" s="34" t="n">
        <v>151</v>
      </c>
      <c r="B153" s="115">
        <f>C153+D153+E153+F153+G153+H153</f>
        <v/>
      </c>
      <c r="C153" s="50" t="n">
        <v>136.705495978788</v>
      </c>
      <c r="D153" s="50" t="n">
        <v>56.7456775761007</v>
      </c>
      <c r="E153" s="50" t="n">
        <v>67.06307349902811</v>
      </c>
      <c r="F153" s="50" t="n">
        <v>77.3804694219555</v>
      </c>
      <c r="G153" s="50" t="n">
        <v>46.4282816531733</v>
      </c>
      <c r="H153" s="50" t="n">
        <v>25.7934898073184</v>
      </c>
      <c r="I153" s="111">
        <f>(100*B153)/N153</f>
        <v/>
      </c>
      <c r="J153" s="112">
        <f>((C153+F153)*100)/B153</f>
        <v/>
      </c>
      <c r="K153" s="112">
        <f>((D153+G153)*100)/B153</f>
        <v/>
      </c>
      <c r="L153" s="112">
        <f>((E153+H153)*100)/B153</f>
        <v/>
      </c>
      <c r="M153" s="113">
        <f>N153-B152</f>
        <v/>
      </c>
      <c r="N153" s="115">
        <f>O153+P153+Q153+R153+S153+T153</f>
        <v/>
      </c>
      <c r="O153" s="50" t="n">
        <v>657.733990086621</v>
      </c>
      <c r="P153" s="50" t="n">
        <v>662.892688048085</v>
      </c>
      <c r="Q153" s="50" t="n">
        <v>118.650053113665</v>
      </c>
      <c r="R153" s="50" t="n">
        <v>735.1144595085771</v>
      </c>
      <c r="S153" s="50" t="n">
        <v>595.8296145490571</v>
      </c>
      <c r="T153" s="50" t="n">
        <v>149.602240882447</v>
      </c>
      <c r="U153" s="50" t="n">
        <v>374</v>
      </c>
      <c r="V153" s="112">
        <f>((O153+R153)*100)/N153</f>
        <v/>
      </c>
      <c r="W153" s="112">
        <f>((P153+S153)*100)/N153</f>
        <v/>
      </c>
      <c r="X153" s="112">
        <f>((Q153+T153)*100)/N153</f>
        <v/>
      </c>
    </row>
    <row r="154" ht="22.5" customHeight="1" s="150">
      <c r="A154" s="34" t="n">
        <v>152</v>
      </c>
      <c r="B154" s="115">
        <f>C154+D154+E154+F154+G154+H154</f>
        <v/>
      </c>
      <c r="C154" s="50" t="n">
        <v>198.609871516352</v>
      </c>
      <c r="D154" s="50" t="n">
        <v>23.2141408265866</v>
      </c>
      <c r="E154" s="50" t="n">
        <v>36.1108857302459</v>
      </c>
      <c r="F154" s="50" t="n">
        <v>5.1586979614637</v>
      </c>
      <c r="G154" s="50" t="n">
        <v>5.1586979614637</v>
      </c>
      <c r="H154" s="50" t="n">
        <v>2.57934898073185</v>
      </c>
      <c r="I154" s="111">
        <f>(100*B154)/N154</f>
        <v/>
      </c>
      <c r="J154" s="112">
        <f>((C154+F154)*100)/B154</f>
        <v/>
      </c>
      <c r="K154" s="112">
        <f>((D154+G154)*100)/B154</f>
        <v/>
      </c>
      <c r="L154" s="112">
        <f>((E154+H154)*100)/B154</f>
        <v/>
      </c>
      <c r="M154" s="113">
        <f>N154-B153</f>
        <v/>
      </c>
      <c r="N154" s="115">
        <f>O154+P154+Q154+R154+S154+T154</f>
        <v/>
      </c>
      <c r="O154" s="50" t="n">
        <v>660.313339067353</v>
      </c>
      <c r="P154" s="50" t="n">
        <v>619.043755375644</v>
      </c>
      <c r="Q154" s="50" t="n">
        <v>108.332657190737</v>
      </c>
      <c r="R154" s="50" t="n">
        <v>141.864193940251</v>
      </c>
      <c r="S154" s="50" t="n">
        <v>134.126146998056</v>
      </c>
      <c r="T154" s="50" t="n">
        <v>12.8967449036592</v>
      </c>
      <c r="U154" s="50" t="n">
        <v>253</v>
      </c>
      <c r="V154" s="112">
        <f>((O154+R154)*100)/N154</f>
        <v/>
      </c>
      <c r="W154" s="112">
        <f>((P154+S154)*100)/N154</f>
        <v/>
      </c>
      <c r="X154" s="112">
        <f>((Q154+T154)*100)/N154</f>
        <v/>
      </c>
    </row>
    <row r="155" ht="22.5" customHeight="1" s="150">
      <c r="A155" s="34" t="n">
        <v>153</v>
      </c>
      <c r="B155" s="115">
        <f>C155+D155+E155+F155+G155+H155</f>
        <v/>
      </c>
      <c r="C155" s="50" t="n">
        <v>7.73804694219555</v>
      </c>
      <c r="D155" s="50" t="n">
        <v>0</v>
      </c>
      <c r="E155" s="50" t="n">
        <v>0</v>
      </c>
      <c r="F155" s="50" t="n">
        <v>2.57934898073185</v>
      </c>
      <c r="G155" s="50" t="n">
        <v>0</v>
      </c>
      <c r="H155" s="50" t="n">
        <v>0</v>
      </c>
      <c r="I155" s="111">
        <f>(100*B155)/N155</f>
        <v/>
      </c>
      <c r="J155" s="112">
        <f>((C155+F155)*100)/B155</f>
        <v/>
      </c>
      <c r="K155" s="112">
        <f>((D155+G155)*100)/B155</f>
        <v/>
      </c>
      <c r="L155" s="112">
        <f>((E155+H155)*100)/B155</f>
        <v/>
      </c>
      <c r="M155" s="113">
        <f>N155-B154</f>
        <v/>
      </c>
      <c r="N155" s="115">
        <f>O155+P155+Q155+R155+S155+T155</f>
        <v/>
      </c>
      <c r="O155" s="50" t="n">
        <v>644.837245182962</v>
      </c>
      <c r="P155" s="50" t="n">
        <v>621.6231043563751</v>
      </c>
      <c r="Q155" s="50" t="n">
        <v>108.332657190737</v>
      </c>
      <c r="R155" s="50" t="n">
        <v>20.6347918458548</v>
      </c>
      <c r="S155" s="50" t="n">
        <v>49.0076306339051</v>
      </c>
      <c r="T155" s="50" t="n">
        <v>7.73804694219555</v>
      </c>
      <c r="U155" s="50" t="n">
        <v>214</v>
      </c>
      <c r="V155" s="112">
        <f>((O155+R155)*100)/N155</f>
        <v/>
      </c>
      <c r="W155" s="112">
        <f>((P155+S155)*100)/N155</f>
        <v/>
      </c>
      <c r="X155" s="112">
        <f>((Q155+T155)*100)/N155</f>
        <v/>
      </c>
    </row>
    <row r="156" ht="22.5" customHeight="1" s="150">
      <c r="A156" s="34" t="n">
        <v>154</v>
      </c>
      <c r="B156" s="115">
        <f>C156+D156+E156+F156+G156+H156</f>
        <v/>
      </c>
      <c r="C156" s="50" t="n">
        <v>273.410991957576</v>
      </c>
      <c r="D156" s="50" t="n">
        <v>5.1586979614637</v>
      </c>
      <c r="E156" s="50" t="n">
        <v>5.1586979614637</v>
      </c>
      <c r="F156" s="50" t="n">
        <v>30.9521877687822</v>
      </c>
      <c r="G156" s="50" t="n">
        <v>0</v>
      </c>
      <c r="H156" s="50" t="n">
        <v>0</v>
      </c>
      <c r="I156" s="111">
        <f>(100*B156)/N156</f>
        <v/>
      </c>
      <c r="J156" s="112">
        <f>((C156+F156)*100)/B156</f>
        <v/>
      </c>
      <c r="K156" s="112">
        <f>((D156+G156)*100)/B156</f>
        <v/>
      </c>
      <c r="L156" s="112">
        <f>((E156+H156)*100)/B156</f>
        <v/>
      </c>
      <c r="M156" s="113">
        <f>N156-B155</f>
        <v/>
      </c>
      <c r="N156" s="115">
        <f>O156+P156+Q156+R156+S156+T156</f>
        <v/>
      </c>
      <c r="O156" s="50" t="n">
        <v>570.036124741738</v>
      </c>
      <c r="P156" s="50" t="n">
        <v>619.043755375644</v>
      </c>
      <c r="Q156" s="50" t="n">
        <v>110.912006171469</v>
      </c>
      <c r="R156" s="50" t="n">
        <v>381.743649148313</v>
      </c>
      <c r="S156" s="50" t="n">
        <v>417.854534878559</v>
      </c>
      <c r="T156" s="50" t="n">
        <v>64.4837245182962</v>
      </c>
      <c r="U156" s="50" t="n">
        <v>330</v>
      </c>
      <c r="V156" s="112">
        <f>((O156+R156)*100)/N156</f>
        <v/>
      </c>
      <c r="W156" s="112">
        <f>((P156+S156)*100)/N156</f>
        <v/>
      </c>
      <c r="X156" s="112">
        <f>((Q156+T156)*100)/N156</f>
        <v/>
      </c>
    </row>
    <row r="157" ht="22.5" customHeight="1" s="150">
      <c r="A157" s="34" t="n">
        <v>155</v>
      </c>
      <c r="B157" s="115">
        <f>C157+D157+E157+F157+G157+H157</f>
        <v/>
      </c>
      <c r="C157" s="50" t="n">
        <v>0</v>
      </c>
      <c r="D157" s="50" t="n">
        <v>0</v>
      </c>
      <c r="E157" s="50" t="n">
        <v>0</v>
      </c>
      <c r="F157" s="50" t="n">
        <v>0</v>
      </c>
      <c r="G157" s="50" t="n">
        <v>0</v>
      </c>
      <c r="H157" s="50" t="n">
        <v>0</v>
      </c>
      <c r="I157" s="111">
        <f>(100*B157)/N157</f>
        <v/>
      </c>
      <c r="J157" s="112">
        <f>((C157+F157)*100)/B157</f>
        <v/>
      </c>
      <c r="K157" s="112">
        <f>((D157+G157)*100)/B157</f>
        <v/>
      </c>
      <c r="L157" s="112">
        <f>((E157+H157)*100)/B157</f>
        <v/>
      </c>
      <c r="M157" s="113">
        <f>N157-B156</f>
        <v/>
      </c>
      <c r="N157" s="115">
        <f>O157+P157+Q157+R157+S157+T157</f>
        <v/>
      </c>
      <c r="O157" s="50" t="n">
        <v>582.932869645398</v>
      </c>
      <c r="P157" s="50" t="n">
        <v>631.940500279303</v>
      </c>
      <c r="Q157" s="50" t="n">
        <v>118.650053113665</v>
      </c>
      <c r="R157" s="50" t="n">
        <v>5.1586979614637</v>
      </c>
      <c r="S157" s="50" t="n">
        <v>7.73804694219555</v>
      </c>
      <c r="T157" s="50" t="n">
        <v>0</v>
      </c>
      <c r="U157" s="50" t="n">
        <v>209</v>
      </c>
      <c r="V157" s="112">
        <f>((O157+R157)*100)/N157</f>
        <v/>
      </c>
      <c r="W157" s="112">
        <f>((P157+S157)*100)/N157</f>
        <v/>
      </c>
      <c r="X157" s="112">
        <f>((Q157+T157)*100)/N157</f>
        <v/>
      </c>
    </row>
    <row r="158" ht="22.5" customHeight="1" s="150">
      <c r="A158" s="34" t="n">
        <v>156</v>
      </c>
      <c r="B158" s="115">
        <f>C158+D158+E158+F158+G158+H158</f>
        <v/>
      </c>
      <c r="C158" s="50" t="n">
        <v>134.126146998056</v>
      </c>
      <c r="D158" s="50" t="n">
        <v>15.4760938843911</v>
      </c>
      <c r="E158" s="50" t="n">
        <v>7.73804694219555</v>
      </c>
      <c r="F158" s="50" t="n">
        <v>0</v>
      </c>
      <c r="G158" s="50" t="n">
        <v>5.1586979614637</v>
      </c>
      <c r="H158" s="50" t="n">
        <v>0</v>
      </c>
      <c r="I158" s="111">
        <f>(100*B158)/N158</f>
        <v/>
      </c>
      <c r="J158" s="112">
        <f>((C158+F158)*100)/B158</f>
        <v/>
      </c>
      <c r="K158" s="112">
        <f>((D158+G158)*100)/B158</f>
        <v/>
      </c>
      <c r="L158" s="112">
        <f>((E158+H158)*100)/B158</f>
        <v/>
      </c>
      <c r="M158" s="113">
        <f>N158-B157</f>
        <v/>
      </c>
      <c r="N158" s="115">
        <f>O158+P158+Q158+R158+S158+T158</f>
        <v/>
      </c>
      <c r="O158" s="50" t="n">
        <v>549.401332895884</v>
      </c>
      <c r="P158" s="50" t="n">
        <v>626.781802317839</v>
      </c>
      <c r="Q158" s="50" t="n">
        <v>116.070704132933</v>
      </c>
      <c r="R158" s="50" t="n">
        <v>72.22177146049179</v>
      </c>
      <c r="S158" s="50" t="n">
        <v>56.7456775761007</v>
      </c>
      <c r="T158" s="50" t="n">
        <v>2.57934898073185</v>
      </c>
      <c r="U158" s="50" t="n">
        <v>227</v>
      </c>
      <c r="V158" s="112">
        <f>((O158+R158)*100)/N158</f>
        <v/>
      </c>
      <c r="W158" s="112">
        <f>((P158+S158)*100)/N158</f>
        <v/>
      </c>
      <c r="X158" s="112">
        <f>((Q158+T158)*100)/N158</f>
        <v/>
      </c>
    </row>
    <row r="159" ht="22.5" customHeight="1" s="150">
      <c r="A159" s="34" t="n">
        <v>157</v>
      </c>
      <c r="B159" s="115">
        <f>C159+D159+E159+F159+G159+H159</f>
        <v/>
      </c>
      <c r="C159" s="50" t="n">
        <v>18.0554428651229</v>
      </c>
      <c r="D159" s="50" t="n">
        <v>54.1663285953688</v>
      </c>
      <c r="E159" s="50" t="n">
        <v>28.3728387880503</v>
      </c>
      <c r="F159" s="50" t="n">
        <v>25.7934898073184</v>
      </c>
      <c r="G159" s="50" t="n">
        <v>46.4282816531733</v>
      </c>
      <c r="H159" s="50" t="n">
        <v>5.1586979614637</v>
      </c>
      <c r="I159" s="111">
        <f>(100*B159)/N159</f>
        <v/>
      </c>
      <c r="J159" s="112">
        <f>((C159+F159)*100)/B159</f>
        <v/>
      </c>
      <c r="K159" s="112">
        <f>((D159+G159)*100)/B159</f>
        <v/>
      </c>
      <c r="L159" s="112">
        <f>((E159+H159)*100)/B159</f>
        <v/>
      </c>
      <c r="M159" s="113">
        <f>N159-B158</f>
        <v/>
      </c>
      <c r="N159" s="115">
        <f>O159+P159+Q159+R159+S159+T159</f>
        <v/>
      </c>
      <c r="O159" s="50" t="n">
        <v>588.091567606861</v>
      </c>
      <c r="P159" s="50" t="n">
        <v>549.401332895884</v>
      </c>
      <c r="Q159" s="50" t="n">
        <v>95.43591228707839</v>
      </c>
      <c r="R159" s="50" t="n">
        <v>652.5752921251579</v>
      </c>
      <c r="S159" s="50" t="n">
        <v>523.607843088565</v>
      </c>
      <c r="T159" s="50" t="n">
        <v>121.229402094396</v>
      </c>
      <c r="U159" s="50" t="n">
        <v>307</v>
      </c>
      <c r="V159" s="112">
        <f>((O159+R159)*100)/N159</f>
        <v/>
      </c>
      <c r="W159" s="112">
        <f>((P159+S159)*100)/N159</f>
        <v/>
      </c>
      <c r="X159" s="112">
        <f>((Q159+T159)*100)/N159</f>
        <v/>
      </c>
    </row>
    <row r="160" ht="22.5" customHeight="1" s="150">
      <c r="A160" s="34" t="n">
        <v>158</v>
      </c>
      <c r="B160" s="115">
        <f>C160+D160+E160+F160+G160+H160</f>
        <v/>
      </c>
      <c r="C160" s="50" t="n">
        <v>64.4837245182962</v>
      </c>
      <c r="D160" s="50" t="n">
        <v>10.3173959229274</v>
      </c>
      <c r="E160" s="50" t="n">
        <v>7.73804694219555</v>
      </c>
      <c r="F160" s="50" t="n">
        <v>7.73804694219555</v>
      </c>
      <c r="G160" s="50" t="n">
        <v>0</v>
      </c>
      <c r="H160" s="50" t="n">
        <v>0</v>
      </c>
      <c r="I160" s="111">
        <f>(100*B160)/N160</f>
        <v/>
      </c>
      <c r="J160" s="112">
        <f>((C160+F160)*100)/B160</f>
        <v/>
      </c>
      <c r="K160" s="112">
        <f>((D160+G160)*100)/B160</f>
        <v/>
      </c>
      <c r="L160" s="112">
        <f>((E160+H160)*100)/B160</f>
        <v/>
      </c>
      <c r="M160" s="113">
        <f>N160-B159</f>
        <v/>
      </c>
      <c r="N160" s="115">
        <f>O160+P160+Q160+R160+S160+T160</f>
        <v/>
      </c>
      <c r="O160" s="50" t="n">
        <v>551.980681876615</v>
      </c>
      <c r="P160" s="50" t="n">
        <v>551.980681876615</v>
      </c>
      <c r="Q160" s="50" t="n">
        <v>95.43591228707839</v>
      </c>
      <c r="R160" s="50" t="n">
        <v>149.602240882447</v>
      </c>
      <c r="S160" s="50" t="n">
        <v>105.753308210005</v>
      </c>
      <c r="T160" s="50" t="n">
        <v>0</v>
      </c>
      <c r="U160" s="50" t="n">
        <v>258</v>
      </c>
      <c r="V160" s="112">
        <f>((O160+R160)*100)/N160</f>
        <v/>
      </c>
      <c r="W160" s="112">
        <f>((P160+S160)*100)/N160</f>
        <v/>
      </c>
      <c r="X160" s="112">
        <f>((Q160+T160)*100)/N160</f>
        <v/>
      </c>
    </row>
    <row r="161" ht="22.5" customHeight="1" s="150">
      <c r="A161" s="34" t="n">
        <v>159</v>
      </c>
      <c r="B161" s="115">
        <f>C161+D161+E161+F161+G161+H161</f>
        <v/>
      </c>
      <c r="C161" s="50" t="n">
        <v>59.3250265568325</v>
      </c>
      <c r="D161" s="50" t="n">
        <v>92.8565633063466</v>
      </c>
      <c r="E161" s="50" t="n">
        <v>69.6424224797599</v>
      </c>
      <c r="F161" s="50" t="n">
        <v>144.443542920983</v>
      </c>
      <c r="G161" s="50" t="n">
        <v>154.760938843911</v>
      </c>
      <c r="H161" s="50" t="n">
        <v>77.3804694219555</v>
      </c>
      <c r="I161" s="111">
        <f>(100*B161)/N161</f>
        <v/>
      </c>
      <c r="J161" s="112">
        <f>((C161+F161)*100)/B161</f>
        <v/>
      </c>
      <c r="K161" s="112">
        <f>((D161+G161)*100)/B161</f>
        <v/>
      </c>
      <c r="L161" s="112">
        <f>((E161+H161)*100)/B161</f>
        <v/>
      </c>
      <c r="M161" s="113">
        <f>N161-B160</f>
        <v/>
      </c>
      <c r="N161" s="115">
        <f>O161+P161+Q161+R161+S161+T161</f>
        <v/>
      </c>
      <c r="O161" s="50" t="n">
        <v>606.147010471984</v>
      </c>
      <c r="P161" s="50" t="n">
        <v>464.282816531733</v>
      </c>
      <c r="Q161" s="50" t="n">
        <v>85.11851636415101</v>
      </c>
      <c r="R161" s="50" t="n">
        <v>2024.7889498745</v>
      </c>
      <c r="S161" s="50" t="n">
        <v>1524.39524761252</v>
      </c>
      <c r="T161" s="50" t="n">
        <v>381.743649148313</v>
      </c>
      <c r="U161" s="50" t="n">
        <v>397</v>
      </c>
      <c r="V161" s="112">
        <f>((O161+R161)*100)/N161</f>
        <v/>
      </c>
      <c r="W161" s="112">
        <f>((P161+S161)*100)/N161</f>
        <v/>
      </c>
      <c r="X161" s="112">
        <f>((Q161+T161)*100)/N161</f>
        <v/>
      </c>
    </row>
    <row r="162" ht="22.5" customHeight="1" s="150">
      <c r="A162" s="34" t="n">
        <v>160</v>
      </c>
      <c r="B162" s="115">
        <f>C162+D162+E162+F162+G162+H162</f>
        <v/>
      </c>
      <c r="C162" s="50" t="n">
        <v>79.9598184026873</v>
      </c>
      <c r="D162" s="50" t="n">
        <v>20.6347918458548</v>
      </c>
      <c r="E162" s="50" t="n">
        <v>12.8967449036592</v>
      </c>
      <c r="F162" s="50" t="n">
        <v>2.57934898073185</v>
      </c>
      <c r="G162" s="50" t="n">
        <v>0</v>
      </c>
      <c r="H162" s="50" t="n">
        <v>0</v>
      </c>
      <c r="I162" s="111">
        <f>(100*B162)/N162</f>
        <v/>
      </c>
      <c r="J162" s="112">
        <f>((C162+F162)*100)/B162</f>
        <v/>
      </c>
      <c r="K162" s="112">
        <f>((D162+G162)*100)/B162</f>
        <v/>
      </c>
      <c r="L162" s="112">
        <f>((E162+H162)*100)/B162</f>
        <v/>
      </c>
      <c r="M162" s="113">
        <f>N162-B161</f>
        <v/>
      </c>
      <c r="N162" s="115">
        <f>O162+P162+Q162+R162+S162+T162</f>
        <v/>
      </c>
      <c r="O162" s="50" t="n">
        <v>611.305708433448</v>
      </c>
      <c r="P162" s="50" t="n">
        <v>487.496957358319</v>
      </c>
      <c r="Q162" s="50" t="n">
        <v>103.173959229273</v>
      </c>
      <c r="R162" s="50" t="n">
        <v>141.864193940251</v>
      </c>
      <c r="S162" s="50" t="n">
        <v>185.713126612693</v>
      </c>
      <c r="T162" s="50" t="n">
        <v>43.8489326724414</v>
      </c>
      <c r="U162" s="50" t="n">
        <v>242</v>
      </c>
      <c r="V162" s="112">
        <f>((O162+R162)*100)/N162</f>
        <v/>
      </c>
      <c r="W162" s="112">
        <f>((P162+S162)*100)/N162</f>
        <v/>
      </c>
      <c r="X162" s="112">
        <f>((Q162+T162)*100)/N162</f>
        <v/>
      </c>
    </row>
    <row r="163" ht="22.5" customHeight="1" s="150">
      <c r="A163" s="34" t="n">
        <v>161</v>
      </c>
      <c r="B163" s="115">
        <f>C163+D163+E163+F163+G163+H163</f>
        <v/>
      </c>
      <c r="C163" s="50" t="n">
        <v>0</v>
      </c>
      <c r="D163" s="50" t="n">
        <v>0</v>
      </c>
      <c r="E163" s="50" t="n">
        <v>0</v>
      </c>
      <c r="F163" s="50" t="n">
        <v>0</v>
      </c>
      <c r="G163" s="50" t="n">
        <v>0</v>
      </c>
      <c r="H163" s="50" t="n">
        <v>0</v>
      </c>
      <c r="I163" s="111">
        <f>(100*B163)/N163</f>
        <v/>
      </c>
      <c r="J163" s="112">
        <f>((C163+F163)*100)/B163</f>
        <v/>
      </c>
      <c r="K163" s="112">
        <f>((D163+G163)*100)/B163</f>
        <v/>
      </c>
      <c r="L163" s="112">
        <f>((E163+H163)*100)/B163</f>
        <v/>
      </c>
      <c r="M163" s="113">
        <f>N163-B162</f>
        <v/>
      </c>
      <c r="N163" s="115">
        <f>O163+P163+Q163+R163+S163+T163</f>
        <v/>
      </c>
      <c r="O163" s="50" t="n">
        <v>634.519849260035</v>
      </c>
      <c r="P163" s="50" t="n">
        <v>500.393702261978</v>
      </c>
      <c r="Q163" s="50" t="n">
        <v>105.753308210005</v>
      </c>
      <c r="R163" s="50" t="n">
        <v>0</v>
      </c>
      <c r="S163" s="50" t="n">
        <v>0</v>
      </c>
      <c r="T163" s="50" t="n">
        <v>0</v>
      </c>
      <c r="U163" s="50" t="n">
        <v>204</v>
      </c>
      <c r="V163" s="112">
        <f>((O163+R163)*100)/N163</f>
        <v/>
      </c>
      <c r="W163" s="112">
        <f>((P163+S163)*100)/N163</f>
        <v/>
      </c>
      <c r="X163" s="112">
        <f>((Q163+T163)*100)/N163</f>
        <v/>
      </c>
    </row>
    <row r="164" ht="22.5" customHeight="1" s="150">
      <c r="A164" s="34" t="n">
        <v>162</v>
      </c>
      <c r="B164" s="115">
        <f>C164+D164+E164+F164+G164+H164</f>
        <v/>
      </c>
      <c r="C164" s="50" t="n">
        <v>0</v>
      </c>
      <c r="D164" s="50" t="n">
        <v>0</v>
      </c>
      <c r="E164" s="50" t="n">
        <v>0</v>
      </c>
      <c r="F164" s="50" t="n">
        <v>0</v>
      </c>
      <c r="G164" s="50" t="n">
        <v>0</v>
      </c>
      <c r="H164" s="50" t="n">
        <v>0</v>
      </c>
      <c r="I164" s="111">
        <f>(100*B164)/N164</f>
        <v/>
      </c>
      <c r="J164" s="112">
        <f>((C164+F164)*100)/B164</f>
        <v/>
      </c>
      <c r="K164" s="112">
        <f>((D164+G164)*100)/B164</f>
        <v/>
      </c>
      <c r="L164" s="112">
        <f>((E164+H164)*100)/B164</f>
        <v/>
      </c>
      <c r="M164" s="113">
        <f>N164-B163</f>
        <v/>
      </c>
      <c r="N164" s="115">
        <f>O164+P164+Q164+R164+S164+T164</f>
        <v/>
      </c>
      <c r="O164" s="50" t="n">
        <v>637.099198240766</v>
      </c>
      <c r="P164" s="50" t="n">
        <v>500.393702261978</v>
      </c>
      <c r="Q164" s="50" t="n">
        <v>105.753308210005</v>
      </c>
      <c r="R164" s="50" t="n">
        <v>0</v>
      </c>
      <c r="S164" s="50" t="n">
        <v>0</v>
      </c>
      <c r="T164" s="50" t="n">
        <v>0</v>
      </c>
      <c r="U164" s="50" t="n">
        <v>196</v>
      </c>
      <c r="V164" s="112">
        <f>((O164+R164)*100)/N164</f>
        <v/>
      </c>
      <c r="W164" s="112">
        <f>((P164+S164)*100)/N164</f>
        <v/>
      </c>
      <c r="X164" s="112">
        <f>((Q164+T164)*100)/N164</f>
        <v/>
      </c>
    </row>
    <row r="165" ht="22.5" customHeight="1" s="150">
      <c r="A165" s="34" t="n">
        <v>163</v>
      </c>
      <c r="B165" s="115">
        <f>C165+D165+E165+F165+G165+H165</f>
        <v/>
      </c>
      <c r="C165" s="50" t="n">
        <v>221.824012342939</v>
      </c>
      <c r="D165" s="50" t="n">
        <v>2.57934898073185</v>
      </c>
      <c r="E165" s="50" t="n">
        <v>2.57934898073185</v>
      </c>
      <c r="F165" s="50" t="n">
        <v>10.3173959229274</v>
      </c>
      <c r="G165" s="50" t="n">
        <v>0</v>
      </c>
      <c r="H165" s="50" t="n">
        <v>0</v>
      </c>
      <c r="I165" s="111">
        <f>(100*B165)/N165</f>
        <v/>
      </c>
      <c r="J165" s="112">
        <f>((C165+F165)*100)/B165</f>
        <v/>
      </c>
      <c r="K165" s="112">
        <f>((D165+G165)*100)/B165</f>
        <v/>
      </c>
      <c r="L165" s="112">
        <f>((E165+H165)*100)/B165</f>
        <v/>
      </c>
      <c r="M165" s="113">
        <f>N165-B164</f>
        <v/>
      </c>
      <c r="N165" s="115">
        <f>O165+P165+Q165+R165+S165+T165</f>
        <v/>
      </c>
      <c r="O165" s="50" t="n">
        <v>582.932869645398</v>
      </c>
      <c r="P165" s="50" t="n">
        <v>508.131749204174</v>
      </c>
      <c r="Q165" s="50" t="n">
        <v>110.912006171469</v>
      </c>
      <c r="R165" s="50" t="n">
        <v>226.982710304402</v>
      </c>
      <c r="S165" s="50" t="n">
        <v>252.776200111721</v>
      </c>
      <c r="T165" s="50" t="n">
        <v>36.1108857302459</v>
      </c>
      <c r="U165" s="50" t="n">
        <v>291</v>
      </c>
      <c r="V165" s="112">
        <f>((O165+R165)*100)/N165</f>
        <v/>
      </c>
      <c r="W165" s="112">
        <f>((P165+S165)*100)/N165</f>
        <v/>
      </c>
      <c r="X165" s="112">
        <f>((Q165+T165)*100)/N165</f>
        <v/>
      </c>
    </row>
    <row r="166" ht="22.5" customHeight="1" s="150">
      <c r="A166" s="34" t="n">
        <v>164</v>
      </c>
      <c r="B166" s="115">
        <f>C166+D166+E166+F166+G166+H166</f>
        <v/>
      </c>
      <c r="C166" s="50" t="n">
        <v>90.27721432561469</v>
      </c>
      <c r="D166" s="50" t="n">
        <v>5.1586979614637</v>
      </c>
      <c r="E166" s="50" t="n">
        <v>5.1586979614637</v>
      </c>
      <c r="F166" s="50" t="n">
        <v>30.9521877687822</v>
      </c>
      <c r="G166" s="50" t="n">
        <v>5.1586979614637</v>
      </c>
      <c r="H166" s="50" t="n">
        <v>2.57934898073185</v>
      </c>
      <c r="I166" s="111">
        <f>(100*B166)/N166</f>
        <v/>
      </c>
      <c r="J166" s="112">
        <f>((C166+F166)*100)/B166</f>
        <v/>
      </c>
      <c r="K166" s="112">
        <f>((D166+G166)*100)/B166</f>
        <v/>
      </c>
      <c r="L166" s="112">
        <f>((E166+H166)*100)/B166</f>
        <v/>
      </c>
      <c r="M166" s="113">
        <f>N166-B165</f>
        <v/>
      </c>
      <c r="N166" s="115">
        <f>O166+P166+Q166+R166+S166+T166</f>
        <v/>
      </c>
      <c r="O166" s="50" t="n">
        <v>570.036124741738</v>
      </c>
      <c r="P166" s="50" t="n">
        <v>508.131749204174</v>
      </c>
      <c r="Q166" s="50" t="n">
        <v>116.070704132933</v>
      </c>
      <c r="R166" s="50" t="n">
        <v>255.355549092453</v>
      </c>
      <c r="S166" s="50" t="n">
        <v>214.085965400743</v>
      </c>
      <c r="T166" s="50" t="n">
        <v>56.7456775761007</v>
      </c>
      <c r="U166" s="50" t="n">
        <v>276</v>
      </c>
      <c r="V166" s="112">
        <f>((O166+R166)*100)/N166</f>
        <v/>
      </c>
      <c r="W166" s="112">
        <f>((P166+S166)*100)/N166</f>
        <v/>
      </c>
      <c r="X166" s="112">
        <f>((Q166+T166)*100)/N166</f>
        <v/>
      </c>
    </row>
    <row r="167" ht="22.5" customHeight="1" s="150">
      <c r="A167" s="34" t="n">
        <v>165</v>
      </c>
      <c r="B167" s="115">
        <f>C167+D167+E167+F167+G167+H167</f>
        <v/>
      </c>
      <c r="C167" s="50" t="n">
        <v>265.67294501538</v>
      </c>
      <c r="D167" s="50" t="n">
        <v>30.9521877687822</v>
      </c>
      <c r="E167" s="50" t="n">
        <v>20.6347918458548</v>
      </c>
      <c r="F167" s="50" t="n">
        <v>36.1108857302459</v>
      </c>
      <c r="G167" s="50" t="n">
        <v>2.57934898073185</v>
      </c>
      <c r="H167" s="50" t="n">
        <v>15.4760938843911</v>
      </c>
      <c r="I167" s="111">
        <f>(100*B167)/N167</f>
        <v/>
      </c>
      <c r="J167" s="112">
        <f>((C167+F167)*100)/B167</f>
        <v/>
      </c>
      <c r="K167" s="112">
        <f>((D167+G167)*100)/B167</f>
        <v/>
      </c>
      <c r="L167" s="112">
        <f>((E167+H167)*100)/B167</f>
        <v/>
      </c>
      <c r="M167" s="113">
        <f>N167-B166</f>
        <v/>
      </c>
      <c r="N167" s="115">
        <f>O167+P167+Q167+R167+S167+T167</f>
        <v/>
      </c>
      <c r="O167" s="50" t="n">
        <v>502.97305124271</v>
      </c>
      <c r="P167" s="50" t="n">
        <v>482.338259396855</v>
      </c>
      <c r="Q167" s="50" t="n">
        <v>108.332657190737</v>
      </c>
      <c r="R167" s="50" t="n">
        <v>322.418622591481</v>
      </c>
      <c r="S167" s="50" t="n">
        <v>322.418622591481</v>
      </c>
      <c r="T167" s="50" t="n">
        <v>79.9598184026873</v>
      </c>
      <c r="U167" s="50" t="n">
        <v>297</v>
      </c>
      <c r="V167" s="112">
        <f>((O167+R167)*100)/N167</f>
        <v/>
      </c>
      <c r="W167" s="112">
        <f>((P167+S167)*100)/N167</f>
        <v/>
      </c>
      <c r="X167" s="112">
        <f>((Q167+T167)*100)/N167</f>
        <v/>
      </c>
    </row>
    <row r="168" ht="22.5" customHeight="1" s="150">
      <c r="A168" s="34" t="n">
        <v>166</v>
      </c>
      <c r="B168" s="115">
        <f>C168+D168+E168+F168+G168+H168</f>
        <v/>
      </c>
      <c r="C168" s="50" t="n">
        <v>41.2695836917096</v>
      </c>
      <c r="D168" s="50" t="n">
        <v>28.3728387880503</v>
      </c>
      <c r="E168" s="50" t="n">
        <v>49.0076306339051</v>
      </c>
      <c r="F168" s="50" t="n">
        <v>28.3728387880503</v>
      </c>
      <c r="G168" s="50" t="n">
        <v>33.531536749514</v>
      </c>
      <c r="H168" s="50" t="n">
        <v>30.9521877687822</v>
      </c>
      <c r="I168" s="111">
        <f>(100*B168)/N168</f>
        <v/>
      </c>
      <c r="J168" s="112">
        <f>((C168+F168)*100)/B168</f>
        <v/>
      </c>
      <c r="K168" s="112">
        <f>((D168+G168)*100)/B168</f>
        <v/>
      </c>
      <c r="L168" s="112">
        <f>((E168+H168)*100)/B168</f>
        <v/>
      </c>
      <c r="M168" s="113">
        <f>N168-B167</f>
        <v/>
      </c>
      <c r="N168" s="115">
        <f>O168+P168+Q168+R168+S168+T168</f>
        <v/>
      </c>
      <c r="O168" s="50" t="n">
        <v>487.496957358319</v>
      </c>
      <c r="P168" s="50" t="n">
        <v>451.386071628073</v>
      </c>
      <c r="Q168" s="50" t="n">
        <v>108.332657190737</v>
      </c>
      <c r="R168" s="50" t="n">
        <v>273.410991957576</v>
      </c>
      <c r="S168" s="50" t="n">
        <v>270.831642976844</v>
      </c>
      <c r="T168" s="50" t="n">
        <v>61.9043755375644</v>
      </c>
      <c r="U168" s="50" t="n">
        <v>302</v>
      </c>
      <c r="V168" s="112">
        <f>((O168+R168)*100)/N168</f>
        <v/>
      </c>
      <c r="W168" s="112">
        <f>((P168+S168)*100)/N168</f>
        <v/>
      </c>
      <c r="X168" s="112">
        <f>((Q168+T168)*100)/N168</f>
        <v/>
      </c>
    </row>
    <row r="169" ht="22.5" customHeight="1" s="150">
      <c r="A169" s="34" t="n">
        <v>167</v>
      </c>
      <c r="B169" s="115">
        <f>C169+D169+E169+F169+G169+H169</f>
        <v/>
      </c>
      <c r="C169" s="50" t="n">
        <v>18.0554428651229</v>
      </c>
      <c r="D169" s="50" t="n">
        <v>51.5869796146369</v>
      </c>
      <c r="E169" s="50" t="n">
        <v>61.9043755375644</v>
      </c>
      <c r="F169" s="50" t="n">
        <v>7.73804694219555</v>
      </c>
      <c r="G169" s="50" t="n">
        <v>41.2695836917096</v>
      </c>
      <c r="H169" s="50" t="n">
        <v>18.0554428651229</v>
      </c>
      <c r="I169" s="111">
        <f>(100*B169)/N169</f>
        <v/>
      </c>
      <c r="J169" s="112">
        <f>((C169+F169)*100)/B169</f>
        <v/>
      </c>
      <c r="K169" s="112">
        <f>((D169+G169)*100)/B169</f>
        <v/>
      </c>
      <c r="L169" s="112">
        <f>((E169+H169)*100)/B169</f>
        <v/>
      </c>
      <c r="M169" s="113">
        <f>N169-B168</f>
        <v/>
      </c>
      <c r="N169" s="115">
        <f>O169+P169+Q169+R169+S169+T169</f>
        <v/>
      </c>
      <c r="O169" s="50" t="n">
        <v>513.2904471656381</v>
      </c>
      <c r="P169" s="50" t="n">
        <v>428.171930801487</v>
      </c>
      <c r="Q169" s="50" t="n">
        <v>105.753308210005</v>
      </c>
      <c r="R169" s="50" t="n">
        <v>616.464406394912</v>
      </c>
      <c r="S169" s="50" t="n">
        <v>376.58495118685</v>
      </c>
      <c r="T169" s="50" t="n">
        <v>110.912006171469</v>
      </c>
      <c r="U169" s="50" t="n">
        <v>322</v>
      </c>
      <c r="V169" s="112">
        <f>((O169+R169)*100)/N169</f>
        <v/>
      </c>
      <c r="W169" s="112">
        <f>((P169+S169)*100)/N169</f>
        <v/>
      </c>
      <c r="X169" s="112">
        <f>((Q169+T169)*100)/N169</f>
        <v/>
      </c>
    </row>
    <row r="170" ht="22.5" customHeight="1" s="150">
      <c r="A170" s="34" t="n">
        <v>168</v>
      </c>
      <c r="B170" s="115">
        <f>C170+D170+E170+F170+G170+H170</f>
        <v/>
      </c>
      <c r="C170" s="50" t="n">
        <v>98.0152612678103</v>
      </c>
      <c r="D170" s="50" t="n">
        <v>18.0554428651229</v>
      </c>
      <c r="E170" s="50" t="n">
        <v>25.7934898073184</v>
      </c>
      <c r="F170" s="50" t="n">
        <v>28.3728387880503</v>
      </c>
      <c r="G170" s="50" t="n">
        <v>5.1586979614637</v>
      </c>
      <c r="H170" s="50" t="n">
        <v>10.3173959229274</v>
      </c>
      <c r="I170" s="111">
        <f>(100*B170)/N170</f>
        <v/>
      </c>
      <c r="J170" s="112">
        <f>((C170+F170)*100)/B170</f>
        <v/>
      </c>
      <c r="K170" s="112">
        <f>((D170+G170)*100)/B170</f>
        <v/>
      </c>
      <c r="L170" s="112">
        <f>((E170+H170)*100)/B170</f>
        <v/>
      </c>
      <c r="M170" s="113">
        <f>N170-B169</f>
        <v/>
      </c>
      <c r="N170" s="115">
        <f>O170+P170+Q170+R170+S170+T170</f>
        <v/>
      </c>
      <c r="O170" s="50" t="n">
        <v>492.655655319783</v>
      </c>
      <c r="P170" s="50" t="n">
        <v>415.275185897827</v>
      </c>
      <c r="Q170" s="50" t="n">
        <v>98.0152612678103</v>
      </c>
      <c r="R170" s="50" t="n">
        <v>224.40336132367</v>
      </c>
      <c r="S170" s="50" t="n">
        <v>152.181589863179</v>
      </c>
      <c r="T170" s="50" t="n">
        <v>59.3250265568325</v>
      </c>
      <c r="U170" s="50" t="n">
        <v>268</v>
      </c>
      <c r="V170" s="112">
        <f>((O170+R170)*100)/N170</f>
        <v/>
      </c>
      <c r="W170" s="112">
        <f>((P170+S170)*100)/N170</f>
        <v/>
      </c>
      <c r="X170" s="112">
        <f>((Q170+T170)*100)/N170</f>
        <v/>
      </c>
    </row>
    <row r="171" ht="22.5" customHeight="1" s="150">
      <c r="A171" s="34" t="n">
        <v>169</v>
      </c>
      <c r="B171" s="115">
        <f>C171+D171+E171+F171+G171+H171</f>
        <v/>
      </c>
      <c r="C171" s="50" t="n">
        <v>162.498985786106</v>
      </c>
      <c r="D171" s="50" t="n">
        <v>87.6978653448828</v>
      </c>
      <c r="E171" s="50" t="n">
        <v>72.22177146049179</v>
      </c>
      <c r="F171" s="50" t="n">
        <v>134.126146998056</v>
      </c>
      <c r="G171" s="50" t="n">
        <v>56.7456775761007</v>
      </c>
      <c r="H171" s="50" t="n">
        <v>43.8489326724414</v>
      </c>
      <c r="I171" s="111">
        <f>(100*B171)/N171</f>
        <v/>
      </c>
      <c r="J171" s="112">
        <f>((C171+F171)*100)/B171</f>
        <v/>
      </c>
      <c r="K171" s="112">
        <f>((D171+G171)*100)/B171</f>
        <v/>
      </c>
      <c r="L171" s="112">
        <f>((E171+H171)*100)/B171</f>
        <v/>
      </c>
      <c r="M171" s="113">
        <f>N171-B170</f>
        <v/>
      </c>
      <c r="N171" s="115">
        <f>O171+P171+Q171+R171+S171+T171</f>
        <v/>
      </c>
      <c r="O171" s="50" t="n">
        <v>510.711098184906</v>
      </c>
      <c r="P171" s="50" t="n">
        <v>394.640394051973</v>
      </c>
      <c r="Q171" s="50" t="n">
        <v>100.594610248542</v>
      </c>
      <c r="R171" s="50" t="n">
        <v>1189.07988011738</v>
      </c>
      <c r="S171" s="50" t="n">
        <v>825.391673834191</v>
      </c>
      <c r="T171" s="50" t="n">
        <v>224.40336132367</v>
      </c>
      <c r="U171" s="50" t="n">
        <v>356</v>
      </c>
      <c r="V171" s="112">
        <f>((O171+R171)*100)/N171</f>
        <v/>
      </c>
      <c r="W171" s="112">
        <f>((P171+S171)*100)/N171</f>
        <v/>
      </c>
      <c r="X171" s="112">
        <f>((Q171+T171)*100)/N171</f>
        <v/>
      </c>
    </row>
    <row r="172" ht="22.5" customHeight="1" s="150">
      <c r="A172" s="34" t="n">
        <v>170</v>
      </c>
      <c r="B172" s="115">
        <f>C172+D172+E172+F172+G172+H172</f>
        <v/>
      </c>
      <c r="C172" s="50" t="n">
        <v>224.40336132367</v>
      </c>
      <c r="D172" s="50" t="n">
        <v>5.1586979614637</v>
      </c>
      <c r="E172" s="50" t="n">
        <v>7.73804694219555</v>
      </c>
      <c r="F172" s="50" t="n">
        <v>38.6902347109777</v>
      </c>
      <c r="G172" s="50" t="n">
        <v>2.57934898073185</v>
      </c>
      <c r="H172" s="50" t="n">
        <v>2.57934898073185</v>
      </c>
      <c r="I172" s="111">
        <f>(100*B172)/N172</f>
        <v/>
      </c>
      <c r="J172" s="112">
        <f>((C172+F172)*100)/B172</f>
        <v/>
      </c>
      <c r="K172" s="112">
        <f>((D172+G172)*100)/B172</f>
        <v/>
      </c>
      <c r="L172" s="112">
        <f>((E172+H172)*100)/B172</f>
        <v/>
      </c>
      <c r="M172" s="113">
        <f>N172-B171</f>
        <v/>
      </c>
      <c r="N172" s="115">
        <f>O172+P172+Q172+R172+S172+T172</f>
        <v/>
      </c>
      <c r="O172" s="50" t="n">
        <v>466.862165512464</v>
      </c>
      <c r="P172" s="50" t="n">
        <v>407.537138955632</v>
      </c>
      <c r="Q172" s="50" t="n">
        <v>105.753308210005</v>
      </c>
      <c r="R172" s="50" t="n">
        <v>211.506616420011</v>
      </c>
      <c r="S172" s="50" t="n">
        <v>183.133777631961</v>
      </c>
      <c r="T172" s="50" t="n">
        <v>67.06307349902811</v>
      </c>
      <c r="U172" s="50" t="n">
        <v>248</v>
      </c>
      <c r="V172" s="112">
        <f>((O172+R172)*100)/N172</f>
        <v/>
      </c>
      <c r="W172" s="112">
        <f>((P172+S172)*100)/N172</f>
        <v/>
      </c>
      <c r="X172" s="112">
        <f>((Q172+T172)*100)/N172</f>
        <v/>
      </c>
    </row>
    <row r="173" ht="22.5" customHeight="1" s="150">
      <c r="A173" s="34" t="n">
        <v>171</v>
      </c>
      <c r="B173" s="115">
        <f>C173+D173+E173+F173+G173+H173</f>
        <v/>
      </c>
      <c r="C173" s="50" t="n">
        <v>33.531536749514</v>
      </c>
      <c r="D173" s="50" t="n">
        <v>7.73804694219555</v>
      </c>
      <c r="E173" s="50" t="n">
        <v>12.8967449036592</v>
      </c>
      <c r="F173" s="50" t="n">
        <v>5.1586979614637</v>
      </c>
      <c r="G173" s="50" t="n">
        <v>12.8967449036592</v>
      </c>
      <c r="H173" s="50" t="n">
        <v>12.8967449036592</v>
      </c>
      <c r="I173" s="111">
        <f>(100*B173)/N173</f>
        <v/>
      </c>
      <c r="J173" s="112">
        <f>((C173+F173)*100)/B173</f>
        <v/>
      </c>
      <c r="K173" s="112">
        <f>((D173+G173)*100)/B173</f>
        <v/>
      </c>
      <c r="L173" s="112">
        <f>((E173+H173)*100)/B173</f>
        <v/>
      </c>
      <c r="M173" s="113">
        <f>N173-B172</f>
        <v/>
      </c>
      <c r="N173" s="115">
        <f>O173+P173+Q173+R173+S173+T173</f>
        <v/>
      </c>
      <c r="O173" s="50" t="n">
        <v>466.862165512464</v>
      </c>
      <c r="P173" s="50" t="n">
        <v>399.799092013436</v>
      </c>
      <c r="Q173" s="50" t="n">
        <v>92.8565633063466</v>
      </c>
      <c r="R173" s="50" t="n">
        <v>420.433883859291</v>
      </c>
      <c r="S173" s="50" t="n">
        <v>348.212112398799</v>
      </c>
      <c r="T173" s="50" t="n">
        <v>103.173959229273</v>
      </c>
      <c r="U173" s="50" t="n">
        <v>281</v>
      </c>
      <c r="V173" s="112">
        <f>((O173+R173)*100)/N173</f>
        <v/>
      </c>
      <c r="W173" s="112">
        <f>((P173+S173)*100)/N173</f>
        <v/>
      </c>
      <c r="X173" s="112">
        <f>((Q173+T173)*100)/N173</f>
        <v/>
      </c>
    </row>
    <row r="174" ht="22.5" customHeight="1" s="150">
      <c r="A174" s="34" t="n">
        <v>172</v>
      </c>
      <c r="B174" s="115">
        <f>C174+D174+E174+F174+G174+H174</f>
        <v/>
      </c>
      <c r="C174" s="50" t="n">
        <v>15.4760938843911</v>
      </c>
      <c r="D174" s="50" t="n">
        <v>54.1663285953688</v>
      </c>
      <c r="E174" s="50" t="n">
        <v>15.4760938843911</v>
      </c>
      <c r="F174" s="50" t="n">
        <v>12.8967449036592</v>
      </c>
      <c r="G174" s="50" t="n">
        <v>28.3728387880503</v>
      </c>
      <c r="H174" s="50" t="n">
        <v>15.4760938843911</v>
      </c>
      <c r="I174" s="111">
        <f>(100*B174)/N174</f>
        <v/>
      </c>
      <c r="J174" s="112">
        <f>((C174+F174)*100)/B174</f>
        <v/>
      </c>
      <c r="K174" s="112">
        <f>((D174+G174)*100)/B174</f>
        <v/>
      </c>
      <c r="L174" s="112">
        <f>((E174+H174)*100)/B174</f>
        <v/>
      </c>
      <c r="M174" s="113">
        <f>N174-B173</f>
        <v/>
      </c>
      <c r="N174" s="115">
        <f>O174+P174+Q174+R174+S174+T174</f>
        <v/>
      </c>
      <c r="O174" s="50" t="n">
        <v>502.97305124271</v>
      </c>
      <c r="P174" s="50" t="n">
        <v>376.58495118685</v>
      </c>
      <c r="Q174" s="50" t="n">
        <v>105.753308210005</v>
      </c>
      <c r="R174" s="50" t="n">
        <v>673.210083971012</v>
      </c>
      <c r="S174" s="50" t="n">
        <v>508.131749204174</v>
      </c>
      <c r="T174" s="50" t="n">
        <v>136.705495978788</v>
      </c>
      <c r="U174" s="50" t="n">
        <v>330</v>
      </c>
      <c r="V174" s="112">
        <f>((O174+R174)*100)/N174</f>
        <v/>
      </c>
      <c r="W174" s="112">
        <f>((P174+S174)*100)/N174</f>
        <v/>
      </c>
      <c r="X174" s="112">
        <f>((Q174+T174)*100)/N174</f>
        <v/>
      </c>
    </row>
    <row r="175" ht="22.5" customHeight="1" s="150">
      <c r="A175" s="34" t="n">
        <v>173</v>
      </c>
      <c r="B175" s="115">
        <f>C175+D175+E175+F175+G175+H175</f>
        <v/>
      </c>
      <c r="C175" s="50" t="n">
        <v>234.720757246598</v>
      </c>
      <c r="D175" s="50" t="n">
        <v>0</v>
      </c>
      <c r="E175" s="50" t="n">
        <v>5.1586979614637</v>
      </c>
      <c r="F175" s="50" t="n">
        <v>54.1663285953688</v>
      </c>
      <c r="G175" s="50" t="n">
        <v>0</v>
      </c>
      <c r="H175" s="50" t="n">
        <v>0</v>
      </c>
      <c r="I175" s="111">
        <f>(100*B175)/N175</f>
        <v/>
      </c>
      <c r="J175" s="112">
        <f>((C175+F175)*100)/B175</f>
        <v/>
      </c>
      <c r="K175" s="112">
        <f>((D175+G175)*100)/B175</f>
        <v/>
      </c>
      <c r="L175" s="112">
        <f>((E175+H175)*100)/B175</f>
        <v/>
      </c>
      <c r="M175" s="113">
        <f>N175-B174</f>
        <v/>
      </c>
      <c r="N175" s="115">
        <f>O175+P175+Q175+R175+S175+T175</f>
        <v/>
      </c>
      <c r="O175" s="50" t="n">
        <v>544.24263493442</v>
      </c>
      <c r="P175" s="50" t="n">
        <v>399.799092013436</v>
      </c>
      <c r="Q175" s="50" t="n">
        <v>105.753308210005</v>
      </c>
      <c r="R175" s="50" t="n">
        <v>482.338259396855</v>
      </c>
      <c r="S175" s="50" t="n">
        <v>389.481696090509</v>
      </c>
      <c r="T175" s="50" t="n">
        <v>149.602240882447</v>
      </c>
      <c r="U175" s="50" t="n">
        <v>304</v>
      </c>
      <c r="V175" s="112">
        <f>((O175+R175)*100)/N175</f>
        <v/>
      </c>
      <c r="W175" s="112">
        <f>((P175+S175)*100)/N175</f>
        <v/>
      </c>
      <c r="X175" s="112">
        <f>((Q175+T175)*100)/N175</f>
        <v/>
      </c>
    </row>
    <row r="176" ht="22.5" customHeight="1" s="150">
      <c r="A176" s="34" t="n">
        <v>174</v>
      </c>
      <c r="B176" s="115">
        <f>C176+D176+E176+F176+G176+H176</f>
        <v/>
      </c>
      <c r="C176" s="50" t="n">
        <v>118.650053113665</v>
      </c>
      <c r="D176" s="50" t="n">
        <v>5.1586979614637</v>
      </c>
      <c r="E176" s="50" t="n">
        <v>7.73804694219555</v>
      </c>
      <c r="F176" s="50" t="n">
        <v>20.6347918458548</v>
      </c>
      <c r="G176" s="50" t="n">
        <v>5.1586979614637</v>
      </c>
      <c r="H176" s="50" t="n">
        <v>2.57934898073185</v>
      </c>
      <c r="I176" s="111">
        <f>(100*B176)/N176</f>
        <v/>
      </c>
      <c r="J176" s="112">
        <f>((C176+F176)*100)/B176</f>
        <v/>
      </c>
      <c r="K176" s="112">
        <f>((D176+G176)*100)/B176</f>
        <v/>
      </c>
      <c r="L176" s="112">
        <f>((E176+H176)*100)/B176</f>
        <v/>
      </c>
      <c r="M176" s="113">
        <f>N176-B175</f>
        <v/>
      </c>
      <c r="N176" s="115">
        <f>O176+P176+Q176+R176+S176+T176</f>
        <v/>
      </c>
      <c r="O176" s="50" t="n">
        <v>518.449145127101</v>
      </c>
      <c r="P176" s="50" t="n">
        <v>399.799092013436</v>
      </c>
      <c r="Q176" s="50" t="n">
        <v>100.594610248542</v>
      </c>
      <c r="R176" s="50" t="n">
        <v>116.070704132933</v>
      </c>
      <c r="S176" s="50" t="n">
        <v>203.768569477816</v>
      </c>
      <c r="T176" s="50" t="n">
        <v>113.491355152201</v>
      </c>
      <c r="U176" s="50" t="n">
        <v>235</v>
      </c>
      <c r="V176" s="112">
        <f>((O176+R176)*100)/N176</f>
        <v/>
      </c>
      <c r="W176" s="112">
        <f>((P176+S176)*100)/N176</f>
        <v/>
      </c>
      <c r="X176" s="112">
        <f>((Q176+T176)*100)/N176</f>
        <v/>
      </c>
    </row>
    <row r="177" ht="22.5" customHeight="1" s="150">
      <c r="A177" s="34" t="n">
        <v>175</v>
      </c>
      <c r="B177" s="115">
        <f>C177+D177+E177+F177+G177+H177</f>
        <v/>
      </c>
      <c r="C177" s="50" t="n">
        <v>268.252293996112</v>
      </c>
      <c r="D177" s="50" t="n">
        <v>7.73804694219555</v>
      </c>
      <c r="E177" s="50" t="n">
        <v>23.2141408265866</v>
      </c>
      <c r="F177" s="50" t="n">
        <v>185.713126612693</v>
      </c>
      <c r="G177" s="50" t="n">
        <v>7.73804694219555</v>
      </c>
      <c r="H177" s="50" t="n">
        <v>20.6347918458548</v>
      </c>
      <c r="I177" s="111">
        <f>(100*B177)/N177</f>
        <v/>
      </c>
      <c r="J177" s="112">
        <f>((C177+F177)*100)/B177</f>
        <v/>
      </c>
      <c r="K177" s="112">
        <f>((D177+G177)*100)/B177</f>
        <v/>
      </c>
      <c r="L177" s="112">
        <f>((E177+H177)*100)/B177</f>
        <v/>
      </c>
      <c r="M177" s="113">
        <f>N177-B176</f>
        <v/>
      </c>
      <c r="N177" s="115">
        <f>O177+P177+Q177+R177+S177+T177</f>
        <v/>
      </c>
      <c r="O177" s="50" t="n">
        <v>513.2904471656381</v>
      </c>
      <c r="P177" s="50" t="n">
        <v>397.219743032704</v>
      </c>
      <c r="Q177" s="50" t="n">
        <v>90.27721432561469</v>
      </c>
      <c r="R177" s="50" t="n">
        <v>768.645996258091</v>
      </c>
      <c r="S177" s="50" t="n">
        <v>616.464406394912</v>
      </c>
      <c r="T177" s="50" t="n">
        <v>172.816381709033</v>
      </c>
      <c r="U177" s="50" t="n">
        <v>328</v>
      </c>
      <c r="V177" s="112">
        <f>((O177+R177)*100)/N177</f>
        <v/>
      </c>
      <c r="W177" s="112">
        <f>((P177+S177)*100)/N177</f>
        <v/>
      </c>
      <c r="X177" s="112">
        <f>((Q177+T177)*100)/N177</f>
        <v/>
      </c>
    </row>
    <row r="178" ht="22.5" customHeight="1" s="150">
      <c r="A178" s="34" t="n">
        <v>176</v>
      </c>
      <c r="B178" s="115">
        <f>C178+D178+E178+F178+G178+H178</f>
        <v/>
      </c>
      <c r="C178" s="50" t="n">
        <v>353.370810360263</v>
      </c>
      <c r="D178" s="50" t="n">
        <v>7.73804694219555</v>
      </c>
      <c r="E178" s="50" t="n">
        <v>74.8011204412236</v>
      </c>
      <c r="F178" s="50" t="n">
        <v>154.760938843911</v>
      </c>
      <c r="G178" s="50" t="n">
        <v>20.6347918458548</v>
      </c>
      <c r="H178" s="50" t="n">
        <v>33.531536749514</v>
      </c>
      <c r="I178" s="111">
        <f>(100*B178)/N178</f>
        <v/>
      </c>
      <c r="J178" s="112">
        <f>((C178+F178)*100)/B178</f>
        <v/>
      </c>
      <c r="K178" s="112">
        <f>((D178+G178)*100)/B178</f>
        <v/>
      </c>
      <c r="L178" s="112">
        <f>((E178+H178)*100)/B178</f>
        <v/>
      </c>
      <c r="M178" s="113">
        <f>N178-B177</f>
        <v/>
      </c>
      <c r="N178" s="115">
        <f>O178+P178+Q178+R178+S178+T178</f>
        <v/>
      </c>
      <c r="O178" s="50" t="n">
        <v>523.607843088565</v>
      </c>
      <c r="P178" s="50" t="n">
        <v>423.013232840023</v>
      </c>
      <c r="Q178" s="50" t="n">
        <v>87.6978653448828</v>
      </c>
      <c r="R178" s="50" t="n">
        <v>887.296049371756</v>
      </c>
      <c r="S178" s="50" t="n">
        <v>846.026465680046</v>
      </c>
      <c r="T178" s="50" t="n">
        <v>247.617502150257</v>
      </c>
      <c r="U178" s="50" t="n">
        <v>291</v>
      </c>
      <c r="V178" s="112">
        <f>((O178+R178)*100)/N178</f>
        <v/>
      </c>
      <c r="W178" s="112">
        <f>((P178+S178)*100)/N178</f>
        <v/>
      </c>
      <c r="X178" s="112">
        <f>((Q178+T178)*100)/N178</f>
        <v/>
      </c>
    </row>
    <row r="179" ht="22.5" customHeight="1" s="150">
      <c r="A179" s="34" t="n">
        <v>177</v>
      </c>
      <c r="B179" s="115">
        <f>C179+D179+E179+F179+G179+H179</f>
        <v/>
      </c>
      <c r="C179" s="50" t="n">
        <v>95.43591228707839</v>
      </c>
      <c r="D179" s="50" t="n">
        <v>49.0076306339051</v>
      </c>
      <c r="E179" s="50" t="n">
        <v>38.6902347109777</v>
      </c>
      <c r="F179" s="50" t="n">
        <v>116.070704132933</v>
      </c>
      <c r="G179" s="50" t="n">
        <v>95.43591228707839</v>
      </c>
      <c r="H179" s="50" t="n">
        <v>20.6347918458548</v>
      </c>
      <c r="I179" s="111">
        <f>(100*B179)/N179</f>
        <v/>
      </c>
      <c r="J179" s="112">
        <f>((C179+F179)*100)/B179</f>
        <v/>
      </c>
      <c r="K179" s="112">
        <f>((D179+G179)*100)/B179</f>
        <v/>
      </c>
      <c r="L179" s="112">
        <f>((E179+H179)*100)/B179</f>
        <v/>
      </c>
      <c r="M179" s="113">
        <f>N179-B178</f>
        <v/>
      </c>
      <c r="N179" s="115">
        <f>O179+P179+Q179+R179+S179+T179</f>
        <v/>
      </c>
      <c r="O179" s="50" t="n">
        <v>487.496957358319</v>
      </c>
      <c r="P179" s="50" t="n">
        <v>381.743649148313</v>
      </c>
      <c r="Q179" s="50" t="n">
        <v>98.0152612678103</v>
      </c>
      <c r="R179" s="50" t="n">
        <v>1821.02038039668</v>
      </c>
      <c r="S179" s="50" t="n">
        <v>1039.47763923493</v>
      </c>
      <c r="T179" s="50" t="n">
        <v>185.713126612693</v>
      </c>
      <c r="U179" s="50" t="n">
        <v>320</v>
      </c>
      <c r="V179" s="112">
        <f>((O179+R179)*100)/N179</f>
        <v/>
      </c>
      <c r="W179" s="112">
        <f>((P179+S179)*100)/N179</f>
        <v/>
      </c>
      <c r="X179" s="112">
        <f>((Q179+T179)*100)/N179</f>
        <v/>
      </c>
    </row>
    <row r="180" ht="22.5" customHeight="1" s="150">
      <c r="A180" s="34" t="n">
        <v>178</v>
      </c>
      <c r="B180" s="115">
        <f>C180+D180+E180+F180+G180+H180</f>
        <v/>
      </c>
      <c r="C180" s="50" t="n">
        <v>123.808751075128</v>
      </c>
      <c r="D180" s="50" t="n">
        <v>64.4837245182962</v>
      </c>
      <c r="E180" s="50" t="n">
        <v>61.9043755375644</v>
      </c>
      <c r="F180" s="50" t="n">
        <v>61.9043755375644</v>
      </c>
      <c r="G180" s="50" t="n">
        <v>69.6424224797599</v>
      </c>
      <c r="H180" s="50" t="n">
        <v>56.7456775761007</v>
      </c>
      <c r="I180" s="111">
        <f>(100*B180)/N180</f>
        <v/>
      </c>
      <c r="J180" s="112">
        <f>((C180+F180)*100)/B180</f>
        <v/>
      </c>
      <c r="K180" s="112">
        <f>((D180+G180)*100)/B180</f>
        <v/>
      </c>
      <c r="L180" s="112">
        <f>((E180+H180)*100)/B180</f>
        <v/>
      </c>
      <c r="M180" s="113">
        <f>N180-B179</f>
        <v/>
      </c>
      <c r="N180" s="115">
        <f>O180+P180+Q180+R180+S180+T180</f>
        <v/>
      </c>
      <c r="O180" s="50" t="n">
        <v>448.806722647341</v>
      </c>
      <c r="P180" s="50" t="n">
        <v>350.791461379531</v>
      </c>
      <c r="Q180" s="50" t="n">
        <v>67.06307349902811</v>
      </c>
      <c r="R180" s="50" t="n">
        <v>415.275185897827</v>
      </c>
      <c r="S180" s="50" t="n">
        <v>363.68820628319</v>
      </c>
      <c r="T180" s="50" t="n">
        <v>74.8011204412236</v>
      </c>
      <c r="U180" s="50" t="n">
        <v>240</v>
      </c>
      <c r="V180" s="112">
        <f>((O180+R180)*100)/N180</f>
        <v/>
      </c>
      <c r="W180" s="112">
        <f>((P180+S180)*100)/N180</f>
        <v/>
      </c>
      <c r="X180" s="112">
        <f>((Q180+T180)*100)/N180</f>
        <v/>
      </c>
    </row>
    <row r="181" ht="22.5" customHeight="1" s="150">
      <c r="A181" s="34" t="n">
        <v>179</v>
      </c>
      <c r="B181" s="115">
        <f>C181+D181+E181+F181+G181+H181</f>
        <v/>
      </c>
      <c r="C181" s="50" t="n">
        <v>61.9043755375644</v>
      </c>
      <c r="D181" s="50" t="n">
        <v>18.0554428651229</v>
      </c>
      <c r="E181" s="50" t="n">
        <v>36.1108857302459</v>
      </c>
      <c r="F181" s="50" t="n">
        <v>56.7456775761007</v>
      </c>
      <c r="G181" s="50" t="n">
        <v>12.8967449036592</v>
      </c>
      <c r="H181" s="50" t="n">
        <v>18.0554428651229</v>
      </c>
      <c r="I181" s="111">
        <f>(100*B181)/N181</f>
        <v/>
      </c>
      <c r="J181" s="112">
        <f>((C181+F181)*100)/B181</f>
        <v/>
      </c>
      <c r="K181" s="112">
        <f>((D181+G181)*100)/B181</f>
        <v/>
      </c>
      <c r="L181" s="112">
        <f>((E181+H181)*100)/B181</f>
        <v/>
      </c>
      <c r="M181" s="113">
        <f>N181-B180</f>
        <v/>
      </c>
      <c r="N181" s="115">
        <f>O181+P181+Q181+R181+S181+T181</f>
        <v/>
      </c>
      <c r="O181" s="50" t="n">
        <v>443.648024685878</v>
      </c>
      <c r="P181" s="50" t="n">
        <v>353.370810360263</v>
      </c>
      <c r="Q181" s="50" t="n">
        <v>87.6978653448828</v>
      </c>
      <c r="R181" s="50" t="n">
        <v>735.1144595085771</v>
      </c>
      <c r="S181" s="50" t="n">
        <v>466.862165512464</v>
      </c>
      <c r="T181" s="50" t="n">
        <v>87.6978653448828</v>
      </c>
      <c r="U181" s="50" t="n">
        <v>281</v>
      </c>
      <c r="V181" s="112">
        <f>((O181+R181)*100)/N181</f>
        <v/>
      </c>
      <c r="W181" s="112">
        <f>((P181+S181)*100)/N181</f>
        <v/>
      </c>
      <c r="X181" s="112">
        <f>((Q181+T181)*100)/N181</f>
        <v/>
      </c>
    </row>
    <row r="182" ht="22.5" customHeight="1" s="150">
      <c r="A182" s="34" t="n">
        <v>180</v>
      </c>
      <c r="B182" s="115">
        <f>C182+D182+E182+F182+G182+H182</f>
        <v/>
      </c>
      <c r="C182" s="50" t="n">
        <v>38.6902347109777</v>
      </c>
      <c r="D182" s="50" t="n">
        <v>20.6347918458548</v>
      </c>
      <c r="E182" s="50" t="n">
        <v>2.57934898073185</v>
      </c>
      <c r="F182" s="50" t="n">
        <v>20.6347918458548</v>
      </c>
      <c r="G182" s="50" t="n">
        <v>7.73804694219555</v>
      </c>
      <c r="H182" s="50" t="n">
        <v>2.57934898073185</v>
      </c>
      <c r="I182" s="111">
        <f>(100*B182)/N182</f>
        <v/>
      </c>
      <c r="J182" s="112">
        <f>((C182+F182)*100)/B182</f>
        <v/>
      </c>
      <c r="K182" s="112">
        <f>((D182+G182)*100)/B182</f>
        <v/>
      </c>
      <c r="L182" s="112">
        <f>((E182+H182)*100)/B182</f>
        <v/>
      </c>
      <c r="M182" s="113">
        <f>N182-B181</f>
        <v/>
      </c>
      <c r="N182" s="115">
        <f>O182+P182+Q182+R182+S182+T182</f>
        <v/>
      </c>
      <c r="O182" s="50" t="n">
        <v>412.695836917095</v>
      </c>
      <c r="P182" s="50" t="n">
        <v>312.101226668553</v>
      </c>
      <c r="Q182" s="50" t="n">
        <v>87.6978653448828</v>
      </c>
      <c r="R182" s="50" t="n">
        <v>77.3804694219555</v>
      </c>
      <c r="S182" s="50" t="n">
        <v>103.173959229273</v>
      </c>
      <c r="T182" s="50" t="n">
        <v>33.531536749514</v>
      </c>
      <c r="U182" s="50" t="n">
        <v>183</v>
      </c>
      <c r="V182" s="112">
        <f>((O182+R182)*100)/N182</f>
        <v/>
      </c>
      <c r="W182" s="112">
        <f>((P182+S182)*100)/N182</f>
        <v/>
      </c>
      <c r="X182" s="112">
        <f>((Q182+T182)*100)/N182</f>
        <v/>
      </c>
    </row>
    <row r="183" ht="22.5" customHeight="1" s="150">
      <c r="A183" s="34" t="n">
        <v>181</v>
      </c>
      <c r="B183" s="115">
        <f>C183+D183+E183+F183+G183+H183</f>
        <v/>
      </c>
      <c r="C183" s="50" t="n">
        <v>139.284844959519</v>
      </c>
      <c r="D183" s="50" t="n">
        <v>5.1586979614637</v>
      </c>
      <c r="E183" s="50" t="n">
        <v>20.6347918458548</v>
      </c>
      <c r="F183" s="50" t="n">
        <v>134.126146998056</v>
      </c>
      <c r="G183" s="50" t="n">
        <v>12.8967449036592</v>
      </c>
      <c r="H183" s="50" t="n">
        <v>7.73804694219555</v>
      </c>
      <c r="I183" s="111">
        <f>(100*B183)/N183</f>
        <v/>
      </c>
      <c r="J183" s="112">
        <f>((C183+F183)*100)/B183</f>
        <v/>
      </c>
      <c r="K183" s="112">
        <f>((D183+G183)*100)/B183</f>
        <v/>
      </c>
      <c r="L183" s="112">
        <f>((E183+H183)*100)/B183</f>
        <v/>
      </c>
      <c r="M183" s="113">
        <f>N183-B182</f>
        <v/>
      </c>
      <c r="N183" s="115">
        <f>O183+P183+Q183+R183+S183+T183</f>
        <v/>
      </c>
      <c r="O183" s="50" t="n">
        <v>438.489326724414</v>
      </c>
      <c r="P183" s="50" t="n">
        <v>317.259924630017</v>
      </c>
      <c r="Q183" s="50" t="n">
        <v>98.0152612678103</v>
      </c>
      <c r="R183" s="50" t="n">
        <v>892.45474733322</v>
      </c>
      <c r="S183" s="50" t="n">
        <v>606.147010471984</v>
      </c>
      <c r="T183" s="50" t="n">
        <v>123.808751075128</v>
      </c>
      <c r="U183" s="50" t="n">
        <v>263</v>
      </c>
      <c r="V183" s="112">
        <f>((O183+R183)*100)/N183</f>
        <v/>
      </c>
      <c r="W183" s="112">
        <f>((P183+S183)*100)/N183</f>
        <v/>
      </c>
      <c r="X183" s="112">
        <f>((Q183+T183)*100)/N183</f>
        <v/>
      </c>
    </row>
    <row r="184" ht="22.5" customHeight="1" s="150">
      <c r="A184" s="34" t="n">
        <v>182</v>
      </c>
      <c r="B184" s="115">
        <f>C184+D184+E184+F184+G184+H184</f>
        <v/>
      </c>
      <c r="C184" s="50" t="n">
        <v>252.776200111721</v>
      </c>
      <c r="D184" s="50" t="n">
        <v>23.2141408265866</v>
      </c>
      <c r="E184" s="50" t="n">
        <v>33.531536749514</v>
      </c>
      <c r="F184" s="50" t="n">
        <v>203.768569477816</v>
      </c>
      <c r="G184" s="50" t="n">
        <v>36.1108857302459</v>
      </c>
      <c r="H184" s="50" t="n">
        <v>38.6902347109777</v>
      </c>
      <c r="I184" s="111">
        <f>(100*B184)/N184</f>
        <v/>
      </c>
      <c r="J184" s="112">
        <f>((C184+F184)*100)/B184</f>
        <v/>
      </c>
      <c r="K184" s="112">
        <f>((D184+G184)*100)/B184</f>
        <v/>
      </c>
      <c r="L184" s="112">
        <f>((E184+H184)*100)/B184</f>
        <v/>
      </c>
      <c r="M184" s="113">
        <f>N184-B183</f>
        <v/>
      </c>
      <c r="N184" s="115">
        <f>O184+P184+Q184+R184+S184+T184</f>
        <v/>
      </c>
      <c r="O184" s="50" t="n">
        <v>399.799092013436</v>
      </c>
      <c r="P184" s="50" t="n">
        <v>283.728387880503</v>
      </c>
      <c r="Q184" s="50" t="n">
        <v>90.27721432561469</v>
      </c>
      <c r="R184" s="50" t="n">
        <v>619.043755375644</v>
      </c>
      <c r="S184" s="50" t="n">
        <v>420.433883859291</v>
      </c>
      <c r="T184" s="50" t="n">
        <v>175.395730689765</v>
      </c>
      <c r="U184" s="50" t="n">
        <v>266</v>
      </c>
      <c r="V184" s="112">
        <f>((O184+R184)*100)/N184</f>
        <v/>
      </c>
      <c r="W184" s="112">
        <f>((P184+S184)*100)/N184</f>
        <v/>
      </c>
      <c r="X184" s="112">
        <f>((Q184+T184)*100)/N184</f>
        <v/>
      </c>
    </row>
    <row r="185" ht="22.5" customHeight="1" s="150">
      <c r="A185" s="34" t="n">
        <v>183</v>
      </c>
      <c r="B185" s="115">
        <f>C185+D185+E185+F185+G185+H185</f>
        <v/>
      </c>
      <c r="C185" s="50" t="n">
        <v>162.498985786106</v>
      </c>
      <c r="D185" s="50" t="n">
        <v>2.57934898073185</v>
      </c>
      <c r="E185" s="50" t="n">
        <v>5.1586979614637</v>
      </c>
      <c r="F185" s="50" t="n">
        <v>41.2695836917096</v>
      </c>
      <c r="G185" s="50" t="n">
        <v>0</v>
      </c>
      <c r="H185" s="50" t="n">
        <v>5.1586979614637</v>
      </c>
      <c r="I185" s="111">
        <f>(100*B185)/N185</f>
        <v/>
      </c>
      <c r="J185" s="112">
        <f>((C185+F185)*100)/B185</f>
        <v/>
      </c>
      <c r="K185" s="112">
        <f>((D185+G185)*100)/B185</f>
        <v/>
      </c>
      <c r="L185" s="112">
        <f>((E185+H185)*100)/B185</f>
        <v/>
      </c>
      <c r="M185" s="113">
        <f>N185-B184</f>
        <v/>
      </c>
      <c r="N185" s="115">
        <f>O185+P185+Q185+R185+S185+T185</f>
        <v/>
      </c>
      <c r="O185" s="50" t="n">
        <v>358.529508321727</v>
      </c>
      <c r="P185" s="50" t="n">
        <v>250.196851130989</v>
      </c>
      <c r="Q185" s="50" t="n">
        <v>85.11851636415101</v>
      </c>
      <c r="R185" s="50" t="n">
        <v>157.340287824642</v>
      </c>
      <c r="S185" s="50" t="n">
        <v>74.8011204412236</v>
      </c>
      <c r="T185" s="50" t="n">
        <v>38.6902347109777</v>
      </c>
      <c r="U185" s="50" t="n">
        <v>196</v>
      </c>
      <c r="V185" s="112">
        <f>((O185+R185)*100)/N185</f>
        <v/>
      </c>
      <c r="W185" s="112">
        <f>((P185+S185)*100)/N185</f>
        <v/>
      </c>
      <c r="X185" s="112">
        <f>((Q185+T185)*100)/N185</f>
        <v/>
      </c>
    </row>
    <row r="186" ht="22.5" customHeight="1" s="150">
      <c r="A186" s="34" t="n">
        <v>184</v>
      </c>
      <c r="B186" s="115">
        <f>C186+D186+E186+F186+G186+H186</f>
        <v/>
      </c>
      <c r="C186" s="50" t="n">
        <v>41.2695836917096</v>
      </c>
      <c r="D186" s="50" t="n">
        <v>12.8967449036592</v>
      </c>
      <c r="E186" s="50" t="n">
        <v>5.1586979614637</v>
      </c>
      <c r="F186" s="50" t="n">
        <v>0</v>
      </c>
      <c r="G186" s="50" t="n">
        <v>2.57934898073185</v>
      </c>
      <c r="H186" s="50" t="n">
        <v>0</v>
      </c>
      <c r="I186" s="111">
        <f>(100*B186)/N186</f>
        <v/>
      </c>
      <c r="J186" s="112">
        <f>((C186+F186)*100)/B186</f>
        <v/>
      </c>
      <c r="K186" s="112">
        <f>((D186+G186)*100)/B186</f>
        <v/>
      </c>
      <c r="L186" s="112">
        <f>((E186+H186)*100)/B186</f>
        <v/>
      </c>
      <c r="M186" s="113">
        <f>N186-B185</f>
        <v/>
      </c>
      <c r="N186" s="115">
        <f>O186+P186+Q186+R186+S186+T186</f>
        <v/>
      </c>
      <c r="O186" s="50" t="n">
        <v>371.426253225386</v>
      </c>
      <c r="P186" s="50" t="n">
        <v>242.458804188793</v>
      </c>
      <c r="Q186" s="50" t="n">
        <v>82.5391673834192</v>
      </c>
      <c r="R186" s="50" t="n">
        <v>33.531536749514</v>
      </c>
      <c r="S186" s="50" t="n">
        <v>10.3173959229274</v>
      </c>
      <c r="T186" s="50" t="n">
        <v>5.1586979614637</v>
      </c>
      <c r="U186" s="50" t="n">
        <v>157</v>
      </c>
      <c r="V186" s="112">
        <f>((O186+R186)*100)/N186</f>
        <v/>
      </c>
      <c r="W186" s="112">
        <f>((P186+S186)*100)/N186</f>
        <v/>
      </c>
      <c r="X186" s="112">
        <f>((Q186+T186)*100)/N186</f>
        <v/>
      </c>
    </row>
    <row r="187" ht="22.5" customHeight="1" s="150">
      <c r="A187" s="34" t="n">
        <v>185</v>
      </c>
      <c r="B187" s="115">
        <f>C187+D187+E187+F187+G187+H187</f>
        <v/>
      </c>
      <c r="C187" s="50" t="n">
        <v>167.65768374757</v>
      </c>
      <c r="D187" s="50" t="n">
        <v>10.3173959229274</v>
      </c>
      <c r="E187" s="50" t="n">
        <v>41.2695836917096</v>
      </c>
      <c r="F187" s="50" t="n">
        <v>36.1108857302459</v>
      </c>
      <c r="G187" s="50" t="n">
        <v>10.3173959229274</v>
      </c>
      <c r="H187" s="50" t="n">
        <v>12.8967449036592</v>
      </c>
      <c r="I187" s="111">
        <f>(100*B187)/N187</f>
        <v/>
      </c>
      <c r="J187" s="112">
        <f>((C187+F187)*100)/B187</f>
        <v/>
      </c>
      <c r="K187" s="112">
        <f>((D187+G187)*100)/B187</f>
        <v/>
      </c>
      <c r="L187" s="112">
        <f>((E187+H187)*100)/B187</f>
        <v/>
      </c>
      <c r="M187" s="113">
        <f>N187-B186</f>
        <v/>
      </c>
      <c r="N187" s="115">
        <f>O187+P187+Q187+R187+S187+T187</f>
        <v/>
      </c>
      <c r="O187" s="50" t="n">
        <v>345.632763418067</v>
      </c>
      <c r="P187" s="50" t="n">
        <v>226.982710304402</v>
      </c>
      <c r="Q187" s="50" t="n">
        <v>72.22177146049179</v>
      </c>
      <c r="R187" s="50" t="n">
        <v>136.705495978788</v>
      </c>
      <c r="S187" s="50" t="n">
        <v>56.7456775761007</v>
      </c>
      <c r="T187" s="50" t="n">
        <v>28.3728387880503</v>
      </c>
      <c r="U187" s="50" t="n">
        <v>175</v>
      </c>
      <c r="V187" s="112">
        <f>((O187+R187)*100)/N187</f>
        <v/>
      </c>
      <c r="W187" s="112">
        <f>((P187+S187)*100)/N187</f>
        <v/>
      </c>
      <c r="X187" s="112">
        <f>((Q187+T187)*100)/N187</f>
        <v/>
      </c>
    </row>
    <row r="188" ht="22.5" customHeight="1" s="150">
      <c r="A188" s="34" t="n">
        <v>186</v>
      </c>
      <c r="B188" s="115">
        <f>C188+D188+E188+F188+G188+H188</f>
        <v/>
      </c>
      <c r="C188" s="50" t="n">
        <v>214.085965400743</v>
      </c>
      <c r="D188" s="50" t="n">
        <v>7.73804694219555</v>
      </c>
      <c r="E188" s="50" t="n">
        <v>23.2141408265866</v>
      </c>
      <c r="F188" s="50" t="n">
        <v>121.229402094396</v>
      </c>
      <c r="G188" s="50" t="n">
        <v>10.3173959229274</v>
      </c>
      <c r="H188" s="50" t="n">
        <v>5.1586979614637</v>
      </c>
      <c r="I188" s="111">
        <f>(100*B188)/N188</f>
        <v/>
      </c>
      <c r="J188" s="112">
        <f>((C188+F188)*100)/B188</f>
        <v/>
      </c>
      <c r="K188" s="112">
        <f>((D188+G188)*100)/B188</f>
        <v/>
      </c>
      <c r="L188" s="112">
        <f>((E188+H188)*100)/B188</f>
        <v/>
      </c>
      <c r="M188" s="113">
        <f>N188-B187</f>
        <v/>
      </c>
      <c r="N188" s="115">
        <f>O188+P188+Q188+R188+S188+T188</f>
        <v/>
      </c>
      <c r="O188" s="50" t="n">
        <v>304.363179726358</v>
      </c>
      <c r="P188" s="50" t="n">
        <v>219.244663362207</v>
      </c>
      <c r="Q188" s="50" t="n">
        <v>72.22177146049179</v>
      </c>
      <c r="R188" s="50" t="n">
        <v>345.632763418067</v>
      </c>
      <c r="S188" s="50" t="n">
        <v>175.395730689765</v>
      </c>
      <c r="T188" s="50" t="n">
        <v>147.022891901715</v>
      </c>
      <c r="U188" s="50" t="n">
        <v>240</v>
      </c>
      <c r="V188" s="112">
        <f>((O188+R188)*100)/N188</f>
        <v/>
      </c>
      <c r="W188" s="112">
        <f>((P188+S188)*100)/N188</f>
        <v/>
      </c>
      <c r="X188" s="112">
        <f>((Q188+T188)*100)/N188</f>
        <v/>
      </c>
    </row>
    <row r="189" ht="22.5" customHeight="1" s="150">
      <c r="A189" s="34" t="n">
        <v>187</v>
      </c>
      <c r="B189" s="115">
        <f>C189+D189+E189+F189+G189+H189</f>
        <v/>
      </c>
      <c r="C189" s="50" t="n">
        <v>123.808751075128</v>
      </c>
      <c r="D189" s="50" t="n">
        <v>5.1586979614637</v>
      </c>
      <c r="E189" s="50" t="n">
        <v>12.8967449036592</v>
      </c>
      <c r="F189" s="50" t="n">
        <v>118.650053113665</v>
      </c>
      <c r="G189" s="50" t="n">
        <v>2.57934898073185</v>
      </c>
      <c r="H189" s="50" t="n">
        <v>23.2141408265866</v>
      </c>
      <c r="I189" s="111">
        <f>(100*B189)/N189</f>
        <v/>
      </c>
      <c r="J189" s="112">
        <f>((C189+F189)*100)/B189</f>
        <v/>
      </c>
      <c r="K189" s="112">
        <f>((D189+G189)*100)/B189</f>
        <v/>
      </c>
      <c r="L189" s="112">
        <f>((E189+H189)*100)/B189</f>
        <v/>
      </c>
      <c r="M189" s="113">
        <f>N189-B188</f>
        <v/>
      </c>
      <c r="N189" s="115">
        <f>O189+P189+Q189+R189+S189+T189</f>
        <v/>
      </c>
      <c r="O189" s="50" t="n">
        <v>278.569689919039</v>
      </c>
      <c r="P189" s="50" t="n">
        <v>214.085965400743</v>
      </c>
      <c r="Q189" s="50" t="n">
        <v>64.4837245182962</v>
      </c>
      <c r="R189" s="50" t="n">
        <v>570.036124741738</v>
      </c>
      <c r="S189" s="50" t="n">
        <v>381.743649148313</v>
      </c>
      <c r="T189" s="50" t="n">
        <v>172.816381709033</v>
      </c>
      <c r="U189" s="50" t="n">
        <v>250</v>
      </c>
      <c r="V189" s="112">
        <f>((O189+R189)*100)/N189</f>
        <v/>
      </c>
      <c r="W189" s="112">
        <f>((P189+S189)*100)/N189</f>
        <v/>
      </c>
      <c r="X189" s="112">
        <f>((Q189+T189)*100)/N189</f>
        <v/>
      </c>
    </row>
    <row r="190" ht="22.5" customHeight="1" s="150">
      <c r="A190" s="34" t="n">
        <v>188</v>
      </c>
      <c r="B190" s="115">
        <f>C190+D190+E190+F190+G190+H190</f>
        <v/>
      </c>
      <c r="C190" s="50" t="n">
        <v>10.3173959229274</v>
      </c>
      <c r="D190" s="50" t="n">
        <v>0</v>
      </c>
      <c r="E190" s="50" t="n">
        <v>0</v>
      </c>
      <c r="F190" s="50" t="n">
        <v>2.57934898073185</v>
      </c>
      <c r="G190" s="50" t="n">
        <v>0</v>
      </c>
      <c r="H190" s="50" t="n">
        <v>0</v>
      </c>
      <c r="I190" s="111">
        <f>(100*B190)/N190</f>
        <v/>
      </c>
      <c r="J190" s="112">
        <f>((C190+F190)*100)/B190</f>
        <v/>
      </c>
      <c r="K190" s="112">
        <f>((D190+G190)*100)/B190</f>
        <v/>
      </c>
      <c r="L190" s="112">
        <f>((E190+H190)*100)/B190</f>
        <v/>
      </c>
      <c r="M190" s="113">
        <f>N190-B189</f>
        <v/>
      </c>
      <c r="N190" s="115">
        <f>O190+P190+Q190+R190+S190+T190</f>
        <v/>
      </c>
      <c r="O190" s="50" t="n">
        <v>301.783830745626</v>
      </c>
      <c r="P190" s="50" t="n">
        <v>224.40336132367</v>
      </c>
      <c r="Q190" s="50" t="n">
        <v>64.4837245182962</v>
      </c>
      <c r="R190" s="50" t="n">
        <v>28.3728387880503</v>
      </c>
      <c r="S190" s="50" t="n">
        <v>15.4760938843911</v>
      </c>
      <c r="T190" s="50" t="n">
        <v>12.8967449036592</v>
      </c>
      <c r="U190" s="50" t="n">
        <v>155</v>
      </c>
      <c r="V190" s="112">
        <f>((O190+R190)*100)/N190</f>
        <v/>
      </c>
      <c r="W190" s="112">
        <f>((P190+S190)*100)/N190</f>
        <v/>
      </c>
      <c r="X190" s="112">
        <f>((Q190+T190)*100)/N190</f>
        <v/>
      </c>
    </row>
    <row r="191" ht="22.5" customHeight="1" s="150">
      <c r="A191" s="34" t="n">
        <v>189</v>
      </c>
      <c r="B191" s="115">
        <f>C191+D191+E191+F191+G191+H191</f>
        <v/>
      </c>
      <c r="C191" s="50" t="n">
        <v>270.831642976844</v>
      </c>
      <c r="D191" s="50" t="n">
        <v>59.3250265568325</v>
      </c>
      <c r="E191" s="50" t="n">
        <v>149.602240882447</v>
      </c>
      <c r="F191" s="50" t="n">
        <v>348.212112398799</v>
      </c>
      <c r="G191" s="50" t="n">
        <v>23.2141408265866</v>
      </c>
      <c r="H191" s="50" t="n">
        <v>36.1108857302459</v>
      </c>
      <c r="I191" s="111">
        <f>(100*B191)/N191</f>
        <v/>
      </c>
      <c r="J191" s="112">
        <f>((C191+F191)*100)/B191</f>
        <v/>
      </c>
      <c r="K191" s="112">
        <f>((D191+G191)*100)/B191</f>
        <v/>
      </c>
      <c r="L191" s="112">
        <f>((E191+H191)*100)/B191</f>
        <v/>
      </c>
      <c r="M191" s="113">
        <f>N191-B190</f>
        <v/>
      </c>
      <c r="N191" s="115">
        <f>O191+P191+Q191+R191+S191+T191</f>
        <v/>
      </c>
      <c r="O191" s="50" t="n">
        <v>433.33062876295</v>
      </c>
      <c r="P191" s="50" t="n">
        <v>232.141408265866</v>
      </c>
      <c r="Q191" s="50" t="n">
        <v>49.0076306339051</v>
      </c>
      <c r="R191" s="50" t="n">
        <v>1248.40490667421</v>
      </c>
      <c r="S191" s="50" t="n">
        <v>717.059016643454</v>
      </c>
      <c r="T191" s="50" t="n">
        <v>141.864193940251</v>
      </c>
      <c r="U191" s="50" t="n">
        <v>261</v>
      </c>
      <c r="V191" s="112">
        <f>((O191+R191)*100)/N191</f>
        <v/>
      </c>
      <c r="W191" s="112">
        <f>((P191+S191)*100)/N191</f>
        <v/>
      </c>
      <c r="X191" s="112">
        <f>((Q191+T191)*100)/N191</f>
        <v/>
      </c>
    </row>
    <row r="192" ht="22.5" customHeight="1" s="150">
      <c r="A192" s="34" t="n">
        <v>190</v>
      </c>
      <c r="B192" s="115">
        <f>C192+D192+E192+F192+G192+H192</f>
        <v/>
      </c>
      <c r="C192" s="50" t="n">
        <v>67.06307349902811</v>
      </c>
      <c r="D192" s="50" t="n">
        <v>18.0554428651229</v>
      </c>
      <c r="E192" s="50" t="n">
        <v>7.73804694219555</v>
      </c>
      <c r="F192" s="50" t="n">
        <v>51.5869796146369</v>
      </c>
      <c r="G192" s="50" t="n">
        <v>5.1586979614637</v>
      </c>
      <c r="H192" s="50" t="n">
        <v>5.1586979614637</v>
      </c>
      <c r="I192" s="111">
        <f>(100*B192)/N192</f>
        <v/>
      </c>
      <c r="J192" s="112">
        <f>((C192+F192)*100)/B192</f>
        <v/>
      </c>
      <c r="K192" s="112">
        <f>((D192+G192)*100)/B192</f>
        <v/>
      </c>
      <c r="L192" s="112">
        <f>((E192+H192)*100)/B192</f>
        <v/>
      </c>
      <c r="M192" s="113">
        <f>N192-B191</f>
        <v/>
      </c>
      <c r="N192" s="115">
        <f>O192+P192+Q192+R192+S192+T192</f>
        <v/>
      </c>
      <c r="O192" s="50" t="n">
        <v>404.9577899749</v>
      </c>
      <c r="P192" s="50" t="n">
        <v>216.665314381475</v>
      </c>
      <c r="Q192" s="50" t="n">
        <v>51.5869796146369</v>
      </c>
      <c r="R192" s="50" t="n">
        <v>288.887085841967</v>
      </c>
      <c r="S192" s="50" t="n">
        <v>170.237032728302</v>
      </c>
      <c r="T192" s="50" t="n">
        <v>30.9521877687822</v>
      </c>
      <c r="U192" s="50" t="n">
        <v>219</v>
      </c>
      <c r="V192" s="112">
        <f>((O192+R192)*100)/N192</f>
        <v/>
      </c>
      <c r="W192" s="112">
        <f>((P192+S192)*100)/N192</f>
        <v/>
      </c>
      <c r="X192" s="112">
        <f>((Q192+T192)*100)/N192</f>
        <v/>
      </c>
    </row>
    <row r="193" ht="22.5" customHeight="1" s="150">
      <c r="A193" s="34" t="n">
        <v>191</v>
      </c>
      <c r="B193" s="115">
        <f>C193+D193+E193+F193+G193+H193</f>
        <v/>
      </c>
      <c r="C193" s="50" t="n">
        <v>46.4282816531733</v>
      </c>
      <c r="D193" s="50" t="n">
        <v>0</v>
      </c>
      <c r="E193" s="50" t="n">
        <v>0</v>
      </c>
      <c r="F193" s="50" t="n">
        <v>5.1586979614637</v>
      </c>
      <c r="G193" s="50" t="n">
        <v>0</v>
      </c>
      <c r="H193" s="50" t="n">
        <v>0</v>
      </c>
      <c r="I193" s="111">
        <f>(100*B193)/N193</f>
        <v/>
      </c>
      <c r="J193" s="112">
        <f>((C193+F193)*100)/B193</f>
        <v/>
      </c>
      <c r="K193" s="112">
        <f>((D193+G193)*100)/B193</f>
        <v/>
      </c>
      <c r="L193" s="112">
        <f>((E193+H193)*100)/B193</f>
        <v/>
      </c>
      <c r="M193" s="113">
        <f>N193-B192</f>
        <v/>
      </c>
      <c r="N193" s="115">
        <f>O193+P193+Q193+R193+S193+T193</f>
        <v/>
      </c>
      <c r="O193" s="50" t="n">
        <v>384.322998129045</v>
      </c>
      <c r="P193" s="50" t="n">
        <v>232.141408265866</v>
      </c>
      <c r="Q193" s="50" t="n">
        <v>51.5869796146369</v>
      </c>
      <c r="R193" s="50" t="n">
        <v>69.6424224797599</v>
      </c>
      <c r="S193" s="50" t="n">
        <v>20.6347918458548</v>
      </c>
      <c r="T193" s="50" t="n">
        <v>0</v>
      </c>
      <c r="U193" s="50" t="n">
        <v>139</v>
      </c>
      <c r="V193" s="112">
        <f>((O193+R193)*100)/N193</f>
        <v/>
      </c>
      <c r="W193" s="112">
        <f>((P193+S193)*100)/N193</f>
        <v/>
      </c>
      <c r="X193" s="112">
        <f>((Q193+T193)*100)/N193</f>
        <v/>
      </c>
    </row>
    <row r="194" ht="22.5" customHeight="1" s="150">
      <c r="A194" s="34" t="n">
        <v>192</v>
      </c>
      <c r="B194" s="115">
        <f>C194+D194+E194+F194+G194+H194</f>
        <v/>
      </c>
      <c r="C194" s="50" t="n">
        <v>108.332657190737</v>
      </c>
      <c r="D194" s="50" t="n">
        <v>10.3173959229274</v>
      </c>
      <c r="E194" s="50" t="n">
        <v>5.1586979614637</v>
      </c>
      <c r="F194" s="50" t="n">
        <v>10.3173959229274</v>
      </c>
      <c r="G194" s="50" t="n">
        <v>18.0554428651229</v>
      </c>
      <c r="H194" s="50" t="n">
        <v>0</v>
      </c>
      <c r="I194" s="111">
        <f>(100*B194)/N194</f>
        <v/>
      </c>
      <c r="J194" s="112">
        <f>((C194+F194)*100)/B194</f>
        <v/>
      </c>
      <c r="K194" s="112">
        <f>((D194+G194)*100)/B194</f>
        <v/>
      </c>
      <c r="L194" s="112">
        <f>((E194+H194)*100)/B194</f>
        <v/>
      </c>
      <c r="M194" s="113">
        <f>N194-B193</f>
        <v/>
      </c>
      <c r="N194" s="115">
        <f>O194+P194+Q194+R194+S194+T194</f>
        <v/>
      </c>
      <c r="O194" s="50" t="n">
        <v>381.743649148313</v>
      </c>
      <c r="P194" s="50" t="n">
        <v>226.982710304402</v>
      </c>
      <c r="Q194" s="50" t="n">
        <v>51.5869796146369</v>
      </c>
      <c r="R194" s="50" t="n">
        <v>183.133777631961</v>
      </c>
      <c r="S194" s="50" t="n">
        <v>95.43591228707839</v>
      </c>
      <c r="T194" s="50" t="n">
        <v>5.1586979614637</v>
      </c>
      <c r="U194" s="50" t="n">
        <v>168</v>
      </c>
      <c r="V194" s="112">
        <f>((O194+R194)*100)/N194</f>
        <v/>
      </c>
      <c r="W194" s="112">
        <f>((P194+S194)*100)/N194</f>
        <v/>
      </c>
      <c r="X194" s="112">
        <f>((Q194+T194)*100)/N194</f>
        <v/>
      </c>
    </row>
    <row r="195" ht="22.5" customHeight="1" s="150">
      <c r="A195" s="34" t="n">
        <v>193</v>
      </c>
      <c r="B195" s="115">
        <f>C195+D195+E195+F195+G195+H195</f>
        <v/>
      </c>
      <c r="C195" s="50" t="n">
        <v>105.753308210005</v>
      </c>
      <c r="D195" s="50" t="n">
        <v>38.6902347109777</v>
      </c>
      <c r="E195" s="50" t="n">
        <v>28.3728387880503</v>
      </c>
      <c r="F195" s="50" t="n">
        <v>85.11851636415101</v>
      </c>
      <c r="G195" s="50" t="n">
        <v>46.4282816531733</v>
      </c>
      <c r="H195" s="50" t="n">
        <v>12.8967449036592</v>
      </c>
      <c r="I195" s="111">
        <f>(100*B195)/N195</f>
        <v/>
      </c>
      <c r="J195" s="112">
        <f>((C195+F195)*100)/B195</f>
        <v/>
      </c>
      <c r="K195" s="112">
        <f>((D195+G195)*100)/B195</f>
        <v/>
      </c>
      <c r="L195" s="112">
        <f>((E195+H195)*100)/B195</f>
        <v/>
      </c>
      <c r="M195" s="113">
        <f>N195-B194</f>
        <v/>
      </c>
      <c r="N195" s="115">
        <f>O195+P195+Q195+R195+S195+T195</f>
        <v/>
      </c>
      <c r="O195" s="50" t="n">
        <v>350.791461379531</v>
      </c>
      <c r="P195" s="50" t="n">
        <v>193.451173554888</v>
      </c>
      <c r="Q195" s="50" t="n">
        <v>51.5869796146369</v>
      </c>
      <c r="R195" s="50" t="n">
        <v>412.695836917095</v>
      </c>
      <c r="S195" s="50" t="n">
        <v>260.514247053916</v>
      </c>
      <c r="T195" s="50" t="n">
        <v>43.8489326724414</v>
      </c>
      <c r="U195" s="50" t="n">
        <v>237</v>
      </c>
      <c r="V195" s="112">
        <f>((O195+R195)*100)/N195</f>
        <v/>
      </c>
      <c r="W195" s="112">
        <f>((P195+S195)*100)/N195</f>
        <v/>
      </c>
      <c r="X195" s="112">
        <f>((Q195+T195)*100)/N195</f>
        <v/>
      </c>
    </row>
    <row r="196" ht="22.5" customHeight="1" s="150">
      <c r="A196" s="34" t="n">
        <v>194</v>
      </c>
      <c r="B196" s="115">
        <f>C196+D196+E196+F196+G196+H196</f>
        <v/>
      </c>
      <c r="C196" s="50" t="n">
        <v>46.4282816531733</v>
      </c>
      <c r="D196" s="50" t="n">
        <v>12.8967449036592</v>
      </c>
      <c r="E196" s="50" t="n">
        <v>10.3173959229274</v>
      </c>
      <c r="F196" s="50" t="n">
        <v>56.7456775761007</v>
      </c>
      <c r="G196" s="50" t="n">
        <v>2.57934898073185</v>
      </c>
      <c r="H196" s="50" t="n">
        <v>0</v>
      </c>
      <c r="I196" s="111">
        <f>(100*B196)/N196</f>
        <v/>
      </c>
      <c r="J196" s="112">
        <f>((C196+F196)*100)/B196</f>
        <v/>
      </c>
      <c r="K196" s="112">
        <f>((D196+G196)*100)/B196</f>
        <v/>
      </c>
      <c r="L196" s="112">
        <f>((E196+H196)*100)/B196</f>
        <v/>
      </c>
      <c r="M196" s="113">
        <f>N196-B195</f>
        <v/>
      </c>
      <c r="N196" s="115">
        <f>O196+P196+Q196+R196+S196+T196</f>
        <v/>
      </c>
      <c r="O196" s="50" t="n">
        <v>368.846904244654</v>
      </c>
      <c r="P196" s="50" t="n">
        <v>208.927267439279</v>
      </c>
      <c r="Q196" s="50" t="n">
        <v>61.9043755375644</v>
      </c>
      <c r="R196" s="50" t="n">
        <v>350.791461379531</v>
      </c>
      <c r="S196" s="50" t="n">
        <v>152.181589863179</v>
      </c>
      <c r="T196" s="50" t="n">
        <v>49.0076306339051</v>
      </c>
      <c r="U196" s="50" t="n">
        <v>193</v>
      </c>
      <c r="V196" s="112">
        <f>((O196+R196)*100)/N196</f>
        <v/>
      </c>
      <c r="W196" s="112">
        <f>((P196+S196)*100)/N196</f>
        <v/>
      </c>
      <c r="X196" s="112">
        <f>((Q196+T196)*100)/N196</f>
        <v/>
      </c>
    </row>
    <row r="197" ht="22.5" customHeight="1" s="150">
      <c r="A197" s="34" t="n">
        <v>195</v>
      </c>
      <c r="B197" s="115">
        <f>C197+D197+E197+F197+G197+H197</f>
        <v/>
      </c>
      <c r="C197" s="50" t="n">
        <v>136.705495978788</v>
      </c>
      <c r="D197" s="50" t="n">
        <v>36.1108857302459</v>
      </c>
      <c r="E197" s="50" t="n">
        <v>38.6902347109777</v>
      </c>
      <c r="F197" s="50" t="n">
        <v>128.967449036592</v>
      </c>
      <c r="G197" s="50" t="n">
        <v>49.0076306339051</v>
      </c>
      <c r="H197" s="50" t="n">
        <v>23.2141408265866</v>
      </c>
      <c r="I197" s="111">
        <f>(100*B197)/N197</f>
        <v/>
      </c>
      <c r="J197" s="112">
        <f>((C197+F197)*100)/B197</f>
        <v/>
      </c>
      <c r="K197" s="112">
        <f>((D197+G197)*100)/B197</f>
        <v/>
      </c>
      <c r="L197" s="112">
        <f>((E197+H197)*100)/B197</f>
        <v/>
      </c>
      <c r="M197" s="113">
        <f>N197-B196</f>
        <v/>
      </c>
      <c r="N197" s="115">
        <f>O197+P197+Q197+R197+S197+T197</f>
        <v/>
      </c>
      <c r="O197" s="50" t="n">
        <v>322.418622591481</v>
      </c>
      <c r="P197" s="50" t="n">
        <v>170.237032728302</v>
      </c>
      <c r="Q197" s="50" t="n">
        <v>59.3250265568325</v>
      </c>
      <c r="R197" s="50" t="n">
        <v>456.544769589537</v>
      </c>
      <c r="S197" s="50" t="n">
        <v>255.355549092453</v>
      </c>
      <c r="T197" s="50" t="n">
        <v>82.5391673834192</v>
      </c>
      <c r="U197" s="50" t="n">
        <v>224</v>
      </c>
      <c r="V197" s="112">
        <f>((O197+R197)*100)/N197</f>
        <v/>
      </c>
      <c r="W197" s="112">
        <f>((P197+S197)*100)/N197</f>
        <v/>
      </c>
      <c r="X197" s="112">
        <f>((Q197+T197)*100)/N197</f>
        <v/>
      </c>
    </row>
    <row r="198" ht="22.5" customHeight="1" s="150">
      <c r="A198" s="34" t="n">
        <v>196</v>
      </c>
      <c r="B198" s="115">
        <f>C198+D198+E198+F198+G198+H198</f>
        <v/>
      </c>
      <c r="C198" s="50" t="n">
        <v>98.0152612678103</v>
      </c>
      <c r="D198" s="50" t="n">
        <v>2.57934898073185</v>
      </c>
      <c r="E198" s="50" t="n">
        <v>7.73804694219555</v>
      </c>
      <c r="F198" s="50" t="n">
        <v>36.1108857302459</v>
      </c>
      <c r="G198" s="50" t="n">
        <v>0</v>
      </c>
      <c r="H198" s="50" t="n">
        <v>0</v>
      </c>
      <c r="I198" s="111">
        <f>(100*B198)/N198</f>
        <v/>
      </c>
      <c r="J198" s="112">
        <f>((C198+F198)*100)/B198</f>
        <v/>
      </c>
      <c r="K198" s="112">
        <f>((D198+G198)*100)/B198</f>
        <v/>
      </c>
      <c r="L198" s="112">
        <f>((E198+H198)*100)/B198</f>
        <v/>
      </c>
      <c r="M198" s="113">
        <f>N198-B197</f>
        <v/>
      </c>
      <c r="N198" s="115">
        <f>O198+P198+Q198+R198+S198+T198</f>
        <v/>
      </c>
      <c r="O198" s="50" t="n">
        <v>317.259924630017</v>
      </c>
      <c r="P198" s="50" t="n">
        <v>177.975079670497</v>
      </c>
      <c r="Q198" s="50" t="n">
        <v>61.9043755375644</v>
      </c>
      <c r="R198" s="50" t="n">
        <v>157.340287824642</v>
      </c>
      <c r="S198" s="50" t="n">
        <v>36.1108857302459</v>
      </c>
      <c r="T198" s="50" t="n">
        <v>12.8967449036592</v>
      </c>
      <c r="U198" s="50" t="n">
        <v>160</v>
      </c>
      <c r="V198" s="112">
        <f>((O198+R198)*100)/N198</f>
        <v/>
      </c>
      <c r="W198" s="112">
        <f>((P198+S198)*100)/N198</f>
        <v/>
      </c>
      <c r="X198" s="112">
        <f>((Q198+T198)*100)/N198</f>
        <v/>
      </c>
    </row>
    <row r="199" ht="22.5" customHeight="1" s="150">
      <c r="A199" s="34" t="n">
        <v>197</v>
      </c>
      <c r="B199" s="115">
        <f>C199+D199+E199+F199+G199+H199</f>
        <v/>
      </c>
      <c r="C199" s="50" t="n">
        <v>157.340287824642</v>
      </c>
      <c r="D199" s="50" t="n">
        <v>2.57934898073185</v>
      </c>
      <c r="E199" s="50" t="n">
        <v>5.1586979614637</v>
      </c>
      <c r="F199" s="50" t="n">
        <v>43.8489326724414</v>
      </c>
      <c r="G199" s="50" t="n">
        <v>0</v>
      </c>
      <c r="H199" s="50" t="n">
        <v>5.1586979614637</v>
      </c>
      <c r="I199" s="111">
        <f>(100*B199)/N199</f>
        <v/>
      </c>
      <c r="J199" s="112">
        <f>((C199+F199)*100)/B199</f>
        <v/>
      </c>
      <c r="K199" s="112">
        <f>((D199+G199)*100)/B199</f>
        <v/>
      </c>
      <c r="L199" s="112">
        <f>((E199+H199)*100)/B199</f>
        <v/>
      </c>
      <c r="M199" s="113">
        <f>N199-B198</f>
        <v/>
      </c>
      <c r="N199" s="115">
        <f>O199+P199+Q199+R199+S199+T199</f>
        <v/>
      </c>
      <c r="O199" s="50" t="n">
        <v>350.791461379531</v>
      </c>
      <c r="P199" s="50" t="n">
        <v>206.347918458547</v>
      </c>
      <c r="Q199" s="50" t="n">
        <v>69.6424224797599</v>
      </c>
      <c r="R199" s="50" t="n">
        <v>304.363179726358</v>
      </c>
      <c r="S199" s="50" t="n">
        <v>175.395730689765</v>
      </c>
      <c r="T199" s="50" t="n">
        <v>41.2695836917096</v>
      </c>
      <c r="U199" s="50" t="n">
        <v>214</v>
      </c>
      <c r="V199" s="112">
        <f>((O199+R199)*100)/N199</f>
        <v/>
      </c>
      <c r="W199" s="112">
        <f>((P199+S199)*100)/N199</f>
        <v/>
      </c>
      <c r="X199" s="112">
        <f>((Q199+T199)*100)/N199</f>
        <v/>
      </c>
    </row>
    <row r="200" ht="22.5" customHeight="1" s="150">
      <c r="A200" s="34" t="n">
        <v>198</v>
      </c>
      <c r="B200" s="115">
        <f>C200+D200+E200+F200+G200+H200</f>
        <v/>
      </c>
      <c r="C200" s="50" t="n">
        <v>85.11851636415101</v>
      </c>
      <c r="D200" s="50" t="n">
        <v>0</v>
      </c>
      <c r="E200" s="50" t="n">
        <v>7.73804694219555</v>
      </c>
      <c r="F200" s="50" t="n">
        <v>64.4837245182962</v>
      </c>
      <c r="G200" s="50" t="n">
        <v>0</v>
      </c>
      <c r="H200" s="50" t="n">
        <v>0</v>
      </c>
      <c r="I200" s="111">
        <f>(100*B200)/N200</f>
        <v/>
      </c>
      <c r="J200" s="112">
        <f>((C200+F200)*100)/B200</f>
        <v/>
      </c>
      <c r="K200" s="112">
        <f>((D200+G200)*100)/B200</f>
        <v/>
      </c>
      <c r="L200" s="112">
        <f>((E200+H200)*100)/B200</f>
        <v/>
      </c>
      <c r="M200" s="113">
        <f>N200-B199</f>
        <v/>
      </c>
      <c r="N200" s="115">
        <f>O200+P200+Q200+R200+S200+T200</f>
        <v/>
      </c>
      <c r="O200" s="50" t="n">
        <v>348.212112398799</v>
      </c>
      <c r="P200" s="50" t="n">
        <v>208.927267439279</v>
      </c>
      <c r="Q200" s="50" t="n">
        <v>67.06307349902811</v>
      </c>
      <c r="R200" s="50" t="n">
        <v>196.03052253562</v>
      </c>
      <c r="S200" s="50" t="n">
        <v>110.912006171469</v>
      </c>
      <c r="T200" s="50" t="n">
        <v>41.2695836917096</v>
      </c>
      <c r="U200" s="50" t="n">
        <v>181</v>
      </c>
      <c r="V200" s="112">
        <f>((O200+R200)*100)/N200</f>
        <v/>
      </c>
      <c r="W200" s="112">
        <f>((P200+S200)*100)/N200</f>
        <v/>
      </c>
      <c r="X200" s="112">
        <f>((Q200+T200)*100)/N200</f>
        <v/>
      </c>
    </row>
    <row r="201" ht="22.5" customHeight="1" s="150">
      <c r="A201" s="34" t="n">
        <v>199</v>
      </c>
      <c r="B201" s="115">
        <f>C201+D201+E201+F201+G201+H201</f>
        <v/>
      </c>
      <c r="C201" s="50" t="n">
        <v>116.070704132933</v>
      </c>
      <c r="D201" s="50" t="n">
        <v>2.57934898073185</v>
      </c>
      <c r="E201" s="50" t="n">
        <v>0</v>
      </c>
      <c r="F201" s="50" t="n">
        <v>43.8489326724414</v>
      </c>
      <c r="G201" s="50" t="n">
        <v>2.57934898073185</v>
      </c>
      <c r="H201" s="50" t="n">
        <v>0</v>
      </c>
      <c r="I201" s="111">
        <f>(100*B201)/N201</f>
        <v/>
      </c>
      <c r="J201" s="112">
        <f>((C201+F201)*100)/B201</f>
        <v/>
      </c>
      <c r="K201" s="112">
        <f>((D201+G201)*100)/B201</f>
        <v/>
      </c>
      <c r="L201" s="112">
        <f>((E201+H201)*100)/B201</f>
        <v/>
      </c>
      <c r="M201" s="113">
        <f>N201-B200</f>
        <v/>
      </c>
      <c r="N201" s="115">
        <f>O201+P201+Q201+R201+S201+T201</f>
        <v/>
      </c>
      <c r="O201" s="50" t="n">
        <v>363.68820628319</v>
      </c>
      <c r="P201" s="50" t="n">
        <v>219.244663362207</v>
      </c>
      <c r="Q201" s="50" t="n">
        <v>67.06307349902811</v>
      </c>
      <c r="R201" s="50" t="n">
        <v>126.38810005586</v>
      </c>
      <c r="S201" s="50" t="n">
        <v>15.4760938843911</v>
      </c>
      <c r="T201" s="50" t="n">
        <v>15.4760938843911</v>
      </c>
      <c r="U201" s="50" t="n">
        <v>165</v>
      </c>
      <c r="V201" s="112">
        <f>((O201+R201)*100)/N201</f>
        <v/>
      </c>
      <c r="W201" s="112">
        <f>((P201+S201)*100)/N201</f>
        <v/>
      </c>
      <c r="X201" s="112">
        <f>((Q201+T201)*100)/N201</f>
        <v/>
      </c>
    </row>
    <row r="202" ht="22.5" customHeight="1" s="150">
      <c r="A202" s="34" t="n">
        <v>200</v>
      </c>
      <c r="B202" s="115">
        <f>C202+D202+E202+F202+G202+H202</f>
        <v/>
      </c>
      <c r="C202" s="50" t="n">
        <v>157.340287824642</v>
      </c>
      <c r="D202" s="50" t="n">
        <v>12.8967449036592</v>
      </c>
      <c r="E202" s="50" t="n">
        <v>30.9521877687822</v>
      </c>
      <c r="F202" s="50" t="n">
        <v>177.975079670497</v>
      </c>
      <c r="G202" s="50" t="n">
        <v>18.0554428651229</v>
      </c>
      <c r="H202" s="50" t="n">
        <v>28.3728387880503</v>
      </c>
      <c r="I202" s="111">
        <f>(100*B202)/N202</f>
        <v/>
      </c>
      <c r="J202" s="112">
        <f>((C202+F202)*100)/B202</f>
        <v/>
      </c>
      <c r="K202" s="112">
        <f>((D202+G202)*100)/B202</f>
        <v/>
      </c>
      <c r="L202" s="112">
        <f>((E202+H202)*100)/B202</f>
        <v/>
      </c>
      <c r="M202" s="113">
        <f>N202-B201</f>
        <v/>
      </c>
      <c r="N202" s="115">
        <f>O202+P202+Q202+R202+S202+T202</f>
        <v/>
      </c>
      <c r="O202" s="50" t="n">
        <v>358.529508321727</v>
      </c>
      <c r="P202" s="50" t="n">
        <v>216.665314381475</v>
      </c>
      <c r="Q202" s="50" t="n">
        <v>64.4837245182962</v>
      </c>
      <c r="R202" s="50" t="n">
        <v>737.693808489309</v>
      </c>
      <c r="S202" s="50" t="n">
        <v>363.68820628319</v>
      </c>
      <c r="T202" s="50" t="n">
        <v>105.753308210005</v>
      </c>
      <c r="U202" s="50" t="n">
        <v>232</v>
      </c>
      <c r="V202" s="112">
        <f>((O202+R202)*100)/N202</f>
        <v/>
      </c>
      <c r="W202" s="112">
        <f>((P202+S202)*100)/N202</f>
        <v/>
      </c>
      <c r="X202" s="112">
        <f>((Q202+T202)*100)/N202</f>
        <v/>
      </c>
    </row>
    <row r="203" ht="22.5" customHeight="1" s="150">
      <c r="A203" s="34" t="n">
        <v>201</v>
      </c>
      <c r="B203">
        <f>C203+D203+E203+F203+G203+H203</f>
        <v/>
      </c>
      <c r="C203" s="50" t="n">
        <v>0</v>
      </c>
      <c r="D203" s="50" t="n">
        <v>0</v>
      </c>
      <c r="E203" s="50" t="n">
        <v>0</v>
      </c>
      <c r="F203" s="50" t="n">
        <v>0</v>
      </c>
      <c r="G203" s="50" t="n">
        <v>0</v>
      </c>
      <c r="H203" s="50" t="n">
        <v>0</v>
      </c>
      <c r="I203" s="111">
        <f>(100*B203)/N203</f>
        <v/>
      </c>
      <c r="J203" s="112">
        <f>((C203+F203)*100)/B203</f>
        <v/>
      </c>
      <c r="K203" s="112">
        <f>((D203+G203)*100)/B203</f>
        <v/>
      </c>
      <c r="L203" s="112">
        <f>((E203+H203)*100)/B203</f>
        <v/>
      </c>
      <c r="M203" s="113" t="n"/>
      <c r="N203">
        <f>O203+P203+Q203+R203+S203+T203</f>
        <v/>
      </c>
      <c r="O203" s="50" t="n">
        <v>417.854534878559</v>
      </c>
      <c r="P203" s="50" t="n">
        <v>221.824012342939</v>
      </c>
      <c r="Q203" s="50" t="n">
        <v>79.9598184026873</v>
      </c>
      <c r="R203" s="50" t="n">
        <v>0</v>
      </c>
      <c r="S203" s="50" t="n">
        <v>0</v>
      </c>
      <c r="T203" s="50" t="n">
        <v>0</v>
      </c>
      <c r="U203" s="50" t="n">
        <v>129</v>
      </c>
      <c r="V203" s="112">
        <f>((O203+R203)*100)/N203</f>
        <v/>
      </c>
      <c r="W203" s="112">
        <f>((P203+S203)*100)/N203</f>
        <v/>
      </c>
      <c r="X203" s="112">
        <f>((Q203+T203)*100)/N203</f>
        <v/>
      </c>
    </row>
    <row r="204" ht="22.5" customHeight="1" s="150">
      <c r="A204" s="34" t="n">
        <v>202</v>
      </c>
      <c r="B204">
        <f>C204+D204+E204+F204+G204+H204</f>
        <v/>
      </c>
      <c r="C204" s="50" t="n">
        <v>15.4760938843911</v>
      </c>
      <c r="D204" s="50" t="n">
        <v>0</v>
      </c>
      <c r="E204" s="50" t="n">
        <v>0</v>
      </c>
      <c r="F204" s="50" t="n">
        <v>0</v>
      </c>
      <c r="G204" s="50" t="n">
        <v>0</v>
      </c>
      <c r="H204" s="50" t="n">
        <v>0</v>
      </c>
      <c r="I204" s="111">
        <f>(100*B204)/N204</f>
        <v/>
      </c>
      <c r="J204" s="112">
        <f>((C204+F204)*100)/B204</f>
        <v/>
      </c>
      <c r="K204" s="112">
        <f>((D204+G204)*100)/B204</f>
        <v/>
      </c>
      <c r="L204" s="112">
        <f>((E204+H204)*100)/B204</f>
        <v/>
      </c>
      <c r="M204" s="113" t="n"/>
      <c r="N204">
        <f>O204+P204+Q204+R204+S204+T204</f>
        <v/>
      </c>
      <c r="O204" s="50" t="n">
        <v>407.537138955632</v>
      </c>
      <c r="P204" s="50" t="n">
        <v>221.824012342939</v>
      </c>
      <c r="Q204" s="50" t="n">
        <v>79.9598184026873</v>
      </c>
      <c r="R204" s="50" t="n">
        <v>12.8967449036592</v>
      </c>
      <c r="S204" s="50" t="n">
        <v>0</v>
      </c>
      <c r="T204" s="50" t="n">
        <v>0</v>
      </c>
      <c r="U204" s="50" t="n">
        <v>124</v>
      </c>
      <c r="V204" s="112">
        <f>((O204+R204)*100)/N204</f>
        <v/>
      </c>
      <c r="W204" s="112">
        <f>((P204+S204)*100)/N204</f>
        <v/>
      </c>
      <c r="X204" s="112">
        <f>((Q204+T204)*100)/N204</f>
        <v/>
      </c>
    </row>
    <row r="205" ht="22.5" customHeight="1" s="150">
      <c r="A205" s="34" t="n">
        <v>203</v>
      </c>
      <c r="B205">
        <f>C205+D205+E205+F205+G205+H205</f>
        <v/>
      </c>
      <c r="C205" s="50" t="n">
        <v>175.395730689765</v>
      </c>
      <c r="D205" s="50" t="n">
        <v>5.1586979614637</v>
      </c>
      <c r="E205" s="50" t="n">
        <v>20.6347918458548</v>
      </c>
      <c r="F205" s="50" t="n">
        <v>123.808751075128</v>
      </c>
      <c r="G205" s="50" t="n">
        <v>7.73804694219555</v>
      </c>
      <c r="H205" s="50" t="n">
        <v>18.0554428651229</v>
      </c>
      <c r="I205" s="111">
        <f>(100*B205)/N205</f>
        <v/>
      </c>
      <c r="J205" s="112">
        <f>((C205+F205)*100)/B205</f>
        <v/>
      </c>
      <c r="K205" s="112">
        <f>((D205+G205)*100)/B205</f>
        <v/>
      </c>
      <c r="L205" s="112">
        <f>((E205+H205)*100)/B205</f>
        <v/>
      </c>
      <c r="M205" s="113" t="n"/>
      <c r="N205">
        <f>O205+P205+Q205+R205+S205+T205</f>
        <v/>
      </c>
      <c r="O205" s="50" t="n">
        <v>343.053414437336</v>
      </c>
      <c r="P205" s="50" t="n">
        <v>216.665314381475</v>
      </c>
      <c r="Q205" s="50" t="n">
        <v>64.4837245182962</v>
      </c>
      <c r="R205" s="50" t="n">
        <v>484.917608377587</v>
      </c>
      <c r="S205" s="50" t="n">
        <v>252.776200111721</v>
      </c>
      <c r="T205" s="50" t="n">
        <v>49.0076306339051</v>
      </c>
      <c r="U205" s="50" t="n">
        <v>201</v>
      </c>
      <c r="V205" s="112">
        <f>((O205+R205)*100)/N205</f>
        <v/>
      </c>
      <c r="W205" s="112">
        <f>((P205+S205)*100)/N205</f>
        <v/>
      </c>
      <c r="X205" s="112">
        <f>((Q205+T205)*100)/N205</f>
        <v/>
      </c>
    </row>
    <row r="206" ht="22.5" customHeight="1" s="150">
      <c r="A206" s="34" t="n">
        <v>204</v>
      </c>
      <c r="B206">
        <f>C206+D206+E206+F206+G206+H206</f>
        <v/>
      </c>
      <c r="C206" s="50" t="n">
        <v>95.43591228707839</v>
      </c>
      <c r="D206" s="50" t="n">
        <v>5.1586979614637</v>
      </c>
      <c r="E206" s="50" t="n">
        <v>20.6347918458548</v>
      </c>
      <c r="F206" s="50" t="n">
        <v>56.7456775761007</v>
      </c>
      <c r="G206" s="50" t="n">
        <v>15.4760938843911</v>
      </c>
      <c r="H206" s="50" t="n">
        <v>20.6347918458548</v>
      </c>
      <c r="I206" s="111">
        <f>(100*B206)/N206</f>
        <v/>
      </c>
      <c r="J206" s="112">
        <f>((C206+F206)*100)/B206</f>
        <v/>
      </c>
      <c r="K206" s="112">
        <f>((D206+G206)*100)/B206</f>
        <v/>
      </c>
      <c r="L206" s="112">
        <f>((E206+H206)*100)/B206</f>
        <v/>
      </c>
      <c r="M206" s="113" t="n"/>
      <c r="N206">
        <f>O206+P206+Q206+R206+S206+T206</f>
        <v/>
      </c>
      <c r="O206" s="50" t="n">
        <v>348.212112398799</v>
      </c>
      <c r="P206" s="50" t="n">
        <v>219.244663362207</v>
      </c>
      <c r="Q206" s="50" t="n">
        <v>56.7456775761007</v>
      </c>
      <c r="R206" s="50" t="n">
        <v>366.267555263922</v>
      </c>
      <c r="S206" s="50" t="n">
        <v>136.705495978788</v>
      </c>
      <c r="T206" s="50" t="n">
        <v>69.6424224797599</v>
      </c>
      <c r="U206" s="50" t="n">
        <v>175</v>
      </c>
      <c r="V206" s="112">
        <f>((O206+R206)*100)/N206</f>
        <v/>
      </c>
      <c r="W206" s="112">
        <f>((P206+S206)*100)/N206</f>
        <v/>
      </c>
      <c r="X206" s="112">
        <f>((Q206+T206)*100)/N206</f>
        <v/>
      </c>
    </row>
    <row r="207" ht="22.5" customHeight="1" s="150">
      <c r="A207" s="34" t="n">
        <v>205</v>
      </c>
      <c r="B207">
        <f>C207+D207+E207+F207+G207+H207</f>
        <v/>
      </c>
      <c r="C207" s="50" t="n">
        <v>46.4282816531733</v>
      </c>
      <c r="D207" s="50" t="n">
        <v>0</v>
      </c>
      <c r="E207" s="50" t="n">
        <v>0</v>
      </c>
      <c r="F207" s="50" t="n">
        <v>0</v>
      </c>
      <c r="G207" s="50" t="n">
        <v>0</v>
      </c>
      <c r="H207" s="50" t="n">
        <v>0</v>
      </c>
      <c r="I207" s="111">
        <f>(100*B207)/N207</f>
        <v/>
      </c>
      <c r="J207" s="112">
        <f>((C207+F207)*100)/B207</f>
        <v/>
      </c>
      <c r="K207" s="112">
        <f>((D207+G207)*100)/B207</f>
        <v/>
      </c>
      <c r="L207" s="112">
        <f>((E207+H207)*100)/B207</f>
        <v/>
      </c>
      <c r="M207" s="113" t="n"/>
      <c r="N207">
        <f>O207+P207+Q207+R207+S207+T207</f>
        <v/>
      </c>
      <c r="O207" s="50" t="n">
        <v>340.474065456604</v>
      </c>
      <c r="P207" s="50" t="n">
        <v>232.141408265866</v>
      </c>
      <c r="Q207" s="50" t="n">
        <v>59.3250265568325</v>
      </c>
      <c r="R207" s="50" t="n">
        <v>15.4760938843911</v>
      </c>
      <c r="S207" s="50" t="n">
        <v>2.57934898073185</v>
      </c>
      <c r="T207" s="50" t="n">
        <v>0</v>
      </c>
      <c r="U207" s="50" t="n">
        <v>116</v>
      </c>
      <c r="V207" s="112">
        <f>((O207+R207)*100)/N207</f>
        <v/>
      </c>
      <c r="W207" s="112">
        <f>((P207+S207)*100)/N207</f>
        <v/>
      </c>
      <c r="X207" s="112">
        <f>((Q207+T207)*100)/N207</f>
        <v/>
      </c>
    </row>
    <row r="208" ht="22.5" customHeight="1" s="150">
      <c r="A208" s="34" t="n">
        <v>206</v>
      </c>
      <c r="B208">
        <f>C208+D208+E208+F208+G208+H208</f>
        <v/>
      </c>
      <c r="C208" s="50" t="n">
        <v>123.808751075128</v>
      </c>
      <c r="D208" s="50" t="n">
        <v>10.3173959229274</v>
      </c>
      <c r="E208" s="50" t="n">
        <v>5.1586979614637</v>
      </c>
      <c r="F208" s="50" t="n">
        <v>18.0554428651229</v>
      </c>
      <c r="G208" s="50" t="n">
        <v>10.3173959229274</v>
      </c>
      <c r="H208" s="50" t="n">
        <v>10.3173959229274</v>
      </c>
      <c r="I208" s="111">
        <f>(100*B208)/N208</f>
        <v/>
      </c>
      <c r="J208" s="112">
        <f>((C208+F208)*100)/B208</f>
        <v/>
      </c>
      <c r="K208" s="112">
        <f>((D208+G208)*100)/B208</f>
        <v/>
      </c>
      <c r="L208" s="112">
        <f>((E208+H208)*100)/B208</f>
        <v/>
      </c>
      <c r="M208" s="113" t="n"/>
      <c r="N208">
        <f>O208+P208+Q208+R208+S208+T208</f>
        <v/>
      </c>
      <c r="O208" s="50" t="n">
        <v>348.212112398799</v>
      </c>
      <c r="P208" s="50" t="n">
        <v>221.824012342939</v>
      </c>
      <c r="Q208" s="50" t="n">
        <v>59.3250265568325</v>
      </c>
      <c r="R208" s="50" t="n">
        <v>82.5391673834192</v>
      </c>
      <c r="S208" s="50" t="n">
        <v>56.7456775761007</v>
      </c>
      <c r="T208" s="50" t="n">
        <v>10.3173959229274</v>
      </c>
      <c r="U208" s="50" t="n">
        <v>142</v>
      </c>
      <c r="V208" s="112">
        <f>((O208+R208)*100)/N208</f>
        <v/>
      </c>
      <c r="W208" s="112">
        <f>((P208+S208)*100)/N208</f>
        <v/>
      </c>
      <c r="X208" s="112">
        <f>((Q208+T208)*100)/N208</f>
        <v/>
      </c>
    </row>
    <row r="209" ht="22.5" customHeight="1" s="150">
      <c r="A209" s="34" t="n">
        <v>207</v>
      </c>
      <c r="B209">
        <f>C209+D209+E209+F209+G209+H209</f>
        <v/>
      </c>
      <c r="C209" s="50" t="n">
        <v>79.9598184026873</v>
      </c>
      <c r="D209" s="50" t="n">
        <v>2.57934898073185</v>
      </c>
      <c r="E209" s="50" t="n">
        <v>0</v>
      </c>
      <c r="F209" s="50" t="n">
        <v>10.3173959229274</v>
      </c>
      <c r="G209" s="50" t="n">
        <v>2.57934898073185</v>
      </c>
      <c r="H209" s="50" t="n">
        <v>0</v>
      </c>
      <c r="I209" s="111">
        <f>(100*B209)/N209</f>
        <v/>
      </c>
      <c r="J209" s="112">
        <f>((C209+F209)*100)/B209</f>
        <v/>
      </c>
      <c r="K209" s="112">
        <f>((D209+G209)*100)/B209</f>
        <v/>
      </c>
      <c r="L209" s="112">
        <f>((E209+H209)*100)/B209</f>
        <v/>
      </c>
      <c r="M209" s="113" t="n"/>
      <c r="N209">
        <f>O209+P209+Q209+R209+S209+T209</f>
        <v/>
      </c>
      <c r="O209" s="50" t="n">
        <v>358.529508321727</v>
      </c>
      <c r="P209" s="50" t="n">
        <v>226.982710304402</v>
      </c>
      <c r="Q209" s="50" t="n">
        <v>64.4837245182962</v>
      </c>
      <c r="R209" s="50" t="n">
        <v>206.347918458547</v>
      </c>
      <c r="S209" s="50" t="n">
        <v>108.332657190737</v>
      </c>
      <c r="T209" s="50" t="n">
        <v>23.2141408265866</v>
      </c>
      <c r="U209" s="50" t="n">
        <v>188</v>
      </c>
      <c r="V209" s="112">
        <f>((O209+R209)*100)/N209</f>
        <v/>
      </c>
      <c r="W209" s="112">
        <f>((P209+S209)*100)/N209</f>
        <v/>
      </c>
      <c r="X209" s="112">
        <f>((Q209+T209)*100)/N209</f>
        <v/>
      </c>
    </row>
    <row r="210" ht="22.5" customHeight="1" s="150">
      <c r="A210" s="34" t="n">
        <v>208</v>
      </c>
      <c r="B210">
        <f>C210+D210+E210+F210+G210+H210</f>
        <v/>
      </c>
      <c r="C210" s="50" t="n">
        <v>193.451173554888</v>
      </c>
      <c r="D210" s="50" t="n">
        <v>7.73804694219555</v>
      </c>
      <c r="E210" s="50" t="n">
        <v>51.5869796146369</v>
      </c>
      <c r="F210" s="50" t="n">
        <v>110.912006171469</v>
      </c>
      <c r="G210" s="50" t="n">
        <v>7.73804694219555</v>
      </c>
      <c r="H210" s="50" t="n">
        <v>12.8967449036592</v>
      </c>
      <c r="I210" s="111">
        <f>(100*B210)/N210</f>
        <v/>
      </c>
      <c r="J210" s="112">
        <f>((C210+F210)*100)/B210</f>
        <v/>
      </c>
      <c r="K210" s="112">
        <f>((D210+G210)*100)/B210</f>
        <v/>
      </c>
      <c r="L210" s="112">
        <f>((E210+H210)*100)/B210</f>
        <v/>
      </c>
      <c r="M210" s="113" t="n"/>
      <c r="N210">
        <f>O210+P210+Q210+R210+S210+T210</f>
        <v/>
      </c>
      <c r="O210" s="50" t="n">
        <v>350.791461379531</v>
      </c>
      <c r="P210" s="50" t="n">
        <v>226.982710304402</v>
      </c>
      <c r="Q210" s="50" t="n">
        <v>51.5869796146369</v>
      </c>
      <c r="R210" s="50" t="n">
        <v>335.31536749514</v>
      </c>
      <c r="S210" s="50" t="n">
        <v>172.816381709033</v>
      </c>
      <c r="T210" s="50" t="n">
        <v>33.531536749514</v>
      </c>
      <c r="U210" s="50" t="n">
        <v>193</v>
      </c>
      <c r="V210" s="112">
        <f>((O210+R210)*100)/N210</f>
        <v/>
      </c>
      <c r="W210" s="112">
        <f>((P210+S210)*100)/N210</f>
        <v/>
      </c>
      <c r="X210" s="112">
        <f>((Q210+T210)*100)/N210</f>
        <v/>
      </c>
    </row>
    <row r="211" ht="22.5" customHeight="1" s="150">
      <c r="A211" s="34" t="n">
        <v>209</v>
      </c>
      <c r="B211">
        <f>C211+D211+E211+F211+G211+H211</f>
        <v/>
      </c>
      <c r="C211" s="50" t="n">
        <v>108.332657190737</v>
      </c>
      <c r="D211" s="50" t="n">
        <v>2.57934898073185</v>
      </c>
      <c r="E211" s="50" t="n">
        <v>10.3173959229274</v>
      </c>
      <c r="F211" s="50" t="n">
        <v>33.531536749514</v>
      </c>
      <c r="G211" s="50" t="n">
        <v>0</v>
      </c>
      <c r="H211" s="50" t="n">
        <v>5.1586979614637</v>
      </c>
      <c r="I211" s="111">
        <f>(100*B211)/N211</f>
        <v/>
      </c>
      <c r="J211" s="112">
        <f>((C211+F211)*100)/B211</f>
        <v/>
      </c>
      <c r="K211" s="112">
        <f>((D211+G211)*100)/B211</f>
        <v/>
      </c>
      <c r="L211" s="112">
        <f>((E211+H211)*100)/B211</f>
        <v/>
      </c>
      <c r="M211" s="113" t="n"/>
      <c r="N211">
        <f>O211+P211+Q211+R211+S211+T211</f>
        <v/>
      </c>
      <c r="O211" s="50" t="n">
        <v>332.736018514408</v>
      </c>
      <c r="P211" s="50" t="n">
        <v>224.40336132367</v>
      </c>
      <c r="Q211" s="50" t="n">
        <v>49.0076306339051</v>
      </c>
      <c r="R211" s="50" t="n">
        <v>281.149038899771</v>
      </c>
      <c r="S211" s="50" t="n">
        <v>154.760938843911</v>
      </c>
      <c r="T211" s="50" t="n">
        <v>30.9521877687822</v>
      </c>
      <c r="U211" s="50" t="n">
        <v>183</v>
      </c>
      <c r="V211" s="112">
        <f>((O211+R211)*100)/N211</f>
        <v/>
      </c>
      <c r="W211" s="112">
        <f>((P211+S211)*100)/N211</f>
        <v/>
      </c>
      <c r="X211" s="112">
        <f>((Q211+T211)*100)/N211</f>
        <v/>
      </c>
    </row>
    <row r="212" ht="22.5" customHeight="1" s="150">
      <c r="A212" s="34" t="n">
        <v>210</v>
      </c>
      <c r="B212">
        <f>C212+D212+E212+F212+G212+H212</f>
        <v/>
      </c>
      <c r="C212" s="50" t="n">
        <v>87.6978653448828</v>
      </c>
      <c r="D212" s="50" t="n">
        <v>118.650053113665</v>
      </c>
      <c r="E212" s="50" t="n">
        <v>157.340287824642</v>
      </c>
      <c r="F212" s="50" t="n">
        <v>30.9521877687822</v>
      </c>
      <c r="G212" s="50" t="n">
        <v>103.173959229273</v>
      </c>
      <c r="H212" s="50" t="n">
        <v>108.332657190737</v>
      </c>
      <c r="I212" s="111">
        <f>(100*B212)/N212</f>
        <v/>
      </c>
      <c r="J212" s="112">
        <f>((C212+F212)*100)/B212</f>
        <v/>
      </c>
      <c r="K212" s="112">
        <f>((D212+G212)*100)/B212</f>
        <v/>
      </c>
      <c r="L212" s="112">
        <f>((E212+H212)*100)/B212</f>
        <v/>
      </c>
      <c r="M212" s="113" t="n"/>
      <c r="N212">
        <f>O212+P212+Q212+R212+S212+T212</f>
        <v/>
      </c>
      <c r="O212" s="50" t="n">
        <v>283.728387880503</v>
      </c>
      <c r="P212" s="50" t="n">
        <v>149.602240882447</v>
      </c>
      <c r="Q212" s="50" t="n">
        <v>18.0554428651229</v>
      </c>
      <c r="R212" s="50" t="n">
        <v>348.212112398799</v>
      </c>
      <c r="S212" s="50" t="n">
        <v>74.8011204412236</v>
      </c>
      <c r="T212" s="50" t="n">
        <v>7.73804694219555</v>
      </c>
      <c r="U212" s="50" t="n">
        <v>168</v>
      </c>
      <c r="V212" s="112">
        <f>((O212+R212)*100)/N212</f>
        <v/>
      </c>
      <c r="W212" s="112">
        <f>((P212+S212)*100)/N212</f>
        <v/>
      </c>
      <c r="X212" s="112">
        <f>((Q212+T212)*100)/N212</f>
        <v/>
      </c>
    </row>
    <row r="213" ht="22.5" customHeight="1" s="150">
      <c r="A213" s="34" t="n">
        <v>211</v>
      </c>
      <c r="B213">
        <f>C213+D213+E213+F213+G213+H213</f>
        <v/>
      </c>
      <c r="C213" s="50" t="n">
        <v>177.975079670497</v>
      </c>
      <c r="D213" s="50" t="n">
        <v>2.57934898073185</v>
      </c>
      <c r="E213" s="50" t="n">
        <v>15.4760938843911</v>
      </c>
      <c r="F213" s="50" t="n">
        <v>67.06307349902811</v>
      </c>
      <c r="G213" s="50" t="n">
        <v>0</v>
      </c>
      <c r="H213" s="50" t="n">
        <v>2.57934898073185</v>
      </c>
      <c r="I213" s="111">
        <f>(100*B213)/N213</f>
        <v/>
      </c>
      <c r="J213" s="112">
        <f>((C213+F213)*100)/B213</f>
        <v/>
      </c>
      <c r="K213" s="112">
        <f>((D213+G213)*100)/B213</f>
        <v/>
      </c>
      <c r="L213" s="112">
        <f>((E213+H213)*100)/B213</f>
        <v/>
      </c>
      <c r="M213" s="113" t="n"/>
      <c r="N213">
        <f>O213+P213+Q213+R213+S213+T213</f>
        <v/>
      </c>
      <c r="O213" s="50" t="n">
        <v>270.831642976844</v>
      </c>
      <c r="P213" s="50" t="n">
        <v>162.498985786106</v>
      </c>
      <c r="Q213" s="50" t="n">
        <v>20.6347918458548</v>
      </c>
      <c r="R213" s="50" t="n">
        <v>245.038153169525</v>
      </c>
      <c r="S213" s="50" t="n">
        <v>82.5391673834192</v>
      </c>
      <c r="T213" s="50" t="n">
        <v>5.1586979614637</v>
      </c>
      <c r="U213" s="50" t="n">
        <v>181</v>
      </c>
      <c r="V213" s="112">
        <f>((O213+R213)*100)/N213</f>
        <v/>
      </c>
      <c r="W213" s="112">
        <f>((P213+S213)*100)/N213</f>
        <v/>
      </c>
      <c r="X213" s="112">
        <f>((Q213+T213)*100)/N213</f>
        <v/>
      </c>
    </row>
    <row r="214" ht="22.5" customHeight="1" s="150">
      <c r="A214" s="34" t="n">
        <v>212</v>
      </c>
      <c r="B214">
        <f>C214+D214+E214+F214+G214+H214</f>
        <v/>
      </c>
      <c r="C214" s="50" t="n">
        <v>134.126146998056</v>
      </c>
      <c r="D214" s="50" t="n">
        <v>23.2141408265866</v>
      </c>
      <c r="E214" s="50" t="n">
        <v>20.6347918458548</v>
      </c>
      <c r="F214" s="50" t="n">
        <v>2.57934898073185</v>
      </c>
      <c r="G214" s="50" t="n">
        <v>18.0554428651229</v>
      </c>
      <c r="H214" s="50" t="n">
        <v>2.57934898073185</v>
      </c>
      <c r="I214" s="111">
        <f>(100*B214)/N214</f>
        <v/>
      </c>
      <c r="J214" s="112">
        <f>((C214+F214)*100)/B214</f>
        <v/>
      </c>
      <c r="K214" s="112">
        <f>((D214+G214)*100)/B214</f>
        <v/>
      </c>
      <c r="L214" s="112">
        <f>((E214+H214)*100)/B214</f>
        <v/>
      </c>
      <c r="M214" s="113" t="n"/>
      <c r="N214">
        <f>O214+P214+Q214+R214+S214+T214</f>
        <v/>
      </c>
      <c r="O214" s="50" t="n">
        <v>283.728387880503</v>
      </c>
      <c r="P214" s="50" t="n">
        <v>165.078334766838</v>
      </c>
      <c r="Q214" s="50" t="n">
        <v>23.2141408265866</v>
      </c>
      <c r="R214" s="50" t="n">
        <v>188.292475593425</v>
      </c>
      <c r="S214" s="50" t="n">
        <v>108.332657190737</v>
      </c>
      <c r="T214" s="50" t="n">
        <v>15.4760938843911</v>
      </c>
      <c r="U214" s="50" t="n">
        <v>173</v>
      </c>
      <c r="V214" s="112">
        <f>((O214+R214)*100)/N214</f>
        <v/>
      </c>
      <c r="W214" s="112">
        <f>((P214+S214)*100)/N214</f>
        <v/>
      </c>
      <c r="X214" s="112">
        <f>((Q214+T214)*100)/N214</f>
        <v/>
      </c>
    </row>
    <row r="215" ht="22.5" customHeight="1" s="150">
      <c r="A215" s="34" t="n">
        <v>213</v>
      </c>
      <c r="B215">
        <f>C215+D215+E215+F215+G215+H215</f>
        <v/>
      </c>
      <c r="C215" s="50" t="n">
        <v>211.506616420011</v>
      </c>
      <c r="D215" s="50" t="n">
        <v>0</v>
      </c>
      <c r="E215" s="50" t="n">
        <v>18.0554428651229</v>
      </c>
      <c r="F215" s="50" t="n">
        <v>25.7934898073184</v>
      </c>
      <c r="G215" s="50" t="n">
        <v>0</v>
      </c>
      <c r="H215" s="50" t="n">
        <v>0</v>
      </c>
      <c r="I215" s="111">
        <f>(100*B215)/N215</f>
        <v/>
      </c>
      <c r="J215" s="112">
        <f>((C215+F215)*100)/B215</f>
        <v/>
      </c>
      <c r="K215" s="112">
        <f>((D215+G215)*100)/B215</f>
        <v/>
      </c>
      <c r="L215" s="112">
        <f>((E215+H215)*100)/B215</f>
        <v/>
      </c>
      <c r="M215" s="113" t="n"/>
      <c r="N215">
        <f>O215+P215+Q215+R215+S215+T215</f>
        <v/>
      </c>
      <c r="O215" s="50" t="n">
        <v>299.204481764894</v>
      </c>
      <c r="P215" s="50" t="n">
        <v>190.871824574156</v>
      </c>
      <c r="Q215" s="50" t="n">
        <v>38.6902347109777</v>
      </c>
      <c r="R215" s="50" t="n">
        <v>288.887085841967</v>
      </c>
      <c r="S215" s="50" t="n">
        <v>198.609871516352</v>
      </c>
      <c r="T215" s="50" t="n">
        <v>51.5869796146369</v>
      </c>
      <c r="U215" s="50" t="n">
        <v>186</v>
      </c>
      <c r="V215" s="112">
        <f>((O215+R215)*100)/N215</f>
        <v/>
      </c>
      <c r="W215" s="112">
        <f>((P215+S215)*100)/N215</f>
        <v/>
      </c>
      <c r="X215" s="112">
        <f>((Q215+T215)*100)/N215</f>
        <v/>
      </c>
    </row>
    <row r="216" ht="22.5" customHeight="1" s="150">
      <c r="A216" s="34" t="n">
        <v>214</v>
      </c>
      <c r="B216">
        <f>C216+D216+E216+F216+G216+H216</f>
        <v/>
      </c>
      <c r="C216" s="50" t="n">
        <v>147.022891901715</v>
      </c>
      <c r="D216" s="50" t="n">
        <v>2.57934898073185</v>
      </c>
      <c r="E216" s="50" t="n">
        <v>0</v>
      </c>
      <c r="F216" s="50" t="n">
        <v>90.27721432561469</v>
      </c>
      <c r="G216" s="50" t="n">
        <v>2.57934898073185</v>
      </c>
      <c r="H216" s="50" t="n">
        <v>0</v>
      </c>
      <c r="I216" s="111">
        <f>(100*B216)/N216</f>
        <v/>
      </c>
      <c r="J216" s="112">
        <f>((C216+F216)*100)/B216</f>
        <v/>
      </c>
      <c r="K216" s="112">
        <f>((D216+G216)*100)/B216</f>
        <v/>
      </c>
      <c r="L216" s="112">
        <f>((E216+H216)*100)/B216</f>
        <v/>
      </c>
      <c r="M216" s="113" t="n"/>
      <c r="N216">
        <f>O216+P216+Q216+R216+S216+T216</f>
        <v/>
      </c>
      <c r="O216" s="50" t="n">
        <v>317.259924630017</v>
      </c>
      <c r="P216" s="50" t="n">
        <v>201.189220497084</v>
      </c>
      <c r="Q216" s="50" t="n">
        <v>59.3250265568325</v>
      </c>
      <c r="R216" s="50" t="n">
        <v>626.781802317839</v>
      </c>
      <c r="S216" s="50" t="n">
        <v>141.864193940251</v>
      </c>
      <c r="T216" s="50" t="n">
        <v>56.7456775761007</v>
      </c>
      <c r="U216" s="50" t="n">
        <v>178</v>
      </c>
      <c r="V216" s="112">
        <f>((O216+R216)*100)/N216</f>
        <v/>
      </c>
      <c r="W216" s="112">
        <f>((P216+S216)*100)/N216</f>
        <v/>
      </c>
      <c r="X216" s="112">
        <f>((Q216+T216)*100)/N216</f>
        <v/>
      </c>
    </row>
    <row r="217" ht="22.5" customHeight="1" s="150">
      <c r="A217" s="34" t="n">
        <v>215</v>
      </c>
      <c r="B217">
        <f>C217+D217+E217+F217+G217+H217</f>
        <v/>
      </c>
      <c r="C217" s="50" t="n">
        <v>82.5391673834192</v>
      </c>
      <c r="D217" s="50" t="n">
        <v>0</v>
      </c>
      <c r="E217" s="50" t="n">
        <v>18.0554428651229</v>
      </c>
      <c r="F217" s="50" t="n">
        <v>33.531536749514</v>
      </c>
      <c r="G217" s="50" t="n">
        <v>0</v>
      </c>
      <c r="H217" s="50" t="n">
        <v>10.3173959229274</v>
      </c>
      <c r="I217" s="111">
        <f>(100*B217)/N217</f>
        <v/>
      </c>
      <c r="J217" s="112">
        <f>((C217+F217)*100)/B217</f>
        <v/>
      </c>
      <c r="K217" s="112">
        <f>((D217+G217)*100)/B217</f>
        <v/>
      </c>
      <c r="L217" s="112">
        <f>((E217+H217)*100)/B217</f>
        <v/>
      </c>
      <c r="M217" s="113" t="n"/>
      <c r="N217">
        <f>O217+P217+Q217+R217+S217+T217</f>
        <v/>
      </c>
      <c r="O217" s="50" t="n">
        <v>288.887085841967</v>
      </c>
      <c r="P217" s="50" t="n">
        <v>206.347918458547</v>
      </c>
      <c r="Q217" s="50" t="n">
        <v>67.06307349902811</v>
      </c>
      <c r="R217" s="50" t="n">
        <v>265.67294501538</v>
      </c>
      <c r="S217" s="50" t="n">
        <v>105.753308210005</v>
      </c>
      <c r="T217" s="50" t="n">
        <v>41.2695836917096</v>
      </c>
      <c r="U217" s="50" t="n">
        <v>186</v>
      </c>
      <c r="V217" s="112">
        <f>((O217+R217)*100)/N217</f>
        <v/>
      </c>
      <c r="W217" s="112">
        <f>((P217+S217)*100)/N217</f>
        <v/>
      </c>
      <c r="X217" s="112">
        <f>((Q217+T217)*100)/N217</f>
        <v/>
      </c>
    </row>
    <row r="218" ht="22.5" customHeight="1" s="150">
      <c r="A218" s="34" t="n">
        <v>216</v>
      </c>
      <c r="B218">
        <f>C218+D218+E218+F218+G218+H218</f>
        <v/>
      </c>
      <c r="C218" s="50" t="n">
        <v>46.4282816531733</v>
      </c>
      <c r="D218" s="50" t="n">
        <v>0</v>
      </c>
      <c r="E218" s="50" t="n">
        <v>7.73804694219555</v>
      </c>
      <c r="F218" s="50" t="n">
        <v>12.8967449036592</v>
      </c>
      <c r="G218" s="50" t="n">
        <v>0</v>
      </c>
      <c r="H218" s="50" t="n">
        <v>0</v>
      </c>
      <c r="I218" s="111">
        <f>(100*B218)/N218</f>
        <v/>
      </c>
      <c r="J218" s="112">
        <f>((C218+F218)*100)/B218</f>
        <v/>
      </c>
      <c r="K218" s="112">
        <f>((D218+G218)*100)/B218</f>
        <v/>
      </c>
      <c r="L218" s="112">
        <f>((E218+H218)*100)/B218</f>
        <v/>
      </c>
      <c r="M218" s="113" t="n"/>
      <c r="N218">
        <f>O218+P218+Q218+R218+S218+T218</f>
        <v/>
      </c>
      <c r="O218" s="50" t="n">
        <v>286.307736861235</v>
      </c>
      <c r="P218" s="50" t="n">
        <v>214.085965400743</v>
      </c>
      <c r="Q218" s="50" t="n">
        <v>64.4837245182962</v>
      </c>
      <c r="R218" s="50" t="n">
        <v>110.912006171469</v>
      </c>
      <c r="S218" s="50" t="n">
        <v>59.3250265568325</v>
      </c>
      <c r="T218" s="50" t="n">
        <v>38.6902347109777</v>
      </c>
      <c r="U218" s="50" t="n">
        <v>147</v>
      </c>
      <c r="V218" s="112">
        <f>((O218+R218)*100)/N218</f>
        <v/>
      </c>
      <c r="W218" s="112">
        <f>((P218+S218)*100)/N218</f>
        <v/>
      </c>
      <c r="X218" s="112">
        <f>((Q218+T218)*100)/N218</f>
        <v/>
      </c>
    </row>
    <row r="219" ht="22.5" customHeight="1" s="150">
      <c r="A219" s="34" t="n">
        <v>217</v>
      </c>
      <c r="B219">
        <f>C219+D219+E219+F219+G219+H219</f>
        <v/>
      </c>
      <c r="C219" s="50" t="n">
        <v>147.022891901715</v>
      </c>
      <c r="D219" s="50" t="n">
        <v>2.57934898073185</v>
      </c>
      <c r="E219" s="50" t="n">
        <v>7.73804694219555</v>
      </c>
      <c r="F219" s="50" t="n">
        <v>41.2695836917096</v>
      </c>
      <c r="G219" s="50" t="n">
        <v>0</v>
      </c>
      <c r="H219" s="50" t="n">
        <v>5.1586979614637</v>
      </c>
      <c r="I219" s="111">
        <f>(100*B219)/N219</f>
        <v/>
      </c>
      <c r="J219" s="112">
        <f>((C219+F219)*100)/B219</f>
        <v/>
      </c>
      <c r="K219" s="112">
        <f>((D219+G219)*100)/B219</f>
        <v/>
      </c>
      <c r="L219" s="112">
        <f>((E219+H219)*100)/B219</f>
        <v/>
      </c>
      <c r="M219" s="113" t="n"/>
      <c r="N219">
        <f>O219+P219+Q219+R219+S219+T219</f>
        <v/>
      </c>
      <c r="O219" s="50" t="n">
        <v>288.887085841967</v>
      </c>
      <c r="P219" s="50" t="n">
        <v>224.40336132367</v>
      </c>
      <c r="Q219" s="50" t="n">
        <v>64.4837245182962</v>
      </c>
      <c r="R219" s="50" t="n">
        <v>361.108857302459</v>
      </c>
      <c r="S219" s="50" t="n">
        <v>193.451173554888</v>
      </c>
      <c r="T219" s="50" t="n">
        <v>74.8011204412236</v>
      </c>
      <c r="U219" s="50" t="n">
        <v>196</v>
      </c>
      <c r="V219" s="112">
        <f>((O219+R219)*100)/N219</f>
        <v/>
      </c>
      <c r="W219" s="112">
        <f>((P219+S219)*100)/N219</f>
        <v/>
      </c>
      <c r="X219" s="112">
        <f>((Q219+T219)*100)/N219</f>
        <v/>
      </c>
    </row>
    <row r="220" ht="22.5" customHeight="1" s="150">
      <c r="A220" s="34" t="n">
        <v>218</v>
      </c>
      <c r="B220">
        <f>C220+D220+E220+F220+G220+H220</f>
        <v/>
      </c>
      <c r="C220" s="50" t="n">
        <v>180.554428651229</v>
      </c>
      <c r="D220" s="50" t="n">
        <v>10.3173959229274</v>
      </c>
      <c r="E220" s="50" t="n">
        <v>51.5869796146369</v>
      </c>
      <c r="F220" s="50" t="n">
        <v>185.713126612693</v>
      </c>
      <c r="G220" s="50" t="n">
        <v>10.3173959229274</v>
      </c>
      <c r="H220" s="50" t="n">
        <v>20.6347918458548</v>
      </c>
      <c r="I220" s="111">
        <f>(100*B220)/N220</f>
        <v/>
      </c>
      <c r="J220" s="112">
        <f>((C220+F220)*100)/B220</f>
        <v/>
      </c>
      <c r="K220" s="112">
        <f>((D220+G220)*100)/B220</f>
        <v/>
      </c>
      <c r="L220" s="112">
        <f>((E220+H220)*100)/B220</f>
        <v/>
      </c>
      <c r="M220" s="113" t="n"/>
      <c r="N220">
        <f>O220+P220+Q220+R220+S220+T220</f>
        <v/>
      </c>
      <c r="O220" s="50" t="n">
        <v>319.839273610749</v>
      </c>
      <c r="P220" s="50" t="n">
        <v>216.665314381475</v>
      </c>
      <c r="Q220" s="50" t="n">
        <v>51.5869796146369</v>
      </c>
      <c r="R220" s="50" t="n">
        <v>696.424224797599</v>
      </c>
      <c r="S220" s="50" t="n">
        <v>190.871824574156</v>
      </c>
      <c r="T220" s="50" t="n">
        <v>69.6424224797599</v>
      </c>
      <c r="U220" s="50" t="n">
        <v>186</v>
      </c>
      <c r="V220" s="112">
        <f>((O220+R220)*100)/N220</f>
        <v/>
      </c>
      <c r="W220" s="112">
        <f>((P220+S220)*100)/N220</f>
        <v/>
      </c>
      <c r="X220" s="112">
        <f>((Q220+T220)*100)/N220</f>
        <v/>
      </c>
    </row>
    <row r="221" ht="22.5" customHeight="1" s="150">
      <c r="A221" s="34" t="n">
        <v>219</v>
      </c>
      <c r="B221">
        <f>C221+D221+E221+F221+G221+H221</f>
        <v/>
      </c>
      <c r="C221" s="50" t="n">
        <v>41.2695836917096</v>
      </c>
      <c r="D221" s="50" t="n">
        <v>5.1586979614637</v>
      </c>
      <c r="E221" s="50" t="n">
        <v>7.73804694219555</v>
      </c>
      <c r="F221" s="50" t="n">
        <v>2.57934898073185</v>
      </c>
      <c r="G221" s="50" t="n">
        <v>2.57934898073185</v>
      </c>
      <c r="H221" s="50" t="n">
        <v>5.1586979614637</v>
      </c>
      <c r="I221" s="111">
        <f>(100*B221)/N221</f>
        <v/>
      </c>
      <c r="J221" s="112">
        <f>((C221+F221)*100)/B221</f>
        <v/>
      </c>
      <c r="K221" s="112">
        <f>((D221+G221)*100)/B221</f>
        <v/>
      </c>
      <c r="L221" s="112">
        <f>((E221+H221)*100)/B221</f>
        <v/>
      </c>
      <c r="M221" s="113" t="n"/>
      <c r="N221">
        <f>O221+P221+Q221+R221+S221+T221</f>
        <v/>
      </c>
      <c r="O221" s="50" t="n">
        <v>306.94252870709</v>
      </c>
      <c r="P221" s="50" t="n">
        <v>219.244663362207</v>
      </c>
      <c r="Q221" s="50" t="n">
        <v>56.7456775761007</v>
      </c>
      <c r="R221" s="50" t="n">
        <v>51.5869796146369</v>
      </c>
      <c r="S221" s="50" t="n">
        <v>25.7934898073184</v>
      </c>
      <c r="T221" s="50" t="n">
        <v>7.73804694219555</v>
      </c>
      <c r="U221" s="50" t="n">
        <v>134</v>
      </c>
      <c r="V221" s="112">
        <f>((O221+R221)*100)/N221</f>
        <v/>
      </c>
      <c r="W221" s="112">
        <f>((P221+S221)*100)/N221</f>
        <v/>
      </c>
      <c r="X221" s="112">
        <f>((Q221+T221)*100)/N221</f>
        <v/>
      </c>
    </row>
    <row r="222" ht="22.5" customHeight="1" s="150">
      <c r="A222" s="34" t="n">
        <v>220</v>
      </c>
      <c r="B222">
        <f>C222+D222+E222+F222+G222+H222</f>
        <v/>
      </c>
      <c r="C222" s="50" t="n">
        <v>180.554428651229</v>
      </c>
      <c r="D222" s="50" t="n">
        <v>5.1586979614637</v>
      </c>
      <c r="E222" s="50" t="n">
        <v>36.1108857302459</v>
      </c>
      <c r="F222" s="50" t="n">
        <v>116.070704132933</v>
      </c>
      <c r="G222" s="50" t="n">
        <v>0</v>
      </c>
      <c r="H222" s="50" t="n">
        <v>5.1586979614637</v>
      </c>
      <c r="I222" s="111">
        <f>(100*B222)/N222</f>
        <v/>
      </c>
      <c r="J222" s="112">
        <f>((C222+F222)*100)/B222</f>
        <v/>
      </c>
      <c r="K222" s="112">
        <f>((D222+G222)*100)/B222</f>
        <v/>
      </c>
      <c r="L222" s="112">
        <f>((E222+H222)*100)/B222</f>
        <v/>
      </c>
      <c r="M222" s="113" t="n"/>
      <c r="N222">
        <f>O222+P222+Q222+R222+S222+T222</f>
        <v/>
      </c>
      <c r="O222" s="50" t="n">
        <v>288.887085841967</v>
      </c>
      <c r="P222" s="50" t="n">
        <v>245.038153169525</v>
      </c>
      <c r="Q222" s="50" t="n">
        <v>72.22177146049179</v>
      </c>
      <c r="R222" s="50" t="n">
        <v>299.204481764894</v>
      </c>
      <c r="S222" s="50" t="n">
        <v>123.808751075128</v>
      </c>
      <c r="T222" s="50" t="n">
        <v>64.4837245182962</v>
      </c>
      <c r="U222" s="50" t="n">
        <v>188</v>
      </c>
      <c r="V222" s="112">
        <f>((O222+R222)*100)/N222</f>
        <v/>
      </c>
      <c r="W222" s="112">
        <f>((P222+S222)*100)/N222</f>
        <v/>
      </c>
      <c r="X222" s="112">
        <f>((Q222+T222)*100)/N222</f>
        <v/>
      </c>
    </row>
    <row r="223" ht="22.5" customHeight="1" s="150">
      <c r="A223" s="34" t="n">
        <v>221</v>
      </c>
      <c r="B223">
        <f>C223+D223+E223+F223+G223+H223</f>
        <v/>
      </c>
      <c r="C223" s="50" t="n">
        <v>126.38810005586</v>
      </c>
      <c r="D223" s="50" t="n">
        <v>5.1586979614637</v>
      </c>
      <c r="E223" s="50" t="n">
        <v>10.3173959229274</v>
      </c>
      <c r="F223" s="50" t="n">
        <v>15.4760938843911</v>
      </c>
      <c r="G223" s="50" t="n">
        <v>0</v>
      </c>
      <c r="H223" s="50" t="n">
        <v>0</v>
      </c>
      <c r="I223" s="111">
        <f>(100*B223)/N223</f>
        <v/>
      </c>
      <c r="J223" s="112">
        <f>((C223+F223)*100)/B223</f>
        <v/>
      </c>
      <c r="K223" s="112">
        <f>((D223+G223)*100)/B223</f>
        <v/>
      </c>
      <c r="L223" s="112">
        <f>((E223+H223)*100)/B223</f>
        <v/>
      </c>
      <c r="M223" s="113" t="n"/>
      <c r="N223">
        <f>O223+P223+Q223+R223+S223+T223</f>
        <v/>
      </c>
      <c r="O223" s="50" t="n">
        <v>257.934898073185</v>
      </c>
      <c r="P223" s="50" t="n">
        <v>239.879455208062</v>
      </c>
      <c r="Q223" s="50" t="n">
        <v>72.22177146049179</v>
      </c>
      <c r="R223" s="50" t="n">
        <v>121.229402094396</v>
      </c>
      <c r="S223" s="50" t="n">
        <v>72.22177146049179</v>
      </c>
      <c r="T223" s="50" t="n">
        <v>28.3728387880503</v>
      </c>
      <c r="U223" s="50" t="n">
        <v>162</v>
      </c>
      <c r="V223" s="112">
        <f>((O223+R223)*100)/N223</f>
        <v/>
      </c>
      <c r="W223" s="112">
        <f>((P223+S223)*100)/N223</f>
        <v/>
      </c>
      <c r="X223" s="112">
        <f>((Q223+T223)*100)/N223</f>
        <v/>
      </c>
    </row>
    <row r="224" ht="22.5" customHeight="1" s="150">
      <c r="A224" s="34" t="n">
        <v>222</v>
      </c>
      <c r="B224">
        <f>C224+D224+E224+F224+G224+H224</f>
        <v/>
      </c>
      <c r="C224" s="50" t="n">
        <v>154.760938843911</v>
      </c>
      <c r="D224" s="50" t="n">
        <v>12.8967449036592</v>
      </c>
      <c r="E224" s="50" t="n">
        <v>30.9521877687822</v>
      </c>
      <c r="F224" s="50" t="n">
        <v>180.554428651229</v>
      </c>
      <c r="G224" s="50" t="n">
        <v>15.4760938843911</v>
      </c>
      <c r="H224" s="50" t="n">
        <v>15.4760938843911</v>
      </c>
      <c r="I224" s="111">
        <f>(100*B224)/N224</f>
        <v/>
      </c>
      <c r="J224" s="112">
        <f>((C224+F224)*100)/B224</f>
        <v/>
      </c>
      <c r="K224" s="112">
        <f>((D224+G224)*100)/B224</f>
        <v/>
      </c>
      <c r="L224" s="112">
        <f>((E224+H224)*100)/B224</f>
        <v/>
      </c>
      <c r="M224" s="113" t="n"/>
      <c r="N224">
        <f>O224+P224+Q224+R224+S224+T224</f>
        <v/>
      </c>
      <c r="O224" s="50" t="n">
        <v>291.466434822699</v>
      </c>
      <c r="P224" s="50" t="n">
        <v>245.038153169525</v>
      </c>
      <c r="Q224" s="50" t="n">
        <v>61.9043755375644</v>
      </c>
      <c r="R224" s="50" t="n">
        <v>536.5045879922239</v>
      </c>
      <c r="S224" s="50" t="n">
        <v>381.743649148313</v>
      </c>
      <c r="T224" s="50" t="n">
        <v>118.650053113665</v>
      </c>
      <c r="U224" s="50" t="n">
        <v>209</v>
      </c>
      <c r="V224" s="112">
        <f>((O224+R224)*100)/N224</f>
        <v/>
      </c>
      <c r="W224" s="112">
        <f>((P224+S224)*100)/N224</f>
        <v/>
      </c>
      <c r="X224" s="112">
        <f>((Q224+T224)*100)/N224</f>
        <v/>
      </c>
    </row>
    <row r="225" ht="22.5" customHeight="1" s="150">
      <c r="A225" s="34" t="n">
        <v>223</v>
      </c>
      <c r="B225">
        <f>C225+D225+E225+F225+G225+H225</f>
        <v/>
      </c>
      <c r="C225" s="50" t="n">
        <v>126.38810005586</v>
      </c>
      <c r="D225" s="50" t="n">
        <v>23.2141408265866</v>
      </c>
      <c r="E225" s="50" t="n">
        <v>5.1586979614637</v>
      </c>
      <c r="F225" s="50" t="n">
        <v>64.4837245182962</v>
      </c>
      <c r="G225" s="50" t="n">
        <v>25.7934898073184</v>
      </c>
      <c r="H225" s="50" t="n">
        <v>7.73804694219555</v>
      </c>
      <c r="I225" s="111">
        <f>(100*B225)/N225</f>
        <v/>
      </c>
      <c r="J225" s="112">
        <f>((C225+F225)*100)/B225</f>
        <v/>
      </c>
      <c r="K225" s="112">
        <f>((D225+G225)*100)/B225</f>
        <v/>
      </c>
      <c r="L225" s="112">
        <f>((E225+H225)*100)/B225</f>
        <v/>
      </c>
      <c r="M225" s="113" t="n"/>
      <c r="N225">
        <f>O225+P225+Q225+R225+S225+T225</f>
        <v/>
      </c>
      <c r="O225" s="50" t="n">
        <v>232.141408265866</v>
      </c>
      <c r="P225" s="50" t="n">
        <v>221.824012342939</v>
      </c>
      <c r="Q225" s="50" t="n">
        <v>69.6424224797599</v>
      </c>
      <c r="R225" s="50" t="n">
        <v>531.345890030761</v>
      </c>
      <c r="S225" s="50" t="n">
        <v>368.846904244654</v>
      </c>
      <c r="T225" s="50" t="n">
        <v>165.078334766838</v>
      </c>
      <c r="U225" s="50" t="n">
        <v>206</v>
      </c>
      <c r="V225" s="112">
        <f>((O225+R225)*100)/N225</f>
        <v/>
      </c>
      <c r="W225" s="112">
        <f>((P225+S225)*100)/N225</f>
        <v/>
      </c>
      <c r="X225" s="112">
        <f>((Q225+T225)*100)/N225</f>
        <v/>
      </c>
    </row>
    <row r="226" ht="22.5" customHeight="1" s="150">
      <c r="A226" s="34" t="n">
        <v>224</v>
      </c>
      <c r="B226">
        <f>C226+D226+E226+F226+G226+H226</f>
        <v/>
      </c>
      <c r="C226" s="50" t="n">
        <v>206.347918458547</v>
      </c>
      <c r="D226" s="50" t="n">
        <v>5.1586979614637</v>
      </c>
      <c r="E226" s="50" t="n">
        <v>30.9521877687822</v>
      </c>
      <c r="F226" s="50" t="n">
        <v>69.6424224797599</v>
      </c>
      <c r="G226" s="50" t="n">
        <v>0</v>
      </c>
      <c r="H226" s="50" t="n">
        <v>5.1586979614637</v>
      </c>
      <c r="I226" s="111">
        <f>(100*B226)/N226</f>
        <v/>
      </c>
      <c r="J226" s="112">
        <f>((C226+F226)*100)/B226</f>
        <v/>
      </c>
      <c r="K226" s="112">
        <f>((D226+G226)*100)/B226</f>
        <v/>
      </c>
      <c r="L226" s="112">
        <f>((E226+H226)*100)/B226</f>
        <v/>
      </c>
      <c r="M226" s="113" t="n"/>
      <c r="N226">
        <f>O226+P226+Q226+R226+S226+T226</f>
        <v/>
      </c>
      <c r="O226" s="50" t="n">
        <v>314.680575649285</v>
      </c>
      <c r="P226" s="50" t="n">
        <v>229.562059285134</v>
      </c>
      <c r="Q226" s="50" t="n">
        <v>51.5869796146369</v>
      </c>
      <c r="R226" s="50" t="n">
        <v>188.292475593425</v>
      </c>
      <c r="S226" s="50" t="n">
        <v>165.078334766838</v>
      </c>
      <c r="T226" s="50" t="n">
        <v>64.4837245182962</v>
      </c>
      <c r="U226" s="50" t="n">
        <v>188</v>
      </c>
      <c r="V226" s="112">
        <f>((O226+R226)*100)/N226</f>
        <v/>
      </c>
      <c r="W226" s="112">
        <f>((P226+S226)*100)/N226</f>
        <v/>
      </c>
      <c r="X226" s="112">
        <f>((Q226+T226)*100)/N226</f>
        <v/>
      </c>
    </row>
    <row r="227" ht="22.5" customHeight="1" s="150">
      <c r="A227" s="34" t="n">
        <v>225</v>
      </c>
      <c r="B227">
        <f>C227+D227+E227+F227+G227+H227</f>
        <v/>
      </c>
      <c r="C227" s="50" t="n">
        <v>157.340287824642</v>
      </c>
      <c r="D227" s="50" t="n">
        <v>12.8967449036592</v>
      </c>
      <c r="E227" s="50" t="n">
        <v>15.4760938843911</v>
      </c>
      <c r="F227" s="50" t="n">
        <v>255.355549092453</v>
      </c>
      <c r="G227" s="50" t="n">
        <v>25.7934898073184</v>
      </c>
      <c r="H227" s="50" t="n">
        <v>2.57934898073185</v>
      </c>
      <c r="I227" s="111">
        <f>(100*B227)/N227</f>
        <v/>
      </c>
      <c r="J227" s="112">
        <f>((C227+F227)*100)/B227</f>
        <v/>
      </c>
      <c r="K227" s="112">
        <f>((D227+G227)*100)/B227</f>
        <v/>
      </c>
      <c r="L227" s="112">
        <f>((E227+H227)*100)/B227</f>
        <v/>
      </c>
      <c r="M227" s="113" t="n"/>
      <c r="N227">
        <f>O227+P227+Q227+R227+S227+T227</f>
        <v/>
      </c>
      <c r="O227" s="50" t="n">
        <v>214.085965400743</v>
      </c>
      <c r="P227" s="50" t="n">
        <v>206.347918458547</v>
      </c>
      <c r="Q227" s="50" t="n">
        <v>30.9521877687822</v>
      </c>
      <c r="R227" s="50" t="n">
        <v>760.9079493158951</v>
      </c>
      <c r="S227" s="50" t="n">
        <v>572.61547372247</v>
      </c>
      <c r="T227" s="50" t="n">
        <v>193.451173554888</v>
      </c>
      <c r="U227" s="50" t="n">
        <v>209</v>
      </c>
      <c r="V227" s="112">
        <f>((O227+R227)*100)/N227</f>
        <v/>
      </c>
      <c r="W227" s="112">
        <f>((P227+S227)*100)/N227</f>
        <v/>
      </c>
      <c r="X227" s="112">
        <f>((Q227+T227)*100)/N227</f>
        <v/>
      </c>
    </row>
    <row r="228" ht="22.5" customHeight="1" s="150">
      <c r="A228" s="34" t="n">
        <v>226</v>
      </c>
      <c r="B228">
        <f>C228+D228+E228+F228+G228+H228</f>
        <v/>
      </c>
      <c r="C228" s="50" t="n">
        <v>123.808751075128</v>
      </c>
      <c r="D228" s="50" t="n">
        <v>0</v>
      </c>
      <c r="E228" s="50" t="n">
        <v>7.73804694219555</v>
      </c>
      <c r="F228" s="50" t="n">
        <v>5.1586979614637</v>
      </c>
      <c r="G228" s="50" t="n">
        <v>5.1586979614637</v>
      </c>
      <c r="H228" s="50" t="n">
        <v>0</v>
      </c>
      <c r="I228" s="111">
        <f>(100*B228)/N228</f>
        <v/>
      </c>
      <c r="J228" s="112">
        <f>((C228+F228)*100)/B228</f>
        <v/>
      </c>
      <c r="K228" s="112">
        <f>((D228+G228)*100)/B228</f>
        <v/>
      </c>
      <c r="L228" s="112">
        <f>((E228+H228)*100)/B228</f>
        <v/>
      </c>
      <c r="M228" s="113" t="n"/>
      <c r="N228">
        <f>O228+P228+Q228+R228+S228+T228</f>
        <v/>
      </c>
      <c r="O228" s="50" t="n">
        <v>206.347918458547</v>
      </c>
      <c r="P228" s="50" t="n">
        <v>216.665314381475</v>
      </c>
      <c r="Q228" s="50" t="n">
        <v>30.9521877687822</v>
      </c>
      <c r="R228" s="50" t="n">
        <v>134.126146998056</v>
      </c>
      <c r="S228" s="50" t="n">
        <v>69.6424224797599</v>
      </c>
      <c r="T228" s="50" t="n">
        <v>20.6347918458548</v>
      </c>
      <c r="U228" s="50" t="n">
        <v>160</v>
      </c>
      <c r="V228" s="112">
        <f>((O228+R228)*100)/N228</f>
        <v/>
      </c>
      <c r="W228" s="112">
        <f>((P228+S228)*100)/N228</f>
        <v/>
      </c>
      <c r="X228" s="112">
        <f>((Q228+T228)*100)/N228</f>
        <v/>
      </c>
    </row>
    <row r="229" ht="22.5" customHeight="1" s="150">
      <c r="A229" s="34" t="n">
        <v>227</v>
      </c>
      <c r="B229">
        <f>C229+D229+E229+F229+G229+H229</f>
        <v/>
      </c>
      <c r="C229" s="50" t="n">
        <v>92.8565633063466</v>
      </c>
      <c r="D229" s="50" t="n">
        <v>2.57934898073185</v>
      </c>
      <c r="E229" s="50" t="n">
        <v>2.57934898073185</v>
      </c>
      <c r="F229" s="50" t="n">
        <v>30.9521877687822</v>
      </c>
      <c r="G229" s="50" t="n">
        <v>0</v>
      </c>
      <c r="H229" s="50" t="n">
        <v>0</v>
      </c>
      <c r="I229" s="111">
        <f>(100*B229)/N229</f>
        <v/>
      </c>
      <c r="J229" s="112">
        <f>((C229+F229)*100)/B229</f>
        <v/>
      </c>
      <c r="K229" s="112">
        <f>((D229+G229)*100)/B229</f>
        <v/>
      </c>
      <c r="L229" s="112">
        <f>((E229+H229)*100)/B229</f>
        <v/>
      </c>
      <c r="M229" s="113" t="n"/>
      <c r="N229">
        <f>O229+P229+Q229+R229+S229+T229</f>
        <v/>
      </c>
      <c r="O229" s="50" t="n">
        <v>247.617502150257</v>
      </c>
      <c r="P229" s="50" t="n">
        <v>214.085965400743</v>
      </c>
      <c r="Q229" s="50" t="n">
        <v>33.531536749514</v>
      </c>
      <c r="R229" s="50" t="n">
        <v>116.070704132933</v>
      </c>
      <c r="S229" s="50" t="n">
        <v>113.491355152201</v>
      </c>
      <c r="T229" s="50" t="n">
        <v>15.4760938843911</v>
      </c>
      <c r="U229" s="50" t="n">
        <v>155</v>
      </c>
      <c r="V229" s="112">
        <f>((O229+R229)*100)/N229</f>
        <v/>
      </c>
      <c r="W229" s="112">
        <f>((P229+S229)*100)/N229</f>
        <v/>
      </c>
      <c r="X229" s="112">
        <f>((Q229+T229)*100)/N229</f>
        <v/>
      </c>
    </row>
    <row r="230" ht="22.5" customHeight="1" s="150">
      <c r="A230" s="34" t="n">
        <v>228</v>
      </c>
      <c r="B230">
        <f>C230+D230+E230+F230+G230+H230</f>
        <v/>
      </c>
      <c r="C230" s="50" t="n">
        <v>0</v>
      </c>
      <c r="D230" s="50" t="n">
        <v>0</v>
      </c>
      <c r="E230" s="50" t="n">
        <v>0</v>
      </c>
      <c r="F230" s="50" t="n">
        <v>0</v>
      </c>
      <c r="G230" s="50" t="n">
        <v>0</v>
      </c>
      <c r="H230" s="50" t="n">
        <v>0</v>
      </c>
      <c r="I230" s="111">
        <f>(100*B230)/N230</f>
        <v/>
      </c>
      <c r="J230" s="112">
        <f>((C230+F230)*100)/B230</f>
        <v/>
      </c>
      <c r="K230" s="112">
        <f>((D230+G230)*100)/B230</f>
        <v/>
      </c>
      <c r="L230" s="112">
        <f>((E230+H230)*100)/B230</f>
        <v/>
      </c>
      <c r="M230" s="113" t="n"/>
      <c r="N230">
        <f>O230+P230+Q230+R230+S230+T230</f>
        <v/>
      </c>
      <c r="O230" s="50" t="n">
        <v>260.514247053916</v>
      </c>
      <c r="P230" s="50" t="n">
        <v>234.720757246598</v>
      </c>
      <c r="Q230" s="50" t="n">
        <v>41.2695836917096</v>
      </c>
      <c r="R230" s="50" t="n">
        <v>0</v>
      </c>
      <c r="S230" s="50" t="n">
        <v>0</v>
      </c>
      <c r="T230" s="50" t="n">
        <v>0</v>
      </c>
      <c r="U230" s="50" t="n">
        <v>101</v>
      </c>
      <c r="V230" s="112">
        <f>((O230+R230)*100)/N230</f>
        <v/>
      </c>
      <c r="W230" s="112">
        <f>((P230+S230)*100)/N230</f>
        <v/>
      </c>
      <c r="X230" s="112">
        <f>((Q230+T230)*100)/N230</f>
        <v/>
      </c>
    </row>
    <row r="231" ht="22.5" customHeight="1" s="150">
      <c r="A231" s="34" t="n">
        <v>229</v>
      </c>
      <c r="B231">
        <f>C231+D231+E231+F231+G231+H231</f>
        <v/>
      </c>
      <c r="C231" s="50" t="n">
        <v>131.546798017324</v>
      </c>
      <c r="D231" s="50" t="n">
        <v>5.1586979614637</v>
      </c>
      <c r="E231" s="50" t="n">
        <v>7.73804694219555</v>
      </c>
      <c r="F231" s="50" t="n">
        <v>2.57934898073185</v>
      </c>
      <c r="G231" s="50" t="n">
        <v>2.57934898073185</v>
      </c>
      <c r="H231" s="50" t="n">
        <v>0</v>
      </c>
      <c r="I231" s="111">
        <f>(100*B231)/N231</f>
        <v/>
      </c>
      <c r="J231" s="112">
        <f>((C231+F231)*100)/B231</f>
        <v/>
      </c>
      <c r="K231" s="112">
        <f>((D231+G231)*100)/B231</f>
        <v/>
      </c>
      <c r="L231" s="112">
        <f>((E231+H231)*100)/B231</f>
        <v/>
      </c>
      <c r="M231" s="113" t="n"/>
      <c r="N231">
        <f>O231+P231+Q231+R231+S231+T231</f>
        <v/>
      </c>
      <c r="O231" s="50" t="n">
        <v>245.038153169525</v>
      </c>
      <c r="P231" s="50" t="n">
        <v>237.30010622733</v>
      </c>
      <c r="Q231" s="50" t="n">
        <v>33.531536749514</v>
      </c>
      <c r="R231" s="50" t="n">
        <v>126.38810005586</v>
      </c>
      <c r="S231" s="50" t="n">
        <v>103.173959229273</v>
      </c>
      <c r="T231" s="50" t="n">
        <v>18.0554428651229</v>
      </c>
      <c r="U231" s="50" t="n">
        <v>155</v>
      </c>
      <c r="V231" s="112">
        <f>((O231+R231)*100)/N231</f>
        <v/>
      </c>
      <c r="W231" s="112">
        <f>((P231+S231)*100)/N231</f>
        <v/>
      </c>
      <c r="X231" s="112">
        <f>((Q231+T231)*100)/N231</f>
        <v/>
      </c>
    </row>
    <row r="232" ht="22.5" customHeight="1" s="150">
      <c r="A232" s="34" t="n">
        <v>230</v>
      </c>
      <c r="B232">
        <f>C232+D232+E232+F232+G232+H232</f>
        <v/>
      </c>
      <c r="C232" s="50" t="n">
        <v>131.546798017324</v>
      </c>
      <c r="D232" s="50" t="n">
        <v>0</v>
      </c>
      <c r="E232" s="50" t="n">
        <v>10.3173959229274</v>
      </c>
      <c r="F232" s="50" t="n">
        <v>95.43591228707839</v>
      </c>
      <c r="G232" s="50" t="n">
        <v>0</v>
      </c>
      <c r="H232" s="50" t="n">
        <v>0</v>
      </c>
      <c r="I232" s="111">
        <f>(100*B232)/N232</f>
        <v/>
      </c>
      <c r="J232" s="112">
        <f>((C232+F232)*100)/B232</f>
        <v/>
      </c>
      <c r="K232" s="112">
        <f>((D232+G232)*100)/B232</f>
        <v/>
      </c>
      <c r="L232" s="112">
        <f>((E232+H232)*100)/B232</f>
        <v/>
      </c>
      <c r="M232" s="113" t="n"/>
      <c r="N232">
        <f>O232+P232+Q232+R232+S232+T232</f>
        <v/>
      </c>
      <c r="O232" s="50" t="n">
        <v>226.982710304402</v>
      </c>
      <c r="P232" s="50" t="n">
        <v>245.038153169525</v>
      </c>
      <c r="Q232" s="50" t="n">
        <v>33.531536749514</v>
      </c>
      <c r="R232" s="50" t="n">
        <v>343.053414437336</v>
      </c>
      <c r="S232" s="50" t="n">
        <v>275.990340938307</v>
      </c>
      <c r="T232" s="50" t="n">
        <v>49.0076306339051</v>
      </c>
      <c r="U232" s="50" t="n">
        <v>168</v>
      </c>
      <c r="V232" s="112">
        <f>((O232+R232)*100)/N232</f>
        <v/>
      </c>
      <c r="W232" s="112">
        <f>((P232+S232)*100)/N232</f>
        <v/>
      </c>
      <c r="X232" s="112">
        <f>((Q232+T232)*100)/N232</f>
        <v/>
      </c>
    </row>
    <row r="233" ht="22.5" customHeight="1" s="150">
      <c r="A233" s="34" t="n">
        <v>231</v>
      </c>
      <c r="B233">
        <f>C233+D233+E233+F233+G233+H233</f>
        <v/>
      </c>
      <c r="C233" s="50" t="n">
        <v>110.912006171469</v>
      </c>
      <c r="D233" s="50" t="n">
        <v>5.1586979614637</v>
      </c>
      <c r="E233" s="50" t="n">
        <v>10.3173959229274</v>
      </c>
      <c r="F233" s="50" t="n">
        <v>56.7456775761007</v>
      </c>
      <c r="G233" s="50" t="n">
        <v>0</v>
      </c>
      <c r="H233" s="50" t="n">
        <v>0</v>
      </c>
      <c r="I233" s="111">
        <f>(100*B233)/N233</f>
        <v/>
      </c>
      <c r="J233" s="112">
        <f>((C233+F233)*100)/B233</f>
        <v/>
      </c>
      <c r="K233" s="112">
        <f>((D233+G233)*100)/B233</f>
        <v/>
      </c>
      <c r="L233" s="112">
        <f>((E233+H233)*100)/B233</f>
        <v/>
      </c>
      <c r="M233" s="113" t="n"/>
      <c r="N233">
        <f>O233+P233+Q233+R233+S233+T233</f>
        <v/>
      </c>
      <c r="O233" s="50" t="n">
        <v>214.085965400743</v>
      </c>
      <c r="P233" s="50" t="n">
        <v>232.141408265866</v>
      </c>
      <c r="Q233" s="50" t="n">
        <v>36.1108857302459</v>
      </c>
      <c r="R233" s="50" t="n">
        <v>268.252293996112</v>
      </c>
      <c r="S233" s="50" t="n">
        <v>185.713126612693</v>
      </c>
      <c r="T233" s="50" t="n">
        <v>28.3728387880503</v>
      </c>
      <c r="U233" s="50" t="n">
        <v>173</v>
      </c>
      <c r="V233" s="112">
        <f>((O233+R233)*100)/N233</f>
        <v/>
      </c>
      <c r="W233" s="112">
        <f>((P233+S233)*100)/N233</f>
        <v/>
      </c>
      <c r="X233" s="112">
        <f>((Q233+T233)*100)/N233</f>
        <v/>
      </c>
    </row>
    <row r="234" ht="22.5" customHeight="1" s="150">
      <c r="A234" s="34" t="n">
        <v>232</v>
      </c>
      <c r="B234">
        <f>C234+D234+E234+F234+G234+H234</f>
        <v/>
      </c>
      <c r="C234" s="50" t="n">
        <v>116.070704132933</v>
      </c>
      <c r="D234" s="50" t="n">
        <v>0</v>
      </c>
      <c r="E234" s="50" t="n">
        <v>0</v>
      </c>
      <c r="F234" s="50" t="n">
        <v>43.8489326724414</v>
      </c>
      <c r="G234" s="50" t="n">
        <v>0</v>
      </c>
      <c r="H234" s="50" t="n">
        <v>0</v>
      </c>
      <c r="I234" s="111">
        <f>(100*B234)/N234</f>
        <v/>
      </c>
      <c r="J234" s="112">
        <f>((C234+F234)*100)/B234</f>
        <v/>
      </c>
      <c r="K234" s="112">
        <f>((D234+G234)*100)/B234</f>
        <v/>
      </c>
      <c r="L234" s="112">
        <f>((E234+H234)*100)/B234</f>
        <v/>
      </c>
      <c r="M234" s="113" t="n"/>
      <c r="N234">
        <f>O234+P234+Q234+R234+S234+T234</f>
        <v/>
      </c>
      <c r="O234" s="50" t="n">
        <v>224.40336132367</v>
      </c>
      <c r="P234" s="50" t="n">
        <v>250.196851130989</v>
      </c>
      <c r="Q234" s="50" t="n">
        <v>46.4282816531733</v>
      </c>
      <c r="R234" s="50" t="n">
        <v>116.070704132933</v>
      </c>
      <c r="S234" s="50" t="n">
        <v>154.760938843911</v>
      </c>
      <c r="T234" s="50" t="n">
        <v>20.6347918458548</v>
      </c>
      <c r="U234" s="50" t="n">
        <v>168</v>
      </c>
      <c r="V234" s="112">
        <f>((O234+R234)*100)/N234</f>
        <v/>
      </c>
      <c r="W234" s="112">
        <f>((P234+S234)*100)/N234</f>
        <v/>
      </c>
      <c r="X234" s="112">
        <f>((Q234+T234)*100)/N234</f>
        <v/>
      </c>
    </row>
    <row r="235" ht="22.5" customHeight="1" s="150">
      <c r="A235" s="34" t="n">
        <v>233</v>
      </c>
      <c r="B235">
        <f>C235+D235+E235+F235+G235+H235</f>
        <v/>
      </c>
      <c r="C235" s="50" t="n">
        <v>141.864193940251</v>
      </c>
      <c r="D235" s="50" t="n">
        <v>12.8967449036592</v>
      </c>
      <c r="E235" s="50" t="n">
        <v>12.8967449036592</v>
      </c>
      <c r="F235" s="50" t="n">
        <v>43.8489326724414</v>
      </c>
      <c r="G235" s="50" t="n">
        <v>10.3173959229274</v>
      </c>
      <c r="H235" s="50" t="n">
        <v>2.57934898073185</v>
      </c>
      <c r="I235" s="111">
        <f>(100*B235)/N235</f>
        <v/>
      </c>
      <c r="J235" s="112">
        <f>((C235+F235)*100)/B235</f>
        <v/>
      </c>
      <c r="K235" s="112">
        <f>((D235+G235)*100)/B235</f>
        <v/>
      </c>
      <c r="L235" s="112">
        <f>((E235+H235)*100)/B235</f>
        <v/>
      </c>
      <c r="M235" s="113" t="n"/>
      <c r="N235">
        <f>O235+P235+Q235+R235+S235+T235</f>
        <v/>
      </c>
      <c r="O235" s="50" t="n">
        <v>245.038153169525</v>
      </c>
      <c r="P235" s="50" t="n">
        <v>247.617502150257</v>
      </c>
      <c r="Q235" s="50" t="n">
        <v>43.8489326724414</v>
      </c>
      <c r="R235" s="50" t="n">
        <v>157.340287824642</v>
      </c>
      <c r="S235" s="50" t="n">
        <v>141.864193940251</v>
      </c>
      <c r="T235" s="50" t="n">
        <v>33.531536749514</v>
      </c>
      <c r="U235" s="50" t="n">
        <v>147</v>
      </c>
      <c r="V235" s="112">
        <f>((O235+R235)*100)/N235</f>
        <v/>
      </c>
      <c r="W235" s="112">
        <f>((P235+S235)*100)/N235</f>
        <v/>
      </c>
      <c r="X235" s="112">
        <f>((Q235+T235)*100)/N235</f>
        <v/>
      </c>
    </row>
    <row r="236" ht="22.5" customHeight="1" s="150">
      <c r="A236" s="34" t="n">
        <v>234</v>
      </c>
      <c r="B236">
        <f>C236+D236+E236+F236+G236+H236</f>
        <v/>
      </c>
      <c r="C236" s="50" t="n">
        <v>144.443542920983</v>
      </c>
      <c r="D236" s="50" t="n">
        <v>5.1586979614637</v>
      </c>
      <c r="E236" s="50" t="n">
        <v>7.73804694219555</v>
      </c>
      <c r="F236" s="50" t="n">
        <v>38.6902347109777</v>
      </c>
      <c r="G236" s="50" t="n">
        <v>5.1586979614637</v>
      </c>
      <c r="H236" s="50" t="n">
        <v>5.1586979614637</v>
      </c>
      <c r="I236" s="111">
        <f>(100*B236)/N236</f>
        <v/>
      </c>
      <c r="J236" s="112">
        <f>((C236+F236)*100)/B236</f>
        <v/>
      </c>
      <c r="K236" s="112">
        <f>((D236+G236)*100)/B236</f>
        <v/>
      </c>
      <c r="L236" s="112">
        <f>((E236+H236)*100)/B236</f>
        <v/>
      </c>
      <c r="M236" s="113" t="n"/>
      <c r="N236">
        <f>O236+P236+Q236+R236+S236+T236</f>
        <v/>
      </c>
      <c r="O236" s="50" t="n">
        <v>250.196851130989</v>
      </c>
      <c r="P236" s="50" t="n">
        <v>234.720757246598</v>
      </c>
      <c r="Q236" s="50" t="n">
        <v>38.6902347109777</v>
      </c>
      <c r="R236" s="50" t="n">
        <v>85.11851636415101</v>
      </c>
      <c r="S236" s="50" t="n">
        <v>59.3250265568325</v>
      </c>
      <c r="T236" s="50" t="n">
        <v>10.3173959229274</v>
      </c>
      <c r="U236" s="50" t="n">
        <v>142</v>
      </c>
      <c r="V236" s="112">
        <f>((O236+R236)*100)/N236</f>
        <v/>
      </c>
      <c r="W236" s="112">
        <f>((P236+S236)*100)/N236</f>
        <v/>
      </c>
      <c r="X236" s="112">
        <f>((Q236+T236)*100)/N236</f>
        <v/>
      </c>
    </row>
    <row r="237" ht="22.5" customHeight="1" s="150">
      <c r="A237" s="34" t="n">
        <v>235</v>
      </c>
      <c r="B237">
        <f>C237+D237+E237+F237+G237+H237</f>
        <v/>
      </c>
      <c r="C237" s="50" t="n">
        <v>10.3173959229274</v>
      </c>
      <c r="D237" s="50" t="n">
        <v>5.1586979614637</v>
      </c>
      <c r="E237" s="50" t="n">
        <v>2.57934898073185</v>
      </c>
      <c r="F237" s="50" t="n">
        <v>2.57934898073185</v>
      </c>
      <c r="G237" s="50" t="n">
        <v>0</v>
      </c>
      <c r="H237" s="50" t="n">
        <v>2.57934898073185</v>
      </c>
      <c r="I237" s="111">
        <f>(100*B237)/N237</f>
        <v/>
      </c>
      <c r="J237" s="112">
        <f>((C237+F237)*100)/B237</f>
        <v/>
      </c>
      <c r="K237" s="112">
        <f>((D237+G237)*100)/B237</f>
        <v/>
      </c>
      <c r="L237" s="112">
        <f>((E237+H237)*100)/B237</f>
        <v/>
      </c>
      <c r="M237" s="113" t="n"/>
      <c r="N237">
        <f>O237+P237+Q237+R237+S237+T237</f>
        <v/>
      </c>
      <c r="O237" s="50" t="n">
        <v>250.196851130989</v>
      </c>
      <c r="P237" s="50" t="n">
        <v>232.141408265866</v>
      </c>
      <c r="Q237" s="50" t="n">
        <v>43.8489326724414</v>
      </c>
      <c r="R237" s="50" t="n">
        <v>12.8967449036592</v>
      </c>
      <c r="S237" s="50" t="n">
        <v>5.1586979614637</v>
      </c>
      <c r="T237" s="50" t="n">
        <v>0</v>
      </c>
      <c r="U237" s="50" t="n">
        <v>106</v>
      </c>
      <c r="V237" s="112">
        <f>((O237+R237)*100)/N237</f>
        <v/>
      </c>
      <c r="W237" s="112">
        <f>((P237+S237)*100)/N237</f>
        <v/>
      </c>
      <c r="X237" s="112">
        <f>((Q237+T237)*100)/N237</f>
        <v/>
      </c>
    </row>
    <row r="238" ht="22.5" customHeight="1" s="150">
      <c r="A238" s="34" t="n">
        <v>236</v>
      </c>
      <c r="B238">
        <f>C238+D238+E238+F238+G238+H238</f>
        <v/>
      </c>
      <c r="C238" s="50" t="n">
        <v>147.022891901715</v>
      </c>
      <c r="D238" s="50" t="n">
        <v>15.4760938843911</v>
      </c>
      <c r="E238" s="50" t="n">
        <v>12.8967449036592</v>
      </c>
      <c r="F238" s="50" t="n">
        <v>49.0076306339051</v>
      </c>
      <c r="G238" s="50" t="n">
        <v>10.3173959229274</v>
      </c>
      <c r="H238" s="50" t="n">
        <v>2.57934898073185</v>
      </c>
      <c r="I238" s="111">
        <f>(100*B238)/N238</f>
        <v/>
      </c>
      <c r="J238" s="112">
        <f>((C238+F238)*100)/B238</f>
        <v/>
      </c>
      <c r="K238" s="112">
        <f>((D238+G238)*100)/B238</f>
        <v/>
      </c>
      <c r="L238" s="112">
        <f>((E238+H238)*100)/B238</f>
        <v/>
      </c>
      <c r="M238" s="113" t="n"/>
      <c r="N238">
        <f>O238+P238+Q238+R238+S238+T238</f>
        <v/>
      </c>
      <c r="O238" s="50" t="n">
        <v>252.776200111721</v>
      </c>
      <c r="P238" s="50" t="n">
        <v>229.562059285134</v>
      </c>
      <c r="Q238" s="50" t="n">
        <v>49.0076306339051</v>
      </c>
      <c r="R238" s="50" t="n">
        <v>188.292475593425</v>
      </c>
      <c r="S238" s="50" t="n">
        <v>126.38810005586</v>
      </c>
      <c r="T238" s="50" t="n">
        <v>30.9521877687822</v>
      </c>
      <c r="U238" s="50" t="n">
        <v>175</v>
      </c>
      <c r="V238" s="112">
        <f>((O238+R238)*100)/N238</f>
        <v/>
      </c>
      <c r="W238" s="112">
        <f>((P238+S238)*100)/N238</f>
        <v/>
      </c>
      <c r="X238" s="112">
        <f>((Q238+T238)*100)/N238</f>
        <v/>
      </c>
    </row>
    <row r="239" ht="22.5" customHeight="1" s="150">
      <c r="A239" s="34" t="n">
        <v>237</v>
      </c>
      <c r="B239">
        <f>C239+D239+E239+F239+G239+H239</f>
        <v/>
      </c>
      <c r="C239" s="50" t="n">
        <v>108.332657190737</v>
      </c>
      <c r="D239" s="50" t="n">
        <v>69.6424224797599</v>
      </c>
      <c r="E239" s="50" t="n">
        <v>23.2141408265866</v>
      </c>
      <c r="F239" s="50" t="n">
        <v>20.6347918458548</v>
      </c>
      <c r="G239" s="50" t="n">
        <v>36.1108857302459</v>
      </c>
      <c r="H239" s="50" t="n">
        <v>5.1586979614637</v>
      </c>
      <c r="I239" s="111">
        <f>(100*B239)/N239</f>
        <v/>
      </c>
      <c r="J239" s="112">
        <f>((C239+F239)*100)/B239</f>
        <v/>
      </c>
      <c r="K239" s="112">
        <f>((D239+G239)*100)/B239</f>
        <v/>
      </c>
      <c r="L239" s="112">
        <f>((E239+H239)*100)/B239</f>
        <v/>
      </c>
      <c r="M239" s="113" t="n"/>
      <c r="N239">
        <f>O239+P239+Q239+R239+S239+T239</f>
        <v/>
      </c>
      <c r="O239" s="50" t="n">
        <v>224.40336132367</v>
      </c>
      <c r="P239" s="50" t="n">
        <v>180.554428651229</v>
      </c>
      <c r="Q239" s="50" t="n">
        <v>41.2695836917096</v>
      </c>
      <c r="R239" s="50" t="n">
        <v>185.713126612693</v>
      </c>
      <c r="S239" s="50" t="n">
        <v>136.705495978788</v>
      </c>
      <c r="T239" s="50" t="n">
        <v>38.6902347109777</v>
      </c>
      <c r="U239" s="50" t="n">
        <v>155</v>
      </c>
      <c r="V239" s="112">
        <f>((O239+R239)*100)/N239</f>
        <v/>
      </c>
      <c r="W239" s="112">
        <f>((P239+S239)*100)/N239</f>
        <v/>
      </c>
      <c r="X239" s="112">
        <f>((Q239+T239)*100)/N239</f>
        <v/>
      </c>
    </row>
    <row r="240" ht="22.5" customHeight="1" s="150">
      <c r="A240" s="34" t="n">
        <v>238</v>
      </c>
      <c r="B240">
        <f>C240+D240+E240+F240+G240+H240</f>
        <v/>
      </c>
      <c r="C240" s="50" t="n">
        <v>170.237032728302</v>
      </c>
      <c r="D240" s="50" t="n">
        <v>10.3173959229274</v>
      </c>
      <c r="E240" s="50" t="n">
        <v>12.8967449036592</v>
      </c>
      <c r="F240" s="50" t="n">
        <v>108.332657190737</v>
      </c>
      <c r="G240" s="50" t="n">
        <v>12.8967449036592</v>
      </c>
      <c r="H240" s="50" t="n">
        <v>0</v>
      </c>
      <c r="I240" s="111">
        <f>(100*B240)/N240</f>
        <v/>
      </c>
      <c r="J240" s="112">
        <f>((C240+F240)*100)/B240</f>
        <v/>
      </c>
      <c r="K240" s="112">
        <f>((D240+G240)*100)/B240</f>
        <v/>
      </c>
      <c r="L240" s="112">
        <f>((E240+H240)*100)/B240</f>
        <v/>
      </c>
      <c r="M240" s="113" t="n"/>
      <c r="N240">
        <f>O240+P240+Q240+R240+S240+T240</f>
        <v/>
      </c>
      <c r="O240" s="50" t="n">
        <v>234.720757246598</v>
      </c>
      <c r="P240" s="50" t="n">
        <v>180.554428651229</v>
      </c>
      <c r="Q240" s="50" t="n">
        <v>51.5869796146369</v>
      </c>
      <c r="R240" s="50" t="n">
        <v>345.632763418067</v>
      </c>
      <c r="S240" s="50" t="n">
        <v>180.554428651229</v>
      </c>
      <c r="T240" s="50" t="n">
        <v>51.5869796146369</v>
      </c>
      <c r="U240" s="50" t="n">
        <v>168</v>
      </c>
      <c r="V240" s="112">
        <f>((O240+R240)*100)/N240</f>
        <v/>
      </c>
      <c r="W240" s="112">
        <f>((P240+S240)*100)/N240</f>
        <v/>
      </c>
      <c r="X240" s="112">
        <f>((Q240+T240)*100)/N240</f>
        <v/>
      </c>
    </row>
    <row r="241" ht="22.5" customHeight="1" s="150">
      <c r="A241" s="34" t="n">
        <v>239</v>
      </c>
      <c r="B241">
        <f>C241+D241+E241+F241+G241+H241</f>
        <v/>
      </c>
      <c r="C241" s="50" t="n">
        <v>67.06307349902811</v>
      </c>
      <c r="D241" s="50" t="n">
        <v>2.57934898073185</v>
      </c>
      <c r="E241" s="50" t="n">
        <v>20.6347918458548</v>
      </c>
      <c r="F241" s="50" t="n">
        <v>30.9521877687822</v>
      </c>
      <c r="G241" s="50" t="n">
        <v>2.57934898073185</v>
      </c>
      <c r="H241" s="50" t="n">
        <v>7.73804694219555</v>
      </c>
      <c r="I241" s="111">
        <f>(100*B241)/N241</f>
        <v/>
      </c>
      <c r="J241" s="112">
        <f>((C241+F241)*100)/B241</f>
        <v/>
      </c>
      <c r="K241" s="112">
        <f>((D241+G241)*100)/B241</f>
        <v/>
      </c>
      <c r="L241" s="112">
        <f>((E241+H241)*100)/B241</f>
        <v/>
      </c>
      <c r="M241" s="113" t="n"/>
      <c r="N241">
        <f>O241+P241+Q241+R241+S241+T241</f>
        <v/>
      </c>
      <c r="O241" s="50" t="n">
        <v>224.40336132367</v>
      </c>
      <c r="P241" s="50" t="n">
        <v>180.554428651229</v>
      </c>
      <c r="Q241" s="50" t="n">
        <v>49.0076306339051</v>
      </c>
      <c r="R241" s="50" t="n">
        <v>237.30010622733</v>
      </c>
      <c r="S241" s="50" t="n">
        <v>116.070704132933</v>
      </c>
      <c r="T241" s="50" t="n">
        <v>51.5869796146369</v>
      </c>
      <c r="U241" s="50" t="n">
        <v>170</v>
      </c>
      <c r="V241" s="112">
        <f>((O241+R241)*100)/N241</f>
        <v/>
      </c>
      <c r="W241" s="112">
        <f>((P241+S241)*100)/N241</f>
        <v/>
      </c>
      <c r="X241" s="112">
        <f>((Q241+T241)*100)/N241</f>
        <v/>
      </c>
    </row>
    <row r="242" ht="22.5" customHeight="1" s="150">
      <c r="A242" s="34" t="n">
        <v>240</v>
      </c>
      <c r="B242">
        <f>C242+D242+E242+F242+G242+H242</f>
        <v/>
      </c>
      <c r="C242" s="50" t="n">
        <v>126.38810005586</v>
      </c>
      <c r="D242" s="50" t="n">
        <v>5.1586979614637</v>
      </c>
      <c r="E242" s="50" t="n">
        <v>5.1586979614637</v>
      </c>
      <c r="F242" s="50" t="n">
        <v>2.57934898073185</v>
      </c>
      <c r="G242" s="50" t="n">
        <v>0</v>
      </c>
      <c r="H242" s="50" t="n">
        <v>0</v>
      </c>
      <c r="I242" s="111">
        <f>(100*B242)/N242</f>
        <v/>
      </c>
      <c r="J242" s="112">
        <f>((C242+F242)*100)/B242</f>
        <v/>
      </c>
      <c r="K242" s="112">
        <f>((D242+G242)*100)/B242</f>
        <v/>
      </c>
      <c r="L242" s="112">
        <f>((E242+H242)*100)/B242</f>
        <v/>
      </c>
      <c r="M242" s="113" t="n"/>
      <c r="N242">
        <f>O242+P242+Q242+R242+S242+T242</f>
        <v/>
      </c>
      <c r="O242" s="50" t="n">
        <v>206.347918458547</v>
      </c>
      <c r="P242" s="50" t="n">
        <v>185.713126612693</v>
      </c>
      <c r="Q242" s="50" t="n">
        <v>46.4282816531733</v>
      </c>
      <c r="R242" s="50" t="n">
        <v>147.022891901715</v>
      </c>
      <c r="S242" s="50" t="n">
        <v>72.22177146049179</v>
      </c>
      <c r="T242" s="50" t="n">
        <v>38.6902347109777</v>
      </c>
      <c r="U242" s="50" t="n">
        <v>142</v>
      </c>
      <c r="V242" s="112">
        <f>((O242+R242)*100)/N242</f>
        <v/>
      </c>
      <c r="W242" s="112">
        <f>((P242+S242)*100)/N242</f>
        <v/>
      </c>
      <c r="X242" s="112">
        <f>((Q242+T242)*100)/N242</f>
        <v/>
      </c>
    </row>
    <row r="243" ht="22.5" customHeight="1" s="150">
      <c r="A243" s="34" t="n">
        <v>241</v>
      </c>
      <c r="B243">
        <f>C243+D243+E243+F243+G243+H243</f>
        <v/>
      </c>
      <c r="C243" s="50" t="n">
        <v>113.491355152201</v>
      </c>
      <c r="D243" s="50" t="n">
        <v>33.531536749514</v>
      </c>
      <c r="E243" s="50" t="n">
        <v>18.0554428651229</v>
      </c>
      <c r="F243" s="50" t="n">
        <v>64.4837245182962</v>
      </c>
      <c r="G243" s="50" t="n">
        <v>15.4760938843911</v>
      </c>
      <c r="H243" s="50" t="n">
        <v>7.73804694219555</v>
      </c>
      <c r="I243" s="111">
        <f>(100*B243)/N243</f>
        <v/>
      </c>
      <c r="J243" s="112">
        <f>((C243+F243)*100)/B243</f>
        <v/>
      </c>
      <c r="K243" s="112">
        <f>((D243+G243)*100)/B243</f>
        <v/>
      </c>
      <c r="L243" s="112">
        <f>((E243+H243)*100)/B243</f>
        <v/>
      </c>
      <c r="M243" s="113" t="n"/>
      <c r="N243">
        <f>O243+P243+Q243+R243+S243+T243</f>
        <v/>
      </c>
      <c r="O243" s="50" t="n">
        <v>214.085965400743</v>
      </c>
      <c r="P243" s="50" t="n">
        <v>170.237032728302</v>
      </c>
      <c r="Q243" s="50" t="n">
        <v>43.8489326724414</v>
      </c>
      <c r="R243" s="50" t="n">
        <v>358.529508321727</v>
      </c>
      <c r="S243" s="50" t="n">
        <v>188.292475593425</v>
      </c>
      <c r="T243" s="50" t="n">
        <v>64.4837245182962</v>
      </c>
      <c r="U243" s="50" t="n">
        <v>173</v>
      </c>
      <c r="V243" s="112">
        <f>((O243+R243)*100)/N243</f>
        <v/>
      </c>
      <c r="W243" s="112">
        <f>((P243+S243)*100)/N243</f>
        <v/>
      </c>
      <c r="X243" s="112">
        <f>((Q243+T243)*100)/N243</f>
        <v/>
      </c>
    </row>
    <row r="244" ht="22.5" customHeight="1" s="150">
      <c r="A244" s="34" t="n">
        <v>242</v>
      </c>
      <c r="B244">
        <f>C244+D244+E244+F244+G244+H244</f>
        <v/>
      </c>
      <c r="C244" s="50" t="n">
        <v>123.808751075128</v>
      </c>
      <c r="D244" s="50" t="n">
        <v>0</v>
      </c>
      <c r="E244" s="50" t="n">
        <v>10.3173959229274</v>
      </c>
      <c r="F244" s="50" t="n">
        <v>82.5391673834192</v>
      </c>
      <c r="G244" s="50" t="n">
        <v>0</v>
      </c>
      <c r="H244" s="50" t="n">
        <v>0</v>
      </c>
      <c r="I244" s="111">
        <f>(100*B244)/N244</f>
        <v/>
      </c>
      <c r="J244" s="112">
        <f>((C244+F244)*100)/B244</f>
        <v/>
      </c>
      <c r="K244" s="112">
        <f>((D244+G244)*100)/B244</f>
        <v/>
      </c>
      <c r="L244" s="112">
        <f>((E244+H244)*100)/B244</f>
        <v/>
      </c>
      <c r="M244" s="113" t="n"/>
      <c r="N244">
        <f>O244+P244+Q244+R244+S244+T244</f>
        <v/>
      </c>
      <c r="O244" s="50" t="n">
        <v>226.982710304402</v>
      </c>
      <c r="P244" s="50" t="n">
        <v>180.554428651229</v>
      </c>
      <c r="Q244" s="50" t="n">
        <v>51.5869796146369</v>
      </c>
      <c r="R244" s="50" t="n">
        <v>245.038153169525</v>
      </c>
      <c r="S244" s="50" t="n">
        <v>149.602240882447</v>
      </c>
      <c r="T244" s="50" t="n">
        <v>69.6424224797599</v>
      </c>
      <c r="U244" s="50" t="n">
        <v>168</v>
      </c>
      <c r="V244" s="112">
        <f>((O244+R244)*100)/N244</f>
        <v/>
      </c>
      <c r="W244" s="112">
        <f>((P244+S244)*100)/N244</f>
        <v/>
      </c>
      <c r="X244" s="112">
        <f>((Q244+T244)*100)/N244</f>
        <v/>
      </c>
    </row>
    <row r="245" ht="22.5" customHeight="1" s="150">
      <c r="A245" s="34" t="n">
        <v>243</v>
      </c>
      <c r="B245">
        <f>C245+D245+E245+F245+G245+H245</f>
        <v/>
      </c>
      <c r="C245" s="50" t="n">
        <v>167.65768374757</v>
      </c>
      <c r="D245" s="50" t="n">
        <v>5.1586979614637</v>
      </c>
      <c r="E245" s="50" t="n">
        <v>36.1108857302459</v>
      </c>
      <c r="F245" s="50" t="n">
        <v>412.695836917095</v>
      </c>
      <c r="G245" s="50" t="n">
        <v>36.1108857302459</v>
      </c>
      <c r="H245" s="50" t="n">
        <v>28.3728387880503</v>
      </c>
      <c r="I245" s="111">
        <f>(100*B245)/N245</f>
        <v/>
      </c>
      <c r="J245" s="112">
        <f>((C245+F245)*100)/B245</f>
        <v/>
      </c>
      <c r="K245" s="112">
        <f>((D245+G245)*100)/B245</f>
        <v/>
      </c>
      <c r="L245" s="112">
        <f>((E245+H245)*100)/B245</f>
        <v/>
      </c>
      <c r="M245" s="113" t="n"/>
      <c r="N245">
        <f>O245+P245+Q245+R245+S245+T245</f>
        <v/>
      </c>
      <c r="O245" s="50" t="n">
        <v>239.879455208062</v>
      </c>
      <c r="P245" s="50" t="n">
        <v>198.609871516352</v>
      </c>
      <c r="Q245" s="50" t="n">
        <v>49.0076306339051</v>
      </c>
      <c r="R245" s="50" t="n">
        <v>840.867767718583</v>
      </c>
      <c r="S245" s="50" t="n">
        <v>588.091567606861</v>
      </c>
      <c r="T245" s="50" t="n">
        <v>214.085965400743</v>
      </c>
      <c r="U245" s="50" t="n">
        <v>181</v>
      </c>
      <c r="V245" s="112">
        <f>((O245+R245)*100)/N245</f>
        <v/>
      </c>
      <c r="W245" s="112">
        <f>((P245+S245)*100)/N245</f>
        <v/>
      </c>
      <c r="X245" s="112">
        <f>((Q245+T245)*100)/N245</f>
        <v/>
      </c>
    </row>
    <row r="246" ht="22.5" customHeight="1" s="150">
      <c r="A246" s="34" t="n">
        <v>244</v>
      </c>
      <c r="B246">
        <f>C246+D246+E246+F246+G246+H246</f>
        <v/>
      </c>
      <c r="C246" s="50" t="n">
        <v>134.126146998056</v>
      </c>
      <c r="D246" s="50" t="n">
        <v>15.4760938843911</v>
      </c>
      <c r="E246" s="50" t="n">
        <v>7.73804694219555</v>
      </c>
      <c r="F246" s="50" t="n">
        <v>49.0076306339051</v>
      </c>
      <c r="G246" s="50" t="n">
        <v>12.8967449036592</v>
      </c>
      <c r="H246" s="50" t="n">
        <v>0</v>
      </c>
      <c r="I246" s="111">
        <f>(100*B246)/N246</f>
        <v/>
      </c>
      <c r="J246" s="112">
        <f>((C246+F246)*100)/B246</f>
        <v/>
      </c>
      <c r="K246" s="112">
        <f>((D246+G246)*100)/B246</f>
        <v/>
      </c>
      <c r="L246" s="112">
        <f>((E246+H246)*100)/B246</f>
        <v/>
      </c>
      <c r="M246" s="113" t="n"/>
      <c r="N246">
        <f>O246+P246+Q246+R246+S246+T246</f>
        <v/>
      </c>
      <c r="O246" s="50" t="n">
        <v>183.133777631961</v>
      </c>
      <c r="P246" s="50" t="n">
        <v>201.189220497084</v>
      </c>
      <c r="Q246" s="50" t="n">
        <v>43.8489326724414</v>
      </c>
      <c r="R246" s="50" t="n">
        <v>108.332657190737</v>
      </c>
      <c r="S246" s="50" t="n">
        <v>54.1663285953688</v>
      </c>
      <c r="T246" s="50" t="n">
        <v>20.6347918458548</v>
      </c>
      <c r="U246" s="50" t="n">
        <v>111</v>
      </c>
      <c r="V246" s="112">
        <f>((O246+R246)*100)/N246</f>
        <v/>
      </c>
      <c r="W246" s="112">
        <f>((P246+S246)*100)/N246</f>
        <v/>
      </c>
      <c r="X246" s="112">
        <f>((Q246+T246)*100)/N246</f>
        <v/>
      </c>
    </row>
    <row r="247" ht="22.5" customHeight="1" s="150">
      <c r="A247" s="34" t="n">
        <v>245</v>
      </c>
      <c r="B247">
        <f>C247+D247+E247+F247+G247+H247</f>
        <v/>
      </c>
      <c r="C247" s="50" t="n">
        <v>152.181589863179</v>
      </c>
      <c r="D247" s="50" t="n">
        <v>7.73804694219555</v>
      </c>
      <c r="E247" s="50" t="n">
        <v>12.8967449036592</v>
      </c>
      <c r="F247" s="50" t="n">
        <v>54.1663285953688</v>
      </c>
      <c r="G247" s="50" t="n">
        <v>0</v>
      </c>
      <c r="H247" s="50" t="n">
        <v>0</v>
      </c>
      <c r="I247" s="111">
        <f>(100*B247)/N247</f>
        <v/>
      </c>
      <c r="J247" s="112">
        <f>((C247+F247)*100)/B247</f>
        <v/>
      </c>
      <c r="K247" s="112">
        <f>((D247+G247)*100)/B247</f>
        <v/>
      </c>
      <c r="L247" s="112">
        <f>((E247+H247)*100)/B247</f>
        <v/>
      </c>
      <c r="M247" s="113" t="n"/>
      <c r="N247">
        <f>O247+P247+Q247+R247+S247+T247</f>
        <v/>
      </c>
      <c r="O247" s="50" t="n">
        <v>188.292475593425</v>
      </c>
      <c r="P247" s="50" t="n">
        <v>198.609871516352</v>
      </c>
      <c r="Q247" s="50" t="n">
        <v>46.4282816531733</v>
      </c>
      <c r="R247" s="50" t="n">
        <v>108.332657190737</v>
      </c>
      <c r="S247" s="50" t="n">
        <v>85.11851636415101</v>
      </c>
      <c r="T247" s="50" t="n">
        <v>33.531536749514</v>
      </c>
      <c r="U247" s="50" t="n">
        <v>144</v>
      </c>
      <c r="V247" s="112">
        <f>((O247+R247)*100)/N247</f>
        <v/>
      </c>
      <c r="W247" s="112">
        <f>((P247+S247)*100)/N247</f>
        <v/>
      </c>
      <c r="X247" s="112">
        <f>((Q247+T247)*100)/N247</f>
        <v/>
      </c>
    </row>
    <row r="248" ht="22.5" customHeight="1" s="150">
      <c r="A248" s="34" t="n">
        <v>246</v>
      </c>
      <c r="B248">
        <f>C248+D248+E248+F248+G248+H248</f>
        <v/>
      </c>
      <c r="C248" s="50" t="n">
        <v>162.498985786106</v>
      </c>
      <c r="D248" s="50" t="n">
        <v>2.57934898073185</v>
      </c>
      <c r="E248" s="50" t="n">
        <v>15.4760938843911</v>
      </c>
      <c r="F248" s="50" t="n">
        <v>51.5869796146369</v>
      </c>
      <c r="G248" s="50" t="n">
        <v>2.57934898073185</v>
      </c>
      <c r="H248" s="50" t="n">
        <v>5.1586979614637</v>
      </c>
      <c r="I248" s="111">
        <f>(100*B248)/N248</f>
        <v/>
      </c>
      <c r="J248" s="112">
        <f>((C248+F248)*100)/B248</f>
        <v/>
      </c>
      <c r="K248" s="112">
        <f>((D248+G248)*100)/B248</f>
        <v/>
      </c>
      <c r="L248" s="112">
        <f>((E248+H248)*100)/B248</f>
        <v/>
      </c>
      <c r="M248" s="113" t="n"/>
      <c r="N248">
        <f>O248+P248+Q248+R248+S248+T248</f>
        <v/>
      </c>
      <c r="O248" s="50" t="n">
        <v>245.038153169525</v>
      </c>
      <c r="P248" s="50" t="n">
        <v>211.506616420011</v>
      </c>
      <c r="Q248" s="50" t="n">
        <v>38.6902347109777</v>
      </c>
      <c r="R248" s="50" t="n">
        <v>98.0152612678103</v>
      </c>
      <c r="S248" s="50" t="n">
        <v>87.6978653448828</v>
      </c>
      <c r="T248" s="50" t="n">
        <v>38.6902347109777</v>
      </c>
      <c r="U248" s="50" t="n">
        <v>139</v>
      </c>
      <c r="V248" s="112">
        <f>((O248+R248)*100)/N248</f>
        <v/>
      </c>
      <c r="W248" s="112">
        <f>((P248+S248)*100)/N248</f>
        <v/>
      </c>
      <c r="X248" s="112">
        <f>((Q248+T248)*100)/N248</f>
        <v/>
      </c>
    </row>
    <row r="249" ht="22.5" customHeight="1" s="150">
      <c r="A249" s="34" t="n">
        <v>247</v>
      </c>
      <c r="B249">
        <f>C249+D249+E249+F249+G249+H249</f>
        <v/>
      </c>
      <c r="C249" s="50" t="n">
        <v>2.57934898073185</v>
      </c>
      <c r="D249" s="50" t="n">
        <v>10.3173959229274</v>
      </c>
      <c r="E249" s="50" t="n">
        <v>5.1586979614637</v>
      </c>
      <c r="F249" s="50" t="n">
        <v>2.57934898073185</v>
      </c>
      <c r="G249" s="50" t="n">
        <v>5.1586979614637</v>
      </c>
      <c r="H249" s="50" t="n">
        <v>0</v>
      </c>
      <c r="I249" s="111">
        <f>(100*B249)/N249</f>
        <v/>
      </c>
      <c r="J249" s="112">
        <f>((C249+F249)*100)/B249</f>
        <v/>
      </c>
      <c r="K249" s="112">
        <f>((D249+G249)*100)/B249</f>
        <v/>
      </c>
      <c r="L249" s="112">
        <f>((E249+H249)*100)/B249</f>
        <v/>
      </c>
      <c r="M249" s="113" t="n"/>
      <c r="N249">
        <f>O249+P249+Q249+R249+S249+T249</f>
        <v/>
      </c>
      <c r="O249" s="50" t="n">
        <v>250.196851130989</v>
      </c>
      <c r="P249" s="50" t="n">
        <v>206.347918458547</v>
      </c>
      <c r="Q249" s="50" t="n">
        <v>41.2695836917096</v>
      </c>
      <c r="R249" s="50" t="n">
        <v>149.602240882447</v>
      </c>
      <c r="S249" s="50" t="n">
        <v>51.5869796146369</v>
      </c>
      <c r="T249" s="50" t="n">
        <v>12.8967449036592</v>
      </c>
      <c r="U249" s="50" t="n">
        <v>124</v>
      </c>
      <c r="V249" s="112">
        <f>((O249+R249)*100)/N249</f>
        <v/>
      </c>
      <c r="W249" s="112">
        <f>((P249+S249)*100)/N249</f>
        <v/>
      </c>
      <c r="X249" s="112">
        <f>((Q249+T249)*100)/N249</f>
        <v/>
      </c>
    </row>
    <row r="250" ht="22.5" customHeight="1" s="150">
      <c r="A250" s="34" t="n">
        <v>248</v>
      </c>
      <c r="B250">
        <f>C250+D250+E250+F250+G250+H250</f>
        <v/>
      </c>
      <c r="C250" s="50" t="n">
        <v>139.284844959519</v>
      </c>
      <c r="D250" s="50" t="n">
        <v>2.57934898073185</v>
      </c>
      <c r="E250" s="50" t="n">
        <v>7.73804694219555</v>
      </c>
      <c r="F250" s="50" t="n">
        <v>56.7456775761007</v>
      </c>
      <c r="G250" s="50" t="n">
        <v>2.57934898073185</v>
      </c>
      <c r="H250" s="50" t="n">
        <v>5.1586979614637</v>
      </c>
      <c r="I250" s="111">
        <f>(100*B250)/N250</f>
        <v/>
      </c>
      <c r="J250" s="112">
        <f>((C250+F250)*100)/B250</f>
        <v/>
      </c>
      <c r="K250" s="112">
        <f>((D250+G250)*100)/B250</f>
        <v/>
      </c>
      <c r="L250" s="112">
        <f>((E250+H250)*100)/B250</f>
        <v/>
      </c>
      <c r="M250" s="113" t="n"/>
      <c r="N250">
        <f>O250+P250+Q250+R250+S250+T250</f>
        <v/>
      </c>
      <c r="O250" s="50" t="n">
        <v>188.292475593425</v>
      </c>
      <c r="P250" s="50" t="n">
        <v>206.347918458547</v>
      </c>
      <c r="Q250" s="50" t="n">
        <v>38.6902347109777</v>
      </c>
      <c r="R250" s="50" t="n">
        <v>167.65768374757</v>
      </c>
      <c r="S250" s="50" t="n">
        <v>118.650053113665</v>
      </c>
      <c r="T250" s="50" t="n">
        <v>36.1108857302459</v>
      </c>
      <c r="U250" s="50" t="n">
        <v>139</v>
      </c>
      <c r="V250" s="112">
        <f>((O250+R250)*100)/N250</f>
        <v/>
      </c>
      <c r="W250" s="112">
        <f>((P250+S250)*100)/N250</f>
        <v/>
      </c>
      <c r="X250" s="112">
        <f>((Q250+T250)*100)/N250</f>
        <v/>
      </c>
    </row>
    <row r="251" ht="22.5" customHeight="1" s="150">
      <c r="A251" s="34" t="n">
        <v>249</v>
      </c>
      <c r="B251">
        <f>C251+D251+E251+F251+G251+H251</f>
        <v/>
      </c>
      <c r="C251" s="50" t="n">
        <v>95.43591228707839</v>
      </c>
      <c r="D251" s="50" t="n">
        <v>0</v>
      </c>
      <c r="E251" s="50" t="n">
        <v>0</v>
      </c>
      <c r="F251" s="50" t="n">
        <v>0</v>
      </c>
      <c r="G251" s="50" t="n">
        <v>0</v>
      </c>
      <c r="H251" s="50" t="n">
        <v>0</v>
      </c>
      <c r="I251" s="111">
        <f>(100*B251)/N251</f>
        <v/>
      </c>
      <c r="J251" s="112">
        <f>((C251+F251)*100)/B251</f>
        <v/>
      </c>
      <c r="K251" s="112">
        <f>((D251+G251)*100)/B251</f>
        <v/>
      </c>
      <c r="L251" s="112">
        <f>((E251+H251)*100)/B251</f>
        <v/>
      </c>
      <c r="M251" s="113" t="n"/>
      <c r="N251">
        <f>O251+P251+Q251+R251+S251+T251</f>
        <v/>
      </c>
      <c r="O251" s="50" t="n">
        <v>211.506616420011</v>
      </c>
      <c r="P251" s="50" t="n">
        <v>206.347918458547</v>
      </c>
      <c r="Q251" s="50" t="n">
        <v>38.6902347109777</v>
      </c>
      <c r="R251" s="50" t="n">
        <v>108.332657190737</v>
      </c>
      <c r="S251" s="50" t="n">
        <v>77.3804694219555</v>
      </c>
      <c r="T251" s="50" t="n">
        <v>25.7934898073184</v>
      </c>
      <c r="U251" s="50" t="n">
        <v>126</v>
      </c>
      <c r="V251" s="112">
        <f>((O251+R251)*100)/N251</f>
        <v/>
      </c>
      <c r="W251" s="112">
        <f>((P251+S251)*100)/N251</f>
        <v/>
      </c>
      <c r="X251" s="112">
        <f>((Q251+T251)*100)/N251</f>
        <v/>
      </c>
    </row>
    <row r="252" ht="22.5" customHeight="1" s="150">
      <c r="A252" s="34" t="n">
        <v>250</v>
      </c>
      <c r="B252">
        <f>C252+D252+E252+F252+G252+H252</f>
        <v/>
      </c>
      <c r="C252" s="50" t="n">
        <v>103.173959229273</v>
      </c>
      <c r="D252" s="50" t="n">
        <v>7.73804694219555</v>
      </c>
      <c r="E252" s="50" t="n">
        <v>2.57934898073185</v>
      </c>
      <c r="F252" s="50" t="n">
        <v>59.3250265568325</v>
      </c>
      <c r="G252" s="50" t="n">
        <v>0</v>
      </c>
      <c r="H252" s="50" t="n">
        <v>0</v>
      </c>
      <c r="I252" s="111">
        <f>(100*B252)/N252</f>
        <v/>
      </c>
      <c r="J252" s="112">
        <f>((C252+F252)*100)/B252</f>
        <v/>
      </c>
      <c r="K252" s="112">
        <f>((D252+G252)*100)/B252</f>
        <v/>
      </c>
      <c r="L252" s="112">
        <f>((E252+H252)*100)/B252</f>
        <v/>
      </c>
      <c r="M252" s="113" t="n"/>
      <c r="N252">
        <f>O252+P252+Q252+R252+S252+T252</f>
        <v/>
      </c>
      <c r="O252" s="50" t="n">
        <v>175.395730689765</v>
      </c>
      <c r="P252" s="50" t="n">
        <v>206.347918458547</v>
      </c>
      <c r="Q252" s="50" t="n">
        <v>41.2695836917096</v>
      </c>
      <c r="R252" s="50" t="n">
        <v>177.975079670497</v>
      </c>
      <c r="S252" s="50" t="n">
        <v>118.650053113665</v>
      </c>
      <c r="T252" s="50" t="n">
        <v>56.7456775761007</v>
      </c>
      <c r="U252" s="50" t="n">
        <v>137</v>
      </c>
      <c r="V252" s="112">
        <f>((O252+R252)*100)/N252</f>
        <v/>
      </c>
      <c r="W252" s="112">
        <f>((P252+S252)*100)/N252</f>
        <v/>
      </c>
      <c r="X252" s="112">
        <f>((Q252+T252)*100)/N252</f>
        <v/>
      </c>
    </row>
    <row r="253" ht="22.5" customHeight="1" s="150">
      <c r="A253" s="34" t="n">
        <v>251</v>
      </c>
      <c r="B253">
        <f>C253+D253+E253+F253+G253+H253</f>
        <v/>
      </c>
      <c r="C253" s="50" t="n">
        <v>0</v>
      </c>
      <c r="D253" s="50" t="n">
        <v>0</v>
      </c>
      <c r="E253" s="50" t="n">
        <v>0</v>
      </c>
      <c r="F253" s="50" t="n">
        <v>0</v>
      </c>
      <c r="G253" s="50" t="n">
        <v>0</v>
      </c>
      <c r="H253" s="50" t="n">
        <v>0</v>
      </c>
      <c r="I253" s="111">
        <f>(100*B253)/N253</f>
        <v/>
      </c>
      <c r="J253" s="112">
        <f>((C253+F253)*100)/B253</f>
        <v/>
      </c>
      <c r="K253" s="112">
        <f>((D253+G253)*100)/B253</f>
        <v/>
      </c>
      <c r="L253" s="112">
        <f>((E253+H253)*100)/B253</f>
        <v/>
      </c>
      <c r="M253" s="113" t="n"/>
      <c r="N253">
        <f>O253+P253+Q253+R253+S253+T253</f>
        <v/>
      </c>
      <c r="O253" s="50" t="n">
        <v>175.395730689765</v>
      </c>
      <c r="P253" s="50" t="n">
        <v>203.768569477816</v>
      </c>
      <c r="Q253" s="50" t="n">
        <v>51.5869796146369</v>
      </c>
      <c r="R253" s="50" t="n">
        <v>0</v>
      </c>
      <c r="S253" s="50" t="n">
        <v>0</v>
      </c>
      <c r="T253" s="50" t="n">
        <v>0</v>
      </c>
      <c r="U253" s="50" t="n">
        <v>83</v>
      </c>
      <c r="V253" s="112">
        <f>((O253+R253)*100)/N253</f>
        <v/>
      </c>
      <c r="W253" s="112">
        <f>((P253+S253)*100)/N253</f>
        <v/>
      </c>
      <c r="X253" s="112">
        <f>((Q253+T253)*100)/N253</f>
        <v/>
      </c>
    </row>
    <row r="254" ht="22.5" customHeight="1" s="150">
      <c r="A254" s="34" t="n">
        <v>252</v>
      </c>
      <c r="B254">
        <f>C254+D254+E254+F254+G254+H254</f>
        <v/>
      </c>
      <c r="C254" s="50" t="n">
        <v>0</v>
      </c>
      <c r="D254" s="50" t="n">
        <v>0</v>
      </c>
      <c r="E254" s="50" t="n">
        <v>0</v>
      </c>
      <c r="F254" s="50" t="n">
        <v>0</v>
      </c>
      <c r="G254" s="50" t="n">
        <v>0</v>
      </c>
      <c r="H254" s="50" t="n">
        <v>0</v>
      </c>
      <c r="I254" s="111">
        <f>(100*B254)/N254</f>
        <v/>
      </c>
      <c r="J254" s="112">
        <f>((C254+F254)*100)/B254</f>
        <v/>
      </c>
      <c r="K254" s="112">
        <f>((D254+G254)*100)/B254</f>
        <v/>
      </c>
      <c r="L254" s="112">
        <f>((E254+H254)*100)/B254</f>
        <v/>
      </c>
      <c r="M254" s="113" t="n"/>
      <c r="N254">
        <f>O254+P254+Q254+R254+S254+T254</f>
        <v/>
      </c>
      <c r="O254" s="50" t="n">
        <v>170.237032728302</v>
      </c>
      <c r="P254" s="50" t="n">
        <v>206.347918458547</v>
      </c>
      <c r="Q254" s="50" t="n">
        <v>56.7456775761007</v>
      </c>
      <c r="R254" s="50" t="n">
        <v>0</v>
      </c>
      <c r="S254" s="50" t="n">
        <v>0</v>
      </c>
      <c r="T254" s="50" t="n">
        <v>0</v>
      </c>
      <c r="U254" s="50" t="n">
        <v>77</v>
      </c>
      <c r="V254" s="112">
        <f>((O254+R254)*100)/N254</f>
        <v/>
      </c>
      <c r="W254" s="112">
        <f>((P254+S254)*100)/N254</f>
        <v/>
      </c>
      <c r="X254" s="112">
        <f>((Q254+T254)*100)/N254</f>
        <v/>
      </c>
    </row>
    <row r="255" ht="22.5" customHeight="1" s="150">
      <c r="A255" s="34" t="n">
        <v>253</v>
      </c>
      <c r="B255">
        <f>C255+D255+E255+F255+G255+H255</f>
        <v/>
      </c>
      <c r="C255" s="50" t="n">
        <v>77.3804694219555</v>
      </c>
      <c r="D255" s="50" t="n">
        <v>12.8967449036592</v>
      </c>
      <c r="E255" s="50" t="n">
        <v>41.2695836917096</v>
      </c>
      <c r="F255" s="50" t="n">
        <v>10.3173959229274</v>
      </c>
      <c r="G255" s="50" t="n">
        <v>15.4760938843911</v>
      </c>
      <c r="H255" s="50" t="n">
        <v>18.0554428651229</v>
      </c>
      <c r="I255" s="111">
        <f>(100*B255)/N255</f>
        <v/>
      </c>
      <c r="J255" s="112">
        <f>((C255+F255)*100)/B255</f>
        <v/>
      </c>
      <c r="K255" s="112">
        <f>((D255+G255)*100)/B255</f>
        <v/>
      </c>
      <c r="L255" s="112">
        <f>((E255+H255)*100)/B255</f>
        <v/>
      </c>
      <c r="M255" s="113" t="n"/>
      <c r="N255">
        <f>O255+P255+Q255+R255+S255+T255</f>
        <v/>
      </c>
      <c r="O255" s="50" t="n">
        <v>144.443542920983</v>
      </c>
      <c r="P255" s="50" t="n">
        <v>190.871824574156</v>
      </c>
      <c r="Q255" s="50" t="n">
        <v>36.1108857302459</v>
      </c>
      <c r="R255" s="50" t="n">
        <v>206.347918458547</v>
      </c>
      <c r="S255" s="50" t="n">
        <v>281.149038899771</v>
      </c>
      <c r="T255" s="50" t="n">
        <v>51.5869796146369</v>
      </c>
      <c r="U255" s="50" t="n">
        <v>119</v>
      </c>
      <c r="V255" s="112">
        <f>((O255+R255)*100)/N255</f>
        <v/>
      </c>
      <c r="W255" s="112">
        <f>((P255+S255)*100)/N255</f>
        <v/>
      </c>
      <c r="X255" s="112">
        <f>((Q255+T255)*100)/N255</f>
        <v/>
      </c>
    </row>
    <row r="256" ht="22.5" customHeight="1" s="150">
      <c r="A256" s="34" t="n">
        <v>254</v>
      </c>
      <c r="B256">
        <f>C256+D256+E256+F256+G256+H256</f>
        <v/>
      </c>
      <c r="C256" s="50" t="n">
        <v>79.9598184026873</v>
      </c>
      <c r="D256" s="50" t="n">
        <v>0</v>
      </c>
      <c r="E256" s="50" t="n">
        <v>5.1586979614637</v>
      </c>
      <c r="F256" s="50" t="n">
        <v>36.1108857302459</v>
      </c>
      <c r="G256" s="50" t="n">
        <v>0</v>
      </c>
      <c r="H256" s="50" t="n">
        <v>2.57934898073185</v>
      </c>
      <c r="I256" s="111">
        <f>(100*B256)/N256</f>
        <v/>
      </c>
      <c r="J256" s="112">
        <f>((C256+F256)*100)/B256</f>
        <v/>
      </c>
      <c r="K256" s="112">
        <f>((D256+G256)*100)/B256</f>
        <v/>
      </c>
      <c r="L256" s="112">
        <f>((E256+H256)*100)/B256</f>
        <v/>
      </c>
      <c r="M256" s="113" t="n"/>
      <c r="N256">
        <f>O256+P256+Q256+R256+S256+T256</f>
        <v/>
      </c>
      <c r="O256" s="50" t="n">
        <v>167.65768374757</v>
      </c>
      <c r="P256" s="50" t="n">
        <v>190.871824574156</v>
      </c>
      <c r="Q256" s="50" t="n">
        <v>33.531536749514</v>
      </c>
      <c r="R256" s="50" t="n">
        <v>90.27721432561469</v>
      </c>
      <c r="S256" s="50" t="n">
        <v>92.8565633063466</v>
      </c>
      <c r="T256" s="50" t="n">
        <v>15.4760938843911</v>
      </c>
      <c r="U256" s="50" t="n">
        <v>116</v>
      </c>
      <c r="V256" s="112">
        <f>((O256+R256)*100)/N256</f>
        <v/>
      </c>
      <c r="W256" s="112">
        <f>((P256+S256)*100)/N256</f>
        <v/>
      </c>
      <c r="X256" s="112">
        <f>((Q256+T256)*100)/N256</f>
        <v/>
      </c>
    </row>
    <row r="257" ht="22.5" customHeight="1" s="150">
      <c r="A257" s="34" t="n">
        <v>255</v>
      </c>
      <c r="B257">
        <f>C257+D257+E257+F257+G257+H257</f>
        <v/>
      </c>
      <c r="C257" s="50" t="n">
        <v>98.0152612678103</v>
      </c>
      <c r="D257" s="50" t="n">
        <v>7.73804694219555</v>
      </c>
      <c r="E257" s="50" t="n">
        <v>20.6347918458548</v>
      </c>
      <c r="F257" s="50" t="n">
        <v>49.0076306339051</v>
      </c>
      <c r="G257" s="50" t="n">
        <v>12.8967449036592</v>
      </c>
      <c r="H257" s="50" t="n">
        <v>18.0554428651229</v>
      </c>
      <c r="I257" s="111">
        <f>(100*B257)/N257</f>
        <v/>
      </c>
      <c r="J257" s="112">
        <f>((C257+F257)*100)/B257</f>
        <v/>
      </c>
      <c r="K257" s="112">
        <f>((D257+G257)*100)/B257</f>
        <v/>
      </c>
      <c r="L257" s="112">
        <f>((E257+H257)*100)/B257</f>
        <v/>
      </c>
      <c r="M257" s="113" t="n"/>
      <c r="N257">
        <f>O257+P257+Q257+R257+S257+T257</f>
        <v/>
      </c>
      <c r="O257" s="50" t="n">
        <v>175.395730689765</v>
      </c>
      <c r="P257" s="50" t="n">
        <v>183.133777631961</v>
      </c>
      <c r="Q257" s="50" t="n">
        <v>28.3728387880503</v>
      </c>
      <c r="R257" s="50" t="n">
        <v>167.65768374757</v>
      </c>
      <c r="S257" s="50" t="n">
        <v>172.816381709033</v>
      </c>
      <c r="T257" s="50" t="n">
        <v>25.7934898073184</v>
      </c>
      <c r="U257" s="50" t="n">
        <v>116</v>
      </c>
      <c r="V257" s="112">
        <f>((O257+R257)*100)/N257</f>
        <v/>
      </c>
      <c r="W257" s="112">
        <f>((P257+S257)*100)/N257</f>
        <v/>
      </c>
      <c r="X257" s="112">
        <f>((Q257+T257)*100)/N257</f>
        <v/>
      </c>
    </row>
    <row r="258" ht="22.5" customHeight="1" s="150">
      <c r="A258" s="34" t="n">
        <v>256</v>
      </c>
      <c r="B258">
        <f>C258+D258+E258+F258+G258+H258</f>
        <v/>
      </c>
      <c r="C258" s="50" t="n">
        <v>92.8565633063466</v>
      </c>
      <c r="D258" s="50" t="n">
        <v>5.1586979614637</v>
      </c>
      <c r="E258" s="50" t="n">
        <v>0</v>
      </c>
      <c r="F258" s="50" t="n">
        <v>7.73804694219555</v>
      </c>
      <c r="G258" s="50" t="n">
        <v>0</v>
      </c>
      <c r="H258" s="50" t="n">
        <v>0</v>
      </c>
      <c r="I258" s="111">
        <f>(100*B258)/N258</f>
        <v/>
      </c>
      <c r="J258" s="112">
        <f>((C258+F258)*100)/B258</f>
        <v/>
      </c>
      <c r="K258" s="112">
        <f>((D258+G258)*100)/B258</f>
        <v/>
      </c>
      <c r="L258" s="112">
        <f>((E258+H258)*100)/B258</f>
        <v/>
      </c>
      <c r="M258" s="113" t="n"/>
      <c r="N258">
        <f>O258+P258+Q258+R258+S258+T258</f>
        <v/>
      </c>
      <c r="O258" s="50" t="n">
        <v>159.919636805374</v>
      </c>
      <c r="P258" s="50" t="n">
        <v>193.451173554888</v>
      </c>
      <c r="Q258" s="50" t="n">
        <v>43.8489326724414</v>
      </c>
      <c r="R258" s="50" t="n">
        <v>77.3804694219555</v>
      </c>
      <c r="S258" s="50" t="n">
        <v>82.5391673834192</v>
      </c>
      <c r="T258" s="50" t="n">
        <v>20.6347918458548</v>
      </c>
      <c r="U258" s="50" t="n">
        <v>101</v>
      </c>
      <c r="V258" s="112">
        <f>((O258+R258)*100)/N258</f>
        <v/>
      </c>
      <c r="W258" s="112">
        <f>((P258+S258)*100)/N258</f>
        <v/>
      </c>
      <c r="X258" s="112">
        <f>((Q258+T258)*100)/N258</f>
        <v/>
      </c>
    </row>
    <row r="259" ht="22.5" customHeight="1" s="150">
      <c r="A259" s="34" t="n">
        <v>257</v>
      </c>
      <c r="B259">
        <f>C259+D259+E259+F259+G259+H259</f>
        <v/>
      </c>
      <c r="C259" s="50" t="n">
        <v>54.1663285953688</v>
      </c>
      <c r="D259" s="50" t="n">
        <v>0</v>
      </c>
      <c r="E259" s="50" t="n">
        <v>2.57934898073185</v>
      </c>
      <c r="F259" s="50" t="n">
        <v>30.9521877687822</v>
      </c>
      <c r="G259" s="50" t="n">
        <v>0</v>
      </c>
      <c r="H259" s="50" t="n">
        <v>2.57934898073185</v>
      </c>
      <c r="I259" s="111">
        <f>(100*B259)/N259</f>
        <v/>
      </c>
      <c r="J259" s="112">
        <f>((C259+F259)*100)/B259</f>
        <v/>
      </c>
      <c r="K259" s="112">
        <f>((D259+G259)*100)/B259</f>
        <v/>
      </c>
      <c r="L259" s="112">
        <f>((E259+H259)*100)/B259</f>
        <v/>
      </c>
      <c r="M259" s="113" t="n"/>
      <c r="N259">
        <f>O259+P259+Q259+R259+S259+T259</f>
        <v/>
      </c>
      <c r="O259" s="50" t="n">
        <v>257.934898073185</v>
      </c>
      <c r="P259" s="50" t="n">
        <v>208.927267439279</v>
      </c>
      <c r="Q259" s="50" t="n">
        <v>61.9043755375644</v>
      </c>
      <c r="R259" s="50" t="n">
        <v>345.632763418067</v>
      </c>
      <c r="S259" s="50" t="n">
        <v>265.67294501538</v>
      </c>
      <c r="T259" s="50" t="n">
        <v>82.5391673834192</v>
      </c>
      <c r="U259" s="50" t="n">
        <v>132</v>
      </c>
      <c r="V259" s="112">
        <f>((O259+R259)*100)/N259</f>
        <v/>
      </c>
      <c r="W259" s="112">
        <f>((P259+S259)*100)/N259</f>
        <v/>
      </c>
      <c r="X259" s="112">
        <f>((Q259+T259)*100)/N259</f>
        <v/>
      </c>
    </row>
    <row r="260" ht="22.5" customHeight="1" s="150">
      <c r="A260" s="34" t="n">
        <v>258</v>
      </c>
      <c r="B260">
        <f>C260+D260+E260+F260+G260+H260</f>
        <v/>
      </c>
      <c r="C260" s="50" t="n">
        <v>134.126146998056</v>
      </c>
      <c r="D260" s="50" t="n">
        <v>5.1586979614637</v>
      </c>
      <c r="E260" s="50" t="n">
        <v>10.3173959229274</v>
      </c>
      <c r="F260" s="50" t="n">
        <v>74.8011204412236</v>
      </c>
      <c r="G260" s="50" t="n">
        <v>7.73804694219555</v>
      </c>
      <c r="H260" s="50" t="n">
        <v>7.73804694219555</v>
      </c>
      <c r="I260" s="111">
        <f>(100*B260)/N260</f>
        <v/>
      </c>
      <c r="J260" s="112">
        <f>((C260+F260)*100)/B260</f>
        <v/>
      </c>
      <c r="K260" s="112">
        <f>((D260+G260)*100)/B260</f>
        <v/>
      </c>
      <c r="L260" s="112">
        <f>((E260+H260)*100)/B260</f>
        <v/>
      </c>
      <c r="M260" s="113" t="n"/>
      <c r="N260">
        <f>O260+P260+Q260+R260+S260+T260</f>
        <v/>
      </c>
      <c r="O260" s="50" t="n">
        <v>221.824012342939</v>
      </c>
      <c r="P260" s="50" t="n">
        <v>203.768569477816</v>
      </c>
      <c r="Q260" s="50" t="n">
        <v>67.06307349902811</v>
      </c>
      <c r="R260" s="50" t="n">
        <v>110.912006171469</v>
      </c>
      <c r="S260" s="50" t="n">
        <v>72.22177146049179</v>
      </c>
      <c r="T260" s="50" t="n">
        <v>46.4282816531733</v>
      </c>
      <c r="U260" s="50" t="n">
        <v>106</v>
      </c>
      <c r="V260" s="112">
        <f>((O260+R260)*100)/N260</f>
        <v/>
      </c>
      <c r="W260" s="112">
        <f>((P260+S260)*100)/N260</f>
        <v/>
      </c>
      <c r="X260" s="112">
        <f>((Q260+T260)*100)/N260</f>
        <v/>
      </c>
    </row>
    <row r="261" ht="22.5" customHeight="1" s="150">
      <c r="A261" s="34" t="n">
        <v>259</v>
      </c>
      <c r="B261">
        <f>C261+D261+E261+F261+G261+H261</f>
        <v/>
      </c>
      <c r="C261" s="50" t="n">
        <v>59.3250265568325</v>
      </c>
      <c r="D261" s="50" t="n">
        <v>0</v>
      </c>
      <c r="E261" s="50" t="n">
        <v>2.57934898073185</v>
      </c>
      <c r="F261" s="50" t="n">
        <v>5.1586979614637</v>
      </c>
      <c r="G261" s="50" t="n">
        <v>0</v>
      </c>
      <c r="H261" s="50" t="n">
        <v>0</v>
      </c>
      <c r="I261" s="111">
        <f>(100*B261)/N261</f>
        <v/>
      </c>
      <c r="J261" s="112">
        <f>((C261+F261)*100)/B261</f>
        <v/>
      </c>
      <c r="K261" s="112">
        <f>((D261+G261)*100)/B261</f>
        <v/>
      </c>
      <c r="L261" s="112">
        <f>((E261+H261)*100)/B261</f>
        <v/>
      </c>
      <c r="M261" s="113" t="n"/>
      <c r="N261">
        <f>O261+P261+Q261+R261+S261+T261</f>
        <v/>
      </c>
      <c r="O261" s="50" t="n">
        <v>201.189220497084</v>
      </c>
      <c r="P261" s="50" t="n">
        <v>206.347918458547</v>
      </c>
      <c r="Q261" s="50" t="n">
        <v>64.4837245182962</v>
      </c>
      <c r="R261" s="50" t="n">
        <v>5.1586979614637</v>
      </c>
      <c r="S261" s="50" t="n">
        <v>15.4760938843911</v>
      </c>
      <c r="T261" s="50" t="n">
        <v>7.73804694219555</v>
      </c>
      <c r="U261" s="50" t="n">
        <v>70</v>
      </c>
      <c r="V261" s="112">
        <f>((O261+R261)*100)/N261</f>
        <v/>
      </c>
      <c r="W261" s="112">
        <f>((P261+S261)*100)/N261</f>
        <v/>
      </c>
      <c r="X261" s="112">
        <f>((Q261+T261)*100)/N261</f>
        <v/>
      </c>
    </row>
    <row r="262" ht="22.5" customHeight="1" s="150">
      <c r="A262" s="34" t="n">
        <v>260</v>
      </c>
      <c r="B262">
        <f>C262+D262+E262+F262+G262+H262</f>
        <v/>
      </c>
      <c r="C262" s="50" t="n">
        <v>12.8967449036592</v>
      </c>
      <c r="D262" s="50" t="n">
        <v>12.8967449036592</v>
      </c>
      <c r="E262" s="50" t="n">
        <v>0</v>
      </c>
      <c r="F262" s="50" t="n">
        <v>5.1586979614637</v>
      </c>
      <c r="G262" s="50" t="n">
        <v>0</v>
      </c>
      <c r="H262" s="50" t="n">
        <v>0</v>
      </c>
      <c r="I262" s="111">
        <f>(100*B262)/N262</f>
        <v/>
      </c>
      <c r="J262" s="112">
        <f>((C262+F262)*100)/B262</f>
        <v/>
      </c>
      <c r="K262" s="112">
        <f>((D262+G262)*100)/B262</f>
        <v/>
      </c>
      <c r="L262" s="112">
        <f>((E262+H262)*100)/B262</f>
        <v/>
      </c>
      <c r="M262" s="113" t="n"/>
      <c r="N262">
        <f>O262+P262+Q262+R262+S262+T262</f>
        <v/>
      </c>
      <c r="O262" s="50" t="n">
        <v>190.871824574156</v>
      </c>
      <c r="P262" s="50" t="n">
        <v>198.609871516352</v>
      </c>
      <c r="Q262" s="50" t="n">
        <v>64.4837245182962</v>
      </c>
      <c r="R262" s="50" t="n">
        <v>110.912006171469</v>
      </c>
      <c r="S262" s="50" t="n">
        <v>77.3804694219555</v>
      </c>
      <c r="T262" s="50" t="n">
        <v>20.6347918458548</v>
      </c>
      <c r="U262" s="50" t="n">
        <v>101</v>
      </c>
      <c r="V262" s="112">
        <f>((O262+R262)*100)/N262</f>
        <v/>
      </c>
      <c r="W262" s="112">
        <f>((P262+S262)*100)/N262</f>
        <v/>
      </c>
      <c r="X262" s="112">
        <f>((Q262+T262)*100)/N262</f>
        <v/>
      </c>
    </row>
    <row r="263" ht="22.5" customHeight="1" s="150">
      <c r="A263" s="34" t="n">
        <v>261</v>
      </c>
      <c r="B263">
        <f>C263+D263+E263+F263+G263+H263</f>
        <v/>
      </c>
      <c r="C263" s="50" t="n">
        <v>64.4837245182962</v>
      </c>
      <c r="D263" s="50" t="n">
        <v>12.8967449036592</v>
      </c>
      <c r="E263" s="50" t="n">
        <v>0</v>
      </c>
      <c r="F263" s="50" t="n">
        <v>33.531536749514</v>
      </c>
      <c r="G263" s="50" t="n">
        <v>2.57934898073185</v>
      </c>
      <c r="H263" s="50" t="n">
        <v>0</v>
      </c>
      <c r="I263" s="111">
        <f>(100*B263)/N263</f>
        <v/>
      </c>
      <c r="J263" s="112">
        <f>((C263+F263)*100)/B263</f>
        <v/>
      </c>
      <c r="K263" s="112">
        <f>((D263+G263)*100)/B263</f>
        <v/>
      </c>
      <c r="L263" s="112">
        <f>((E263+H263)*100)/B263</f>
        <v/>
      </c>
      <c r="M263" s="113" t="n"/>
      <c r="N263">
        <f>O263+P263+Q263+R263+S263+T263</f>
        <v/>
      </c>
      <c r="O263" s="50" t="n">
        <v>185.713126612693</v>
      </c>
      <c r="P263" s="50" t="n">
        <v>198.609871516352</v>
      </c>
      <c r="Q263" s="50" t="n">
        <v>67.06307349902811</v>
      </c>
      <c r="R263" s="50" t="n">
        <v>85.11851636415101</v>
      </c>
      <c r="S263" s="50" t="n">
        <v>90.27721432561469</v>
      </c>
      <c r="T263" s="50" t="n">
        <v>43.8489326724414</v>
      </c>
      <c r="U263" s="50" t="n">
        <v>93</v>
      </c>
      <c r="V263" s="112">
        <f>((O263+R263)*100)/N263</f>
        <v/>
      </c>
      <c r="W263" s="112">
        <f>((P263+S263)*100)/N263</f>
        <v/>
      </c>
      <c r="X263" s="112">
        <f>((Q263+T263)*100)/N263</f>
        <v/>
      </c>
    </row>
    <row r="264" ht="22.5" customHeight="1" s="150">
      <c r="A264" s="34" t="n">
        <v>262</v>
      </c>
      <c r="B264">
        <f>C264+D264+E264+F264+G264+H264</f>
        <v/>
      </c>
      <c r="C264" s="50" t="n">
        <v>43.8489326724414</v>
      </c>
      <c r="D264" s="50" t="n">
        <v>7.73804694219555</v>
      </c>
      <c r="E264" s="50" t="n">
        <v>2.57934898073185</v>
      </c>
      <c r="F264" s="50" t="n">
        <v>25.7934898073184</v>
      </c>
      <c r="G264" s="50" t="n">
        <v>5.1586979614637</v>
      </c>
      <c r="H264" s="50" t="n">
        <v>2.57934898073185</v>
      </c>
      <c r="I264" s="111">
        <f>(100*B264)/N264</f>
        <v/>
      </c>
      <c r="J264" s="112">
        <f>((C264+F264)*100)/B264</f>
        <v/>
      </c>
      <c r="K264" s="112">
        <f>((D264+G264)*100)/B264</f>
        <v/>
      </c>
      <c r="L264" s="112">
        <f>((E264+H264)*100)/B264</f>
        <v/>
      </c>
      <c r="M264" s="113" t="n"/>
      <c r="N264">
        <f>O264+P264+Q264+R264+S264+T264</f>
        <v/>
      </c>
      <c r="O264" s="50" t="n">
        <v>190.871824574156</v>
      </c>
      <c r="P264" s="50" t="n">
        <v>206.347918458547</v>
      </c>
      <c r="Q264" s="50" t="n">
        <v>67.06307349902811</v>
      </c>
      <c r="R264" s="50" t="n">
        <v>98.0152612678103</v>
      </c>
      <c r="S264" s="50" t="n">
        <v>82.5391673834192</v>
      </c>
      <c r="T264" s="50" t="n">
        <v>38.6902347109777</v>
      </c>
      <c r="U264" s="50" t="n">
        <v>93</v>
      </c>
      <c r="V264" s="112">
        <f>((O264+R264)*100)/N264</f>
        <v/>
      </c>
      <c r="W264" s="112">
        <f>((P264+S264)*100)/N264</f>
        <v/>
      </c>
      <c r="X264" s="112">
        <f>((Q264+T264)*100)/N264</f>
        <v/>
      </c>
    </row>
    <row r="265" ht="22.5" customHeight="1" s="150">
      <c r="A265" s="34" t="n">
        <v>263</v>
      </c>
      <c r="B265">
        <f>C265+D265+E265+F265+G265+H265</f>
        <v/>
      </c>
      <c r="C265" s="50" t="n">
        <v>61.9043755375644</v>
      </c>
      <c r="D265" s="50" t="n">
        <v>7.73804694219555</v>
      </c>
      <c r="E265" s="50" t="n">
        <v>2.57934898073185</v>
      </c>
      <c r="F265" s="50" t="n">
        <v>25.7934898073184</v>
      </c>
      <c r="G265" s="50" t="n">
        <v>7.73804694219555</v>
      </c>
      <c r="H265" s="50" t="n">
        <v>2.57934898073185</v>
      </c>
      <c r="I265" s="111">
        <f>(100*B265)/N265</f>
        <v/>
      </c>
      <c r="J265" s="112">
        <f>((C265+F265)*100)/B265</f>
        <v/>
      </c>
      <c r="K265" s="112">
        <f>((D265+G265)*100)/B265</f>
        <v/>
      </c>
      <c r="L265" s="112">
        <f>((E265+H265)*100)/B265</f>
        <v/>
      </c>
      <c r="M265" s="113" t="n"/>
      <c r="N265">
        <f>O265+P265+Q265+R265+S265+T265</f>
        <v/>
      </c>
      <c r="O265" s="50" t="n">
        <v>206.347918458547</v>
      </c>
      <c r="P265" s="50" t="n">
        <v>203.768569477816</v>
      </c>
      <c r="Q265" s="50" t="n">
        <v>64.4837245182962</v>
      </c>
      <c r="R265" s="50" t="n">
        <v>100.594610248542</v>
      </c>
      <c r="S265" s="50" t="n">
        <v>141.864193940251</v>
      </c>
      <c r="T265" s="50" t="n">
        <v>23.2141408265866</v>
      </c>
      <c r="U265" s="50" t="n">
        <v>93</v>
      </c>
      <c r="V265" s="112">
        <f>((O265+R265)*100)/N265</f>
        <v/>
      </c>
      <c r="W265" s="112">
        <f>((P265+S265)*100)/N265</f>
        <v/>
      </c>
      <c r="X265" s="112">
        <f>((Q265+T265)*100)/N265</f>
        <v/>
      </c>
    </row>
    <row r="266" ht="22.5" customHeight="1" s="150">
      <c r="A266" s="34" t="n">
        <v>264</v>
      </c>
      <c r="B266">
        <f>C266+D266+E266+F266+G266+H266</f>
        <v/>
      </c>
      <c r="C266" s="50" t="n">
        <v>118.650053113665</v>
      </c>
      <c r="D266" s="50" t="n">
        <v>2.57934898073185</v>
      </c>
      <c r="E266" s="50" t="n">
        <v>15.4760938843911</v>
      </c>
      <c r="F266" s="50" t="n">
        <v>18.0554428651229</v>
      </c>
      <c r="G266" s="50" t="n">
        <v>0</v>
      </c>
      <c r="H266" s="50" t="n">
        <v>2.57934898073185</v>
      </c>
      <c r="I266" s="111">
        <f>(100*B266)/N266</f>
        <v/>
      </c>
      <c r="J266" s="112">
        <f>((C266+F266)*100)/B266</f>
        <v/>
      </c>
      <c r="K266" s="112">
        <f>((D266+G266)*100)/B266</f>
        <v/>
      </c>
      <c r="L266" s="112">
        <f>((E266+H266)*100)/B266</f>
        <v/>
      </c>
      <c r="M266" s="113" t="n"/>
      <c r="N266">
        <f>O266+P266+Q266+R266+S266+T266</f>
        <v/>
      </c>
      <c r="O266" s="50" t="n">
        <v>219.244663362207</v>
      </c>
      <c r="P266" s="50" t="n">
        <v>206.347918458547</v>
      </c>
      <c r="Q266" s="50" t="n">
        <v>49.0076306339051</v>
      </c>
      <c r="R266" s="50" t="n">
        <v>90.27721432561469</v>
      </c>
      <c r="S266" s="50" t="n">
        <v>54.1663285953688</v>
      </c>
      <c r="T266" s="50" t="n">
        <v>12.8967449036592</v>
      </c>
      <c r="U266" s="50" t="n">
        <v>90</v>
      </c>
      <c r="V266" s="112">
        <f>((O266+R266)*100)/N266</f>
        <v/>
      </c>
      <c r="W266" s="112">
        <f>((P266+S266)*100)/N266</f>
        <v/>
      </c>
      <c r="X266" s="112">
        <f>((Q266+T266)*100)/N266</f>
        <v/>
      </c>
    </row>
    <row r="267" ht="22.5" customHeight="1" s="150">
      <c r="A267" s="34" t="n">
        <v>265</v>
      </c>
      <c r="B267">
        <f>C267+D267+E267+F267+G267+H267</f>
        <v/>
      </c>
      <c r="C267" s="50" t="n">
        <v>41.2695836917096</v>
      </c>
      <c r="D267" s="50" t="n">
        <v>12.8967449036592</v>
      </c>
      <c r="E267" s="50" t="n">
        <v>2.57934898073185</v>
      </c>
      <c r="F267" s="50" t="n">
        <v>36.1108857302459</v>
      </c>
      <c r="G267" s="50" t="n">
        <v>12.8967449036592</v>
      </c>
      <c r="H267" s="50" t="n">
        <v>2.57934898073185</v>
      </c>
      <c r="I267" s="111">
        <f>(100*B267)/N267</f>
        <v/>
      </c>
      <c r="J267" s="112">
        <f>((C267+F267)*100)/B267</f>
        <v/>
      </c>
      <c r="K267" s="112">
        <f>((D267+G267)*100)/B267</f>
        <v/>
      </c>
      <c r="L267" s="112">
        <f>((E267+H267)*100)/B267</f>
        <v/>
      </c>
      <c r="M267" s="113" t="n"/>
      <c r="N267">
        <f>O267+P267+Q267+R267+S267+T267</f>
        <v/>
      </c>
      <c r="O267" s="50" t="n">
        <v>224.40336132367</v>
      </c>
      <c r="P267" s="50" t="n">
        <v>198.609871516352</v>
      </c>
      <c r="Q267" s="50" t="n">
        <v>54.1663285953688</v>
      </c>
      <c r="R267" s="50" t="n">
        <v>211.506616420011</v>
      </c>
      <c r="S267" s="50" t="n">
        <v>165.078334766838</v>
      </c>
      <c r="T267" s="50" t="n">
        <v>43.8489326724414</v>
      </c>
      <c r="U267" s="50" t="n">
        <v>111</v>
      </c>
      <c r="V267" s="112">
        <f>((O267+R267)*100)/N267</f>
        <v/>
      </c>
      <c r="W267" s="112">
        <f>((P267+S267)*100)/N267</f>
        <v/>
      </c>
      <c r="X267" s="112">
        <f>((Q267+T267)*100)/N267</f>
        <v/>
      </c>
    </row>
    <row r="268" ht="22.5" customHeight="1" s="150">
      <c r="A268" s="34" t="n">
        <v>266</v>
      </c>
      <c r="B268">
        <f>C268+D268+E268+F268+G268+H268</f>
        <v/>
      </c>
      <c r="C268" s="50" t="n">
        <v>18.0554428651229</v>
      </c>
      <c r="D268" s="50" t="n">
        <v>2.57934898073185</v>
      </c>
      <c r="E268" s="50" t="n">
        <v>2.57934898073185</v>
      </c>
      <c r="F268" s="50" t="n">
        <v>0</v>
      </c>
      <c r="G268" s="50" t="n">
        <v>0</v>
      </c>
      <c r="H268" s="50" t="n">
        <v>0</v>
      </c>
      <c r="I268" s="111">
        <f>(100*B268)/N268</f>
        <v/>
      </c>
      <c r="J268" s="112">
        <f>((C268+F268)*100)/B268</f>
        <v/>
      </c>
      <c r="K268" s="112">
        <f>((D268+G268)*100)/B268</f>
        <v/>
      </c>
      <c r="L268" s="112">
        <f>((E268+H268)*100)/B268</f>
        <v/>
      </c>
      <c r="M268" s="113" t="n"/>
      <c r="N268">
        <f>O268+P268+Q268+R268+S268+T268</f>
        <v/>
      </c>
      <c r="O268" s="50" t="n">
        <v>229.562059285134</v>
      </c>
      <c r="P268" s="50" t="n">
        <v>198.609871516352</v>
      </c>
      <c r="Q268" s="50" t="n">
        <v>56.7456775761007</v>
      </c>
      <c r="R268" s="50" t="n">
        <v>79.9598184026873</v>
      </c>
      <c r="S268" s="50" t="n">
        <v>64.4837245182962</v>
      </c>
      <c r="T268" s="50" t="n">
        <v>10.3173959229274</v>
      </c>
      <c r="U268" s="50" t="n">
        <v>72</v>
      </c>
      <c r="V268" s="112">
        <f>((O268+R268)*100)/N268</f>
        <v/>
      </c>
      <c r="W268" s="112">
        <f>((P268+S268)*100)/N268</f>
        <v/>
      </c>
      <c r="X268" s="112">
        <f>((Q268+T268)*100)/N268</f>
        <v/>
      </c>
    </row>
    <row r="269" ht="22.5" customHeight="1" s="150">
      <c r="A269" s="34" t="n">
        <v>267</v>
      </c>
      <c r="B269">
        <f>C269+D269+E269+F269+G269+H269</f>
        <v/>
      </c>
      <c r="C269" s="50" t="n">
        <v>54.1663285953688</v>
      </c>
      <c r="D269" s="50" t="n">
        <v>7.73804694219555</v>
      </c>
      <c r="E269" s="50" t="n">
        <v>10.3173959229274</v>
      </c>
      <c r="F269" s="50" t="n">
        <v>43.8489326724414</v>
      </c>
      <c r="G269" s="50" t="n">
        <v>12.8967449036592</v>
      </c>
      <c r="H269" s="50" t="n">
        <v>5.1586979614637</v>
      </c>
      <c r="I269" s="111">
        <f>(100*B269)/N269</f>
        <v/>
      </c>
      <c r="J269" s="112">
        <f>((C269+F269)*100)/B269</f>
        <v/>
      </c>
      <c r="K269" s="112">
        <f>((D269+G269)*100)/B269</f>
        <v/>
      </c>
      <c r="L269" s="112">
        <f>((E269+H269)*100)/B269</f>
        <v/>
      </c>
      <c r="M269" s="113" t="n"/>
      <c r="N269">
        <f>O269+P269+Q269+R269+S269+T269</f>
        <v/>
      </c>
      <c r="O269" s="50" t="n">
        <v>234.720757246598</v>
      </c>
      <c r="P269" s="50" t="n">
        <v>188.292475593425</v>
      </c>
      <c r="Q269" s="50" t="n">
        <v>61.9043755375644</v>
      </c>
      <c r="R269" s="50" t="n">
        <v>327.577320552944</v>
      </c>
      <c r="S269" s="50" t="n">
        <v>196.03052253562</v>
      </c>
      <c r="T269" s="50" t="n">
        <v>74.8011204412236</v>
      </c>
      <c r="U269" s="50" t="n">
        <v>103</v>
      </c>
      <c r="V269" s="112">
        <f>((O269+R269)*100)/N269</f>
        <v/>
      </c>
      <c r="W269" s="112">
        <f>((P269+S269)*100)/N269</f>
        <v/>
      </c>
      <c r="X269" s="112">
        <f>((Q269+T269)*100)/N269</f>
        <v/>
      </c>
    </row>
    <row r="270" ht="22.5" customHeight="1" s="150">
      <c r="A270" s="34" t="n">
        <v>268</v>
      </c>
      <c r="B270">
        <f>C270+D270+E270+F270+G270+H270</f>
        <v/>
      </c>
      <c r="C270" s="50" t="n">
        <v>103.173959229273</v>
      </c>
      <c r="D270" s="50" t="n">
        <v>0</v>
      </c>
      <c r="E270" s="50" t="n">
        <v>0</v>
      </c>
      <c r="F270" s="50" t="n">
        <v>15.4760938843911</v>
      </c>
      <c r="G270" s="50" t="n">
        <v>0</v>
      </c>
      <c r="H270" s="50" t="n">
        <v>0</v>
      </c>
      <c r="I270" s="111">
        <f>(100*B270)/N270</f>
        <v/>
      </c>
      <c r="J270" s="112">
        <f>((C270+F270)*100)/B270</f>
        <v/>
      </c>
      <c r="K270" s="112">
        <f>((D270+G270)*100)/B270</f>
        <v/>
      </c>
      <c r="L270" s="112">
        <f>((E270+H270)*100)/B270</f>
        <v/>
      </c>
      <c r="M270" s="113" t="n"/>
      <c r="N270">
        <f>O270+P270+Q270+R270+S270+T270</f>
        <v/>
      </c>
      <c r="O270" s="50" t="n">
        <v>198.609871516352</v>
      </c>
      <c r="P270" s="50" t="n">
        <v>188.292475593425</v>
      </c>
      <c r="Q270" s="50" t="n">
        <v>64.4837245182962</v>
      </c>
      <c r="R270" s="50" t="n">
        <v>92.8565633063466</v>
      </c>
      <c r="S270" s="50" t="n">
        <v>82.5391673834192</v>
      </c>
      <c r="T270" s="50" t="n">
        <v>43.8489326724414</v>
      </c>
      <c r="U270" s="50" t="n">
        <v>85</v>
      </c>
      <c r="V270" s="112">
        <f>((O270+R270)*100)/N270</f>
        <v/>
      </c>
      <c r="W270" s="112">
        <f>((P270+S270)*100)/N270</f>
        <v/>
      </c>
      <c r="X270" s="112">
        <f>((Q270+T270)*100)/N270</f>
        <v/>
      </c>
    </row>
    <row r="271" ht="22.5" customHeight="1" s="150">
      <c r="A271" s="34" t="n">
        <v>269</v>
      </c>
      <c r="B271">
        <f>C271+D271+E271+F271+G271+H271</f>
        <v/>
      </c>
      <c r="C271" s="50" t="n">
        <v>79.9598184026873</v>
      </c>
      <c r="D271" s="50" t="n">
        <v>0</v>
      </c>
      <c r="E271" s="50" t="n">
        <v>7.73804694219555</v>
      </c>
      <c r="F271" s="50" t="n">
        <v>25.7934898073184</v>
      </c>
      <c r="G271" s="50" t="n">
        <v>0</v>
      </c>
      <c r="H271" s="50" t="n">
        <v>0</v>
      </c>
      <c r="I271" s="111">
        <f>(100*B271)/N271</f>
        <v/>
      </c>
      <c r="J271" s="112">
        <f>((C271+F271)*100)/B271</f>
        <v/>
      </c>
      <c r="K271" s="112">
        <f>((D271+G271)*100)/B271</f>
        <v/>
      </c>
      <c r="L271" s="112">
        <f>((E271+H271)*100)/B271</f>
        <v/>
      </c>
      <c r="M271" s="113" t="n"/>
      <c r="N271">
        <f>O271+P271+Q271+R271+S271+T271</f>
        <v/>
      </c>
      <c r="O271" s="50" t="n">
        <v>201.189220497084</v>
      </c>
      <c r="P271" s="50" t="n">
        <v>188.292475593425</v>
      </c>
      <c r="Q271" s="50" t="n">
        <v>56.7456775761007</v>
      </c>
      <c r="R271" s="50" t="n">
        <v>121.229402094396</v>
      </c>
      <c r="S271" s="50" t="n">
        <v>113.491355152201</v>
      </c>
      <c r="T271" s="50" t="n">
        <v>61.9043755375644</v>
      </c>
      <c r="U271" s="50" t="n">
        <v>103</v>
      </c>
      <c r="V271" s="112">
        <f>((O271+R271)*100)/N271</f>
        <v/>
      </c>
      <c r="W271" s="112">
        <f>((P271+S271)*100)/N271</f>
        <v/>
      </c>
      <c r="X271" s="112">
        <f>((Q271+T271)*100)/N271</f>
        <v/>
      </c>
    </row>
    <row r="272" ht="22.5" customHeight="1" s="150">
      <c r="A272" s="34" t="n">
        <v>270</v>
      </c>
      <c r="B272">
        <f>C272+D272+E272+F272+G272+H272</f>
        <v/>
      </c>
      <c r="C272" s="50" t="n">
        <v>49.0076306339051</v>
      </c>
      <c r="D272" s="50" t="n">
        <v>2.57934898073185</v>
      </c>
      <c r="E272" s="50" t="n">
        <v>0</v>
      </c>
      <c r="F272" s="50" t="n">
        <v>2.57934898073185</v>
      </c>
      <c r="G272" s="50" t="n">
        <v>0</v>
      </c>
      <c r="H272" s="50" t="n">
        <v>0</v>
      </c>
      <c r="I272" s="111">
        <f>(100*B272)/N272</f>
        <v/>
      </c>
      <c r="J272" s="112">
        <f>((C272+F272)*100)/B272</f>
        <v/>
      </c>
      <c r="K272" s="112">
        <f>((D272+G272)*100)/B272</f>
        <v/>
      </c>
      <c r="L272" s="112">
        <f>((E272+H272)*100)/B272</f>
        <v/>
      </c>
      <c r="M272" s="113" t="n"/>
      <c r="N272">
        <f>O272+P272+Q272+R272+S272+T272</f>
        <v/>
      </c>
      <c r="O272" s="50" t="n">
        <v>206.347918458547</v>
      </c>
      <c r="P272" s="50" t="n">
        <v>196.03052253562</v>
      </c>
      <c r="Q272" s="50" t="n">
        <v>61.9043755375644</v>
      </c>
      <c r="R272" s="50" t="n">
        <v>23.2141408265866</v>
      </c>
      <c r="S272" s="50" t="n">
        <v>7.73804694219555</v>
      </c>
      <c r="T272" s="50" t="n">
        <v>5.1586979614637</v>
      </c>
      <c r="U272" s="50" t="n">
        <v>72</v>
      </c>
      <c r="V272" s="112">
        <f>((O272+R272)*100)/N272</f>
        <v/>
      </c>
      <c r="W272" s="112">
        <f>((P272+S272)*100)/N272</f>
        <v/>
      </c>
      <c r="X272" s="112">
        <f>((Q272+T272)*100)/N272</f>
        <v/>
      </c>
    </row>
    <row r="273" ht="22.5" customHeight="1" s="150">
      <c r="A273" s="34" t="n">
        <v>271</v>
      </c>
      <c r="B273">
        <f>C273+D273+E273+F273+G273+H273</f>
        <v/>
      </c>
      <c r="C273" s="50" t="n">
        <v>69.6424224797599</v>
      </c>
      <c r="D273" s="50" t="n">
        <v>20.6347918458548</v>
      </c>
      <c r="E273" s="50" t="n">
        <v>79.9598184026873</v>
      </c>
      <c r="F273" s="50" t="n">
        <v>43.8489326724414</v>
      </c>
      <c r="G273" s="50" t="n">
        <v>0</v>
      </c>
      <c r="H273" s="50" t="n">
        <v>12.8967449036592</v>
      </c>
      <c r="I273" s="111">
        <f>(100*B273)/N273</f>
        <v/>
      </c>
      <c r="J273" s="112">
        <f>((C273+F273)*100)/B273</f>
        <v/>
      </c>
      <c r="K273" s="112">
        <f>((D273+G273)*100)/B273</f>
        <v/>
      </c>
      <c r="L273" s="112">
        <f>((E273+H273)*100)/B273</f>
        <v/>
      </c>
      <c r="M273" s="113" t="n"/>
      <c r="N273">
        <f>O273+P273+Q273+R273+S273+T273</f>
        <v/>
      </c>
      <c r="O273" s="50" t="n">
        <v>196.03052253562</v>
      </c>
      <c r="P273" s="50" t="n">
        <v>196.03052253562</v>
      </c>
      <c r="Q273" s="50" t="n">
        <v>51.5869796146369</v>
      </c>
      <c r="R273" s="50" t="n">
        <v>154.760938843911</v>
      </c>
      <c r="S273" s="50" t="n">
        <v>128.967449036592</v>
      </c>
      <c r="T273" s="50" t="n">
        <v>46.4282816531733</v>
      </c>
      <c r="U273" s="50" t="n">
        <v>95</v>
      </c>
      <c r="V273" s="112">
        <f>((O273+R273)*100)/N273</f>
        <v/>
      </c>
      <c r="W273" s="112">
        <f>((P273+S273)*100)/N273</f>
        <v/>
      </c>
      <c r="X273" s="112">
        <f>((Q273+T273)*100)/N273</f>
        <v/>
      </c>
    </row>
    <row r="274" ht="22.5" customHeight="1" s="150">
      <c r="A274" s="34" t="n">
        <v>272</v>
      </c>
      <c r="B274">
        <f>C274+D274+E274+F274+G274+H274</f>
        <v/>
      </c>
      <c r="C274" s="50" t="n">
        <v>92.8565633063466</v>
      </c>
      <c r="D274" s="50" t="n">
        <v>0</v>
      </c>
      <c r="E274" s="50" t="n">
        <v>0</v>
      </c>
      <c r="F274" s="50" t="n">
        <v>5.1586979614637</v>
      </c>
      <c r="G274" s="50" t="n">
        <v>0</v>
      </c>
      <c r="H274" s="50" t="n">
        <v>0</v>
      </c>
      <c r="I274" s="111">
        <f>(100*B274)/N274</f>
        <v/>
      </c>
      <c r="J274" s="112">
        <f>((C274+F274)*100)/B274</f>
        <v/>
      </c>
      <c r="K274" s="112">
        <f>((D274+G274)*100)/B274</f>
        <v/>
      </c>
      <c r="L274" s="112">
        <f>((E274+H274)*100)/B274</f>
        <v/>
      </c>
      <c r="M274" s="113" t="n"/>
      <c r="N274">
        <f>O274+P274+Q274+R274+S274+T274</f>
        <v/>
      </c>
      <c r="O274" s="50" t="n">
        <v>196.03052253562</v>
      </c>
      <c r="P274" s="50" t="n">
        <v>203.768569477816</v>
      </c>
      <c r="Q274" s="50" t="n">
        <v>54.1663285953688</v>
      </c>
      <c r="R274" s="50" t="n">
        <v>85.11851636415101</v>
      </c>
      <c r="S274" s="50" t="n">
        <v>95.43591228707839</v>
      </c>
      <c r="T274" s="50" t="n">
        <v>41.2695836917096</v>
      </c>
      <c r="U274" s="50" t="n">
        <v>90</v>
      </c>
      <c r="V274" s="112">
        <f>((O274+R274)*100)/N274</f>
        <v/>
      </c>
      <c r="W274" s="112">
        <f>((P274+S274)*100)/N274</f>
        <v/>
      </c>
      <c r="X274" s="112">
        <f>((Q274+T274)*100)/N274</f>
        <v/>
      </c>
    </row>
    <row r="275" ht="22.5" customHeight="1" s="150">
      <c r="A275" s="34" t="n">
        <v>273</v>
      </c>
      <c r="B275">
        <f>C275+D275+E275+F275+G275+H275</f>
        <v/>
      </c>
      <c r="C275" s="50" t="n">
        <v>90.27721432561469</v>
      </c>
      <c r="D275" s="50" t="n">
        <v>12.8967449036592</v>
      </c>
      <c r="E275" s="50" t="n">
        <v>10.3173959229274</v>
      </c>
      <c r="F275" s="50" t="n">
        <v>108.332657190737</v>
      </c>
      <c r="G275" s="50" t="n">
        <v>7.73804694219555</v>
      </c>
      <c r="H275" s="50" t="n">
        <v>15.4760938843911</v>
      </c>
      <c r="I275" s="111">
        <f>(100*B275)/N275</f>
        <v/>
      </c>
      <c r="J275" s="112">
        <f>((C275+F275)*100)/B275</f>
        <v/>
      </c>
      <c r="K275" s="112">
        <f>((D275+G275)*100)/B275</f>
        <v/>
      </c>
      <c r="L275" s="112">
        <f>((E275+H275)*100)/B275</f>
        <v/>
      </c>
      <c r="M275" s="113" t="n"/>
      <c r="N275">
        <f>O275+P275+Q275+R275+S275+T275</f>
        <v/>
      </c>
      <c r="O275" s="50" t="n">
        <v>201.189220497084</v>
      </c>
      <c r="P275" s="50" t="n">
        <v>190.871824574156</v>
      </c>
      <c r="Q275" s="50" t="n">
        <v>54.1663285953688</v>
      </c>
      <c r="R275" s="50" t="n">
        <v>268.252293996112</v>
      </c>
      <c r="S275" s="50" t="n">
        <v>229.562059285134</v>
      </c>
      <c r="T275" s="50" t="n">
        <v>105.753308210005</v>
      </c>
      <c r="U275" s="50" t="n">
        <v>108</v>
      </c>
      <c r="V275" s="112">
        <f>((O275+R275)*100)/N275</f>
        <v/>
      </c>
      <c r="W275" s="112">
        <f>((P275+S275)*100)/N275</f>
        <v/>
      </c>
      <c r="X275" s="112">
        <f>((Q275+T275)*100)/N275</f>
        <v/>
      </c>
    </row>
    <row r="276" ht="22.5" customHeight="1" s="150">
      <c r="A276" s="34" t="n">
        <v>274</v>
      </c>
      <c r="B276">
        <f>C276+D276+E276+F276+G276+H276</f>
        <v/>
      </c>
      <c r="C276" s="50" t="n">
        <v>43.8489326724414</v>
      </c>
      <c r="D276" s="50" t="n">
        <v>0</v>
      </c>
      <c r="E276" s="50" t="n">
        <v>25.7934898073184</v>
      </c>
      <c r="F276" s="50" t="n">
        <v>38.6902347109777</v>
      </c>
      <c r="G276" s="50" t="n">
        <v>0</v>
      </c>
      <c r="H276" s="50" t="n">
        <v>15.4760938843911</v>
      </c>
      <c r="I276" s="111">
        <f>(100*B276)/N276</f>
        <v/>
      </c>
      <c r="J276" s="112">
        <f>((C276+F276)*100)/B276</f>
        <v/>
      </c>
      <c r="K276" s="112">
        <f>((D276+G276)*100)/B276</f>
        <v/>
      </c>
      <c r="L276" s="112">
        <f>((E276+H276)*100)/B276</f>
        <v/>
      </c>
      <c r="M276" s="113" t="n"/>
      <c r="N276">
        <f>O276+P276+Q276+R276+S276+T276</f>
        <v/>
      </c>
      <c r="O276" s="50" t="n">
        <v>193.451173554888</v>
      </c>
      <c r="P276" s="50" t="n">
        <v>201.189220497084</v>
      </c>
      <c r="Q276" s="50" t="n">
        <v>56.7456775761007</v>
      </c>
      <c r="R276" s="50" t="n">
        <v>141.864193940251</v>
      </c>
      <c r="S276" s="50" t="n">
        <v>121.229402094396</v>
      </c>
      <c r="T276" s="50" t="n">
        <v>56.7456775761007</v>
      </c>
      <c r="U276" s="50" t="n">
        <v>103</v>
      </c>
      <c r="V276" s="112">
        <f>((O276+R276)*100)/N276</f>
        <v/>
      </c>
      <c r="W276" s="112">
        <f>((P276+S276)*100)/N276</f>
        <v/>
      </c>
      <c r="X276" s="112">
        <f>((Q276+T276)*100)/N276</f>
        <v/>
      </c>
    </row>
    <row r="277" ht="22.5" customHeight="1" s="150">
      <c r="A277" s="34" t="n">
        <v>275</v>
      </c>
      <c r="B277">
        <f>C277+D277+E277+F277+G277+H277</f>
        <v/>
      </c>
      <c r="C277" s="50" t="n">
        <v>110.912006171469</v>
      </c>
      <c r="D277" s="50" t="n">
        <v>18.0554428651229</v>
      </c>
      <c r="E277" s="50" t="n">
        <v>20.6347918458548</v>
      </c>
      <c r="F277" s="50" t="n">
        <v>136.705495978788</v>
      </c>
      <c r="G277" s="50" t="n">
        <v>25.7934898073184</v>
      </c>
      <c r="H277" s="50" t="n">
        <v>30.9521877687822</v>
      </c>
      <c r="I277" s="111">
        <f>(100*B277)/N277</f>
        <v/>
      </c>
      <c r="J277" s="112">
        <f>((C277+F277)*100)/B277</f>
        <v/>
      </c>
      <c r="K277" s="112">
        <f>((D277+G277)*100)/B277</f>
        <v/>
      </c>
      <c r="L277" s="112">
        <f>((E277+H277)*100)/B277</f>
        <v/>
      </c>
      <c r="M277" s="113" t="n"/>
      <c r="N277">
        <f>O277+P277+Q277+R277+S277+T277</f>
        <v/>
      </c>
      <c r="O277" s="50" t="n">
        <v>175.395730689765</v>
      </c>
      <c r="P277" s="50" t="n">
        <v>198.609871516352</v>
      </c>
      <c r="Q277" s="50" t="n">
        <v>51.5869796146369</v>
      </c>
      <c r="R277" s="50" t="n">
        <v>250.196851130989</v>
      </c>
      <c r="S277" s="50" t="n">
        <v>242.458804188793</v>
      </c>
      <c r="T277" s="50" t="n">
        <v>139.284844959519</v>
      </c>
      <c r="U277" s="50" t="n">
        <v>108</v>
      </c>
      <c r="V277" s="112">
        <f>((O277+R277)*100)/N277</f>
        <v/>
      </c>
      <c r="W277" s="112">
        <f>((P277+S277)*100)/N277</f>
        <v/>
      </c>
      <c r="X277" s="112">
        <f>((Q277+T277)*100)/N277</f>
        <v/>
      </c>
    </row>
    <row r="278" ht="22.5" customHeight="1" s="150">
      <c r="A278" s="34" t="n">
        <v>276</v>
      </c>
      <c r="B278">
        <f>C278+D278+E278+F278+G278+H278</f>
        <v/>
      </c>
      <c r="C278" s="50" t="n">
        <v>105.753308210005</v>
      </c>
      <c r="D278" s="50" t="n">
        <v>2.57934898073185</v>
      </c>
      <c r="E278" s="50" t="n">
        <v>18.0554428651229</v>
      </c>
      <c r="F278" s="50" t="n">
        <v>87.6978653448828</v>
      </c>
      <c r="G278" s="50" t="n">
        <v>0</v>
      </c>
      <c r="H278" s="50" t="n">
        <v>12.8967449036592</v>
      </c>
      <c r="I278" s="111">
        <f>(100*B278)/N278</f>
        <v/>
      </c>
      <c r="J278" s="112">
        <f>((C278+F278)*100)/B278</f>
        <v/>
      </c>
      <c r="K278" s="112">
        <f>((D278+G278)*100)/B278</f>
        <v/>
      </c>
      <c r="L278" s="112">
        <f>((E278+H278)*100)/B278</f>
        <v/>
      </c>
      <c r="M278" s="113" t="n"/>
      <c r="N278">
        <f>O278+P278+Q278+R278+S278+T278</f>
        <v/>
      </c>
      <c r="O278" s="50" t="n">
        <v>180.554428651229</v>
      </c>
      <c r="P278" s="50" t="n">
        <v>206.347918458547</v>
      </c>
      <c r="Q278" s="50" t="n">
        <v>54.1663285953688</v>
      </c>
      <c r="R278" s="50" t="n">
        <v>172.816381709033</v>
      </c>
      <c r="S278" s="50" t="n">
        <v>123.808751075128</v>
      </c>
      <c r="T278" s="50" t="n">
        <v>67.06307349902811</v>
      </c>
      <c r="U278" s="50" t="n">
        <v>93</v>
      </c>
      <c r="V278" s="112">
        <f>((O278+R278)*100)/N278</f>
        <v/>
      </c>
      <c r="W278" s="112">
        <f>((P278+S278)*100)/N278</f>
        <v/>
      </c>
      <c r="X278" s="112">
        <f>((Q278+T278)*100)/N278</f>
        <v/>
      </c>
    </row>
    <row r="279" ht="22.5" customHeight="1" s="150">
      <c r="A279" s="34" t="n">
        <v>277</v>
      </c>
      <c r="B279">
        <f>C279+D279+E279+F279+G279+H279</f>
        <v/>
      </c>
      <c r="C279" s="50" t="n">
        <v>87.6978653448828</v>
      </c>
      <c r="D279" s="50" t="n">
        <v>0</v>
      </c>
      <c r="E279" s="50" t="n">
        <v>7.73804694219555</v>
      </c>
      <c r="F279" s="50" t="n">
        <v>51.5869796146369</v>
      </c>
      <c r="G279" s="50" t="n">
        <v>0</v>
      </c>
      <c r="H279" s="50" t="n">
        <v>2.57934898073185</v>
      </c>
      <c r="I279" s="111">
        <f>(100*B279)/N279</f>
        <v/>
      </c>
      <c r="J279" s="112">
        <f>((C279+F279)*100)/B279</f>
        <v/>
      </c>
      <c r="K279" s="112">
        <f>((D279+G279)*100)/B279</f>
        <v/>
      </c>
      <c r="L279" s="112">
        <f>((E279+H279)*100)/B279</f>
        <v/>
      </c>
      <c r="M279" s="113" t="n"/>
      <c r="N279">
        <f>O279+P279+Q279+R279+S279+T279</f>
        <v/>
      </c>
      <c r="O279" s="50" t="n">
        <v>167.65768374757</v>
      </c>
      <c r="P279" s="50" t="n">
        <v>211.506616420011</v>
      </c>
      <c r="Q279" s="50" t="n">
        <v>51.5869796146369</v>
      </c>
      <c r="R279" s="50" t="n">
        <v>237.30010622733</v>
      </c>
      <c r="S279" s="50" t="n">
        <v>201.189220497084</v>
      </c>
      <c r="T279" s="50" t="n">
        <v>79.9598184026873</v>
      </c>
      <c r="U279" s="50" t="n">
        <v>88</v>
      </c>
      <c r="V279" s="112">
        <f>((O279+R279)*100)/N279</f>
        <v/>
      </c>
      <c r="W279" s="112">
        <f>((P279+S279)*100)/N279</f>
        <v/>
      </c>
      <c r="X279" s="112">
        <f>((Q279+T279)*100)/N279</f>
        <v/>
      </c>
    </row>
    <row r="280" ht="22.5" customHeight="1" s="150">
      <c r="A280" s="34" t="n">
        <v>278</v>
      </c>
      <c r="B280">
        <f>C280+D280+E280+F280+G280+H280</f>
        <v/>
      </c>
      <c r="C280" s="50" t="n">
        <v>15.4760938843911</v>
      </c>
      <c r="D280" s="50" t="n">
        <v>5.1586979614637</v>
      </c>
      <c r="E280" s="50" t="n">
        <v>2.57934898073185</v>
      </c>
      <c r="F280" s="50" t="n">
        <v>5.1586979614637</v>
      </c>
      <c r="G280" s="50" t="n">
        <v>0</v>
      </c>
      <c r="H280" s="50" t="n">
        <v>0</v>
      </c>
      <c r="I280" s="111">
        <f>(100*B280)/N280</f>
        <v/>
      </c>
      <c r="J280" s="112">
        <f>((C280+F280)*100)/B280</f>
        <v/>
      </c>
      <c r="K280" s="112">
        <f>((D280+G280)*100)/B280</f>
        <v/>
      </c>
      <c r="L280" s="112">
        <f>((E280+H280)*100)/B280</f>
        <v/>
      </c>
      <c r="M280" s="113" t="n"/>
      <c r="N280">
        <f>O280+P280+Q280+R280+S280+T280</f>
        <v/>
      </c>
      <c r="O280" s="50" t="n">
        <v>170.237032728302</v>
      </c>
      <c r="P280" s="50" t="n">
        <v>211.506616420011</v>
      </c>
      <c r="Q280" s="50" t="n">
        <v>54.1663285953688</v>
      </c>
      <c r="R280" s="50" t="n">
        <v>95.43591228707839</v>
      </c>
      <c r="S280" s="50" t="n">
        <v>136.705495978788</v>
      </c>
      <c r="T280" s="50" t="n">
        <v>46.4282816531733</v>
      </c>
      <c r="U280" s="50" t="n">
        <v>80</v>
      </c>
      <c r="V280" s="112">
        <f>((O280+R280)*100)/N280</f>
        <v/>
      </c>
      <c r="W280" s="112">
        <f>((P280+S280)*100)/N280</f>
        <v/>
      </c>
      <c r="X280" s="112">
        <f>((Q280+T280)*100)/N280</f>
        <v/>
      </c>
    </row>
    <row r="281" ht="22.5" customHeight="1" s="150">
      <c r="A281" s="34" t="n">
        <v>279</v>
      </c>
      <c r="B281">
        <f>C281+D281+E281+F281+G281+H281</f>
        <v/>
      </c>
      <c r="C281" s="50" t="n">
        <v>100.594610248542</v>
      </c>
      <c r="D281" s="50" t="n">
        <v>15.4760938843911</v>
      </c>
      <c r="E281" s="50" t="n">
        <v>38.6902347109777</v>
      </c>
      <c r="F281" s="50" t="n">
        <v>108.332657190737</v>
      </c>
      <c r="G281" s="50" t="n">
        <v>18.0554428651229</v>
      </c>
      <c r="H281" s="50" t="n">
        <v>64.4837245182962</v>
      </c>
      <c r="I281" s="111">
        <f>(100*B281)/N281</f>
        <v/>
      </c>
      <c r="J281" s="112">
        <f>((C281+F281)*100)/B281</f>
        <v/>
      </c>
      <c r="K281" s="112">
        <f>((D281+G281)*100)/B281</f>
        <v/>
      </c>
      <c r="L281" s="112">
        <f>((E281+H281)*100)/B281</f>
        <v/>
      </c>
      <c r="M281" s="113" t="n"/>
      <c r="N281">
        <f>O281+P281+Q281+R281+S281+T281</f>
        <v/>
      </c>
      <c r="O281" s="50" t="n">
        <v>190.871824574156</v>
      </c>
      <c r="P281" s="50" t="n">
        <v>196.03052253562</v>
      </c>
      <c r="Q281" s="50" t="n">
        <v>38.6902347109777</v>
      </c>
      <c r="R281" s="50" t="n">
        <v>327.577320552944</v>
      </c>
      <c r="S281" s="50" t="n">
        <v>448.806722647341</v>
      </c>
      <c r="T281" s="50" t="n">
        <v>165.078334766838</v>
      </c>
      <c r="U281" s="50" t="n">
        <v>90</v>
      </c>
      <c r="V281" s="112">
        <f>((O281+R281)*100)/N281</f>
        <v/>
      </c>
      <c r="W281" s="112">
        <f>((P281+S281)*100)/N281</f>
        <v/>
      </c>
      <c r="X281" s="112">
        <f>((Q281+T281)*100)/N281</f>
        <v/>
      </c>
    </row>
    <row r="282" ht="22.5" customHeight="1" s="150">
      <c r="A282" s="34" t="n">
        <v>280</v>
      </c>
      <c r="B282">
        <f>C282+D282+E282+F282+G282+H282</f>
        <v/>
      </c>
      <c r="C282" s="50" t="n">
        <v>41.2695836917096</v>
      </c>
      <c r="D282" s="50" t="n">
        <v>5.1586979614637</v>
      </c>
      <c r="E282" s="50" t="n">
        <v>0</v>
      </c>
      <c r="F282" s="50" t="n">
        <v>2.57934898073185</v>
      </c>
      <c r="G282" s="50" t="n">
        <v>0</v>
      </c>
      <c r="H282" s="50" t="n">
        <v>0</v>
      </c>
      <c r="I282" s="111">
        <f>(100*B282)/N282</f>
        <v/>
      </c>
      <c r="J282" s="112">
        <f>((C282+F282)*100)/B282</f>
        <v/>
      </c>
      <c r="K282" s="112">
        <f>((D282+G282)*100)/B282</f>
        <v/>
      </c>
      <c r="L282" s="112">
        <f>((E282+H282)*100)/B282</f>
        <v/>
      </c>
      <c r="M282" s="113" t="n"/>
      <c r="N282">
        <f>O282+P282+Q282+R282+S282+T282</f>
        <v/>
      </c>
      <c r="O282" s="50" t="n">
        <v>196.03052253562</v>
      </c>
      <c r="P282" s="50" t="n">
        <v>201.189220497084</v>
      </c>
      <c r="Q282" s="50" t="n">
        <v>46.4282816531733</v>
      </c>
      <c r="R282" s="50" t="n">
        <v>208.927267439279</v>
      </c>
      <c r="S282" s="50" t="n">
        <v>245.038153169525</v>
      </c>
      <c r="T282" s="50" t="n">
        <v>54.1663285953688</v>
      </c>
      <c r="U282" s="50" t="n">
        <v>80</v>
      </c>
      <c r="V282" s="112">
        <f>((O282+R282)*100)/N282</f>
        <v/>
      </c>
      <c r="W282" s="112">
        <f>((P282+S282)*100)/N282</f>
        <v/>
      </c>
      <c r="X282" s="112">
        <f>((Q282+T282)*100)/N282</f>
        <v/>
      </c>
    </row>
    <row r="283" ht="22.5" customHeight="1" s="150">
      <c r="A283" s="34" t="n">
        <v>281</v>
      </c>
      <c r="B283">
        <f>C283+D283+E283+F283+G283+H283</f>
        <v/>
      </c>
      <c r="C283" s="50" t="n">
        <v>64.4837245182962</v>
      </c>
      <c r="D283" s="50" t="n">
        <v>36.1108857302459</v>
      </c>
      <c r="E283" s="50" t="n">
        <v>28.3728387880503</v>
      </c>
      <c r="F283" s="50" t="n">
        <v>46.4282816531733</v>
      </c>
      <c r="G283" s="50" t="n">
        <v>0</v>
      </c>
      <c r="H283" s="50" t="n">
        <v>12.8967449036592</v>
      </c>
      <c r="I283" s="111">
        <f>(100*B283)/N283</f>
        <v/>
      </c>
      <c r="J283" s="112">
        <f>((C283+F283)*100)/B283</f>
        <v/>
      </c>
      <c r="K283" s="112">
        <f>((D283+G283)*100)/B283</f>
        <v/>
      </c>
      <c r="L283" s="112">
        <f>((E283+H283)*100)/B283</f>
        <v/>
      </c>
      <c r="M283" s="113" t="n"/>
      <c r="N283">
        <f>O283+P283+Q283+R283+S283+T283</f>
        <v/>
      </c>
      <c r="O283" s="50" t="n">
        <v>165.078334766838</v>
      </c>
      <c r="P283" s="50" t="n">
        <v>193.451173554888</v>
      </c>
      <c r="Q283" s="50" t="n">
        <v>51.5869796146369</v>
      </c>
      <c r="R283" s="50" t="n">
        <v>273.410991957576</v>
      </c>
      <c r="S283" s="50" t="n">
        <v>252.776200111721</v>
      </c>
      <c r="T283" s="50" t="n">
        <v>72.22177146049179</v>
      </c>
      <c r="U283" s="50" t="n">
        <v>90</v>
      </c>
      <c r="V283" s="112">
        <f>((O283+R283)*100)/N283</f>
        <v/>
      </c>
      <c r="W283" s="112">
        <f>((P283+S283)*100)/N283</f>
        <v/>
      </c>
      <c r="X283" s="112">
        <f>((Q283+T283)*100)/N283</f>
        <v/>
      </c>
    </row>
    <row r="284" ht="22.5" customHeight="1" s="150">
      <c r="A284" s="34" t="n">
        <v>282</v>
      </c>
      <c r="B284">
        <f>C284+D284+E284+F284+G284+H284</f>
        <v/>
      </c>
      <c r="C284" s="50" t="n">
        <v>90.27721432561469</v>
      </c>
      <c r="D284" s="50" t="n">
        <v>10.3173959229274</v>
      </c>
      <c r="E284" s="50" t="n">
        <v>10.3173959229274</v>
      </c>
      <c r="F284" s="50" t="n">
        <v>54.1663285953688</v>
      </c>
      <c r="G284" s="50" t="n">
        <v>5.1586979614637</v>
      </c>
      <c r="H284" s="50" t="n">
        <v>12.8967449036592</v>
      </c>
      <c r="I284" s="111">
        <f>(100*B284)/N284</f>
        <v/>
      </c>
      <c r="J284" s="112">
        <f>((C284+F284)*100)/B284</f>
        <v/>
      </c>
      <c r="K284" s="112">
        <f>((D284+G284)*100)/B284</f>
        <v/>
      </c>
      <c r="L284" s="112">
        <f>((E284+H284)*100)/B284</f>
        <v/>
      </c>
      <c r="M284" s="113" t="n"/>
      <c r="N284">
        <f>O284+P284+Q284+R284+S284+T284</f>
        <v/>
      </c>
      <c r="O284" s="50" t="n">
        <v>162.498985786106</v>
      </c>
      <c r="P284" s="50" t="n">
        <v>190.871824574156</v>
      </c>
      <c r="Q284" s="50" t="n">
        <v>51.5869796146369</v>
      </c>
      <c r="R284" s="50" t="n">
        <v>152.181589863179</v>
      </c>
      <c r="S284" s="50" t="n">
        <v>193.451173554888</v>
      </c>
      <c r="T284" s="50" t="n">
        <v>46.4282816531733</v>
      </c>
      <c r="U284" s="50" t="n">
        <v>75</v>
      </c>
      <c r="V284" s="112">
        <f>((O284+R284)*100)/N284</f>
        <v/>
      </c>
      <c r="W284" s="112">
        <f>((P284+S284)*100)/N284</f>
        <v/>
      </c>
      <c r="X284" s="112">
        <f>((Q284+T284)*100)/N284</f>
        <v/>
      </c>
    </row>
    <row r="285" ht="22.5" customHeight="1" s="150">
      <c r="A285" s="34" t="n">
        <v>283</v>
      </c>
      <c r="B285">
        <f>C285+D285+E285+F285+G285+H285</f>
        <v/>
      </c>
      <c r="C285" s="50" t="n">
        <v>61.9043755375644</v>
      </c>
      <c r="D285" s="50" t="n">
        <v>5.1586979614637</v>
      </c>
      <c r="E285" s="50" t="n">
        <v>5.1586979614637</v>
      </c>
      <c r="F285" s="50" t="n">
        <v>15.4760938843911</v>
      </c>
      <c r="G285" s="50" t="n">
        <v>2.57934898073185</v>
      </c>
      <c r="H285" s="50" t="n">
        <v>2.57934898073185</v>
      </c>
      <c r="I285" s="111">
        <f>(100*B285)/N285</f>
        <v/>
      </c>
      <c r="J285" s="112">
        <f>((C285+F285)*100)/B285</f>
        <v/>
      </c>
      <c r="K285" s="112">
        <f>((D285+G285)*100)/B285</f>
        <v/>
      </c>
      <c r="L285" s="112">
        <f>((E285+H285)*100)/B285</f>
        <v/>
      </c>
      <c r="M285" s="113" t="n"/>
      <c r="N285">
        <f>O285+P285+Q285+R285+S285+T285</f>
        <v/>
      </c>
      <c r="O285" s="50" t="n">
        <v>141.864193940251</v>
      </c>
      <c r="P285" s="50" t="n">
        <v>193.451173554888</v>
      </c>
      <c r="Q285" s="50" t="n">
        <v>56.7456775761007</v>
      </c>
      <c r="R285" s="50" t="n">
        <v>105.753308210005</v>
      </c>
      <c r="S285" s="50" t="n">
        <v>154.760938843911</v>
      </c>
      <c r="T285" s="50" t="n">
        <v>49.0076306339051</v>
      </c>
      <c r="U285" s="50" t="n">
        <v>83</v>
      </c>
      <c r="V285" s="112">
        <f>((O285+R285)*100)/N285</f>
        <v/>
      </c>
      <c r="W285" s="112">
        <f>((P285+S285)*100)/N285</f>
        <v/>
      </c>
      <c r="X285" s="112">
        <f>((Q285+T285)*100)/N285</f>
        <v/>
      </c>
    </row>
    <row r="286" ht="22.5" customHeight="1" s="150">
      <c r="A286" s="34" t="n">
        <v>284</v>
      </c>
      <c r="B286">
        <f>C286+D286+E286+F286+G286+H286</f>
        <v/>
      </c>
      <c r="C286" s="50" t="n">
        <v>33.531536749514</v>
      </c>
      <c r="D286" s="50" t="n">
        <v>2.57934898073185</v>
      </c>
      <c r="E286" s="50" t="n">
        <v>15.4760938843911</v>
      </c>
      <c r="F286" s="50" t="n">
        <v>7.73804694219555</v>
      </c>
      <c r="G286" s="50" t="n">
        <v>0</v>
      </c>
      <c r="H286" s="50" t="n">
        <v>0</v>
      </c>
      <c r="I286" s="111">
        <f>(100*B286)/N286</f>
        <v/>
      </c>
      <c r="J286" s="112">
        <f>((C286+F286)*100)/B286</f>
        <v/>
      </c>
      <c r="K286" s="112">
        <f>((D286+G286)*100)/B286</f>
        <v/>
      </c>
      <c r="L286" s="112">
        <f>((E286+H286)*100)/B286</f>
        <v/>
      </c>
      <c r="M286" s="113" t="n"/>
      <c r="N286">
        <f>O286+P286+Q286+R286+S286+T286</f>
        <v/>
      </c>
      <c r="O286" s="50" t="n">
        <v>141.864193940251</v>
      </c>
      <c r="P286" s="50" t="n">
        <v>193.451173554888</v>
      </c>
      <c r="Q286" s="50" t="n">
        <v>49.0076306339051</v>
      </c>
      <c r="R286" s="50" t="n">
        <v>7.73804694219555</v>
      </c>
      <c r="S286" s="50" t="n">
        <v>18.0554428651229</v>
      </c>
      <c r="T286" s="50" t="n">
        <v>5.1586979614637</v>
      </c>
      <c r="U286" s="50" t="n">
        <v>57</v>
      </c>
      <c r="V286" s="112">
        <f>((O286+R286)*100)/N286</f>
        <v/>
      </c>
      <c r="W286" s="112">
        <f>((P286+S286)*100)/N286</f>
        <v/>
      </c>
      <c r="X286" s="112">
        <f>((Q286+T286)*100)/N286</f>
        <v/>
      </c>
    </row>
    <row r="287" ht="22.5" customHeight="1" s="150">
      <c r="A287" s="34" t="n">
        <v>285</v>
      </c>
      <c r="B287">
        <f>C287+D287+E287+F287+G287+H287</f>
        <v/>
      </c>
      <c r="C287" s="50" t="n">
        <v>38.6902347109777</v>
      </c>
      <c r="D287" s="50" t="n">
        <v>10.3173959229274</v>
      </c>
      <c r="E287" s="50" t="n">
        <v>2.57934898073185</v>
      </c>
      <c r="F287" s="50" t="n">
        <v>15.4760938843911</v>
      </c>
      <c r="G287" s="50" t="n">
        <v>15.4760938843911</v>
      </c>
      <c r="H287" s="50" t="n">
        <v>0</v>
      </c>
      <c r="I287" s="111">
        <f>(100*B287)/N287</f>
        <v/>
      </c>
      <c r="J287" s="112">
        <f>((C287+F287)*100)/B287</f>
        <v/>
      </c>
      <c r="K287" s="112">
        <f>((D287+G287)*100)/B287</f>
        <v/>
      </c>
      <c r="L287" s="112">
        <f>((E287+H287)*100)/B287</f>
        <v/>
      </c>
      <c r="M287" s="113" t="n"/>
      <c r="N287">
        <f>O287+P287+Q287+R287+S287+T287</f>
        <v/>
      </c>
      <c r="O287" s="50" t="n">
        <v>126.38810005586</v>
      </c>
      <c r="P287" s="50" t="n">
        <v>152.181589863179</v>
      </c>
      <c r="Q287" s="50" t="n">
        <v>43.8489326724414</v>
      </c>
      <c r="R287" s="50" t="n">
        <v>443.648024685878</v>
      </c>
      <c r="S287" s="50" t="n">
        <v>758.3286003351629</v>
      </c>
      <c r="T287" s="50" t="n">
        <v>141.864193940251</v>
      </c>
      <c r="U287" s="50" t="n">
        <v>77</v>
      </c>
      <c r="V287" s="112">
        <f>((O287+R287)*100)/N287</f>
        <v/>
      </c>
      <c r="W287" s="112">
        <f>((P287+S287)*100)/N287</f>
        <v/>
      </c>
      <c r="X287" s="112">
        <f>((Q287+T287)*100)/N287</f>
        <v/>
      </c>
    </row>
    <row r="288" ht="22.5" customHeight="1" s="150">
      <c r="A288" s="34" t="n">
        <v>286</v>
      </c>
      <c r="B288">
        <f>C288+D288+E288+F288+G288+H288</f>
        <v/>
      </c>
      <c r="C288" s="50" t="n">
        <v>74.8011204412236</v>
      </c>
      <c r="D288" s="50" t="n">
        <v>0</v>
      </c>
      <c r="E288" s="50" t="n">
        <v>0</v>
      </c>
      <c r="F288" s="50" t="n">
        <v>41.2695836917096</v>
      </c>
      <c r="G288" s="50" t="n">
        <v>2.57934898073185</v>
      </c>
      <c r="H288" s="50" t="n">
        <v>0</v>
      </c>
      <c r="I288" s="111">
        <f>(100*B288)/N288</f>
        <v/>
      </c>
      <c r="J288" s="112">
        <f>((C288+F288)*100)/B288</f>
        <v/>
      </c>
      <c r="K288" s="112">
        <f>((D288+G288)*100)/B288</f>
        <v/>
      </c>
      <c r="L288" s="112">
        <f>((E288+H288)*100)/B288</f>
        <v/>
      </c>
      <c r="M288" s="113" t="n"/>
      <c r="N288">
        <f>O288+P288+Q288+R288+S288+T288</f>
        <v/>
      </c>
      <c r="O288" s="50" t="n">
        <v>154.760938843911</v>
      </c>
      <c r="P288" s="50" t="n">
        <v>157.340287824642</v>
      </c>
      <c r="Q288" s="50" t="n">
        <v>56.7456775761007</v>
      </c>
      <c r="R288" s="50" t="n">
        <v>159.919636805374</v>
      </c>
      <c r="S288" s="50" t="n">
        <v>294.04578380343</v>
      </c>
      <c r="T288" s="50" t="n">
        <v>67.06307349902811</v>
      </c>
      <c r="U288" s="50" t="n">
        <v>83</v>
      </c>
      <c r="V288" s="112">
        <f>((O288+R288)*100)/N288</f>
        <v/>
      </c>
      <c r="W288" s="112">
        <f>((P288+S288)*100)/N288</f>
        <v/>
      </c>
      <c r="X288" s="112">
        <f>((Q288+T288)*100)/N288</f>
        <v/>
      </c>
    </row>
    <row r="289" ht="22.5" customHeight="1" s="150">
      <c r="A289" s="34" t="n">
        <v>287</v>
      </c>
      <c r="B289">
        <f>C289+D289+E289+F289+G289+H289</f>
        <v/>
      </c>
      <c r="C289" s="50" t="n">
        <v>33.531536749514</v>
      </c>
      <c r="D289" s="50" t="n">
        <v>2.57934898073185</v>
      </c>
      <c r="E289" s="50" t="n">
        <v>12.8967449036592</v>
      </c>
      <c r="F289" s="50" t="n">
        <v>20.6347918458548</v>
      </c>
      <c r="G289" s="50" t="n">
        <v>7.73804694219555</v>
      </c>
      <c r="H289" s="50" t="n">
        <v>20.6347918458548</v>
      </c>
      <c r="I289" s="111">
        <f>(100*B289)/N289</f>
        <v/>
      </c>
      <c r="J289" s="112">
        <f>((C289+F289)*100)/B289</f>
        <v/>
      </c>
      <c r="K289" s="112">
        <f>((D289+G289)*100)/B289</f>
        <v/>
      </c>
      <c r="L289" s="112">
        <f>((E289+H289)*100)/B289</f>
        <v/>
      </c>
      <c r="M289" s="113" t="n"/>
      <c r="N289">
        <f>O289+P289+Q289+R289+S289+T289</f>
        <v/>
      </c>
      <c r="O289" s="50" t="n">
        <v>263.093596034648</v>
      </c>
      <c r="P289" s="50" t="n">
        <v>177.975079670497</v>
      </c>
      <c r="Q289" s="50" t="n">
        <v>85.11851636415101</v>
      </c>
      <c r="R289" s="50" t="n">
        <v>791.8601370846779</v>
      </c>
      <c r="S289" s="50" t="n">
        <v>557.139379838079</v>
      </c>
      <c r="T289" s="50" t="n">
        <v>260.514247053916</v>
      </c>
      <c r="U289" s="50" t="n">
        <v>75</v>
      </c>
      <c r="V289" s="112">
        <f>((O289+R289)*100)/N289</f>
        <v/>
      </c>
      <c r="W289" s="112">
        <f>((P289+S289)*100)/N289</f>
        <v/>
      </c>
      <c r="X289" s="112">
        <f>((Q289+T289)*100)/N289</f>
        <v/>
      </c>
    </row>
    <row r="290" ht="22.5" customHeight="1" s="150">
      <c r="A290" s="34" t="n">
        <v>288</v>
      </c>
      <c r="B290">
        <f>C290+D290+E290+F290+G290+H290</f>
        <v/>
      </c>
      <c r="C290" s="50" t="n">
        <v>38.6902347109777</v>
      </c>
      <c r="D290" s="50" t="n">
        <v>5.1586979614637</v>
      </c>
      <c r="E290" s="50" t="n">
        <v>12.8967449036592</v>
      </c>
      <c r="F290" s="50" t="n">
        <v>18.0554428651229</v>
      </c>
      <c r="G290" s="50" t="n">
        <v>0</v>
      </c>
      <c r="H290" s="50" t="n">
        <v>2.57934898073185</v>
      </c>
      <c r="I290" s="111">
        <f>(100*B290)/N290</f>
        <v/>
      </c>
      <c r="J290" s="112">
        <f>((C290+F290)*100)/B290</f>
        <v/>
      </c>
      <c r="K290" s="112">
        <f>((D290+G290)*100)/B290</f>
        <v/>
      </c>
      <c r="L290" s="112">
        <f>((E290+H290)*100)/B290</f>
        <v/>
      </c>
      <c r="M290" s="113" t="n"/>
      <c r="N290">
        <f>O290+P290+Q290+R290+S290+T290</f>
        <v/>
      </c>
      <c r="O290" s="50" t="n">
        <v>239.879455208062</v>
      </c>
      <c r="P290" s="50" t="n">
        <v>177.975079670497</v>
      </c>
      <c r="Q290" s="50" t="n">
        <v>72.22177146049179</v>
      </c>
      <c r="R290" s="50" t="n">
        <v>157.340287824642</v>
      </c>
      <c r="S290" s="50" t="n">
        <v>134.126146998056</v>
      </c>
      <c r="T290" s="50" t="n">
        <v>49.0076306339051</v>
      </c>
      <c r="U290" s="50" t="n">
        <v>70</v>
      </c>
      <c r="V290" s="112">
        <f>((O290+R290)*100)/N290</f>
        <v/>
      </c>
      <c r="W290" s="112">
        <f>((P290+S290)*100)/N290</f>
        <v/>
      </c>
      <c r="X290" s="112">
        <f>((Q290+T290)*100)/N290</f>
        <v/>
      </c>
    </row>
    <row r="291" ht="22.5" customHeight="1" s="150">
      <c r="A291" s="34" t="n">
        <v>289</v>
      </c>
      <c r="B291">
        <f>C291+D291+E291+F291+G291+H291</f>
        <v/>
      </c>
      <c r="C291" s="50" t="n">
        <v>85.11851636415101</v>
      </c>
      <c r="D291" s="50" t="n">
        <v>0</v>
      </c>
      <c r="E291" s="50" t="n">
        <v>0</v>
      </c>
      <c r="F291" s="50" t="n">
        <v>2.57934898073185</v>
      </c>
      <c r="G291" s="50" t="n">
        <v>0</v>
      </c>
      <c r="H291" s="50" t="n">
        <v>0</v>
      </c>
      <c r="I291" s="111">
        <f>(100*B291)/N291</f>
        <v/>
      </c>
      <c r="J291" s="112">
        <f>((C291+F291)*100)/B291</f>
        <v/>
      </c>
      <c r="K291" s="112">
        <f>((D291+G291)*100)/B291</f>
        <v/>
      </c>
      <c r="L291" s="112">
        <f>((E291+H291)*100)/B291</f>
        <v/>
      </c>
      <c r="M291" s="113" t="n"/>
      <c r="N291">
        <f>O291+P291+Q291+R291+S291+T291</f>
        <v/>
      </c>
      <c r="O291" s="50" t="n">
        <v>226.982710304402</v>
      </c>
      <c r="P291" s="50" t="n">
        <v>177.975079670497</v>
      </c>
      <c r="Q291" s="50" t="n">
        <v>72.22177146049179</v>
      </c>
      <c r="R291" s="50" t="n">
        <v>23.2141408265866</v>
      </c>
      <c r="S291" s="50" t="n">
        <v>64.4837245182962</v>
      </c>
      <c r="T291" s="50" t="n">
        <v>20.6347918458548</v>
      </c>
      <c r="U291" s="50" t="n">
        <v>64</v>
      </c>
      <c r="V291" s="112">
        <f>((O291+R291)*100)/N291</f>
        <v/>
      </c>
      <c r="W291" s="112">
        <f>((P291+S291)*100)/N291</f>
        <v/>
      </c>
      <c r="X291" s="112">
        <f>((Q291+T291)*100)/N291</f>
        <v/>
      </c>
    </row>
    <row r="292" ht="22.5" customHeight="1" s="150">
      <c r="A292" s="34" t="n">
        <v>290</v>
      </c>
      <c r="B292">
        <f>C292+D292+E292+F292+G292+H292</f>
        <v/>
      </c>
      <c r="C292" s="50" t="n">
        <v>74.8011204412236</v>
      </c>
      <c r="D292" s="50" t="n">
        <v>5.1586979614637</v>
      </c>
      <c r="E292" s="50" t="n">
        <v>20.6347918458548</v>
      </c>
      <c r="F292" s="50" t="n">
        <v>64.4837245182962</v>
      </c>
      <c r="G292" s="50" t="n">
        <v>0</v>
      </c>
      <c r="H292" s="50" t="n">
        <v>2.57934898073185</v>
      </c>
      <c r="I292" s="111">
        <f>(100*B292)/N292</f>
        <v/>
      </c>
      <c r="J292" s="112">
        <f>((C292+F292)*100)/B292</f>
        <v/>
      </c>
      <c r="K292" s="112">
        <f>((D292+G292)*100)/B292</f>
        <v/>
      </c>
      <c r="L292" s="112">
        <f>((E292+H292)*100)/B292</f>
        <v/>
      </c>
      <c r="M292" s="113" t="n"/>
      <c r="N292">
        <f>O292+P292+Q292+R292+S292+T292</f>
        <v/>
      </c>
      <c r="O292" s="50" t="n">
        <v>247.617502150257</v>
      </c>
      <c r="P292" s="50" t="n">
        <v>139.284844959519</v>
      </c>
      <c r="Q292" s="50" t="n">
        <v>64.4837245182962</v>
      </c>
      <c r="R292" s="50" t="n">
        <v>595.8296145490571</v>
      </c>
      <c r="S292" s="50" t="n">
        <v>502.97305124271</v>
      </c>
      <c r="T292" s="50" t="n">
        <v>105.753308210005</v>
      </c>
      <c r="U292" s="50" t="n">
        <v>88</v>
      </c>
      <c r="V292" s="112">
        <f>((O292+R292)*100)/N292</f>
        <v/>
      </c>
      <c r="W292" s="112">
        <f>((P292+S292)*100)/N292</f>
        <v/>
      </c>
      <c r="X292" s="112">
        <f>((Q292+T292)*100)/N292</f>
        <v/>
      </c>
    </row>
    <row r="293" ht="22.5" customHeight="1" s="150">
      <c r="A293" s="34" t="n">
        <v>291</v>
      </c>
      <c r="B293">
        <f>C293+D293+E293+F293+G293+H293</f>
        <v/>
      </c>
      <c r="C293" s="50" t="n">
        <v>41.2695836917096</v>
      </c>
      <c r="D293" s="50" t="n">
        <v>0</v>
      </c>
      <c r="E293" s="50" t="n">
        <v>2.57934898073185</v>
      </c>
      <c r="F293" s="50" t="n">
        <v>2.57934898073185</v>
      </c>
      <c r="G293" s="50" t="n">
        <v>0</v>
      </c>
      <c r="H293" s="50" t="n">
        <v>0</v>
      </c>
      <c r="I293" s="111">
        <f>(100*B293)/N293</f>
        <v/>
      </c>
      <c r="J293" s="112">
        <f>((C293+F293)*100)/B293</f>
        <v/>
      </c>
      <c r="K293" s="112">
        <f>((D293+G293)*100)/B293</f>
        <v/>
      </c>
      <c r="L293" s="112">
        <f>((E293+H293)*100)/B293</f>
        <v/>
      </c>
      <c r="M293" s="113" t="n"/>
      <c r="N293">
        <f>O293+P293+Q293+R293+S293+T293</f>
        <v/>
      </c>
      <c r="O293" s="50" t="n">
        <v>226.982710304402</v>
      </c>
      <c r="P293" s="50" t="n">
        <v>157.340287824642</v>
      </c>
      <c r="Q293" s="50" t="n">
        <v>61.9043755375644</v>
      </c>
      <c r="R293" s="50" t="n">
        <v>28.3728387880503</v>
      </c>
      <c r="S293" s="50" t="n">
        <v>12.8967449036592</v>
      </c>
      <c r="T293" s="50" t="n">
        <v>5.1586979614637</v>
      </c>
      <c r="U293" s="50" t="n">
        <v>59</v>
      </c>
      <c r="V293" s="112">
        <f>((O293+R293)*100)/N293</f>
        <v/>
      </c>
      <c r="W293" s="112">
        <f>((P293+S293)*100)/N293</f>
        <v/>
      </c>
      <c r="X293" s="112">
        <f>((Q293+T293)*100)/N293</f>
        <v/>
      </c>
    </row>
    <row r="294" ht="22.5" customHeight="1" s="150">
      <c r="A294" s="34" t="n">
        <v>292</v>
      </c>
      <c r="B294">
        <f>C294+D294+E294+F294+G294+H294</f>
        <v/>
      </c>
      <c r="C294" s="50" t="n">
        <v>82.5391673834192</v>
      </c>
      <c r="D294" s="50" t="n">
        <v>10.3173959229274</v>
      </c>
      <c r="E294" s="50" t="n">
        <v>15.4760938843911</v>
      </c>
      <c r="F294" s="50" t="n">
        <v>72.22177146049179</v>
      </c>
      <c r="G294" s="50" t="n">
        <v>10.3173959229274</v>
      </c>
      <c r="H294" s="50" t="n">
        <v>12.8967449036592</v>
      </c>
      <c r="I294" s="111">
        <f>(100*B294)/N294</f>
        <v/>
      </c>
      <c r="J294" s="112">
        <f>((C294+F294)*100)/B294</f>
        <v/>
      </c>
      <c r="K294" s="112">
        <f>((D294+G294)*100)/B294</f>
        <v/>
      </c>
      <c r="L294" s="112">
        <f>((E294+H294)*100)/B294</f>
        <v/>
      </c>
      <c r="M294" s="113" t="n"/>
      <c r="N294">
        <f>O294+P294+Q294+R294+S294+T294</f>
        <v/>
      </c>
      <c r="O294" s="50" t="n">
        <v>234.720757246598</v>
      </c>
      <c r="P294" s="50" t="n">
        <v>172.816381709033</v>
      </c>
      <c r="Q294" s="50" t="n">
        <v>54.1663285953688</v>
      </c>
      <c r="R294" s="50" t="n">
        <v>283.728387880503</v>
      </c>
      <c r="S294" s="50" t="n">
        <v>237.30010622733</v>
      </c>
      <c r="T294" s="50" t="n">
        <v>54.1663285953688</v>
      </c>
      <c r="U294" s="50" t="n">
        <v>83</v>
      </c>
      <c r="V294" s="112">
        <f>((O294+R294)*100)/N294</f>
        <v/>
      </c>
      <c r="W294" s="112">
        <f>((P294+S294)*100)/N294</f>
        <v/>
      </c>
      <c r="X294" s="112">
        <f>((Q294+T294)*100)/N294</f>
        <v/>
      </c>
    </row>
    <row r="295" ht="22.5" customHeight="1" s="150">
      <c r="A295" s="34" t="n">
        <v>293</v>
      </c>
      <c r="B295">
        <f>C295+D295+E295+F295+G295+H295</f>
        <v/>
      </c>
      <c r="C295" s="50" t="n">
        <v>105.753308210005</v>
      </c>
      <c r="D295" s="50" t="n">
        <v>5.1586979614637</v>
      </c>
      <c r="E295" s="50" t="n">
        <v>7.73804694219555</v>
      </c>
      <c r="F295" s="50" t="n">
        <v>98.0152612678103</v>
      </c>
      <c r="G295" s="50" t="n">
        <v>12.8967449036592</v>
      </c>
      <c r="H295" s="50" t="n">
        <v>0</v>
      </c>
      <c r="I295" s="111">
        <f>(100*B295)/N295</f>
        <v/>
      </c>
      <c r="J295" s="112">
        <f>((C295+F295)*100)/B295</f>
        <v/>
      </c>
      <c r="K295" s="112">
        <f>((D295+G295)*100)/B295</f>
        <v/>
      </c>
      <c r="L295" s="112">
        <f>((E295+H295)*100)/B295</f>
        <v/>
      </c>
      <c r="M295" s="113" t="n"/>
      <c r="N295">
        <f>O295+P295+Q295+R295+S295+T295</f>
        <v/>
      </c>
      <c r="O295" s="50" t="n">
        <v>237.30010622733</v>
      </c>
      <c r="P295" s="50" t="n">
        <v>157.340287824642</v>
      </c>
      <c r="Q295" s="50" t="n">
        <v>56.7456775761007</v>
      </c>
      <c r="R295" s="50" t="n">
        <v>497.814353281247</v>
      </c>
      <c r="S295" s="50" t="n">
        <v>245.038153169525</v>
      </c>
      <c r="T295" s="50" t="n">
        <v>59.3250265568325</v>
      </c>
      <c r="U295" s="50" t="n">
        <v>85</v>
      </c>
      <c r="V295" s="112">
        <f>((O295+R295)*100)/N295</f>
        <v/>
      </c>
      <c r="W295" s="112">
        <f>((P295+S295)*100)/N295</f>
        <v/>
      </c>
      <c r="X295" s="112">
        <f>((Q295+T295)*100)/N295</f>
        <v/>
      </c>
    </row>
    <row r="296" ht="22.5" customHeight="1" s="150">
      <c r="A296" s="34" t="n">
        <v>294</v>
      </c>
      <c r="B296">
        <f>C296+D296+E296+F296+G296+H296</f>
        <v/>
      </c>
      <c r="C296" s="50" t="n">
        <v>72.22177146049179</v>
      </c>
      <c r="D296" s="50" t="n">
        <v>12.8967449036592</v>
      </c>
      <c r="E296" s="50" t="n">
        <v>10.3173959229274</v>
      </c>
      <c r="F296" s="50" t="n">
        <v>95.43591228707839</v>
      </c>
      <c r="G296" s="50" t="n">
        <v>36.1108857302459</v>
      </c>
      <c r="H296" s="50" t="n">
        <v>2.57934898073185</v>
      </c>
      <c r="I296" s="111">
        <f>(100*B296)/N296</f>
        <v/>
      </c>
      <c r="J296" s="112">
        <f>((C296+F296)*100)/B296</f>
        <v/>
      </c>
      <c r="K296" s="112">
        <f>((D296+G296)*100)/B296</f>
        <v/>
      </c>
      <c r="L296" s="112">
        <f>((E296+H296)*100)/B296</f>
        <v/>
      </c>
      <c r="M296" s="113" t="n"/>
      <c r="N296">
        <f>O296+P296+Q296+R296+S296+T296</f>
        <v/>
      </c>
      <c r="O296" s="50" t="n">
        <v>219.244663362207</v>
      </c>
      <c r="P296" s="50" t="n">
        <v>113.491355152201</v>
      </c>
      <c r="Q296" s="50" t="n">
        <v>61.9043755375644</v>
      </c>
      <c r="R296" s="50" t="n">
        <v>1000.78740452395</v>
      </c>
      <c r="S296" s="50" t="n">
        <v>456.544769589537</v>
      </c>
      <c r="T296" s="50" t="n">
        <v>157.340287824642</v>
      </c>
      <c r="U296" s="50" t="n">
        <v>75</v>
      </c>
      <c r="V296" s="112">
        <f>((O296+R296)*100)/N296</f>
        <v/>
      </c>
      <c r="W296" s="112">
        <f>((P296+S296)*100)/N296</f>
        <v/>
      </c>
      <c r="X296" s="112">
        <f>((Q296+T296)*100)/N296</f>
        <v/>
      </c>
    </row>
    <row r="297" ht="22.5" customHeight="1" s="150">
      <c r="A297" s="34" t="n">
        <v>295</v>
      </c>
      <c r="B297">
        <f>C297+D297+E297+F297+G297+H297</f>
        <v/>
      </c>
      <c r="C297" s="50" t="n">
        <v>46.4282816531733</v>
      </c>
      <c r="D297" s="50" t="n">
        <v>5.1586979614637</v>
      </c>
      <c r="E297" s="50" t="n">
        <v>0</v>
      </c>
      <c r="F297" s="50" t="n">
        <v>15.4760938843911</v>
      </c>
      <c r="G297" s="50" t="n">
        <v>2.57934898073185</v>
      </c>
      <c r="H297" s="50" t="n">
        <v>0</v>
      </c>
      <c r="I297" s="111">
        <f>(100*B297)/N297</f>
        <v/>
      </c>
      <c r="J297" s="112">
        <f>((C297+F297)*100)/B297</f>
        <v/>
      </c>
      <c r="K297" s="112">
        <f>((D297+G297)*100)/B297</f>
        <v/>
      </c>
      <c r="L297" s="112">
        <f>((E297+H297)*100)/B297</f>
        <v/>
      </c>
      <c r="M297" s="113" t="n"/>
      <c r="N297">
        <f>O297+P297+Q297+R297+S297+T297</f>
        <v/>
      </c>
      <c r="O297" s="50" t="n">
        <v>201.189220497084</v>
      </c>
      <c r="P297" s="50" t="n">
        <v>128.967449036592</v>
      </c>
      <c r="Q297" s="50" t="n">
        <v>61.9043755375644</v>
      </c>
      <c r="R297" s="50" t="n">
        <v>123.808751075128</v>
      </c>
      <c r="S297" s="50" t="n">
        <v>95.43591228707839</v>
      </c>
      <c r="T297" s="50" t="n">
        <v>23.2141408265866</v>
      </c>
      <c r="U297" s="50" t="n">
        <v>83</v>
      </c>
      <c r="V297" s="112">
        <f>((O297+R297)*100)/N297</f>
        <v/>
      </c>
      <c r="W297" s="112">
        <f>((P297+S297)*100)/N297</f>
        <v/>
      </c>
      <c r="X297" s="112">
        <f>((Q297+T297)*100)/N297</f>
        <v/>
      </c>
    </row>
    <row r="298" ht="22.5" customHeight="1" s="150">
      <c r="A298" s="34" t="n">
        <v>296</v>
      </c>
      <c r="B298">
        <f>C298+D298+E298+F298+G298+H298</f>
        <v/>
      </c>
      <c r="C298" s="50" t="n">
        <v>36.1108857302459</v>
      </c>
      <c r="D298" s="50" t="n">
        <v>7.73804694219555</v>
      </c>
      <c r="E298" s="50" t="n">
        <v>10.3173959229274</v>
      </c>
      <c r="F298" s="50" t="n">
        <v>15.4760938843911</v>
      </c>
      <c r="G298" s="50" t="n">
        <v>2.57934898073185</v>
      </c>
      <c r="H298" s="50" t="n">
        <v>5.1586979614637</v>
      </c>
      <c r="I298" s="111">
        <f>(100*B298)/N298</f>
        <v/>
      </c>
      <c r="J298" s="112">
        <f>((C298+F298)*100)/B298</f>
        <v/>
      </c>
      <c r="K298" s="112">
        <f>((D298+G298)*100)/B298</f>
        <v/>
      </c>
      <c r="L298" s="112">
        <f>((E298+H298)*100)/B298</f>
        <v/>
      </c>
      <c r="M298" s="113" t="n"/>
      <c r="N298">
        <f>O298+P298+Q298+R298+S298+T298</f>
        <v/>
      </c>
      <c r="O298" s="50" t="n">
        <v>196.03052253562</v>
      </c>
      <c r="P298" s="50" t="n">
        <v>126.38810005586</v>
      </c>
      <c r="Q298" s="50" t="n">
        <v>61.9043755375644</v>
      </c>
      <c r="R298" s="50" t="n">
        <v>278.569689919039</v>
      </c>
      <c r="S298" s="50" t="n">
        <v>170.237032728302</v>
      </c>
      <c r="T298" s="50" t="n">
        <v>98.0152612678103</v>
      </c>
      <c r="U298" s="50" t="n">
        <v>85</v>
      </c>
      <c r="V298" s="112">
        <f>((O298+R298)*100)/N298</f>
        <v/>
      </c>
      <c r="W298" s="112">
        <f>((P298+S298)*100)/N298</f>
        <v/>
      </c>
      <c r="X298" s="112">
        <f>((Q298+T298)*100)/N298</f>
        <v/>
      </c>
    </row>
    <row r="299" ht="22.5" customHeight="1" s="150">
      <c r="A299" s="34" t="n">
        <v>297</v>
      </c>
      <c r="B299">
        <f>C299+D299+E299+F299+G299+H299</f>
        <v/>
      </c>
      <c r="C299" s="50" t="n">
        <v>87.6978653448828</v>
      </c>
      <c r="D299" s="50" t="n">
        <v>0</v>
      </c>
      <c r="E299" s="50" t="n">
        <v>2.57934898073185</v>
      </c>
      <c r="F299" s="50" t="n">
        <v>36.1108857302459</v>
      </c>
      <c r="G299" s="50" t="n">
        <v>0</v>
      </c>
      <c r="H299" s="50" t="n">
        <v>5.1586979614637</v>
      </c>
      <c r="I299" s="111">
        <f>(100*B299)/N299</f>
        <v/>
      </c>
      <c r="J299" s="112">
        <f>((C299+F299)*100)/B299</f>
        <v/>
      </c>
      <c r="K299" s="112">
        <f>((D299+G299)*100)/B299</f>
        <v/>
      </c>
      <c r="L299" s="112">
        <f>((E299+H299)*100)/B299</f>
        <v/>
      </c>
      <c r="M299" s="113" t="n"/>
      <c r="N299">
        <f>O299+P299+Q299+R299+S299+T299</f>
        <v/>
      </c>
      <c r="O299" s="50" t="n">
        <v>206.347918458547</v>
      </c>
      <c r="P299" s="50" t="n">
        <v>128.967449036592</v>
      </c>
      <c r="Q299" s="50" t="n">
        <v>56.7456775761007</v>
      </c>
      <c r="R299" s="50" t="n">
        <v>131.546798017324</v>
      </c>
      <c r="S299" s="50" t="n">
        <v>100.594610248542</v>
      </c>
      <c r="T299" s="50" t="n">
        <v>54.1663285953688</v>
      </c>
      <c r="U299" s="50" t="n">
        <v>83</v>
      </c>
      <c r="V299" s="112">
        <f>((O299+R299)*100)/N299</f>
        <v/>
      </c>
      <c r="W299" s="112">
        <f>((P299+S299)*100)/N299</f>
        <v/>
      </c>
      <c r="X299" s="112">
        <f>((Q299+T299)*100)/N299</f>
        <v/>
      </c>
    </row>
    <row r="300" ht="22.5" customHeight="1" s="150">
      <c r="A300" s="34" t="n">
        <v>298</v>
      </c>
      <c r="B300">
        <f>C300+D300+E300+F300+G300+H300</f>
        <v/>
      </c>
      <c r="C300" s="50" t="n">
        <v>46.4282816531733</v>
      </c>
      <c r="D300" s="50" t="n">
        <v>10.3173959229274</v>
      </c>
      <c r="E300" s="50" t="n">
        <v>15.4760938843911</v>
      </c>
      <c r="F300" s="50" t="n">
        <v>69.6424224797599</v>
      </c>
      <c r="G300" s="50" t="n">
        <v>12.8967449036592</v>
      </c>
      <c r="H300" s="50" t="n">
        <v>0</v>
      </c>
      <c r="I300" s="111">
        <f>(100*B300)/N300</f>
        <v/>
      </c>
      <c r="J300" s="112">
        <f>((C300+F300)*100)/B300</f>
        <v/>
      </c>
      <c r="K300" s="112">
        <f>((D300+G300)*100)/B300</f>
        <v/>
      </c>
      <c r="L300" s="112">
        <f>((E300+H300)*100)/B300</f>
        <v/>
      </c>
      <c r="M300" s="113" t="n"/>
      <c r="N300">
        <f>O300+P300+Q300+R300+S300+T300</f>
        <v/>
      </c>
      <c r="O300" s="50" t="n">
        <v>196.03052253562</v>
      </c>
      <c r="P300" s="50" t="n">
        <v>118.650053113665</v>
      </c>
      <c r="Q300" s="50" t="n">
        <v>51.5869796146369</v>
      </c>
      <c r="R300" s="50" t="n">
        <v>820.232975872728</v>
      </c>
      <c r="S300" s="50" t="n">
        <v>466.862165512464</v>
      </c>
      <c r="T300" s="50" t="n">
        <v>226.982710304402</v>
      </c>
      <c r="U300" s="50" t="n">
        <v>88</v>
      </c>
      <c r="V300" s="112">
        <f>((O300+R300)*100)/N300</f>
        <v/>
      </c>
      <c r="W300" s="112">
        <f>((P300+S300)*100)/N300</f>
        <v/>
      </c>
      <c r="X300" s="112">
        <f>((Q300+T300)*100)/N300</f>
        <v/>
      </c>
    </row>
    <row r="301" ht="22.5" customHeight="1" s="150">
      <c r="A301" s="34" t="n">
        <v>299</v>
      </c>
      <c r="B301">
        <f>C301+D301+E301+F301+G301+H301</f>
        <v/>
      </c>
      <c r="C301" s="50" t="n">
        <v>72.22177146049179</v>
      </c>
      <c r="D301" s="50" t="n">
        <v>7.73804694219555</v>
      </c>
      <c r="E301" s="50" t="n">
        <v>12.8967449036592</v>
      </c>
      <c r="F301" s="50" t="n">
        <v>74.8011204412236</v>
      </c>
      <c r="G301" s="50" t="n">
        <v>15.4760938843911</v>
      </c>
      <c r="H301" s="50" t="n">
        <v>5.1586979614637</v>
      </c>
      <c r="I301" s="111">
        <f>(100*B301)/N301</f>
        <v/>
      </c>
      <c r="J301" s="112">
        <f>((C301+F301)*100)/B301</f>
        <v/>
      </c>
      <c r="K301" s="112">
        <f>((D301+G301)*100)/B301</f>
        <v/>
      </c>
      <c r="L301" s="112">
        <f>((E301+H301)*100)/B301</f>
        <v/>
      </c>
      <c r="M301" s="113" t="n"/>
      <c r="N301">
        <f>O301+P301+Q301+R301+S301+T301</f>
        <v/>
      </c>
      <c r="O301" s="50" t="n">
        <v>183.133777631961</v>
      </c>
      <c r="P301" s="50" t="n">
        <v>116.070704132933</v>
      </c>
      <c r="Q301" s="50" t="n">
        <v>49.0076306339051</v>
      </c>
      <c r="R301" s="50" t="n">
        <v>453.965420608805</v>
      </c>
      <c r="S301" s="50" t="n">
        <v>283.728387880503</v>
      </c>
      <c r="T301" s="50" t="n">
        <v>157.340287824642</v>
      </c>
      <c r="U301" s="50" t="n">
        <v>88</v>
      </c>
      <c r="V301" s="112">
        <f>((O301+R301)*100)/N301</f>
        <v/>
      </c>
      <c r="W301" s="112">
        <f>((P301+S301)*100)/N301</f>
        <v/>
      </c>
      <c r="X301" s="112">
        <f>((Q301+T301)*100)/N301</f>
        <v/>
      </c>
    </row>
    <row r="302" ht="22.5" customHeight="1" s="150">
      <c r="A302" s="34" t="n">
        <v>300</v>
      </c>
      <c r="B302">
        <f>C302+D302+E302+F302+G302+H302</f>
        <v/>
      </c>
      <c r="C302" s="50" t="n">
        <v>82.5391673834192</v>
      </c>
      <c r="D302" s="50" t="n">
        <v>0</v>
      </c>
      <c r="E302" s="50" t="n">
        <v>10.3173959229274</v>
      </c>
      <c r="F302" s="50" t="n">
        <v>46.4282816531733</v>
      </c>
      <c r="G302" s="50" t="n">
        <v>0</v>
      </c>
      <c r="H302" s="50" t="n">
        <v>2.57934898073185</v>
      </c>
      <c r="I302" s="111">
        <f>(100*B302)/N302</f>
        <v/>
      </c>
      <c r="J302" s="112">
        <f>((C302+F302)*100)/B302</f>
        <v/>
      </c>
      <c r="K302" s="112">
        <f>((D302+G302)*100)/B302</f>
        <v/>
      </c>
      <c r="L302" s="112">
        <f>((E302+H302)*100)/B302</f>
        <v/>
      </c>
      <c r="M302" s="113" t="n"/>
      <c r="N302">
        <f>O302+P302+Q302+R302+S302+T302</f>
        <v/>
      </c>
      <c r="O302" s="50" t="n">
        <v>183.133777631961</v>
      </c>
      <c r="P302" s="50" t="n">
        <v>118.650053113665</v>
      </c>
      <c r="Q302" s="50" t="n">
        <v>46.4282816531733</v>
      </c>
      <c r="R302" s="50" t="n">
        <v>247.617502150257</v>
      </c>
      <c r="S302" s="50" t="n">
        <v>149.602240882447</v>
      </c>
      <c r="T302" s="50" t="n">
        <v>98.0152612678103</v>
      </c>
      <c r="U302" s="50" t="n">
        <v>83</v>
      </c>
      <c r="V302" s="112">
        <f>((O302+R302)*100)/N302</f>
        <v/>
      </c>
      <c r="W302" s="112">
        <f>((P302+S302)*100)/N302</f>
        <v/>
      </c>
      <c r="X302" s="112">
        <f>((Q302+T302)*100)/N302</f>
        <v/>
      </c>
    </row>
    <row r="303" ht="22.5" customHeight="1" s="150">
      <c r="A303" s="34" t="n">
        <v>301</v>
      </c>
      <c r="C303" s="50" t="n"/>
      <c r="D303" s="50" t="n"/>
      <c r="E303" s="50" t="n"/>
      <c r="F303" s="50" t="n"/>
      <c r="G303" s="50" t="n"/>
      <c r="H303" s="50" t="n"/>
      <c r="I303" s="111" t="n"/>
      <c r="J303" s="112" t="n"/>
      <c r="K303" s="112" t="n"/>
      <c r="L303" s="112" t="n"/>
      <c r="M303" s="113" t="n"/>
      <c r="O303" s="50" t="n"/>
      <c r="P303" s="50" t="n"/>
      <c r="Q303" s="50" t="n"/>
      <c r="R303" s="50" t="n"/>
      <c r="S303" s="50" t="n"/>
      <c r="T303" s="50" t="n"/>
      <c r="U303" s="50" t="n"/>
      <c r="V303" s="112" t="n"/>
      <c r="W303" s="112" t="n"/>
      <c r="X303" s="112" t="n"/>
    </row>
    <row r="304" ht="22.5" customHeight="1" s="150">
      <c r="A304" s="34" t="n">
        <v>302</v>
      </c>
      <c r="C304" s="50" t="n"/>
      <c r="D304" s="50" t="n"/>
      <c r="E304" s="50" t="n"/>
      <c r="F304" s="50" t="n"/>
      <c r="G304" s="50" t="n"/>
      <c r="H304" s="50" t="n"/>
      <c r="I304" s="111" t="n"/>
      <c r="J304" s="112" t="n"/>
      <c r="K304" s="112" t="n"/>
      <c r="L304" s="112" t="n"/>
      <c r="M304" s="113" t="n"/>
      <c r="O304" s="50" t="n"/>
      <c r="P304" s="50" t="n"/>
      <c r="Q304" s="50" t="n"/>
      <c r="R304" s="50" t="n"/>
      <c r="S304" s="50" t="n"/>
      <c r="T304" s="50" t="n"/>
      <c r="U304" s="50" t="n"/>
      <c r="V304" s="112" t="n"/>
      <c r="W304" s="112" t="n"/>
      <c r="X304" s="112" t="n"/>
    </row>
    <row r="305" ht="22.5" customHeight="1" s="150">
      <c r="A305" s="34" t="n">
        <v>303</v>
      </c>
      <c r="C305" s="50" t="n"/>
      <c r="D305" s="50" t="n"/>
      <c r="E305" s="50" t="n"/>
      <c r="F305" s="50" t="n"/>
      <c r="G305" s="50" t="n"/>
      <c r="H305" s="50" t="n"/>
      <c r="I305" s="111" t="n"/>
      <c r="J305" s="112" t="n"/>
      <c r="K305" s="112" t="n"/>
      <c r="L305" s="112" t="n"/>
      <c r="M305" s="113" t="n"/>
      <c r="O305" s="50" t="n"/>
      <c r="P305" s="50" t="n"/>
      <c r="Q305" s="50" t="n"/>
      <c r="R305" s="50" t="n"/>
      <c r="S305" s="50" t="n"/>
      <c r="T305" s="50" t="n"/>
      <c r="U305" s="50" t="n"/>
      <c r="V305" s="112" t="n"/>
      <c r="W305" s="112" t="n"/>
      <c r="X305" s="112" t="n"/>
    </row>
    <row r="306" ht="22.5" customHeight="1" s="150">
      <c r="A306" s="34" t="n">
        <v>304</v>
      </c>
      <c r="C306" s="50" t="n"/>
      <c r="D306" s="50" t="n"/>
      <c r="E306" s="50" t="n"/>
      <c r="F306" s="50" t="n"/>
      <c r="G306" s="50" t="n"/>
      <c r="H306" s="50" t="n"/>
      <c r="I306" s="111" t="n"/>
      <c r="J306" s="112" t="n"/>
      <c r="K306" s="112" t="n"/>
      <c r="L306" s="112" t="n"/>
      <c r="M306" s="113" t="n"/>
      <c r="O306" s="50" t="n"/>
      <c r="P306" s="50" t="n"/>
      <c r="Q306" s="50" t="n"/>
      <c r="R306" s="50" t="n"/>
      <c r="S306" s="50" t="n"/>
      <c r="T306" s="50" t="n"/>
      <c r="U306" s="50" t="n"/>
      <c r="V306" s="112" t="n"/>
      <c r="W306" s="112" t="n"/>
      <c r="X306" s="112" t="n"/>
    </row>
    <row r="307" ht="22.5" customHeight="1" s="150">
      <c r="A307" s="34" t="n">
        <v>305</v>
      </c>
      <c r="C307" s="50" t="n"/>
      <c r="D307" s="50" t="n"/>
      <c r="E307" s="50" t="n"/>
      <c r="F307" s="50" t="n"/>
      <c r="G307" s="50" t="n"/>
      <c r="H307" s="50" t="n"/>
      <c r="I307" s="111" t="n"/>
      <c r="J307" s="112" t="n"/>
      <c r="K307" s="112" t="n"/>
      <c r="L307" s="112" t="n"/>
      <c r="M307" s="113" t="n"/>
      <c r="O307" s="50" t="n"/>
      <c r="P307" s="50" t="n"/>
      <c r="Q307" s="50" t="n"/>
      <c r="R307" s="50" t="n"/>
      <c r="S307" s="50" t="n"/>
      <c r="T307" s="50" t="n"/>
      <c r="U307" s="50" t="n"/>
      <c r="V307" s="112" t="n"/>
      <c r="W307" s="112" t="n"/>
      <c r="X307" s="112" t="n"/>
    </row>
    <row r="308" ht="22.5" customHeight="1" s="150">
      <c r="A308" s="34" t="n">
        <v>306</v>
      </c>
      <c r="C308" s="50" t="n"/>
      <c r="D308" s="50" t="n"/>
      <c r="E308" s="50" t="n"/>
      <c r="F308" s="50" t="n"/>
      <c r="G308" s="50" t="n"/>
      <c r="H308" s="50" t="n"/>
      <c r="I308" s="111" t="n"/>
      <c r="J308" s="112" t="n"/>
      <c r="K308" s="112" t="n"/>
      <c r="L308" s="112" t="n"/>
      <c r="M308" s="113" t="n"/>
      <c r="O308" s="50" t="n"/>
      <c r="P308" s="50" t="n"/>
      <c r="Q308" s="50" t="n"/>
      <c r="R308" s="50" t="n"/>
      <c r="S308" s="50" t="n"/>
      <c r="T308" s="50" t="n"/>
      <c r="U308" s="50" t="n"/>
      <c r="V308" s="112" t="n"/>
      <c r="W308" s="112" t="n"/>
      <c r="X308" s="112" t="n"/>
    </row>
    <row r="309" ht="22.5" customHeight="1" s="150">
      <c r="A309" s="34" t="n">
        <v>307</v>
      </c>
      <c r="C309" s="50" t="n"/>
      <c r="D309" s="50" t="n"/>
      <c r="E309" s="50" t="n"/>
      <c r="F309" s="50" t="n"/>
      <c r="G309" s="50" t="n"/>
      <c r="H309" s="50" t="n"/>
      <c r="I309" s="111" t="n"/>
      <c r="J309" s="112" t="n"/>
      <c r="K309" s="112" t="n"/>
      <c r="L309" s="112" t="n"/>
      <c r="M309" s="113" t="n"/>
      <c r="O309" s="50" t="n"/>
      <c r="P309" s="50" t="n"/>
      <c r="Q309" s="50" t="n"/>
      <c r="R309" s="50" t="n"/>
      <c r="S309" s="50" t="n"/>
      <c r="T309" s="50" t="n"/>
      <c r="U309" s="50" t="n"/>
      <c r="V309" s="112" t="n"/>
      <c r="W309" s="112" t="n"/>
      <c r="X309" s="112" t="n"/>
    </row>
    <row r="310" ht="22.5" customHeight="1" s="150">
      <c r="A310" s="34" t="n">
        <v>308</v>
      </c>
      <c r="C310" s="50" t="n"/>
      <c r="D310" s="50" t="n"/>
      <c r="E310" s="50" t="n"/>
      <c r="F310" s="50" t="n"/>
      <c r="G310" s="50" t="n"/>
      <c r="H310" s="50" t="n"/>
      <c r="I310" s="111" t="n"/>
      <c r="J310" s="112" t="n"/>
      <c r="K310" s="112" t="n"/>
      <c r="L310" s="112" t="n"/>
      <c r="M310" s="113" t="n"/>
      <c r="O310" s="50" t="n"/>
      <c r="P310" s="50" t="n"/>
      <c r="Q310" s="50" t="n"/>
      <c r="R310" s="50" t="n"/>
      <c r="S310" s="50" t="n"/>
      <c r="T310" s="50" t="n"/>
      <c r="U310" s="50" t="n"/>
      <c r="V310" s="112" t="n"/>
      <c r="W310" s="112" t="n"/>
      <c r="X310" s="112" t="n"/>
    </row>
    <row r="311" ht="22.5" customHeight="1" s="150">
      <c r="A311" s="34" t="n">
        <v>309</v>
      </c>
      <c r="C311" s="50" t="n"/>
      <c r="D311" s="50" t="n"/>
      <c r="E311" s="50" t="n"/>
      <c r="F311" s="50" t="n"/>
      <c r="G311" s="50" t="n"/>
      <c r="H311" s="50" t="n"/>
      <c r="I311" s="111" t="n"/>
      <c r="J311" s="112" t="n"/>
      <c r="K311" s="112" t="n"/>
      <c r="L311" s="112" t="n"/>
      <c r="M311" s="113" t="n"/>
      <c r="O311" s="50" t="n"/>
      <c r="P311" s="50" t="n"/>
      <c r="Q311" s="50" t="n"/>
      <c r="R311" s="50" t="n"/>
      <c r="S311" s="50" t="n"/>
      <c r="T311" s="50" t="n"/>
      <c r="U311" s="50" t="n"/>
      <c r="V311" s="112" t="n"/>
      <c r="W311" s="112" t="n"/>
      <c r="X311" s="112" t="n"/>
    </row>
    <row r="312" ht="22.5" customHeight="1" s="150">
      <c r="A312" s="34" t="n">
        <v>310</v>
      </c>
      <c r="C312" s="50" t="n"/>
      <c r="D312" s="50" t="n"/>
      <c r="E312" s="50" t="n"/>
      <c r="F312" s="50" t="n"/>
      <c r="G312" s="50" t="n"/>
      <c r="H312" s="50" t="n"/>
      <c r="I312" s="111" t="n"/>
      <c r="J312" s="112" t="n"/>
      <c r="K312" s="112" t="n"/>
      <c r="L312" s="112" t="n"/>
      <c r="M312" s="113" t="n"/>
      <c r="O312" s="50" t="n"/>
      <c r="P312" s="50" t="n"/>
      <c r="Q312" s="50" t="n"/>
      <c r="R312" s="50" t="n"/>
      <c r="S312" s="50" t="n"/>
      <c r="T312" s="50" t="n"/>
      <c r="U312" s="50" t="n"/>
      <c r="V312" s="112" t="n"/>
      <c r="W312" s="112" t="n"/>
      <c r="X312" s="112" t="n"/>
    </row>
    <row r="313" ht="22.5" customHeight="1" s="150">
      <c r="A313" s="34" t="n">
        <v>311</v>
      </c>
      <c r="C313" s="50" t="n"/>
      <c r="D313" s="50" t="n"/>
      <c r="E313" s="50" t="n"/>
      <c r="F313" s="50" t="n"/>
      <c r="G313" s="50" t="n"/>
      <c r="H313" s="50" t="n"/>
      <c r="I313" s="111" t="n"/>
      <c r="J313" s="112" t="n"/>
      <c r="K313" s="112" t="n"/>
      <c r="L313" s="112" t="n"/>
      <c r="M313" s="113" t="n"/>
      <c r="O313" s="50" t="n"/>
      <c r="P313" s="50" t="n"/>
      <c r="Q313" s="50" t="n"/>
      <c r="R313" s="50" t="n"/>
      <c r="S313" s="50" t="n"/>
      <c r="T313" s="50" t="n"/>
      <c r="U313" s="50" t="n"/>
      <c r="V313" s="112" t="n"/>
      <c r="W313" s="112" t="n"/>
      <c r="X313" s="112" t="n"/>
    </row>
    <row r="314" ht="22.5" customHeight="1" s="150">
      <c r="A314" s="34" t="n">
        <v>312</v>
      </c>
      <c r="C314" s="50" t="n"/>
      <c r="D314" s="50" t="n"/>
      <c r="E314" s="50" t="n"/>
      <c r="F314" s="50" t="n"/>
      <c r="G314" s="50" t="n"/>
      <c r="H314" s="50" t="n"/>
      <c r="I314" s="111" t="n"/>
      <c r="J314" s="112" t="n"/>
      <c r="K314" s="112" t="n"/>
      <c r="L314" s="112" t="n"/>
      <c r="M314" s="113" t="n"/>
      <c r="O314" s="50" t="n"/>
      <c r="P314" s="50" t="n"/>
      <c r="Q314" s="50" t="n"/>
      <c r="R314" s="50" t="n"/>
      <c r="S314" s="50" t="n"/>
      <c r="T314" s="50" t="n"/>
      <c r="U314" s="50" t="n"/>
      <c r="V314" s="112" t="n"/>
      <c r="W314" s="112" t="n"/>
      <c r="X314" s="112" t="n"/>
    </row>
    <row r="315" ht="22.5" customHeight="1" s="150">
      <c r="A315" s="34" t="n">
        <v>313</v>
      </c>
      <c r="C315" s="50" t="n"/>
      <c r="D315" s="50" t="n"/>
      <c r="E315" s="50" t="n"/>
      <c r="F315" s="50" t="n"/>
      <c r="G315" s="50" t="n"/>
      <c r="H315" s="50" t="n"/>
      <c r="I315" s="111" t="n"/>
      <c r="J315" s="112" t="n"/>
      <c r="K315" s="112" t="n"/>
      <c r="L315" s="112" t="n"/>
      <c r="M315" s="113" t="n"/>
      <c r="O315" s="50" t="n"/>
      <c r="P315" s="50" t="n"/>
      <c r="Q315" s="50" t="n"/>
      <c r="R315" s="50" t="n"/>
      <c r="S315" s="50" t="n"/>
      <c r="T315" s="50" t="n"/>
      <c r="U315" s="50" t="n"/>
      <c r="V315" s="112" t="n"/>
      <c r="W315" s="112" t="n"/>
      <c r="X315" s="112" t="n"/>
    </row>
    <row r="316" ht="22.5" customHeight="1" s="150">
      <c r="A316" s="34" t="n">
        <v>314</v>
      </c>
      <c r="C316" s="50" t="n"/>
      <c r="D316" s="50" t="n"/>
      <c r="E316" s="50" t="n"/>
      <c r="F316" s="50" t="n"/>
      <c r="G316" s="50" t="n"/>
      <c r="H316" s="50" t="n"/>
      <c r="I316" s="111" t="n"/>
      <c r="J316" s="112" t="n"/>
      <c r="K316" s="112" t="n"/>
      <c r="L316" s="112" t="n"/>
      <c r="M316" s="113" t="n"/>
      <c r="O316" s="50" t="n"/>
      <c r="P316" s="50" t="n"/>
      <c r="Q316" s="50" t="n"/>
      <c r="R316" s="50" t="n"/>
      <c r="S316" s="50" t="n"/>
      <c r="T316" s="50" t="n"/>
      <c r="U316" s="50" t="n"/>
      <c r="V316" s="112" t="n"/>
      <c r="W316" s="112" t="n"/>
      <c r="X316" s="112" t="n"/>
    </row>
    <row r="317" ht="22.5" customHeight="1" s="150">
      <c r="A317" s="34" t="n">
        <v>315</v>
      </c>
      <c r="C317" s="50" t="n"/>
      <c r="D317" s="50" t="n"/>
      <c r="E317" s="50" t="n"/>
      <c r="F317" s="50" t="n"/>
      <c r="G317" s="50" t="n"/>
      <c r="H317" s="50" t="n"/>
      <c r="I317" s="111" t="n"/>
      <c r="J317" s="112" t="n"/>
      <c r="K317" s="112" t="n"/>
      <c r="L317" s="112" t="n"/>
      <c r="M317" s="113" t="n"/>
      <c r="O317" s="50" t="n"/>
      <c r="P317" s="50" t="n"/>
      <c r="Q317" s="50" t="n"/>
      <c r="R317" s="50" t="n"/>
      <c r="S317" s="50" t="n"/>
      <c r="T317" s="50" t="n"/>
      <c r="U317" s="50" t="n"/>
      <c r="V317" s="112" t="n"/>
      <c r="W317" s="112" t="n"/>
      <c r="X317" s="112" t="n"/>
    </row>
    <row r="318" ht="22.5" customHeight="1" s="150">
      <c r="A318" s="34" t="n">
        <v>316</v>
      </c>
      <c r="C318" s="50" t="n"/>
      <c r="D318" s="50" t="n"/>
      <c r="E318" s="50" t="n"/>
      <c r="F318" s="50" t="n"/>
      <c r="G318" s="50" t="n"/>
      <c r="H318" s="50" t="n"/>
      <c r="I318" s="111" t="n"/>
      <c r="J318" s="112" t="n"/>
      <c r="K318" s="112" t="n"/>
      <c r="L318" s="112" t="n"/>
      <c r="M318" s="113" t="n"/>
      <c r="O318" s="50" t="n"/>
      <c r="P318" s="50" t="n"/>
      <c r="Q318" s="50" t="n"/>
      <c r="R318" s="50" t="n"/>
      <c r="S318" s="50" t="n"/>
      <c r="T318" s="50" t="n"/>
      <c r="U318" s="50" t="n"/>
      <c r="V318" s="112" t="n"/>
      <c r="W318" s="112" t="n"/>
      <c r="X318" s="112" t="n"/>
    </row>
    <row r="319" ht="22.5" customHeight="1" s="150">
      <c r="A319" s="34" t="n">
        <v>317</v>
      </c>
      <c r="C319" s="50" t="n"/>
      <c r="D319" s="50" t="n"/>
      <c r="E319" s="50" t="n"/>
      <c r="F319" s="50" t="n"/>
      <c r="G319" s="50" t="n"/>
      <c r="H319" s="50" t="n"/>
      <c r="I319" s="111" t="n"/>
      <c r="J319" s="112" t="n"/>
      <c r="K319" s="112" t="n"/>
      <c r="L319" s="112" t="n"/>
      <c r="M319" s="113" t="n"/>
      <c r="O319" s="50" t="n"/>
      <c r="P319" s="50" t="n"/>
      <c r="Q319" s="50" t="n"/>
      <c r="R319" s="50" t="n"/>
      <c r="S319" s="50" t="n"/>
      <c r="T319" s="50" t="n"/>
      <c r="U319" s="50" t="n"/>
      <c r="V319" s="112" t="n"/>
      <c r="W319" s="112" t="n"/>
      <c r="X319" s="112" t="n"/>
    </row>
    <row r="320" ht="22.5" customHeight="1" s="150">
      <c r="A320" s="34" t="n">
        <v>318</v>
      </c>
      <c r="C320" s="50" t="n"/>
      <c r="D320" s="50" t="n"/>
      <c r="E320" s="50" t="n"/>
      <c r="F320" s="50" t="n"/>
      <c r="G320" s="50" t="n"/>
      <c r="H320" s="50" t="n"/>
      <c r="I320" s="111" t="n"/>
      <c r="J320" s="112" t="n"/>
      <c r="K320" s="112" t="n"/>
      <c r="L320" s="112" t="n"/>
      <c r="M320" s="113" t="n"/>
      <c r="O320" s="50" t="n"/>
      <c r="P320" s="50" t="n"/>
      <c r="Q320" s="50" t="n"/>
      <c r="R320" s="50" t="n"/>
      <c r="S320" s="50" t="n"/>
      <c r="T320" s="50" t="n"/>
      <c r="U320" s="50" t="n"/>
      <c r="V320" s="112" t="n"/>
      <c r="W320" s="112" t="n"/>
      <c r="X320" s="112" t="n"/>
    </row>
    <row r="321" ht="22.5" customHeight="1" s="150">
      <c r="A321" s="34" t="n">
        <v>319</v>
      </c>
      <c r="C321" s="50" t="n"/>
      <c r="D321" s="50" t="n"/>
      <c r="E321" s="50" t="n"/>
      <c r="F321" s="50" t="n"/>
      <c r="G321" s="50" t="n"/>
      <c r="H321" s="50" t="n"/>
      <c r="I321" s="111" t="n"/>
      <c r="J321" s="112" t="n"/>
      <c r="K321" s="112" t="n"/>
      <c r="L321" s="112" t="n"/>
      <c r="M321" s="113" t="n"/>
      <c r="O321" s="50" t="n"/>
      <c r="P321" s="50" t="n"/>
      <c r="Q321" s="50" t="n"/>
      <c r="R321" s="50" t="n"/>
      <c r="S321" s="50" t="n"/>
      <c r="T321" s="50" t="n"/>
      <c r="U321" s="50" t="n"/>
      <c r="V321" s="112" t="n"/>
      <c r="W321" s="112" t="n"/>
      <c r="X321" s="112" t="n"/>
    </row>
    <row r="322" ht="22.5" customHeight="1" s="150">
      <c r="A322" s="34" t="n">
        <v>320</v>
      </c>
      <c r="C322" s="50" t="n"/>
      <c r="D322" s="50" t="n"/>
      <c r="E322" s="50" t="n"/>
      <c r="F322" s="50" t="n"/>
      <c r="G322" s="50" t="n"/>
      <c r="H322" s="50" t="n"/>
      <c r="I322" s="111" t="n"/>
      <c r="J322" s="112" t="n"/>
      <c r="K322" s="112" t="n"/>
      <c r="L322" s="112" t="n"/>
      <c r="M322" s="113" t="n"/>
      <c r="O322" s="50" t="n"/>
      <c r="P322" s="50" t="n"/>
      <c r="Q322" s="50" t="n"/>
      <c r="R322" s="50" t="n"/>
      <c r="S322" s="50" t="n"/>
      <c r="T322" s="50" t="n"/>
      <c r="U322" s="50" t="n"/>
      <c r="V322" s="112" t="n"/>
      <c r="W322" s="112" t="n"/>
      <c r="X322" s="112" t="n"/>
    </row>
    <row r="323" ht="22.5" customHeight="1" s="150">
      <c r="A323" s="34" t="n">
        <v>321</v>
      </c>
      <c r="C323" s="50" t="n"/>
      <c r="D323" s="50" t="n"/>
      <c r="E323" s="50" t="n"/>
      <c r="F323" s="50" t="n"/>
      <c r="G323" s="50" t="n"/>
      <c r="H323" s="50" t="n"/>
      <c r="I323" s="111" t="n"/>
      <c r="J323" s="112" t="n"/>
      <c r="K323" s="112" t="n"/>
      <c r="L323" s="112" t="n"/>
      <c r="M323" s="113" t="n"/>
      <c r="O323" s="50" t="n"/>
      <c r="P323" s="50" t="n"/>
      <c r="Q323" s="50" t="n"/>
      <c r="R323" s="50" t="n"/>
      <c r="S323" s="50" t="n"/>
      <c r="T323" s="50" t="n"/>
      <c r="U323" s="50" t="n"/>
      <c r="V323" s="112" t="n"/>
      <c r="W323" s="112" t="n"/>
      <c r="X323" s="112" t="n"/>
    </row>
    <row r="324" ht="22.5" customHeight="1" s="150">
      <c r="A324" s="34" t="n">
        <v>322</v>
      </c>
      <c r="C324" s="50" t="n"/>
      <c r="D324" s="50" t="n"/>
      <c r="E324" s="50" t="n"/>
      <c r="F324" s="50" t="n"/>
      <c r="G324" s="50" t="n"/>
      <c r="H324" s="50" t="n"/>
      <c r="I324" s="111" t="n"/>
      <c r="J324" s="112" t="n"/>
      <c r="K324" s="112" t="n"/>
      <c r="L324" s="112" t="n"/>
      <c r="M324" s="113" t="n"/>
      <c r="O324" s="50" t="n"/>
      <c r="P324" s="50" t="n"/>
      <c r="Q324" s="50" t="n"/>
      <c r="R324" s="50" t="n"/>
      <c r="S324" s="50" t="n"/>
      <c r="T324" s="50" t="n"/>
      <c r="U324" s="50" t="n"/>
      <c r="V324" s="112" t="n"/>
      <c r="W324" s="112" t="n"/>
      <c r="X324" s="112" t="n"/>
    </row>
    <row r="325" ht="22.5" customHeight="1" s="150">
      <c r="A325" s="34" t="n">
        <v>323</v>
      </c>
      <c r="C325" s="50" t="n"/>
      <c r="D325" s="50" t="n"/>
      <c r="E325" s="50" t="n"/>
      <c r="F325" s="50" t="n"/>
      <c r="G325" s="50" t="n"/>
      <c r="H325" s="50" t="n"/>
      <c r="I325" s="111" t="n"/>
      <c r="J325" s="112" t="n"/>
      <c r="K325" s="112" t="n"/>
      <c r="L325" s="112" t="n"/>
      <c r="M325" s="113" t="n"/>
      <c r="O325" s="50" t="n"/>
      <c r="P325" s="50" t="n"/>
      <c r="Q325" s="50" t="n"/>
      <c r="R325" s="50" t="n"/>
      <c r="S325" s="50" t="n"/>
      <c r="T325" s="50" t="n"/>
      <c r="U325" s="50" t="n"/>
      <c r="V325" s="112" t="n"/>
      <c r="W325" s="112" t="n"/>
      <c r="X325" s="112" t="n"/>
    </row>
    <row r="326" ht="22.5" customHeight="1" s="150">
      <c r="A326" s="34" t="n">
        <v>324</v>
      </c>
      <c r="C326" s="50" t="n"/>
      <c r="D326" s="50" t="n"/>
      <c r="E326" s="50" t="n"/>
      <c r="F326" s="50" t="n"/>
      <c r="G326" s="50" t="n"/>
      <c r="H326" s="50" t="n"/>
      <c r="I326" s="111" t="n"/>
      <c r="J326" s="112" t="n"/>
      <c r="K326" s="112" t="n"/>
      <c r="L326" s="112" t="n"/>
      <c r="M326" s="113" t="n"/>
      <c r="O326" s="50" t="n"/>
      <c r="P326" s="50" t="n"/>
      <c r="Q326" s="50" t="n"/>
      <c r="R326" s="50" t="n"/>
      <c r="S326" s="50" t="n"/>
      <c r="T326" s="50" t="n"/>
      <c r="U326" s="50" t="n"/>
      <c r="V326" s="112" t="n"/>
      <c r="W326" s="112" t="n"/>
      <c r="X326" s="112" t="n"/>
    </row>
    <row r="327" ht="22.5" customHeight="1" s="150">
      <c r="A327" s="34" t="n">
        <v>325</v>
      </c>
      <c r="C327" s="50" t="n"/>
      <c r="D327" s="50" t="n"/>
      <c r="E327" s="50" t="n"/>
      <c r="F327" s="50" t="n"/>
      <c r="G327" s="50" t="n"/>
      <c r="H327" s="50" t="n"/>
      <c r="I327" s="111" t="n"/>
      <c r="J327" s="112" t="n"/>
      <c r="K327" s="112" t="n"/>
      <c r="L327" s="112" t="n"/>
      <c r="M327" s="113" t="n"/>
      <c r="O327" s="50" t="n"/>
      <c r="P327" s="50" t="n"/>
      <c r="Q327" s="50" t="n"/>
      <c r="R327" s="50" t="n"/>
      <c r="S327" s="50" t="n"/>
      <c r="T327" s="50" t="n"/>
      <c r="U327" s="50" t="n"/>
      <c r="V327" s="112" t="n"/>
      <c r="W327" s="112" t="n"/>
      <c r="X327" s="112" t="n"/>
    </row>
    <row r="328" ht="22.5" customHeight="1" s="150">
      <c r="A328" s="34" t="n">
        <v>326</v>
      </c>
      <c r="C328" s="50" t="n"/>
      <c r="D328" s="50" t="n"/>
      <c r="E328" s="50" t="n"/>
      <c r="F328" s="50" t="n"/>
      <c r="G328" s="50" t="n"/>
      <c r="H328" s="50" t="n"/>
      <c r="I328" s="111" t="n"/>
      <c r="J328" s="112" t="n"/>
      <c r="K328" s="112" t="n"/>
      <c r="L328" s="112" t="n"/>
      <c r="M328" s="113" t="n"/>
      <c r="O328" s="50" t="n"/>
      <c r="P328" s="50" t="n"/>
      <c r="Q328" s="50" t="n"/>
      <c r="R328" s="50" t="n"/>
      <c r="S328" s="50" t="n"/>
      <c r="T328" s="50" t="n"/>
      <c r="U328" s="50" t="n"/>
      <c r="V328" s="112" t="n"/>
      <c r="W328" s="112" t="n"/>
      <c r="X328" s="112" t="n"/>
    </row>
    <row r="329" ht="22.5" customHeight="1" s="150">
      <c r="A329" s="34" t="n">
        <v>327</v>
      </c>
      <c r="C329" s="50" t="n"/>
      <c r="D329" s="50" t="n"/>
      <c r="E329" s="50" t="n"/>
      <c r="F329" s="50" t="n"/>
      <c r="G329" s="50" t="n"/>
      <c r="H329" s="50" t="n"/>
      <c r="I329" s="111" t="n"/>
      <c r="J329" s="112" t="n"/>
      <c r="K329" s="112" t="n"/>
      <c r="L329" s="112" t="n"/>
      <c r="M329" s="113" t="n"/>
      <c r="O329" s="50" t="n"/>
      <c r="P329" s="50" t="n"/>
      <c r="Q329" s="50" t="n"/>
      <c r="R329" s="50" t="n"/>
      <c r="S329" s="50" t="n"/>
      <c r="T329" s="50" t="n"/>
      <c r="U329" s="50" t="n"/>
      <c r="V329" s="112" t="n"/>
      <c r="W329" s="112" t="n"/>
      <c r="X329" s="112" t="n"/>
    </row>
    <row r="330" ht="22.5" customHeight="1" s="150">
      <c r="A330" s="34" t="n">
        <v>328</v>
      </c>
      <c r="C330" s="50" t="n"/>
      <c r="D330" s="50" t="n"/>
      <c r="E330" s="50" t="n"/>
      <c r="F330" s="50" t="n"/>
      <c r="G330" s="50" t="n"/>
      <c r="H330" s="50" t="n"/>
      <c r="I330" s="111" t="n"/>
      <c r="J330" s="112" t="n"/>
      <c r="K330" s="112" t="n"/>
      <c r="L330" s="112" t="n"/>
      <c r="M330" s="113" t="n"/>
      <c r="O330" s="50" t="n"/>
      <c r="P330" s="50" t="n"/>
      <c r="Q330" s="50" t="n"/>
      <c r="R330" s="50" t="n"/>
      <c r="S330" s="50" t="n"/>
      <c r="T330" s="50" t="n"/>
      <c r="U330" s="50" t="n"/>
      <c r="V330" s="112" t="n"/>
      <c r="W330" s="112" t="n"/>
      <c r="X330" s="112" t="n"/>
    </row>
    <row r="331" ht="22.5" customHeight="1" s="150">
      <c r="A331" s="34" t="n">
        <v>329</v>
      </c>
      <c r="C331" s="50" t="n"/>
      <c r="D331" s="50" t="n"/>
      <c r="E331" s="50" t="n"/>
      <c r="F331" s="50" t="n"/>
      <c r="G331" s="50" t="n"/>
      <c r="H331" s="50" t="n"/>
      <c r="I331" s="111" t="n"/>
      <c r="J331" s="112" t="n"/>
      <c r="K331" s="112" t="n"/>
      <c r="L331" s="112" t="n"/>
      <c r="M331" s="113" t="n"/>
      <c r="O331" s="50" t="n"/>
      <c r="P331" s="50" t="n"/>
      <c r="Q331" s="50" t="n"/>
      <c r="R331" s="50" t="n"/>
      <c r="S331" s="50" t="n"/>
      <c r="T331" s="50" t="n"/>
      <c r="U331" s="50" t="n"/>
      <c r="V331" s="112" t="n"/>
      <c r="W331" s="112" t="n"/>
      <c r="X331" s="112" t="n"/>
    </row>
    <row r="332" ht="22.5" customHeight="1" s="150">
      <c r="A332" s="34" t="n">
        <v>330</v>
      </c>
      <c r="C332" s="50" t="n"/>
      <c r="D332" s="50" t="n"/>
      <c r="E332" s="50" t="n"/>
      <c r="F332" s="50" t="n"/>
      <c r="G332" s="50" t="n"/>
      <c r="H332" s="50" t="n"/>
      <c r="I332" s="111" t="n"/>
      <c r="J332" s="112" t="n"/>
      <c r="K332" s="112" t="n"/>
      <c r="L332" s="112" t="n"/>
      <c r="M332" s="113" t="n"/>
      <c r="O332" s="50" t="n"/>
      <c r="P332" s="50" t="n"/>
      <c r="Q332" s="50" t="n"/>
      <c r="R332" s="50" t="n"/>
      <c r="S332" s="50" t="n"/>
      <c r="T332" s="50" t="n"/>
      <c r="U332" s="50" t="n"/>
      <c r="V332" s="112" t="n"/>
      <c r="W332" s="112" t="n"/>
      <c r="X332" s="112" t="n"/>
    </row>
    <row r="333" ht="22.5" customHeight="1" s="150">
      <c r="A333" s="34" t="n">
        <v>331</v>
      </c>
      <c r="C333" s="50" t="n"/>
      <c r="D333" s="50" t="n"/>
      <c r="E333" s="50" t="n"/>
      <c r="F333" s="50" t="n"/>
      <c r="G333" s="50" t="n"/>
      <c r="H333" s="50" t="n"/>
      <c r="I333" s="111" t="n"/>
      <c r="J333" s="112" t="n"/>
      <c r="K333" s="112" t="n"/>
      <c r="L333" s="112" t="n"/>
      <c r="M333" s="113" t="n"/>
      <c r="O333" s="50" t="n"/>
      <c r="P333" s="50" t="n"/>
      <c r="Q333" s="50" t="n"/>
      <c r="R333" s="50" t="n"/>
      <c r="S333" s="50" t="n"/>
      <c r="T333" s="50" t="n"/>
      <c r="U333" s="50" t="n"/>
      <c r="V333" s="112" t="n"/>
      <c r="W333" s="112" t="n"/>
      <c r="X333" s="112" t="n"/>
    </row>
    <row r="334" ht="22.5" customHeight="1" s="150">
      <c r="A334" s="34" t="n">
        <v>332</v>
      </c>
      <c r="C334" s="50" t="n"/>
      <c r="D334" s="50" t="n"/>
      <c r="E334" s="50" t="n"/>
      <c r="F334" s="50" t="n"/>
      <c r="G334" s="50" t="n"/>
      <c r="H334" s="50" t="n"/>
      <c r="I334" s="111" t="n"/>
      <c r="J334" s="112" t="n"/>
      <c r="K334" s="112" t="n"/>
      <c r="L334" s="112" t="n"/>
      <c r="M334" s="113" t="n"/>
      <c r="O334" s="50" t="n"/>
      <c r="P334" s="50" t="n"/>
      <c r="Q334" s="50" t="n"/>
      <c r="R334" s="50" t="n"/>
      <c r="S334" s="50" t="n"/>
      <c r="T334" s="50" t="n"/>
      <c r="U334" s="50" t="n"/>
      <c r="V334" s="112" t="n"/>
      <c r="W334" s="112" t="n"/>
      <c r="X334" s="112" t="n"/>
    </row>
    <row r="335" ht="22.5" customHeight="1" s="150">
      <c r="A335" s="34" t="n">
        <v>333</v>
      </c>
      <c r="C335" s="50" t="n"/>
      <c r="D335" s="50" t="n"/>
      <c r="E335" s="50" t="n"/>
      <c r="F335" s="50" t="n"/>
      <c r="G335" s="50" t="n"/>
      <c r="H335" s="50" t="n"/>
      <c r="I335" s="111" t="n"/>
      <c r="J335" s="112" t="n"/>
      <c r="K335" s="112" t="n"/>
      <c r="L335" s="112" t="n"/>
      <c r="M335" s="113" t="n"/>
      <c r="O335" s="50" t="n"/>
      <c r="P335" s="50" t="n"/>
      <c r="Q335" s="50" t="n"/>
      <c r="R335" s="50" t="n"/>
      <c r="S335" s="50" t="n"/>
      <c r="T335" s="50" t="n"/>
      <c r="U335" s="50" t="n"/>
      <c r="V335" s="112" t="n"/>
      <c r="W335" s="112" t="n"/>
      <c r="X335" s="112" t="n"/>
    </row>
    <row r="336" ht="22.5" customHeight="1" s="150">
      <c r="A336" s="34" t="n">
        <v>334</v>
      </c>
      <c r="C336" s="50" t="n"/>
      <c r="D336" s="50" t="n"/>
      <c r="E336" s="50" t="n"/>
      <c r="F336" s="50" t="n"/>
      <c r="G336" s="50" t="n"/>
      <c r="H336" s="50" t="n"/>
      <c r="I336" s="111" t="n"/>
      <c r="J336" s="112" t="n"/>
      <c r="K336" s="112" t="n"/>
      <c r="L336" s="112" t="n"/>
      <c r="M336" s="113" t="n"/>
      <c r="O336" s="50" t="n"/>
      <c r="P336" s="50" t="n"/>
      <c r="Q336" s="50" t="n"/>
      <c r="R336" s="50" t="n"/>
      <c r="S336" s="50" t="n"/>
      <c r="T336" s="50" t="n"/>
      <c r="U336" s="50" t="n"/>
      <c r="V336" s="112" t="n"/>
      <c r="W336" s="112" t="n"/>
      <c r="X336" s="112" t="n"/>
    </row>
    <row r="337" ht="22.5" customHeight="1" s="150">
      <c r="A337" s="34" t="n">
        <v>335</v>
      </c>
      <c r="C337" s="50" t="n"/>
      <c r="D337" s="50" t="n"/>
      <c r="E337" s="50" t="n"/>
      <c r="F337" s="50" t="n"/>
      <c r="G337" s="50" t="n"/>
      <c r="H337" s="50" t="n"/>
      <c r="I337" s="111" t="n"/>
      <c r="J337" s="112" t="n"/>
      <c r="K337" s="112" t="n"/>
      <c r="L337" s="112" t="n"/>
      <c r="M337" s="113" t="n"/>
      <c r="O337" s="50" t="n"/>
      <c r="P337" s="50" t="n"/>
      <c r="Q337" s="50" t="n"/>
      <c r="R337" s="50" t="n"/>
      <c r="S337" s="50" t="n"/>
      <c r="T337" s="50" t="n"/>
      <c r="U337" s="50" t="n"/>
      <c r="V337" s="112" t="n"/>
      <c r="W337" s="112" t="n"/>
      <c r="X337" s="112" t="n"/>
    </row>
    <row r="338" ht="22.5" customHeight="1" s="150">
      <c r="A338" s="34" t="n">
        <v>336</v>
      </c>
      <c r="C338" s="50" t="n"/>
      <c r="D338" s="50" t="n"/>
      <c r="E338" s="50" t="n"/>
      <c r="F338" s="50" t="n"/>
      <c r="G338" s="50" t="n"/>
      <c r="H338" s="50" t="n"/>
      <c r="I338" s="111" t="n"/>
      <c r="J338" s="112" t="n"/>
      <c r="K338" s="112" t="n"/>
      <c r="L338" s="112" t="n"/>
      <c r="M338" s="113" t="n"/>
      <c r="O338" s="50" t="n"/>
      <c r="P338" s="50" t="n"/>
      <c r="Q338" s="50" t="n"/>
      <c r="R338" s="50" t="n"/>
      <c r="S338" s="50" t="n"/>
      <c r="T338" s="50" t="n"/>
      <c r="U338" s="50" t="n"/>
      <c r="V338" s="112" t="n"/>
      <c r="W338" s="112" t="n"/>
      <c r="X338" s="112" t="n"/>
    </row>
    <row r="339" ht="22.5" customHeight="1" s="150">
      <c r="A339" s="34" t="n">
        <v>337</v>
      </c>
      <c r="C339" s="50" t="n"/>
      <c r="D339" s="50" t="n"/>
      <c r="E339" s="50" t="n"/>
      <c r="F339" s="50" t="n"/>
      <c r="G339" s="50" t="n"/>
      <c r="H339" s="50" t="n"/>
      <c r="I339" s="111" t="n"/>
      <c r="J339" s="112" t="n"/>
      <c r="K339" s="112" t="n"/>
      <c r="L339" s="112" t="n"/>
      <c r="M339" s="113" t="n"/>
      <c r="O339" s="50" t="n"/>
      <c r="P339" s="50" t="n"/>
      <c r="Q339" s="50" t="n"/>
      <c r="R339" s="50" t="n"/>
      <c r="S339" s="50" t="n"/>
      <c r="T339" s="50" t="n"/>
      <c r="U339" s="50" t="n"/>
      <c r="V339" s="112" t="n"/>
      <c r="W339" s="112" t="n"/>
      <c r="X339" s="112" t="n"/>
    </row>
    <row r="340" ht="22.5" customHeight="1" s="150">
      <c r="A340" s="34" t="n">
        <v>338</v>
      </c>
      <c r="C340" s="50" t="n"/>
      <c r="D340" s="50" t="n"/>
      <c r="E340" s="50" t="n"/>
      <c r="F340" s="50" t="n"/>
      <c r="G340" s="50" t="n"/>
      <c r="H340" s="50" t="n"/>
      <c r="I340" s="111" t="n"/>
      <c r="J340" s="112" t="n"/>
      <c r="K340" s="112" t="n"/>
      <c r="L340" s="112" t="n"/>
      <c r="M340" s="113" t="n"/>
      <c r="O340" s="50" t="n"/>
      <c r="P340" s="50" t="n"/>
      <c r="Q340" s="50" t="n"/>
      <c r="R340" s="50" t="n"/>
      <c r="S340" s="50" t="n"/>
      <c r="T340" s="50" t="n"/>
      <c r="U340" s="50" t="n"/>
      <c r="V340" s="112" t="n"/>
      <c r="W340" s="112" t="n"/>
      <c r="X340" s="112" t="n"/>
    </row>
    <row r="341" ht="22.5" customHeight="1" s="150">
      <c r="A341" s="34" t="n">
        <v>339</v>
      </c>
      <c r="C341" s="50" t="n"/>
      <c r="D341" s="50" t="n"/>
      <c r="E341" s="50" t="n"/>
      <c r="F341" s="50" t="n"/>
      <c r="G341" s="50" t="n"/>
      <c r="H341" s="50" t="n"/>
      <c r="I341" s="111" t="n"/>
      <c r="J341" s="112" t="n"/>
      <c r="K341" s="112" t="n"/>
      <c r="L341" s="112" t="n"/>
      <c r="M341" s="113" t="n"/>
      <c r="O341" s="50" t="n"/>
      <c r="P341" s="50" t="n"/>
      <c r="Q341" s="50" t="n"/>
      <c r="R341" s="50" t="n"/>
      <c r="S341" s="50" t="n"/>
      <c r="T341" s="50" t="n"/>
      <c r="U341" s="50" t="n"/>
      <c r="V341" s="112" t="n"/>
      <c r="W341" s="112" t="n"/>
      <c r="X341" s="112" t="n"/>
    </row>
    <row r="342" ht="22.5" customHeight="1" s="150">
      <c r="A342" s="34" t="n">
        <v>340</v>
      </c>
      <c r="C342" s="50" t="n"/>
      <c r="D342" s="50" t="n"/>
      <c r="E342" s="50" t="n"/>
      <c r="F342" s="50" t="n"/>
      <c r="G342" s="50" t="n"/>
      <c r="H342" s="50" t="n"/>
      <c r="I342" s="111" t="n"/>
      <c r="J342" s="112" t="n"/>
      <c r="K342" s="112" t="n"/>
      <c r="L342" s="112" t="n"/>
      <c r="M342" s="113" t="n"/>
      <c r="O342" s="50" t="n"/>
      <c r="P342" s="50" t="n"/>
      <c r="Q342" s="50" t="n"/>
      <c r="R342" s="50" t="n"/>
      <c r="S342" s="50" t="n"/>
      <c r="T342" s="50" t="n"/>
      <c r="U342" s="50" t="n"/>
      <c r="V342" s="112" t="n"/>
      <c r="W342" s="112" t="n"/>
      <c r="X342" s="112" t="n"/>
    </row>
    <row r="343" ht="22.5" customHeight="1" s="150">
      <c r="A343" s="34" t="n">
        <v>341</v>
      </c>
      <c r="C343" s="50" t="n"/>
      <c r="D343" s="50" t="n"/>
      <c r="E343" s="50" t="n"/>
      <c r="F343" s="50" t="n"/>
      <c r="G343" s="50" t="n"/>
      <c r="H343" s="50" t="n"/>
      <c r="I343" s="111" t="n"/>
      <c r="J343" s="112" t="n"/>
      <c r="K343" s="112" t="n"/>
      <c r="L343" s="112" t="n"/>
      <c r="M343" s="113" t="n"/>
      <c r="O343" s="50" t="n"/>
      <c r="P343" s="50" t="n"/>
      <c r="Q343" s="50" t="n"/>
      <c r="R343" s="50" t="n"/>
      <c r="S343" s="50" t="n"/>
      <c r="T343" s="50" t="n"/>
      <c r="U343" s="50" t="n"/>
      <c r="V343" s="112" t="n"/>
      <c r="W343" s="112" t="n"/>
      <c r="X343" s="112" t="n"/>
    </row>
    <row r="344" ht="22.5" customHeight="1" s="150">
      <c r="A344" s="34" t="n">
        <v>342</v>
      </c>
      <c r="C344" s="50" t="n"/>
      <c r="D344" s="50" t="n"/>
      <c r="E344" s="50" t="n"/>
      <c r="F344" s="50" t="n"/>
      <c r="G344" s="50" t="n"/>
      <c r="H344" s="50" t="n"/>
      <c r="I344" s="111" t="n"/>
      <c r="J344" s="112" t="n"/>
      <c r="K344" s="112" t="n"/>
      <c r="L344" s="112" t="n"/>
      <c r="M344" s="113" t="n"/>
      <c r="O344" s="50" t="n"/>
      <c r="P344" s="50" t="n"/>
      <c r="Q344" s="50" t="n"/>
      <c r="R344" s="50" t="n"/>
      <c r="S344" s="50" t="n"/>
      <c r="T344" s="50" t="n"/>
      <c r="U344" s="50" t="n"/>
      <c r="V344" s="112" t="n"/>
      <c r="W344" s="112" t="n"/>
      <c r="X344" s="112" t="n"/>
    </row>
    <row r="345" ht="22.5" customHeight="1" s="150">
      <c r="A345" s="34" t="n">
        <v>343</v>
      </c>
      <c r="C345" s="50" t="n"/>
      <c r="D345" s="50" t="n"/>
      <c r="E345" s="50" t="n"/>
      <c r="F345" s="50" t="n"/>
      <c r="G345" s="50" t="n"/>
      <c r="H345" s="50" t="n"/>
      <c r="I345" s="111" t="n"/>
      <c r="J345" s="112" t="n"/>
      <c r="K345" s="112" t="n"/>
      <c r="L345" s="112" t="n"/>
      <c r="M345" s="113" t="n"/>
      <c r="O345" s="50" t="n"/>
      <c r="P345" s="50" t="n"/>
      <c r="Q345" s="50" t="n"/>
      <c r="R345" s="50" t="n"/>
      <c r="S345" s="50" t="n"/>
      <c r="T345" s="50" t="n"/>
      <c r="U345" s="50" t="n"/>
      <c r="V345" s="112" t="n"/>
      <c r="W345" s="112" t="n"/>
      <c r="X345" s="112" t="n"/>
    </row>
    <row r="346" ht="22.5" customHeight="1" s="150">
      <c r="A346" s="34" t="n">
        <v>344</v>
      </c>
      <c r="C346" s="50" t="n"/>
      <c r="D346" s="50" t="n"/>
      <c r="E346" s="50" t="n"/>
      <c r="F346" s="50" t="n"/>
      <c r="G346" s="50" t="n"/>
      <c r="H346" s="50" t="n"/>
      <c r="I346" s="111" t="n"/>
      <c r="J346" s="112" t="n"/>
      <c r="K346" s="112" t="n"/>
      <c r="L346" s="112" t="n"/>
      <c r="M346" s="113" t="n"/>
      <c r="O346" s="50" t="n"/>
      <c r="P346" s="50" t="n"/>
      <c r="Q346" s="50" t="n"/>
      <c r="R346" s="50" t="n"/>
      <c r="S346" s="50" t="n"/>
      <c r="T346" s="50" t="n"/>
      <c r="U346" s="50" t="n"/>
      <c r="V346" s="112" t="n"/>
      <c r="W346" s="112" t="n"/>
      <c r="X346" s="112" t="n"/>
    </row>
    <row r="347" ht="22.5" customHeight="1" s="150">
      <c r="A347" s="34" t="n">
        <v>345</v>
      </c>
      <c r="C347" s="50" t="n"/>
      <c r="D347" s="50" t="n"/>
      <c r="E347" s="50" t="n"/>
      <c r="F347" s="50" t="n"/>
      <c r="G347" s="50" t="n"/>
      <c r="H347" s="50" t="n"/>
      <c r="I347" s="111" t="n"/>
      <c r="J347" s="112" t="n"/>
      <c r="K347" s="112" t="n"/>
      <c r="L347" s="112" t="n"/>
      <c r="M347" s="113" t="n"/>
      <c r="O347" s="50" t="n"/>
      <c r="P347" s="50" t="n"/>
      <c r="Q347" s="50" t="n"/>
      <c r="R347" s="50" t="n"/>
      <c r="S347" s="50" t="n"/>
      <c r="T347" s="50" t="n"/>
      <c r="U347" s="50" t="n"/>
      <c r="V347" s="112" t="n"/>
      <c r="W347" s="112" t="n"/>
      <c r="X347" s="112" t="n"/>
    </row>
    <row r="348" ht="22.5" customHeight="1" s="150">
      <c r="A348" s="34" t="n">
        <v>346</v>
      </c>
      <c r="C348" s="50" t="n"/>
      <c r="D348" s="50" t="n"/>
      <c r="E348" s="50" t="n"/>
      <c r="F348" s="50" t="n"/>
      <c r="G348" s="50" t="n"/>
      <c r="H348" s="50" t="n"/>
      <c r="I348" s="111" t="n"/>
      <c r="J348" s="112" t="n"/>
      <c r="K348" s="112" t="n"/>
      <c r="L348" s="112" t="n"/>
      <c r="M348" s="113" t="n"/>
      <c r="O348" s="50" t="n"/>
      <c r="P348" s="50" t="n"/>
      <c r="Q348" s="50" t="n"/>
      <c r="R348" s="50" t="n"/>
      <c r="S348" s="50" t="n"/>
      <c r="T348" s="50" t="n"/>
      <c r="U348" s="50" t="n"/>
      <c r="V348" s="112" t="n"/>
      <c r="W348" s="112" t="n"/>
      <c r="X348" s="112" t="n"/>
    </row>
    <row r="349" ht="22.5" customHeight="1" s="150">
      <c r="A349" s="34" t="n">
        <v>347</v>
      </c>
      <c r="C349" s="50" t="n"/>
      <c r="D349" s="50" t="n"/>
      <c r="E349" s="50" t="n"/>
      <c r="F349" s="50" t="n"/>
      <c r="G349" s="50" t="n"/>
      <c r="H349" s="50" t="n"/>
      <c r="I349" s="111" t="n"/>
      <c r="J349" s="112" t="n"/>
      <c r="K349" s="112" t="n"/>
      <c r="L349" s="112" t="n"/>
      <c r="M349" s="113" t="n"/>
      <c r="O349" s="50" t="n"/>
      <c r="P349" s="50" t="n"/>
      <c r="Q349" s="50" t="n"/>
      <c r="R349" s="50" t="n"/>
      <c r="S349" s="50" t="n"/>
      <c r="T349" s="50" t="n"/>
      <c r="U349" s="50" t="n"/>
      <c r="V349" s="112" t="n"/>
      <c r="W349" s="112" t="n"/>
      <c r="X349" s="112" t="n"/>
    </row>
    <row r="350" ht="22.5" customHeight="1" s="150">
      <c r="A350" s="34" t="n">
        <v>348</v>
      </c>
      <c r="C350" s="50" t="n"/>
      <c r="D350" s="50" t="n"/>
      <c r="E350" s="50" t="n"/>
      <c r="F350" s="50" t="n"/>
      <c r="G350" s="50" t="n"/>
      <c r="H350" s="50" t="n"/>
      <c r="I350" s="111" t="n"/>
      <c r="J350" s="112" t="n"/>
      <c r="K350" s="112" t="n"/>
      <c r="L350" s="112" t="n"/>
      <c r="M350" s="113" t="n"/>
      <c r="O350" s="50" t="n"/>
      <c r="P350" s="50" t="n"/>
      <c r="Q350" s="50" t="n"/>
      <c r="R350" s="50" t="n"/>
      <c r="S350" s="50" t="n"/>
      <c r="T350" s="50" t="n"/>
      <c r="U350" s="50" t="n"/>
      <c r="V350" s="112" t="n"/>
      <c r="W350" s="112" t="n"/>
      <c r="X350" s="112" t="n"/>
    </row>
    <row r="351" ht="22.5" customHeight="1" s="150">
      <c r="A351" s="34" t="n">
        <v>349</v>
      </c>
      <c r="C351" s="50" t="n"/>
      <c r="D351" s="50" t="n"/>
      <c r="E351" s="50" t="n"/>
      <c r="F351" s="50" t="n"/>
      <c r="G351" s="50" t="n"/>
      <c r="H351" s="50" t="n"/>
      <c r="I351" s="111" t="n"/>
      <c r="J351" s="112" t="n"/>
      <c r="K351" s="112" t="n"/>
      <c r="L351" s="112" t="n"/>
      <c r="M351" s="113" t="n"/>
      <c r="O351" s="50" t="n"/>
      <c r="P351" s="50" t="n"/>
      <c r="Q351" s="50" t="n"/>
      <c r="R351" s="50" t="n"/>
      <c r="S351" s="50" t="n"/>
      <c r="T351" s="50" t="n"/>
      <c r="U351" s="50" t="n"/>
      <c r="V351" s="112" t="n"/>
      <c r="W351" s="112" t="n"/>
      <c r="X351" s="112" t="n"/>
    </row>
    <row r="352" ht="22.5" customHeight="1" s="150">
      <c r="A352" s="34" t="n">
        <v>350</v>
      </c>
      <c r="C352" s="50" t="n"/>
      <c r="D352" s="50" t="n"/>
      <c r="E352" s="50" t="n"/>
      <c r="F352" s="50" t="n"/>
      <c r="G352" s="50" t="n"/>
      <c r="H352" s="50" t="n"/>
      <c r="I352" s="111" t="n"/>
      <c r="J352" s="112" t="n"/>
      <c r="K352" s="112" t="n"/>
      <c r="L352" s="112" t="n"/>
      <c r="M352" s="113" t="n"/>
      <c r="O352" s="50" t="n"/>
      <c r="P352" s="50" t="n"/>
      <c r="Q352" s="50" t="n"/>
      <c r="R352" s="50" t="n"/>
      <c r="S352" s="50" t="n"/>
      <c r="T352" s="50" t="n"/>
      <c r="U352" s="50" t="n"/>
      <c r="V352" s="112" t="n"/>
      <c r="W352" s="112" t="n"/>
      <c r="X352" s="112" t="n"/>
    </row>
    <row r="353" ht="22.5" customHeight="1" s="150">
      <c r="A353" s="34" t="n">
        <v>351</v>
      </c>
      <c r="C353" s="50" t="n"/>
      <c r="D353" s="50" t="n"/>
      <c r="E353" s="50" t="n"/>
      <c r="F353" s="50" t="n"/>
      <c r="G353" s="50" t="n"/>
      <c r="H353" s="50" t="n"/>
      <c r="I353" s="111" t="n"/>
      <c r="J353" s="112" t="n"/>
      <c r="K353" s="112" t="n"/>
      <c r="L353" s="112" t="n"/>
      <c r="M353" s="113" t="n"/>
      <c r="O353" s="50" t="n"/>
      <c r="P353" s="50" t="n"/>
      <c r="Q353" s="50" t="n"/>
      <c r="R353" s="50" t="n"/>
      <c r="S353" s="50" t="n"/>
      <c r="T353" s="50" t="n"/>
      <c r="U353" s="50" t="n"/>
      <c r="V353" s="112" t="n"/>
      <c r="W353" s="112" t="n"/>
      <c r="X353" s="112" t="n"/>
    </row>
    <row r="354" ht="22.5" customHeight="1" s="150">
      <c r="A354" s="34" t="n">
        <v>352</v>
      </c>
      <c r="C354" s="50" t="n"/>
      <c r="D354" s="50" t="n"/>
      <c r="E354" s="50" t="n"/>
      <c r="F354" s="50" t="n"/>
      <c r="G354" s="50" t="n"/>
      <c r="H354" s="50" t="n"/>
      <c r="I354" s="111" t="n"/>
      <c r="J354" s="112" t="n"/>
      <c r="K354" s="112" t="n"/>
      <c r="L354" s="112" t="n"/>
      <c r="M354" s="113" t="n"/>
      <c r="O354" s="50" t="n"/>
      <c r="P354" s="50" t="n"/>
      <c r="Q354" s="50" t="n"/>
      <c r="R354" s="50" t="n"/>
      <c r="S354" s="50" t="n"/>
      <c r="T354" s="50" t="n"/>
      <c r="U354" s="50" t="n"/>
      <c r="V354" s="112" t="n"/>
      <c r="W354" s="112" t="n"/>
      <c r="X354" s="112" t="n"/>
    </row>
    <row r="355" ht="22.5" customHeight="1" s="150">
      <c r="A355" s="34" t="n">
        <v>353</v>
      </c>
      <c r="C355" s="50" t="n"/>
      <c r="D355" s="50" t="n"/>
      <c r="E355" s="50" t="n"/>
      <c r="F355" s="50" t="n"/>
      <c r="G355" s="50" t="n"/>
      <c r="H355" s="50" t="n"/>
      <c r="I355" s="111" t="n"/>
      <c r="J355" s="112" t="n"/>
      <c r="K355" s="112" t="n"/>
      <c r="L355" s="112" t="n"/>
      <c r="M355" s="113" t="n"/>
      <c r="O355" s="50" t="n"/>
      <c r="P355" s="50" t="n"/>
      <c r="Q355" s="50" t="n"/>
      <c r="R355" s="50" t="n"/>
      <c r="S355" s="50" t="n"/>
      <c r="T355" s="50" t="n"/>
      <c r="U355" s="50" t="n"/>
      <c r="V355" s="112" t="n"/>
      <c r="W355" s="112" t="n"/>
      <c r="X355" s="112" t="n"/>
    </row>
    <row r="356" ht="22.5" customHeight="1" s="150">
      <c r="A356" s="34" t="n">
        <v>354</v>
      </c>
      <c r="C356" s="50" t="n"/>
      <c r="D356" s="50" t="n"/>
      <c r="E356" s="50" t="n"/>
      <c r="F356" s="50" t="n"/>
      <c r="G356" s="50" t="n"/>
      <c r="H356" s="50" t="n"/>
      <c r="I356" s="111" t="n"/>
      <c r="J356" s="112" t="n"/>
      <c r="K356" s="112" t="n"/>
      <c r="L356" s="112" t="n"/>
      <c r="M356" s="113" t="n"/>
      <c r="O356" s="50" t="n"/>
      <c r="P356" s="50" t="n"/>
      <c r="Q356" s="50" t="n"/>
      <c r="R356" s="50" t="n"/>
      <c r="S356" s="50" t="n"/>
      <c r="T356" s="50" t="n"/>
      <c r="U356" s="50" t="n"/>
      <c r="V356" s="112" t="n"/>
      <c r="W356" s="112" t="n"/>
      <c r="X356" s="112" t="n"/>
    </row>
    <row r="357" ht="22.5" customHeight="1" s="150">
      <c r="A357" s="34" t="n">
        <v>355</v>
      </c>
      <c r="C357" s="50" t="n"/>
      <c r="D357" s="50" t="n"/>
      <c r="E357" s="50" t="n"/>
      <c r="F357" s="50" t="n"/>
      <c r="G357" s="50" t="n"/>
      <c r="H357" s="50" t="n"/>
      <c r="I357" s="111" t="n"/>
      <c r="J357" s="112" t="n"/>
      <c r="K357" s="112" t="n"/>
      <c r="L357" s="112" t="n"/>
      <c r="M357" s="113" t="n"/>
      <c r="O357" s="50" t="n"/>
      <c r="P357" s="50" t="n"/>
      <c r="Q357" s="50" t="n"/>
      <c r="R357" s="50" t="n"/>
      <c r="S357" s="50" t="n"/>
      <c r="T357" s="50" t="n"/>
      <c r="U357" s="50" t="n"/>
      <c r="V357" s="112" t="n"/>
      <c r="W357" s="112" t="n"/>
      <c r="X357" s="112" t="n"/>
    </row>
    <row r="358" ht="22.5" customHeight="1" s="150">
      <c r="A358" s="34" t="n">
        <v>356</v>
      </c>
      <c r="C358" s="50" t="n"/>
      <c r="D358" s="50" t="n"/>
      <c r="E358" s="50" t="n"/>
      <c r="F358" s="50" t="n"/>
      <c r="G358" s="50" t="n"/>
      <c r="H358" s="50" t="n"/>
      <c r="I358" s="111" t="n"/>
      <c r="J358" s="112" t="n"/>
      <c r="K358" s="112" t="n"/>
      <c r="L358" s="112" t="n"/>
      <c r="M358" s="113" t="n"/>
      <c r="O358" s="50" t="n"/>
      <c r="P358" s="50" t="n"/>
      <c r="Q358" s="50" t="n"/>
      <c r="R358" s="50" t="n"/>
      <c r="S358" s="50" t="n"/>
      <c r="T358" s="50" t="n"/>
      <c r="U358" s="50" t="n"/>
      <c r="V358" s="112" t="n"/>
      <c r="W358" s="112" t="n"/>
      <c r="X358" s="112" t="n"/>
    </row>
    <row r="359" ht="22.5" customHeight="1" s="150">
      <c r="A359" s="34" t="n">
        <v>357</v>
      </c>
      <c r="C359" s="50" t="n"/>
      <c r="D359" s="50" t="n"/>
      <c r="E359" s="50" t="n"/>
      <c r="F359" s="50" t="n"/>
      <c r="G359" s="50" t="n"/>
      <c r="H359" s="50" t="n"/>
      <c r="I359" s="111" t="n"/>
      <c r="J359" s="112" t="n"/>
      <c r="K359" s="112" t="n"/>
      <c r="L359" s="112" t="n"/>
      <c r="M359" s="113" t="n"/>
      <c r="O359" s="50" t="n"/>
      <c r="P359" s="50" t="n"/>
      <c r="Q359" s="50" t="n"/>
      <c r="R359" s="50" t="n"/>
      <c r="S359" s="50" t="n"/>
      <c r="T359" s="50" t="n"/>
      <c r="U359" s="50" t="n"/>
      <c r="V359" s="112" t="n"/>
      <c r="W359" s="112" t="n"/>
      <c r="X359" s="112" t="n"/>
    </row>
    <row r="360" ht="22.5" customHeight="1" s="150">
      <c r="A360" s="34" t="n">
        <v>358</v>
      </c>
      <c r="C360" s="50" t="n"/>
      <c r="D360" s="50" t="n"/>
      <c r="E360" s="50" t="n"/>
      <c r="F360" s="50" t="n"/>
      <c r="G360" s="50" t="n"/>
      <c r="H360" s="50" t="n"/>
      <c r="I360" s="111" t="n"/>
      <c r="J360" s="112" t="n"/>
      <c r="K360" s="112" t="n"/>
      <c r="L360" s="112" t="n"/>
      <c r="M360" s="113" t="n"/>
      <c r="O360" s="50" t="n"/>
      <c r="P360" s="50" t="n"/>
      <c r="Q360" s="50" t="n"/>
      <c r="R360" s="50" t="n"/>
      <c r="S360" s="50" t="n"/>
      <c r="T360" s="50" t="n"/>
      <c r="U360" s="50" t="n"/>
      <c r="V360" s="112" t="n"/>
      <c r="W360" s="112" t="n"/>
      <c r="X360" s="112" t="n"/>
    </row>
    <row r="361" ht="22.5" customHeight="1" s="150">
      <c r="A361" s="34" t="n">
        <v>359</v>
      </c>
      <c r="C361" s="50" t="n"/>
      <c r="D361" s="50" t="n"/>
      <c r="E361" s="50" t="n"/>
      <c r="F361" s="50" t="n"/>
      <c r="G361" s="50" t="n"/>
      <c r="H361" s="50" t="n"/>
      <c r="I361" s="111" t="n"/>
      <c r="J361" s="112" t="n"/>
      <c r="K361" s="112" t="n"/>
      <c r="L361" s="112" t="n"/>
      <c r="M361" s="113" t="n"/>
      <c r="O361" s="50" t="n"/>
      <c r="P361" s="50" t="n"/>
      <c r="Q361" s="50" t="n"/>
      <c r="R361" s="50" t="n"/>
      <c r="S361" s="50" t="n"/>
      <c r="T361" s="50" t="n"/>
      <c r="U361" s="50" t="n"/>
      <c r="V361" s="112" t="n"/>
      <c r="W361" s="112" t="n"/>
      <c r="X361" s="112" t="n"/>
    </row>
    <row r="362" ht="22.5" customHeight="1" s="150">
      <c r="A362" s="34" t="n">
        <v>360</v>
      </c>
      <c r="C362" s="50" t="n"/>
      <c r="D362" s="50" t="n"/>
      <c r="E362" s="50" t="n"/>
      <c r="F362" s="50" t="n"/>
      <c r="G362" s="50" t="n"/>
      <c r="H362" s="50" t="n"/>
      <c r="I362" s="111" t="n"/>
      <c r="J362" s="112" t="n"/>
      <c r="K362" s="112" t="n"/>
      <c r="L362" s="112" t="n"/>
      <c r="M362" s="113" t="n"/>
      <c r="O362" s="50" t="n"/>
      <c r="P362" s="50" t="n"/>
      <c r="Q362" s="50" t="n"/>
      <c r="R362" s="50" t="n"/>
      <c r="S362" s="50" t="n"/>
      <c r="T362" s="50" t="n"/>
      <c r="U362" s="50" t="n"/>
      <c r="V362" s="112" t="n"/>
      <c r="W362" s="112" t="n"/>
      <c r="X362" s="112" t="n"/>
    </row>
    <row r="363" ht="22.5" customHeight="1" s="150">
      <c r="A363" s="34" t="n">
        <v>361</v>
      </c>
      <c r="C363" s="50" t="n"/>
      <c r="D363" s="50" t="n"/>
      <c r="E363" s="50" t="n"/>
      <c r="F363" s="50" t="n"/>
      <c r="G363" s="50" t="n"/>
      <c r="H363" s="50" t="n"/>
      <c r="I363" s="111" t="n"/>
      <c r="J363" s="112" t="n"/>
      <c r="K363" s="112" t="n"/>
      <c r="L363" s="112" t="n"/>
      <c r="M363" s="113" t="n"/>
      <c r="O363" s="50" t="n"/>
      <c r="P363" s="50" t="n"/>
      <c r="Q363" s="50" t="n"/>
      <c r="R363" s="50" t="n"/>
      <c r="S363" s="50" t="n"/>
      <c r="T363" s="50" t="n"/>
      <c r="U363" s="50" t="n"/>
      <c r="V363" s="112" t="n"/>
      <c r="W363" s="112" t="n"/>
      <c r="X363" s="112" t="n"/>
    </row>
    <row r="364" ht="22.5" customHeight="1" s="150">
      <c r="A364" s="34" t="n">
        <v>362</v>
      </c>
      <c r="C364" s="50" t="n"/>
      <c r="D364" s="50" t="n"/>
      <c r="E364" s="50" t="n"/>
      <c r="F364" s="50" t="n"/>
      <c r="G364" s="50" t="n"/>
      <c r="H364" s="50" t="n"/>
      <c r="I364" s="111" t="n"/>
      <c r="J364" s="112" t="n"/>
      <c r="K364" s="112" t="n"/>
      <c r="L364" s="112" t="n"/>
      <c r="M364" s="113" t="n"/>
      <c r="O364" s="50" t="n"/>
      <c r="P364" s="50" t="n"/>
      <c r="Q364" s="50" t="n"/>
      <c r="R364" s="50" t="n"/>
      <c r="S364" s="50" t="n"/>
      <c r="T364" s="50" t="n"/>
      <c r="U364" s="50" t="n"/>
      <c r="V364" s="112" t="n"/>
      <c r="W364" s="112" t="n"/>
      <c r="X364" s="112" t="n"/>
    </row>
    <row r="365" ht="22.5" customHeight="1" s="150">
      <c r="A365" s="34" t="n">
        <v>363</v>
      </c>
      <c r="C365" s="50" t="n"/>
      <c r="D365" s="50" t="n"/>
      <c r="E365" s="50" t="n"/>
      <c r="F365" s="50" t="n"/>
      <c r="G365" s="50" t="n"/>
      <c r="H365" s="50" t="n"/>
      <c r="I365" s="111" t="n"/>
      <c r="J365" s="112" t="n"/>
      <c r="K365" s="112" t="n"/>
      <c r="L365" s="112" t="n"/>
      <c r="M365" s="113" t="n"/>
      <c r="O365" s="50" t="n"/>
      <c r="P365" s="50" t="n"/>
      <c r="Q365" s="50" t="n"/>
      <c r="R365" s="50" t="n"/>
      <c r="S365" s="50" t="n"/>
      <c r="T365" s="50" t="n"/>
      <c r="U365" s="50" t="n"/>
      <c r="V365" s="112" t="n"/>
      <c r="W365" s="112" t="n"/>
      <c r="X365" s="112" t="n"/>
    </row>
    <row r="366" ht="22.5" customHeight="1" s="150">
      <c r="A366" s="34" t="n">
        <v>364</v>
      </c>
      <c r="C366" s="50" t="n"/>
      <c r="D366" s="50" t="n"/>
      <c r="E366" s="50" t="n"/>
      <c r="F366" s="50" t="n"/>
      <c r="G366" s="50" t="n"/>
      <c r="H366" s="50" t="n"/>
      <c r="I366" s="111" t="n"/>
      <c r="J366" s="112" t="n"/>
      <c r="K366" s="112" t="n"/>
      <c r="L366" s="112" t="n"/>
      <c r="M366" s="113" t="n"/>
      <c r="O366" s="50" t="n"/>
      <c r="P366" s="50" t="n"/>
      <c r="Q366" s="50" t="n"/>
      <c r="R366" s="50" t="n"/>
      <c r="S366" s="50" t="n"/>
      <c r="T366" s="50" t="n"/>
      <c r="U366" s="50" t="n"/>
      <c r="V366" s="112" t="n"/>
      <c r="W366" s="112" t="n"/>
      <c r="X366" s="112" t="n"/>
    </row>
    <row r="367" ht="22.5" customHeight="1" s="150">
      <c r="A367" s="34" t="n">
        <v>365</v>
      </c>
      <c r="C367" s="50" t="n"/>
      <c r="D367" s="50" t="n"/>
      <c r="E367" s="50" t="n"/>
      <c r="F367" s="50" t="n"/>
      <c r="G367" s="50" t="n"/>
      <c r="H367" s="50" t="n"/>
      <c r="I367" s="111" t="n"/>
      <c r="J367" s="112" t="n"/>
      <c r="K367" s="112" t="n"/>
      <c r="L367" s="112" t="n"/>
      <c r="M367" s="113" t="n"/>
      <c r="O367" s="50" t="n"/>
      <c r="P367" s="50" t="n"/>
      <c r="Q367" s="50" t="n"/>
      <c r="R367" s="50" t="n"/>
      <c r="S367" s="50" t="n"/>
      <c r="T367" s="50" t="n"/>
      <c r="U367" s="50" t="n"/>
      <c r="V367" s="112" t="n"/>
      <c r="W367" s="112" t="n"/>
      <c r="X367" s="112" t="n"/>
    </row>
    <row r="368" ht="22.5" customHeight="1" s="150">
      <c r="A368" s="34" t="n">
        <v>366</v>
      </c>
      <c r="C368" s="50" t="n"/>
      <c r="D368" s="50" t="n"/>
      <c r="E368" s="50" t="n"/>
      <c r="F368" s="50" t="n"/>
      <c r="G368" s="50" t="n"/>
      <c r="H368" s="50" t="n"/>
      <c r="I368" s="111" t="n"/>
      <c r="J368" s="112" t="n"/>
      <c r="K368" s="112" t="n"/>
      <c r="L368" s="112" t="n"/>
      <c r="M368" s="113" t="n"/>
      <c r="O368" s="50" t="n"/>
      <c r="P368" s="50" t="n"/>
      <c r="Q368" s="50" t="n"/>
      <c r="R368" s="50" t="n"/>
      <c r="S368" s="50" t="n"/>
      <c r="T368" s="50" t="n"/>
      <c r="U368" s="50" t="n"/>
      <c r="V368" s="112" t="n"/>
      <c r="W368" s="112" t="n"/>
      <c r="X368" s="112" t="n"/>
    </row>
    <row r="369" ht="22.5" customHeight="1" s="150">
      <c r="A369" s="34" t="n">
        <v>367</v>
      </c>
      <c r="C369" s="50" t="n"/>
      <c r="D369" s="50" t="n"/>
      <c r="E369" s="50" t="n"/>
      <c r="F369" s="50" t="n"/>
      <c r="G369" s="50" t="n"/>
      <c r="H369" s="50" t="n"/>
      <c r="I369" s="111" t="n"/>
      <c r="J369" s="112" t="n"/>
      <c r="K369" s="112" t="n"/>
      <c r="L369" s="112" t="n"/>
      <c r="M369" s="113" t="n"/>
      <c r="O369" s="50" t="n"/>
      <c r="P369" s="50" t="n"/>
      <c r="Q369" s="50" t="n"/>
      <c r="R369" s="50" t="n"/>
      <c r="S369" s="50" t="n"/>
      <c r="T369" s="50" t="n"/>
      <c r="U369" s="50" t="n"/>
      <c r="V369" s="112" t="n"/>
      <c r="W369" s="112" t="n"/>
      <c r="X369" s="112" t="n"/>
    </row>
    <row r="370" ht="22.5" customHeight="1" s="150">
      <c r="A370" s="34" t="n">
        <v>368</v>
      </c>
      <c r="C370" s="50" t="n"/>
      <c r="D370" s="50" t="n"/>
      <c r="E370" s="50" t="n"/>
      <c r="F370" s="50" t="n"/>
      <c r="G370" s="50" t="n"/>
      <c r="H370" s="50" t="n"/>
      <c r="I370" s="111" t="n"/>
      <c r="J370" s="112" t="n"/>
      <c r="K370" s="112" t="n"/>
      <c r="L370" s="112" t="n"/>
      <c r="M370" s="113" t="n"/>
      <c r="O370" s="50" t="n"/>
      <c r="P370" s="50" t="n"/>
      <c r="Q370" s="50" t="n"/>
      <c r="R370" s="50" t="n"/>
      <c r="S370" s="50" t="n"/>
      <c r="T370" s="50" t="n"/>
      <c r="U370" s="50" t="n"/>
      <c r="V370" s="112" t="n"/>
      <c r="W370" s="112" t="n"/>
      <c r="X370" s="112" t="n"/>
    </row>
    <row r="371" ht="22.5" customHeight="1" s="150">
      <c r="A371" s="34" t="n">
        <v>369</v>
      </c>
      <c r="C371" s="50" t="n"/>
      <c r="D371" s="50" t="n"/>
      <c r="E371" s="50" t="n"/>
      <c r="F371" s="50" t="n"/>
      <c r="G371" s="50" t="n"/>
      <c r="H371" s="50" t="n"/>
      <c r="I371" s="111" t="n"/>
      <c r="J371" s="112" t="n"/>
      <c r="K371" s="112" t="n"/>
      <c r="L371" s="112" t="n"/>
      <c r="M371" s="113" t="n"/>
      <c r="O371" s="50" t="n"/>
      <c r="P371" s="50" t="n"/>
      <c r="Q371" s="50" t="n"/>
      <c r="R371" s="50" t="n"/>
      <c r="S371" s="50" t="n"/>
      <c r="T371" s="50" t="n"/>
      <c r="U371" s="50" t="n"/>
      <c r="V371" s="112" t="n"/>
      <c r="W371" s="112" t="n"/>
      <c r="X371" s="112" t="n"/>
    </row>
    <row r="372" ht="22.5" customHeight="1" s="150">
      <c r="A372" s="34" t="n">
        <v>370</v>
      </c>
      <c r="C372" s="50" t="n"/>
      <c r="D372" s="50" t="n"/>
      <c r="E372" s="50" t="n"/>
      <c r="F372" s="50" t="n"/>
      <c r="G372" s="50" t="n"/>
      <c r="H372" s="50" t="n"/>
      <c r="I372" s="111" t="n"/>
      <c r="J372" s="112" t="n"/>
      <c r="K372" s="112" t="n"/>
      <c r="L372" s="112" t="n"/>
      <c r="M372" s="113" t="n"/>
      <c r="O372" s="50" t="n"/>
      <c r="P372" s="50" t="n"/>
      <c r="Q372" s="50" t="n"/>
      <c r="R372" s="50" t="n"/>
      <c r="S372" s="50" t="n"/>
      <c r="T372" s="50" t="n"/>
      <c r="U372" s="50" t="n"/>
      <c r="V372" s="112" t="n"/>
      <c r="W372" s="112" t="n"/>
      <c r="X372" s="112" t="n"/>
    </row>
    <row r="373" ht="22.5" customHeight="1" s="150">
      <c r="A373" s="34" t="n">
        <v>371</v>
      </c>
      <c r="C373" s="50" t="n"/>
      <c r="D373" s="50" t="n"/>
      <c r="E373" s="50" t="n"/>
      <c r="F373" s="50" t="n"/>
      <c r="G373" s="50" t="n"/>
      <c r="H373" s="50" t="n"/>
      <c r="I373" s="111" t="n"/>
      <c r="J373" s="112" t="n"/>
      <c r="K373" s="112" t="n"/>
      <c r="L373" s="112" t="n"/>
      <c r="M373" s="113" t="n"/>
      <c r="O373" s="50" t="n"/>
      <c r="P373" s="50" t="n"/>
      <c r="Q373" s="50" t="n"/>
      <c r="R373" s="50" t="n"/>
      <c r="S373" s="50" t="n"/>
      <c r="T373" s="50" t="n"/>
      <c r="U373" s="50" t="n"/>
      <c r="V373" s="112" t="n"/>
      <c r="W373" s="112" t="n"/>
      <c r="X373" s="112" t="n"/>
    </row>
    <row r="374" ht="22.5" customHeight="1" s="150">
      <c r="A374" s="34" t="n">
        <v>372</v>
      </c>
      <c r="C374" s="50" t="n"/>
      <c r="D374" s="50" t="n"/>
      <c r="E374" s="50" t="n"/>
      <c r="F374" s="50" t="n"/>
      <c r="G374" s="50" t="n"/>
      <c r="H374" s="50" t="n"/>
      <c r="I374" s="111" t="n"/>
      <c r="J374" s="112" t="n"/>
      <c r="K374" s="112" t="n"/>
      <c r="L374" s="112" t="n"/>
      <c r="M374" s="113" t="n"/>
      <c r="O374" s="50" t="n"/>
      <c r="P374" s="50" t="n"/>
      <c r="Q374" s="50" t="n"/>
      <c r="R374" s="50" t="n"/>
      <c r="S374" s="50" t="n"/>
      <c r="T374" s="50" t="n"/>
      <c r="U374" s="50" t="n"/>
      <c r="V374" s="112" t="n"/>
      <c r="W374" s="112" t="n"/>
      <c r="X374" s="112" t="n"/>
    </row>
    <row r="375" ht="22.5" customHeight="1" s="150">
      <c r="A375" s="34" t="n">
        <v>373</v>
      </c>
      <c r="C375" s="50" t="n"/>
      <c r="D375" s="50" t="n"/>
      <c r="E375" s="50" t="n"/>
      <c r="F375" s="50" t="n"/>
      <c r="G375" s="50" t="n"/>
      <c r="H375" s="50" t="n"/>
      <c r="I375" s="111" t="n"/>
      <c r="J375" s="112" t="n"/>
      <c r="K375" s="112" t="n"/>
      <c r="L375" s="112" t="n"/>
      <c r="M375" s="113" t="n"/>
      <c r="O375" s="50" t="n"/>
      <c r="P375" s="50" t="n"/>
      <c r="Q375" s="50" t="n"/>
      <c r="R375" s="50" t="n"/>
      <c r="S375" s="50" t="n"/>
      <c r="T375" s="50" t="n"/>
      <c r="U375" s="50" t="n"/>
      <c r="V375" s="112" t="n"/>
      <c r="W375" s="112" t="n"/>
      <c r="X375" s="112" t="n"/>
    </row>
    <row r="376" ht="22.5" customHeight="1" s="150">
      <c r="A376" s="34" t="n">
        <v>374</v>
      </c>
      <c r="C376" s="50" t="n"/>
      <c r="D376" s="50" t="n"/>
      <c r="E376" s="50" t="n"/>
      <c r="F376" s="50" t="n"/>
      <c r="G376" s="50" t="n"/>
      <c r="H376" s="50" t="n"/>
      <c r="I376" s="111" t="n"/>
      <c r="J376" s="112" t="n"/>
      <c r="K376" s="112" t="n"/>
      <c r="L376" s="112" t="n"/>
      <c r="M376" s="113" t="n"/>
      <c r="O376" s="50" t="n"/>
      <c r="P376" s="50" t="n"/>
      <c r="Q376" s="50" t="n"/>
      <c r="R376" s="50" t="n"/>
      <c r="S376" s="50" t="n"/>
      <c r="T376" s="50" t="n"/>
      <c r="U376" s="50" t="n"/>
      <c r="V376" s="112" t="n"/>
      <c r="W376" s="112" t="n"/>
      <c r="X376" s="112" t="n"/>
    </row>
    <row r="377" ht="22.5" customHeight="1" s="150">
      <c r="A377" s="34" t="n">
        <v>375</v>
      </c>
      <c r="C377" s="50" t="n"/>
      <c r="D377" s="50" t="n"/>
      <c r="E377" s="50" t="n"/>
      <c r="F377" s="50" t="n"/>
      <c r="G377" s="50" t="n"/>
      <c r="H377" s="50" t="n"/>
      <c r="I377" s="111" t="n"/>
      <c r="J377" s="112" t="n"/>
      <c r="K377" s="112" t="n"/>
      <c r="L377" s="112" t="n"/>
      <c r="M377" s="113" t="n"/>
      <c r="O377" s="50" t="n"/>
      <c r="P377" s="50" t="n"/>
      <c r="Q377" s="50" t="n"/>
      <c r="R377" s="50" t="n"/>
      <c r="S377" s="50" t="n"/>
      <c r="T377" s="50" t="n"/>
      <c r="U377" s="50" t="n"/>
      <c r="V377" s="112" t="n"/>
      <c r="W377" s="112" t="n"/>
      <c r="X377" s="112" t="n"/>
    </row>
    <row r="378" ht="22.5" customHeight="1" s="150">
      <c r="A378" s="34" t="n">
        <v>376</v>
      </c>
      <c r="C378" s="50" t="n"/>
      <c r="D378" s="50" t="n"/>
      <c r="E378" s="50" t="n"/>
      <c r="F378" s="50" t="n"/>
      <c r="G378" s="50" t="n"/>
      <c r="H378" s="50" t="n"/>
      <c r="I378" s="111" t="n"/>
      <c r="J378" s="112" t="n"/>
      <c r="K378" s="112" t="n"/>
      <c r="L378" s="112" t="n"/>
      <c r="M378" s="113" t="n"/>
      <c r="O378" s="50" t="n"/>
      <c r="P378" s="50" t="n"/>
      <c r="Q378" s="50" t="n"/>
      <c r="R378" s="50" t="n"/>
      <c r="S378" s="50" t="n"/>
      <c r="T378" s="50" t="n"/>
      <c r="U378" s="50" t="n"/>
      <c r="V378" s="112" t="n"/>
      <c r="W378" s="112" t="n"/>
      <c r="X378" s="112" t="n"/>
    </row>
    <row r="379" ht="22.5" customHeight="1" s="150">
      <c r="A379" s="34" t="n">
        <v>377</v>
      </c>
      <c r="C379" s="50" t="n"/>
      <c r="D379" s="50" t="n"/>
      <c r="E379" s="50" t="n"/>
      <c r="F379" s="50" t="n"/>
      <c r="G379" s="50" t="n"/>
      <c r="H379" s="50" t="n"/>
      <c r="I379" s="111" t="n"/>
      <c r="J379" s="112" t="n"/>
      <c r="K379" s="112" t="n"/>
      <c r="L379" s="112" t="n"/>
      <c r="M379" s="113" t="n"/>
      <c r="O379" s="50" t="n"/>
      <c r="P379" s="50" t="n"/>
      <c r="Q379" s="50" t="n"/>
      <c r="R379" s="50" t="n"/>
      <c r="S379" s="50" t="n"/>
      <c r="T379" s="50" t="n"/>
      <c r="U379" s="50" t="n"/>
      <c r="V379" s="112" t="n"/>
      <c r="W379" s="112" t="n"/>
      <c r="X379" s="112" t="n"/>
    </row>
    <row r="380" ht="22.5" customHeight="1" s="150">
      <c r="A380" s="34" t="n">
        <v>378</v>
      </c>
      <c r="C380" s="50" t="n"/>
      <c r="D380" s="50" t="n"/>
      <c r="E380" s="50" t="n"/>
      <c r="F380" s="50" t="n"/>
      <c r="G380" s="50" t="n"/>
      <c r="H380" s="50" t="n"/>
      <c r="I380" s="111" t="n"/>
      <c r="J380" s="112" t="n"/>
      <c r="K380" s="112" t="n"/>
      <c r="L380" s="112" t="n"/>
      <c r="M380" s="113" t="n"/>
      <c r="O380" s="50" t="n"/>
      <c r="P380" s="50" t="n"/>
      <c r="Q380" s="50" t="n"/>
      <c r="R380" s="50" t="n"/>
      <c r="S380" s="50" t="n"/>
      <c r="T380" s="50" t="n"/>
      <c r="U380" s="50" t="n"/>
      <c r="V380" s="112" t="n"/>
      <c r="W380" s="112" t="n"/>
      <c r="X380" s="112" t="n"/>
    </row>
    <row r="381" ht="22.5" customHeight="1" s="150">
      <c r="A381" s="34" t="n">
        <v>379</v>
      </c>
      <c r="C381" s="50" t="n"/>
      <c r="D381" s="50" t="n"/>
      <c r="E381" s="50" t="n"/>
      <c r="F381" s="50" t="n"/>
      <c r="G381" s="50" t="n"/>
      <c r="H381" s="50" t="n"/>
      <c r="I381" s="111" t="n"/>
      <c r="J381" s="112" t="n"/>
      <c r="K381" s="112" t="n"/>
      <c r="L381" s="112" t="n"/>
      <c r="M381" s="113" t="n"/>
      <c r="O381" s="50" t="n"/>
      <c r="P381" s="50" t="n"/>
      <c r="Q381" s="50" t="n"/>
      <c r="R381" s="50" t="n"/>
      <c r="S381" s="50" t="n"/>
      <c r="T381" s="50" t="n"/>
      <c r="U381" s="50" t="n"/>
      <c r="V381" s="112" t="n"/>
      <c r="W381" s="112" t="n"/>
      <c r="X381" s="112" t="n"/>
    </row>
    <row r="382" ht="22.5" customHeight="1" s="150">
      <c r="A382" s="34" t="n">
        <v>380</v>
      </c>
      <c r="C382" s="50" t="n"/>
      <c r="D382" s="50" t="n"/>
      <c r="E382" s="50" t="n"/>
      <c r="F382" s="50" t="n"/>
      <c r="G382" s="50" t="n"/>
      <c r="H382" s="50" t="n"/>
      <c r="I382" s="111" t="n"/>
      <c r="J382" s="112" t="n"/>
      <c r="K382" s="112" t="n"/>
      <c r="L382" s="112" t="n"/>
      <c r="M382" s="113" t="n"/>
      <c r="O382" s="50" t="n"/>
      <c r="P382" s="50" t="n"/>
      <c r="Q382" s="50" t="n"/>
      <c r="R382" s="50" t="n"/>
      <c r="S382" s="50" t="n"/>
      <c r="T382" s="50" t="n"/>
      <c r="U382" s="50" t="n"/>
      <c r="V382" s="112" t="n"/>
      <c r="W382" s="112" t="n"/>
      <c r="X382" s="112" t="n"/>
    </row>
    <row r="383" ht="22.5" customHeight="1" s="150">
      <c r="A383" s="34" t="n">
        <v>381</v>
      </c>
      <c r="C383" s="50" t="n"/>
      <c r="D383" s="50" t="n"/>
      <c r="E383" s="50" t="n"/>
      <c r="F383" s="50" t="n"/>
      <c r="G383" s="50" t="n"/>
      <c r="H383" s="50" t="n"/>
      <c r="I383" s="111" t="n"/>
      <c r="J383" s="112" t="n"/>
      <c r="K383" s="112" t="n"/>
      <c r="L383" s="112" t="n"/>
      <c r="M383" s="113" t="n"/>
      <c r="O383" s="50" t="n"/>
      <c r="P383" s="50" t="n"/>
      <c r="Q383" s="50" t="n"/>
      <c r="R383" s="50" t="n"/>
      <c r="S383" s="50" t="n"/>
      <c r="T383" s="50" t="n"/>
      <c r="U383" s="50" t="n"/>
      <c r="V383" s="112" t="n"/>
      <c r="W383" s="112" t="n"/>
      <c r="X383" s="112" t="n"/>
    </row>
    <row r="384" ht="22.5" customHeight="1" s="150">
      <c r="A384" s="34" t="n">
        <v>382</v>
      </c>
      <c r="C384" s="50" t="n"/>
      <c r="D384" s="50" t="n"/>
      <c r="E384" s="50" t="n"/>
      <c r="F384" s="50" t="n"/>
      <c r="G384" s="50" t="n"/>
      <c r="H384" s="50" t="n"/>
      <c r="I384" s="111" t="n"/>
      <c r="J384" s="112" t="n"/>
      <c r="K384" s="112" t="n"/>
      <c r="L384" s="112" t="n"/>
      <c r="M384" s="113" t="n"/>
      <c r="O384" s="50" t="n"/>
      <c r="P384" s="50" t="n"/>
      <c r="Q384" s="50" t="n"/>
      <c r="R384" s="50" t="n"/>
      <c r="S384" s="50" t="n"/>
      <c r="T384" s="50" t="n"/>
      <c r="U384" s="50" t="n"/>
      <c r="V384" s="112" t="n"/>
      <c r="W384" s="112" t="n"/>
      <c r="X384" s="112" t="n"/>
    </row>
    <row r="385" ht="22.5" customHeight="1" s="150">
      <c r="A385" s="34" t="n">
        <v>383</v>
      </c>
      <c r="C385" s="50" t="n"/>
      <c r="D385" s="50" t="n"/>
      <c r="E385" s="50" t="n"/>
      <c r="F385" s="50" t="n"/>
      <c r="G385" s="50" t="n"/>
      <c r="H385" s="50" t="n"/>
      <c r="I385" s="111" t="n"/>
      <c r="J385" s="112" t="n"/>
      <c r="K385" s="112" t="n"/>
      <c r="L385" s="112" t="n"/>
      <c r="M385" s="113" t="n"/>
      <c r="O385" s="50" t="n"/>
      <c r="P385" s="50" t="n"/>
      <c r="Q385" s="50" t="n"/>
      <c r="R385" s="50" t="n"/>
      <c r="S385" s="50" t="n"/>
      <c r="T385" s="50" t="n"/>
      <c r="U385" s="50" t="n"/>
      <c r="V385" s="112" t="n"/>
      <c r="W385" s="112" t="n"/>
      <c r="X385" s="112" t="n"/>
    </row>
    <row r="386" ht="22.5" customHeight="1" s="150">
      <c r="A386" s="34" t="n">
        <v>384</v>
      </c>
      <c r="C386" s="50" t="n"/>
      <c r="D386" s="50" t="n"/>
      <c r="E386" s="50" t="n"/>
      <c r="F386" s="50" t="n"/>
      <c r="G386" s="50" t="n"/>
      <c r="H386" s="50" t="n"/>
      <c r="I386" s="111" t="n"/>
      <c r="J386" s="112" t="n"/>
      <c r="K386" s="112" t="n"/>
      <c r="L386" s="112" t="n"/>
      <c r="M386" s="113" t="n"/>
      <c r="O386" s="50" t="n"/>
      <c r="P386" s="50" t="n"/>
      <c r="Q386" s="50" t="n"/>
      <c r="R386" s="50" t="n"/>
      <c r="S386" s="50" t="n"/>
      <c r="T386" s="50" t="n"/>
      <c r="U386" s="50" t="n"/>
      <c r="V386" s="112" t="n"/>
      <c r="W386" s="112" t="n"/>
      <c r="X386" s="112" t="n"/>
    </row>
    <row r="387" ht="22.5" customHeight="1" s="150">
      <c r="A387" s="34" t="n">
        <v>385</v>
      </c>
      <c r="C387" s="50" t="n"/>
      <c r="D387" s="50" t="n"/>
      <c r="E387" s="50" t="n"/>
      <c r="F387" s="50" t="n"/>
      <c r="G387" s="50" t="n"/>
      <c r="H387" s="50" t="n"/>
      <c r="I387" s="111" t="n"/>
      <c r="J387" s="112" t="n"/>
      <c r="K387" s="112" t="n"/>
      <c r="L387" s="112" t="n"/>
      <c r="M387" s="113" t="n"/>
      <c r="O387" s="50" t="n"/>
      <c r="P387" s="50" t="n"/>
      <c r="Q387" s="50" t="n"/>
      <c r="R387" s="50" t="n"/>
      <c r="S387" s="50" t="n"/>
      <c r="T387" s="50" t="n"/>
      <c r="U387" s="50" t="n"/>
      <c r="V387" s="112" t="n"/>
      <c r="W387" s="112" t="n"/>
      <c r="X387" s="112" t="n"/>
    </row>
    <row r="388" ht="22.5" customHeight="1" s="150">
      <c r="A388" s="34" t="n">
        <v>386</v>
      </c>
      <c r="C388" s="50" t="n"/>
      <c r="D388" s="50" t="n"/>
      <c r="E388" s="50" t="n"/>
      <c r="F388" s="50" t="n"/>
      <c r="G388" s="50" t="n"/>
      <c r="H388" s="50" t="n"/>
      <c r="I388" s="111" t="n"/>
      <c r="J388" s="112" t="n"/>
      <c r="K388" s="112" t="n"/>
      <c r="L388" s="112" t="n"/>
      <c r="M388" s="113" t="n"/>
      <c r="O388" s="50" t="n"/>
      <c r="P388" s="50" t="n"/>
      <c r="Q388" s="50" t="n"/>
      <c r="R388" s="50" t="n"/>
      <c r="S388" s="50" t="n"/>
      <c r="T388" s="50" t="n"/>
      <c r="U388" s="50" t="n"/>
      <c r="V388" s="112" t="n"/>
      <c r="W388" s="112" t="n"/>
      <c r="X388" s="112" t="n"/>
    </row>
    <row r="389" ht="22.5" customHeight="1" s="150">
      <c r="A389" s="34" t="n">
        <v>387</v>
      </c>
      <c r="C389" s="50" t="n"/>
      <c r="D389" s="50" t="n"/>
      <c r="E389" s="50" t="n"/>
      <c r="F389" s="50" t="n"/>
      <c r="G389" s="50" t="n"/>
      <c r="H389" s="50" t="n"/>
      <c r="I389" s="111" t="n"/>
      <c r="J389" s="112" t="n"/>
      <c r="K389" s="112" t="n"/>
      <c r="L389" s="112" t="n"/>
      <c r="M389" s="113" t="n"/>
      <c r="O389" s="50" t="n"/>
      <c r="P389" s="50" t="n"/>
      <c r="Q389" s="50" t="n"/>
      <c r="R389" s="50" t="n"/>
      <c r="S389" s="50" t="n"/>
      <c r="T389" s="50" t="n"/>
      <c r="U389" s="50" t="n"/>
      <c r="V389" s="112" t="n"/>
      <c r="W389" s="112" t="n"/>
      <c r="X389" s="112" t="n"/>
    </row>
    <row r="390" ht="22.5" customHeight="1" s="150">
      <c r="A390" s="34" t="n">
        <v>388</v>
      </c>
      <c r="C390" s="50" t="n"/>
      <c r="D390" s="50" t="n"/>
      <c r="E390" s="50" t="n"/>
      <c r="F390" s="50" t="n"/>
      <c r="G390" s="50" t="n"/>
      <c r="H390" s="50" t="n"/>
      <c r="I390" s="111" t="n"/>
      <c r="J390" s="112" t="n"/>
      <c r="K390" s="112" t="n"/>
      <c r="L390" s="112" t="n"/>
      <c r="M390" s="113" t="n"/>
      <c r="O390" s="50" t="n"/>
      <c r="P390" s="50" t="n"/>
      <c r="Q390" s="50" t="n"/>
      <c r="R390" s="50" t="n"/>
      <c r="S390" s="50" t="n"/>
      <c r="T390" s="50" t="n"/>
      <c r="U390" s="50" t="n"/>
      <c r="V390" s="112" t="n"/>
      <c r="W390" s="112" t="n"/>
      <c r="X390" s="112" t="n"/>
    </row>
    <row r="391" ht="22.5" customHeight="1" s="150">
      <c r="A391" s="34" t="n">
        <v>389</v>
      </c>
      <c r="C391" s="50" t="n"/>
      <c r="D391" s="50" t="n"/>
      <c r="E391" s="50" t="n"/>
      <c r="F391" s="50" t="n"/>
      <c r="G391" s="50" t="n"/>
      <c r="H391" s="50" t="n"/>
      <c r="I391" s="111" t="n"/>
      <c r="J391" s="112" t="n"/>
      <c r="K391" s="112" t="n"/>
      <c r="L391" s="112" t="n"/>
      <c r="M391" s="113" t="n"/>
      <c r="O391" s="50" t="n"/>
      <c r="P391" s="50" t="n"/>
      <c r="Q391" s="50" t="n"/>
      <c r="R391" s="50" t="n"/>
      <c r="S391" s="50" t="n"/>
      <c r="T391" s="50" t="n"/>
      <c r="U391" s="50" t="n"/>
      <c r="V391" s="112" t="n"/>
      <c r="W391" s="112" t="n"/>
      <c r="X391" s="112" t="n"/>
    </row>
    <row r="392" ht="22.5" customHeight="1" s="150">
      <c r="A392" s="34" t="n">
        <v>390</v>
      </c>
      <c r="C392" s="50" t="n"/>
      <c r="D392" s="50" t="n"/>
      <c r="E392" s="50" t="n"/>
      <c r="F392" s="50" t="n"/>
      <c r="G392" s="50" t="n"/>
      <c r="H392" s="50" t="n"/>
      <c r="I392" s="111" t="n"/>
      <c r="J392" s="112" t="n"/>
      <c r="K392" s="112" t="n"/>
      <c r="L392" s="112" t="n"/>
      <c r="M392" s="113" t="n"/>
      <c r="O392" s="50" t="n"/>
      <c r="P392" s="50" t="n"/>
      <c r="Q392" s="50" t="n"/>
      <c r="R392" s="50" t="n"/>
      <c r="S392" s="50" t="n"/>
      <c r="T392" s="50" t="n"/>
      <c r="U392" s="50" t="n"/>
      <c r="V392" s="112" t="n"/>
      <c r="W392" s="112" t="n"/>
      <c r="X392" s="112" t="n"/>
    </row>
    <row r="393" ht="22.5" customHeight="1" s="150">
      <c r="A393" s="34" t="n">
        <v>391</v>
      </c>
      <c r="C393" s="50" t="n"/>
      <c r="D393" s="50" t="n"/>
      <c r="E393" s="50" t="n"/>
      <c r="F393" s="50" t="n"/>
      <c r="G393" s="50" t="n"/>
      <c r="H393" s="50" t="n"/>
      <c r="I393" s="111" t="n"/>
      <c r="J393" s="112" t="n"/>
      <c r="K393" s="112" t="n"/>
      <c r="L393" s="112" t="n"/>
      <c r="M393" s="113" t="n"/>
      <c r="O393" s="50" t="n"/>
      <c r="P393" s="50" t="n"/>
      <c r="Q393" s="50" t="n"/>
      <c r="R393" s="50" t="n"/>
      <c r="S393" s="50" t="n"/>
      <c r="T393" s="50" t="n"/>
      <c r="U393" s="50" t="n"/>
      <c r="V393" s="112" t="n"/>
      <c r="W393" s="112" t="n"/>
      <c r="X393" s="112" t="n"/>
    </row>
    <row r="394" ht="22.5" customHeight="1" s="150">
      <c r="A394" s="34" t="n">
        <v>392</v>
      </c>
      <c r="C394" s="50" t="n"/>
      <c r="D394" s="50" t="n"/>
      <c r="E394" s="50" t="n"/>
      <c r="F394" s="50" t="n"/>
      <c r="G394" s="50" t="n"/>
      <c r="H394" s="50" t="n"/>
      <c r="I394" s="111" t="n"/>
      <c r="J394" s="112" t="n"/>
      <c r="K394" s="112" t="n"/>
      <c r="L394" s="112" t="n"/>
      <c r="M394" s="113" t="n"/>
      <c r="O394" s="50" t="n"/>
      <c r="P394" s="50" t="n"/>
      <c r="Q394" s="50" t="n"/>
      <c r="R394" s="50" t="n"/>
      <c r="S394" s="50" t="n"/>
      <c r="T394" s="50" t="n"/>
      <c r="U394" s="50" t="n"/>
      <c r="V394" s="112" t="n"/>
      <c r="W394" s="112" t="n"/>
      <c r="X394" s="112" t="n"/>
    </row>
    <row r="395" ht="22.5" customHeight="1" s="150">
      <c r="A395" s="34" t="n">
        <v>393</v>
      </c>
      <c r="C395" s="50" t="n"/>
      <c r="D395" s="50" t="n"/>
      <c r="E395" s="50" t="n"/>
      <c r="F395" s="50" t="n"/>
      <c r="G395" s="50" t="n"/>
      <c r="H395" s="50" t="n"/>
      <c r="I395" s="111" t="n"/>
      <c r="J395" s="112" t="n"/>
      <c r="K395" s="112" t="n"/>
      <c r="L395" s="112" t="n"/>
      <c r="M395" s="113" t="n"/>
      <c r="O395" s="50" t="n"/>
      <c r="P395" s="50" t="n"/>
      <c r="Q395" s="50" t="n"/>
      <c r="R395" s="50" t="n"/>
      <c r="S395" s="50" t="n"/>
      <c r="T395" s="50" t="n"/>
      <c r="U395" s="50" t="n"/>
      <c r="V395" s="112" t="n"/>
      <c r="W395" s="112" t="n"/>
      <c r="X395" s="112" t="n"/>
    </row>
    <row r="396" ht="22.5" customHeight="1" s="150">
      <c r="A396" s="34" t="n">
        <v>394</v>
      </c>
      <c r="C396" s="50" t="n"/>
      <c r="D396" s="50" t="n"/>
      <c r="E396" s="50" t="n"/>
      <c r="F396" s="50" t="n"/>
      <c r="G396" s="50" t="n"/>
      <c r="H396" s="50" t="n"/>
      <c r="I396" s="111" t="n"/>
      <c r="J396" s="112" t="n"/>
      <c r="K396" s="112" t="n"/>
      <c r="L396" s="112" t="n"/>
      <c r="M396" s="113" t="n"/>
      <c r="O396" s="50" t="n"/>
      <c r="P396" s="50" t="n"/>
      <c r="Q396" s="50" t="n"/>
      <c r="R396" s="50" t="n"/>
      <c r="S396" s="50" t="n"/>
      <c r="T396" s="50" t="n"/>
      <c r="U396" s="50" t="n"/>
      <c r="V396" s="112" t="n"/>
      <c r="W396" s="112" t="n"/>
      <c r="X396" s="112" t="n"/>
    </row>
    <row r="397" ht="22.5" customHeight="1" s="150">
      <c r="A397" s="34" t="n">
        <v>395</v>
      </c>
      <c r="C397" s="50" t="n"/>
      <c r="D397" s="50" t="n"/>
      <c r="E397" s="50" t="n"/>
      <c r="F397" s="50" t="n"/>
      <c r="G397" s="50" t="n"/>
      <c r="H397" s="50" t="n"/>
      <c r="I397" s="111" t="n"/>
      <c r="J397" s="112" t="n"/>
      <c r="K397" s="112" t="n"/>
      <c r="L397" s="112" t="n"/>
      <c r="M397" s="113" t="n"/>
      <c r="O397" s="50" t="n"/>
      <c r="P397" s="50" t="n"/>
      <c r="Q397" s="50" t="n"/>
      <c r="R397" s="50" t="n"/>
      <c r="S397" s="50" t="n"/>
      <c r="T397" s="50" t="n"/>
      <c r="U397" s="50" t="n"/>
      <c r="V397" s="112" t="n"/>
      <c r="W397" s="112" t="n"/>
      <c r="X397" s="112" t="n"/>
    </row>
    <row r="398" ht="22.5" customHeight="1" s="150">
      <c r="A398" s="34" t="n">
        <v>396</v>
      </c>
      <c r="C398" s="50" t="n"/>
      <c r="D398" s="50" t="n"/>
      <c r="E398" s="50" t="n"/>
      <c r="F398" s="50" t="n"/>
      <c r="G398" s="50" t="n"/>
      <c r="H398" s="50" t="n"/>
      <c r="I398" s="111" t="n"/>
      <c r="J398" s="112" t="n"/>
      <c r="K398" s="112" t="n"/>
      <c r="L398" s="112" t="n"/>
      <c r="M398" s="113" t="n"/>
      <c r="O398" s="50" t="n"/>
      <c r="P398" s="50" t="n"/>
      <c r="Q398" s="50" t="n"/>
      <c r="R398" s="50" t="n"/>
      <c r="S398" s="50" t="n"/>
      <c r="T398" s="50" t="n"/>
      <c r="U398" s="50" t="n"/>
      <c r="V398" s="112" t="n"/>
      <c r="W398" s="112" t="n"/>
      <c r="X398" s="112" t="n"/>
    </row>
    <row r="399" ht="22.5" customHeight="1" s="150">
      <c r="A399" s="34" t="n">
        <v>397</v>
      </c>
      <c r="C399" s="50" t="n"/>
      <c r="D399" s="50" t="n"/>
      <c r="E399" s="50" t="n"/>
      <c r="F399" s="50" t="n"/>
      <c r="G399" s="50" t="n"/>
      <c r="H399" s="50" t="n"/>
      <c r="I399" s="111" t="n"/>
      <c r="J399" s="112" t="n"/>
      <c r="K399" s="112" t="n"/>
      <c r="L399" s="112" t="n"/>
      <c r="M399" s="113" t="n"/>
      <c r="O399" s="50" t="n"/>
      <c r="P399" s="50" t="n"/>
      <c r="Q399" s="50" t="n"/>
      <c r="R399" s="50" t="n"/>
      <c r="S399" s="50" t="n"/>
      <c r="T399" s="50" t="n"/>
      <c r="U399" s="50" t="n"/>
      <c r="V399" s="112" t="n"/>
      <c r="W399" s="112" t="n"/>
      <c r="X399" s="112" t="n"/>
    </row>
    <row r="400" ht="22.5" customHeight="1" s="150">
      <c r="A400" s="34" t="n">
        <v>398</v>
      </c>
      <c r="C400" s="50" t="n"/>
      <c r="D400" s="50" t="n"/>
      <c r="E400" s="50" t="n"/>
      <c r="F400" s="50" t="n"/>
      <c r="G400" s="50" t="n"/>
      <c r="H400" s="50" t="n"/>
      <c r="I400" s="111" t="n"/>
      <c r="J400" s="112" t="n"/>
      <c r="K400" s="112" t="n"/>
      <c r="L400" s="112" t="n"/>
      <c r="M400" s="113" t="n"/>
      <c r="O400" s="50" t="n"/>
      <c r="P400" s="50" t="n"/>
      <c r="Q400" s="50" t="n"/>
      <c r="R400" s="50" t="n"/>
      <c r="S400" s="50" t="n"/>
      <c r="T400" s="50" t="n"/>
      <c r="U400" s="50" t="n"/>
      <c r="V400" s="112" t="n"/>
      <c r="W400" s="112" t="n"/>
      <c r="X400" s="112" t="n"/>
    </row>
    <row r="401" ht="22.5" customHeight="1" s="150">
      <c r="A401" s="34" t="n">
        <v>399</v>
      </c>
      <c r="C401" s="50" t="n"/>
      <c r="D401" s="50" t="n"/>
      <c r="E401" s="50" t="n"/>
      <c r="F401" s="50" t="n"/>
      <c r="G401" s="50" t="n"/>
      <c r="H401" s="50" t="n"/>
      <c r="I401" s="111" t="n"/>
      <c r="J401" s="112" t="n"/>
      <c r="K401" s="112" t="n"/>
      <c r="L401" s="112" t="n"/>
      <c r="M401" s="113" t="n"/>
      <c r="O401" s="50" t="n"/>
      <c r="P401" s="50" t="n"/>
      <c r="Q401" s="50" t="n"/>
      <c r="R401" s="50" t="n"/>
      <c r="S401" s="50" t="n"/>
      <c r="T401" s="50" t="n"/>
      <c r="U401" s="50" t="n"/>
      <c r="V401" s="112" t="n"/>
      <c r="W401" s="112" t="n"/>
      <c r="X401" s="112" t="n"/>
    </row>
    <row r="402" ht="22.5" customHeight="1" s="150">
      <c r="A402" s="34" t="n">
        <v>400</v>
      </c>
      <c r="C402" s="50" t="n"/>
      <c r="D402" s="50" t="n"/>
      <c r="E402" s="50" t="n"/>
      <c r="F402" s="50" t="n"/>
      <c r="G402" s="50" t="n"/>
      <c r="H402" s="50" t="n"/>
      <c r="I402" s="111" t="n"/>
      <c r="J402" s="112" t="n"/>
      <c r="K402" s="112" t="n"/>
      <c r="L402" s="112" t="n"/>
      <c r="M402" s="113" t="n"/>
      <c r="O402" s="50" t="n"/>
      <c r="P402" s="50" t="n"/>
      <c r="Q402" s="50" t="n"/>
      <c r="R402" s="50" t="n"/>
      <c r="S402" s="50" t="n"/>
      <c r="T402" s="50" t="n"/>
      <c r="U402" s="50" t="n"/>
      <c r="V402" s="112" t="n"/>
      <c r="W402" s="112" t="n"/>
      <c r="X402" s="112" t="n"/>
    </row>
    <row r="403">
      <c r="A403" s="34" t="n">
        <v>401</v>
      </c>
      <c r="I403" s="111" t="n"/>
      <c r="J403" s="111" t="n"/>
      <c r="K403" s="111" t="n"/>
      <c r="L403" s="111" t="n"/>
      <c r="V403" s="111" t="n"/>
      <c r="W403" s="111" t="n"/>
      <c r="X403" s="111" t="n"/>
    </row>
    <row r="404">
      <c r="A404" s="34" t="n">
        <v>402</v>
      </c>
      <c r="I404" s="111" t="n"/>
      <c r="J404" s="111" t="n"/>
      <c r="K404" s="111" t="n"/>
      <c r="L404" s="111" t="n"/>
      <c r="V404" s="111" t="n"/>
      <c r="W404" s="111" t="n"/>
      <c r="X404" s="111" t="n"/>
    </row>
    <row r="405">
      <c r="A405" s="34" t="n">
        <v>403</v>
      </c>
      <c r="I405" s="111" t="n"/>
      <c r="J405" s="111" t="n"/>
      <c r="K405" s="111" t="n"/>
      <c r="L405" s="111" t="n"/>
      <c r="V405" s="111" t="n"/>
      <c r="W405" s="111" t="n"/>
      <c r="X405" s="111" t="n"/>
    </row>
    <row r="406">
      <c r="A406" s="34" t="n">
        <v>404</v>
      </c>
      <c r="I406" s="111" t="n"/>
      <c r="J406" s="111" t="n"/>
      <c r="K406" s="111" t="n"/>
      <c r="L406" s="111" t="n"/>
      <c r="V406" s="111" t="n"/>
      <c r="W406" s="111" t="n"/>
      <c r="X406" s="111" t="n"/>
    </row>
    <row r="407">
      <c r="A407" s="34" t="n">
        <v>405</v>
      </c>
      <c r="I407" s="111" t="n"/>
      <c r="J407" s="111" t="n"/>
      <c r="K407" s="111" t="n"/>
      <c r="L407" s="111" t="n"/>
      <c r="V407" s="111" t="n"/>
      <c r="W407" s="111" t="n"/>
      <c r="X407" s="111" t="n"/>
    </row>
    <row r="408">
      <c r="A408" s="34" t="n">
        <v>406</v>
      </c>
      <c r="I408" s="111" t="n"/>
      <c r="J408" s="111" t="n"/>
      <c r="K408" s="111" t="n"/>
      <c r="L408" s="111" t="n"/>
      <c r="V408" s="111" t="n"/>
      <c r="W408" s="111" t="n"/>
      <c r="X408" s="111" t="n"/>
    </row>
    <row r="409">
      <c r="A409" s="34" t="n">
        <v>407</v>
      </c>
      <c r="I409" s="111" t="n"/>
      <c r="J409" s="111" t="n"/>
      <c r="K409" s="111" t="n"/>
      <c r="L409" s="111" t="n"/>
      <c r="V409" s="111" t="n"/>
      <c r="W409" s="111" t="n"/>
      <c r="X409" s="111" t="n"/>
    </row>
    <row r="410">
      <c r="A410" s="34" t="n">
        <v>408</v>
      </c>
      <c r="I410" s="111" t="n"/>
      <c r="J410" s="111" t="n"/>
      <c r="K410" s="111" t="n"/>
      <c r="L410" s="111" t="n"/>
      <c r="V410" s="111" t="n"/>
      <c r="W410" s="111" t="n"/>
      <c r="X410" s="111" t="n"/>
    </row>
    <row r="411">
      <c r="A411" s="34" t="n">
        <v>409</v>
      </c>
      <c r="I411" s="111" t="n"/>
      <c r="J411" s="111" t="n"/>
      <c r="K411" s="111" t="n"/>
      <c r="L411" s="111" t="n"/>
      <c r="V411" s="111" t="n"/>
      <c r="W411" s="111" t="n"/>
      <c r="X411" s="111" t="n"/>
    </row>
    <row r="412">
      <c r="A412" s="34" t="n">
        <v>410</v>
      </c>
      <c r="I412" s="111" t="n"/>
      <c r="J412" s="111" t="n"/>
      <c r="K412" s="111" t="n"/>
      <c r="L412" s="111" t="n"/>
      <c r="V412" s="111" t="n"/>
      <c r="W412" s="111" t="n"/>
      <c r="X412" s="111" t="n"/>
    </row>
    <row r="413">
      <c r="A413" s="34" t="n">
        <v>411</v>
      </c>
      <c r="I413" s="111" t="n"/>
      <c r="J413" s="111" t="n"/>
      <c r="K413" s="111" t="n"/>
      <c r="L413" s="111" t="n"/>
      <c r="V413" s="111" t="n"/>
      <c r="W413" s="111" t="n"/>
      <c r="X413" s="111" t="n"/>
    </row>
    <row r="414">
      <c r="A414" s="34" t="n">
        <v>412</v>
      </c>
      <c r="I414" s="111" t="n"/>
      <c r="J414" s="111" t="n"/>
      <c r="K414" s="111" t="n"/>
      <c r="L414" s="111" t="n"/>
      <c r="V414" s="111" t="n"/>
      <c r="W414" s="111" t="n"/>
      <c r="X414" s="111" t="n"/>
    </row>
    <row r="415">
      <c r="A415" s="34" t="n">
        <v>413</v>
      </c>
      <c r="I415" s="111" t="n"/>
      <c r="J415" s="111" t="n"/>
      <c r="K415" s="111" t="n"/>
      <c r="L415" s="111" t="n"/>
      <c r="V415" s="111" t="n"/>
      <c r="W415" s="111" t="n"/>
      <c r="X415" s="111" t="n"/>
    </row>
    <row r="416">
      <c r="A416" s="34" t="n">
        <v>414</v>
      </c>
      <c r="I416" s="111" t="n"/>
      <c r="J416" s="111" t="n"/>
      <c r="K416" s="111" t="n"/>
      <c r="L416" s="111" t="n"/>
      <c r="V416" s="111" t="n"/>
      <c r="W416" s="111" t="n"/>
      <c r="X416" s="111" t="n"/>
    </row>
    <row r="417">
      <c r="A417" s="34" t="n">
        <v>415</v>
      </c>
      <c r="I417" s="111" t="n"/>
      <c r="J417" s="111" t="n"/>
      <c r="K417" s="111" t="n"/>
      <c r="L417" s="111" t="n"/>
      <c r="V417" s="111" t="n"/>
      <c r="W417" s="111" t="n"/>
      <c r="X417" s="111" t="n"/>
    </row>
    <row r="418">
      <c r="A418" s="34" t="n">
        <v>416</v>
      </c>
      <c r="I418" s="111" t="n"/>
      <c r="J418" s="111" t="n"/>
      <c r="K418" s="111" t="n"/>
      <c r="L418" s="111" t="n"/>
      <c r="V418" s="111" t="n"/>
      <c r="W418" s="111" t="n"/>
      <c r="X418" s="111" t="n"/>
    </row>
    <row r="419">
      <c r="A419" s="34" t="n">
        <v>417</v>
      </c>
      <c r="I419" s="111" t="n"/>
      <c r="J419" s="111" t="n"/>
      <c r="K419" s="111" t="n"/>
      <c r="L419" s="111" t="n"/>
      <c r="V419" s="111" t="n"/>
      <c r="W419" s="111" t="n"/>
      <c r="X419" s="111" t="n"/>
    </row>
    <row r="420">
      <c r="A420" s="34" t="n">
        <v>418</v>
      </c>
      <c r="I420" s="111" t="n"/>
      <c r="J420" s="111" t="n"/>
      <c r="K420" s="111" t="n"/>
      <c r="L420" s="111" t="n"/>
      <c r="V420" s="111" t="n"/>
      <c r="W420" s="111" t="n"/>
      <c r="X420" s="111" t="n"/>
    </row>
    <row r="421">
      <c r="A421" s="34" t="n">
        <v>419</v>
      </c>
      <c r="I421" s="111" t="n"/>
      <c r="J421" s="111" t="n"/>
      <c r="K421" s="111" t="n"/>
      <c r="L421" s="111" t="n"/>
      <c r="V421" s="111" t="n"/>
      <c r="W421" s="111" t="n"/>
      <c r="X421" s="111" t="n"/>
    </row>
    <row r="422">
      <c r="A422" s="34" t="n">
        <v>420</v>
      </c>
      <c r="I422" s="111" t="n"/>
      <c r="J422" s="111" t="n"/>
      <c r="K422" s="111" t="n"/>
      <c r="L422" s="111" t="n"/>
      <c r="V422" s="111" t="n"/>
      <c r="W422" s="111" t="n"/>
      <c r="X422" s="111" t="n"/>
    </row>
    <row r="423">
      <c r="A423" s="34" t="n">
        <v>421</v>
      </c>
      <c r="I423" s="111" t="n"/>
      <c r="J423" s="111" t="n"/>
      <c r="K423" s="111" t="n"/>
      <c r="L423" s="111" t="n"/>
      <c r="V423" s="111" t="n"/>
      <c r="W423" s="111" t="n"/>
      <c r="X423" s="111" t="n"/>
    </row>
    <row r="424">
      <c r="A424" s="34" t="n">
        <v>422</v>
      </c>
      <c r="I424" s="111" t="n"/>
      <c r="J424" s="111" t="n"/>
      <c r="K424" s="111" t="n"/>
      <c r="L424" s="111" t="n"/>
      <c r="V424" s="111" t="n"/>
      <c r="W424" s="111" t="n"/>
      <c r="X424" s="111" t="n"/>
    </row>
    <row r="425">
      <c r="A425" s="34" t="n">
        <v>423</v>
      </c>
      <c r="I425" s="111" t="n"/>
      <c r="J425" s="111" t="n"/>
      <c r="K425" s="111" t="n"/>
      <c r="L425" s="111" t="n"/>
      <c r="V425" s="111" t="n"/>
      <c r="W425" s="111" t="n"/>
      <c r="X425" s="111" t="n"/>
    </row>
    <row r="426">
      <c r="A426" s="34" t="n">
        <v>424</v>
      </c>
      <c r="I426" s="111" t="n"/>
      <c r="J426" s="111" t="n"/>
      <c r="K426" s="111" t="n"/>
      <c r="L426" s="111" t="n"/>
      <c r="V426" s="111" t="n"/>
      <c r="W426" s="111" t="n"/>
      <c r="X426" s="111" t="n"/>
    </row>
    <row r="427">
      <c r="A427" s="34" t="n">
        <v>425</v>
      </c>
      <c r="I427" s="111" t="n"/>
      <c r="J427" s="111" t="n"/>
      <c r="K427" s="111" t="n"/>
      <c r="L427" s="111" t="n"/>
      <c r="V427" s="111" t="n"/>
      <c r="W427" s="111" t="n"/>
      <c r="X427" s="111" t="n"/>
    </row>
    <row r="428">
      <c r="A428" s="34" t="n">
        <v>426</v>
      </c>
      <c r="I428" s="111" t="n"/>
      <c r="J428" s="111" t="n"/>
      <c r="K428" s="111" t="n"/>
      <c r="L428" s="111" t="n"/>
      <c r="V428" s="111" t="n"/>
      <c r="W428" s="111" t="n"/>
      <c r="X428" s="111" t="n"/>
    </row>
    <row r="429">
      <c r="A429" s="34" t="n">
        <v>427</v>
      </c>
      <c r="I429" s="111" t="n"/>
      <c r="J429" s="111" t="n"/>
      <c r="K429" s="111" t="n"/>
      <c r="L429" s="111" t="n"/>
      <c r="V429" s="111" t="n"/>
      <c r="W429" s="111" t="n"/>
      <c r="X429" s="111" t="n"/>
    </row>
    <row r="430">
      <c r="A430" s="34" t="n">
        <v>428</v>
      </c>
      <c r="I430" s="111" t="n"/>
      <c r="J430" s="111" t="n"/>
      <c r="K430" s="111" t="n"/>
      <c r="L430" s="111" t="n"/>
      <c r="V430" s="111" t="n"/>
      <c r="W430" s="111" t="n"/>
      <c r="X430" s="111" t="n"/>
    </row>
    <row r="431">
      <c r="A431" s="34" t="n">
        <v>429</v>
      </c>
      <c r="I431" s="111" t="n"/>
      <c r="J431" s="111" t="n"/>
      <c r="K431" s="111" t="n"/>
      <c r="L431" s="111" t="n"/>
      <c r="V431" s="111" t="n"/>
      <c r="W431" s="111" t="n"/>
      <c r="X431" s="111" t="n"/>
    </row>
    <row r="432">
      <c r="A432" s="34" t="n">
        <v>430</v>
      </c>
      <c r="I432" s="111" t="n"/>
      <c r="J432" s="111" t="n"/>
      <c r="K432" s="111" t="n"/>
      <c r="L432" s="111" t="n"/>
      <c r="V432" s="111" t="n"/>
      <c r="W432" s="111" t="n"/>
      <c r="X432" s="111" t="n"/>
    </row>
    <row r="433">
      <c r="A433" s="34" t="n">
        <v>431</v>
      </c>
      <c r="I433" s="111" t="n"/>
      <c r="J433" s="111" t="n"/>
      <c r="K433" s="111" t="n"/>
      <c r="L433" s="111" t="n"/>
      <c r="V433" s="111" t="n"/>
      <c r="W433" s="111" t="n"/>
      <c r="X433" s="111" t="n"/>
    </row>
    <row r="434">
      <c r="A434" s="34" t="n">
        <v>432</v>
      </c>
      <c r="I434" s="111" t="n"/>
      <c r="J434" s="111" t="n"/>
      <c r="K434" s="111" t="n"/>
      <c r="L434" s="111" t="n"/>
      <c r="V434" s="111" t="n"/>
      <c r="W434" s="111" t="n"/>
      <c r="X434" s="111" t="n"/>
    </row>
    <row r="435">
      <c r="A435" s="34" t="n">
        <v>433</v>
      </c>
      <c r="I435" s="111" t="n"/>
      <c r="J435" s="111" t="n"/>
      <c r="K435" s="111" t="n"/>
      <c r="L435" s="111" t="n"/>
      <c r="V435" s="111" t="n"/>
      <c r="W435" s="111" t="n"/>
      <c r="X435" s="111" t="n"/>
    </row>
    <row r="436">
      <c r="A436" s="34" t="n">
        <v>434</v>
      </c>
      <c r="I436" s="111" t="n"/>
      <c r="J436" s="111" t="n"/>
      <c r="K436" s="111" t="n"/>
      <c r="L436" s="111" t="n"/>
      <c r="V436" s="111" t="n"/>
      <c r="W436" s="111" t="n"/>
      <c r="X436" s="111" t="n"/>
    </row>
    <row r="437">
      <c r="A437" s="34" t="n">
        <v>435</v>
      </c>
      <c r="I437" s="111" t="n"/>
      <c r="J437" s="111" t="n"/>
      <c r="K437" s="111" t="n"/>
      <c r="L437" s="111" t="n"/>
      <c r="V437" s="111" t="n"/>
      <c r="W437" s="111" t="n"/>
      <c r="X437" s="111" t="n"/>
    </row>
    <row r="438">
      <c r="A438" s="34" t="n">
        <v>436</v>
      </c>
      <c r="I438" s="111" t="n"/>
      <c r="J438" s="111" t="n"/>
      <c r="K438" s="111" t="n"/>
      <c r="L438" s="111" t="n"/>
      <c r="V438" s="111" t="n"/>
      <c r="W438" s="111" t="n"/>
      <c r="X438" s="111" t="n"/>
    </row>
    <row r="439">
      <c r="A439" s="34" t="n">
        <v>437</v>
      </c>
      <c r="I439" s="111" t="n"/>
      <c r="J439" s="111" t="n"/>
      <c r="K439" s="111" t="n"/>
      <c r="L439" s="111" t="n"/>
      <c r="V439" s="111" t="n"/>
      <c r="W439" s="111" t="n"/>
      <c r="X439" s="111" t="n"/>
    </row>
    <row r="440">
      <c r="A440" s="34" t="n">
        <v>438</v>
      </c>
      <c r="I440" s="111" t="n"/>
      <c r="J440" s="111" t="n"/>
      <c r="K440" s="111" t="n"/>
      <c r="L440" s="111" t="n"/>
      <c r="V440" s="111" t="n"/>
      <c r="W440" s="111" t="n"/>
      <c r="X440" s="111" t="n"/>
    </row>
    <row r="441">
      <c r="A441" s="34" t="n">
        <v>439</v>
      </c>
      <c r="I441" s="111" t="n"/>
      <c r="J441" s="111" t="n"/>
      <c r="K441" s="111" t="n"/>
      <c r="L441" s="111" t="n"/>
      <c r="V441" s="111" t="n"/>
      <c r="W441" s="111" t="n"/>
      <c r="X441" s="111" t="n"/>
    </row>
    <row r="442">
      <c r="A442" s="34" t="n">
        <v>440</v>
      </c>
      <c r="I442" s="111" t="n"/>
      <c r="J442" s="111" t="n"/>
      <c r="K442" s="111" t="n"/>
      <c r="L442" s="111" t="n"/>
      <c r="V442" s="111" t="n"/>
      <c r="W442" s="111" t="n"/>
      <c r="X442" s="111" t="n"/>
    </row>
    <row r="443">
      <c r="A443" s="34" t="n">
        <v>441</v>
      </c>
      <c r="I443" s="111" t="n"/>
      <c r="J443" s="111" t="n"/>
      <c r="K443" s="111" t="n"/>
      <c r="L443" s="111" t="n"/>
      <c r="V443" s="111" t="n"/>
      <c r="W443" s="111" t="n"/>
      <c r="X443" s="111" t="n"/>
    </row>
    <row r="444">
      <c r="A444" s="34" t="n">
        <v>442</v>
      </c>
      <c r="I444" s="111" t="n"/>
      <c r="J444" s="111" t="n"/>
      <c r="K444" s="111" t="n"/>
      <c r="L444" s="111" t="n"/>
      <c r="V444" s="111" t="n"/>
      <c r="W444" s="111" t="n"/>
      <c r="X444" s="111" t="n"/>
    </row>
    <row r="445">
      <c r="A445" s="34" t="n">
        <v>443</v>
      </c>
      <c r="I445" s="111" t="n"/>
      <c r="J445" s="111" t="n"/>
      <c r="K445" s="111" t="n"/>
      <c r="L445" s="111" t="n"/>
      <c r="V445" s="111" t="n"/>
      <c r="W445" s="111" t="n"/>
      <c r="X445" s="111" t="n"/>
    </row>
    <row r="446">
      <c r="A446" s="34" t="n">
        <v>444</v>
      </c>
      <c r="I446" s="111" t="n"/>
      <c r="J446" s="111" t="n"/>
      <c r="K446" s="111" t="n"/>
      <c r="L446" s="111" t="n"/>
      <c r="V446" s="111" t="n"/>
      <c r="W446" s="111" t="n"/>
      <c r="X446" s="111" t="n"/>
    </row>
    <row r="447">
      <c r="A447" s="34" t="n">
        <v>445</v>
      </c>
      <c r="I447" s="111" t="n"/>
      <c r="J447" s="111" t="n"/>
      <c r="K447" s="111" t="n"/>
      <c r="L447" s="111" t="n"/>
      <c r="V447" s="111" t="n"/>
      <c r="W447" s="111" t="n"/>
      <c r="X447" s="111" t="n"/>
    </row>
    <row r="448">
      <c r="A448" s="34" t="n">
        <v>446</v>
      </c>
      <c r="I448" s="111" t="n"/>
      <c r="J448" s="111" t="n"/>
      <c r="K448" s="111" t="n"/>
      <c r="L448" s="111" t="n"/>
      <c r="V448" s="111" t="n"/>
      <c r="W448" s="111" t="n"/>
      <c r="X448" s="111" t="n"/>
    </row>
    <row r="449">
      <c r="A449" s="34" t="n">
        <v>447</v>
      </c>
      <c r="I449" s="111" t="n"/>
      <c r="J449" s="111" t="n"/>
      <c r="K449" s="111" t="n"/>
      <c r="L449" s="111" t="n"/>
      <c r="V449" s="111" t="n"/>
      <c r="W449" s="111" t="n"/>
      <c r="X449" s="111" t="n"/>
    </row>
    <row r="450">
      <c r="A450" s="34" t="n">
        <v>448</v>
      </c>
      <c r="I450" s="111" t="n"/>
      <c r="J450" s="111" t="n"/>
      <c r="K450" s="111" t="n"/>
      <c r="L450" s="111" t="n"/>
      <c r="V450" s="111" t="n"/>
      <c r="W450" s="111" t="n"/>
      <c r="X450" s="111" t="n"/>
    </row>
    <row r="451">
      <c r="A451" s="34" t="n">
        <v>449</v>
      </c>
      <c r="I451" s="111" t="n"/>
      <c r="J451" s="111" t="n"/>
      <c r="K451" s="111" t="n"/>
      <c r="L451" s="111" t="n"/>
      <c r="V451" s="111" t="n"/>
      <c r="W451" s="111" t="n"/>
      <c r="X451" s="111" t="n"/>
    </row>
    <row r="452">
      <c r="A452" s="34" t="n">
        <v>450</v>
      </c>
      <c r="I452" s="111" t="n"/>
      <c r="J452" s="111" t="n"/>
      <c r="K452" s="111" t="n"/>
      <c r="L452" s="111" t="n"/>
      <c r="V452" s="111" t="n"/>
      <c r="W452" s="111" t="n"/>
      <c r="X452" s="111" t="n"/>
    </row>
    <row r="453">
      <c r="A453" s="34" t="n">
        <v>451</v>
      </c>
      <c r="I453" s="111" t="n"/>
      <c r="J453" s="111" t="n"/>
      <c r="K453" s="111" t="n"/>
      <c r="L453" s="111" t="n"/>
      <c r="V453" s="111" t="n"/>
      <c r="W453" s="111" t="n"/>
      <c r="X453" s="111" t="n"/>
    </row>
    <row r="454">
      <c r="A454" s="34" t="n">
        <v>452</v>
      </c>
      <c r="I454" s="111" t="n"/>
      <c r="J454" s="111" t="n"/>
      <c r="K454" s="111" t="n"/>
      <c r="L454" s="111" t="n"/>
      <c r="V454" s="111" t="n"/>
      <c r="W454" s="111" t="n"/>
      <c r="X454" s="111" t="n"/>
    </row>
    <row r="455">
      <c r="A455" s="34" t="n">
        <v>453</v>
      </c>
      <c r="I455" s="111" t="n"/>
      <c r="J455" s="111" t="n"/>
      <c r="K455" s="111" t="n"/>
      <c r="L455" s="111" t="n"/>
      <c r="V455" s="111" t="n"/>
      <c r="W455" s="111" t="n"/>
      <c r="X455" s="111" t="n"/>
    </row>
    <row r="456">
      <c r="A456" s="34" t="n">
        <v>454</v>
      </c>
      <c r="I456" s="111" t="n"/>
      <c r="J456" s="111" t="n"/>
      <c r="K456" s="111" t="n"/>
      <c r="L456" s="111" t="n"/>
      <c r="V456" s="111" t="n"/>
      <c r="W456" s="111" t="n"/>
      <c r="X456" s="111" t="n"/>
    </row>
    <row r="457">
      <c r="A457" s="34" t="n">
        <v>455</v>
      </c>
      <c r="I457" s="111" t="n"/>
      <c r="J457" s="111" t="n"/>
      <c r="K457" s="111" t="n"/>
      <c r="L457" s="111" t="n"/>
      <c r="V457" s="111" t="n"/>
      <c r="W457" s="111" t="n"/>
      <c r="X457" s="111" t="n"/>
    </row>
    <row r="458">
      <c r="A458" s="34" t="n">
        <v>456</v>
      </c>
      <c r="I458" s="111" t="n"/>
      <c r="J458" s="111" t="n"/>
      <c r="K458" s="111" t="n"/>
      <c r="L458" s="111" t="n"/>
      <c r="V458" s="111" t="n"/>
      <c r="W458" s="111" t="n"/>
      <c r="X458" s="111" t="n"/>
    </row>
    <row r="459">
      <c r="A459" s="34" t="n">
        <v>457</v>
      </c>
      <c r="I459" s="111" t="n"/>
      <c r="J459" s="111" t="n"/>
      <c r="K459" s="111" t="n"/>
      <c r="L459" s="111" t="n"/>
      <c r="V459" s="111" t="n"/>
      <c r="W459" s="111" t="n"/>
      <c r="X459" s="111" t="n"/>
    </row>
    <row r="460">
      <c r="A460" s="34" t="n">
        <v>458</v>
      </c>
      <c r="I460" s="111" t="n"/>
      <c r="J460" s="111" t="n"/>
      <c r="K460" s="111" t="n"/>
      <c r="L460" s="111" t="n"/>
      <c r="V460" s="111" t="n"/>
      <c r="W460" s="111" t="n"/>
      <c r="X460" s="111" t="n"/>
    </row>
    <row r="461">
      <c r="A461" s="34" t="n">
        <v>459</v>
      </c>
      <c r="I461" s="111" t="n"/>
      <c r="J461" s="111" t="n"/>
      <c r="K461" s="111" t="n"/>
      <c r="L461" s="111" t="n"/>
      <c r="V461" s="111" t="n"/>
      <c r="W461" s="111" t="n"/>
      <c r="X461" s="111" t="n"/>
    </row>
    <row r="462">
      <c r="A462" s="34" t="n">
        <v>460</v>
      </c>
      <c r="I462" s="111" t="n"/>
      <c r="J462" s="111" t="n"/>
      <c r="K462" s="111" t="n"/>
      <c r="L462" s="111" t="n"/>
      <c r="V462" s="111" t="n"/>
      <c r="W462" s="111" t="n"/>
      <c r="X462" s="111" t="n"/>
    </row>
    <row r="463">
      <c r="A463" s="34" t="n">
        <v>461</v>
      </c>
      <c r="I463" s="111" t="n"/>
      <c r="J463" s="111" t="n"/>
      <c r="K463" s="111" t="n"/>
      <c r="L463" s="111" t="n"/>
      <c r="V463" s="111" t="n"/>
      <c r="W463" s="111" t="n"/>
      <c r="X463" s="111" t="n"/>
    </row>
    <row r="464">
      <c r="A464" s="34" t="n">
        <v>462</v>
      </c>
      <c r="I464" s="111" t="n"/>
      <c r="J464" s="111" t="n"/>
      <c r="K464" s="111" t="n"/>
      <c r="L464" s="111" t="n"/>
      <c r="V464" s="111" t="n"/>
      <c r="W464" s="111" t="n"/>
      <c r="X464" s="111" t="n"/>
    </row>
    <row r="465">
      <c r="A465" s="34" t="n">
        <v>463</v>
      </c>
      <c r="I465" s="111" t="n"/>
      <c r="J465" s="111" t="n"/>
      <c r="K465" s="111" t="n"/>
      <c r="L465" s="111" t="n"/>
      <c r="V465" s="111" t="n"/>
      <c r="W465" s="111" t="n"/>
      <c r="X465" s="111" t="n"/>
    </row>
    <row r="466">
      <c r="A466" s="34" t="n">
        <v>464</v>
      </c>
      <c r="I466" s="111" t="n"/>
      <c r="J466" s="111" t="n"/>
      <c r="K466" s="111" t="n"/>
      <c r="L466" s="111" t="n"/>
      <c r="V466" s="111" t="n"/>
      <c r="W466" s="111" t="n"/>
      <c r="X466" s="111" t="n"/>
    </row>
    <row r="467">
      <c r="A467" s="34" t="n">
        <v>465</v>
      </c>
      <c r="I467" s="111" t="n"/>
      <c r="J467" s="111" t="n"/>
      <c r="K467" s="111" t="n"/>
      <c r="L467" s="111" t="n"/>
      <c r="V467" s="111" t="n"/>
      <c r="W467" s="111" t="n"/>
      <c r="X467" s="111" t="n"/>
    </row>
    <row r="468">
      <c r="A468" s="34" t="n">
        <v>466</v>
      </c>
      <c r="I468" s="111" t="n"/>
      <c r="J468" s="111" t="n"/>
      <c r="K468" s="111" t="n"/>
      <c r="L468" s="111" t="n"/>
      <c r="V468" s="111" t="n"/>
      <c r="W468" s="111" t="n"/>
      <c r="X468" s="111" t="n"/>
    </row>
    <row r="469">
      <c r="A469" s="34" t="n">
        <v>467</v>
      </c>
      <c r="I469" s="111" t="n"/>
      <c r="J469" s="111" t="n"/>
      <c r="K469" s="111" t="n"/>
      <c r="L469" s="111" t="n"/>
      <c r="V469" s="111" t="n"/>
      <c r="W469" s="111" t="n"/>
      <c r="X469" s="111" t="n"/>
    </row>
    <row r="470">
      <c r="A470" s="34" t="n">
        <v>468</v>
      </c>
      <c r="I470" s="111" t="n"/>
      <c r="J470" s="111" t="n"/>
      <c r="K470" s="111" t="n"/>
      <c r="L470" s="111" t="n"/>
      <c r="V470" s="111" t="n"/>
      <c r="W470" s="111" t="n"/>
      <c r="X470" s="111" t="n"/>
    </row>
    <row r="471">
      <c r="A471" s="34" t="n">
        <v>469</v>
      </c>
      <c r="I471" s="111" t="n"/>
      <c r="J471" s="111" t="n"/>
      <c r="K471" s="111" t="n"/>
      <c r="L471" s="111" t="n"/>
      <c r="V471" s="111" t="n"/>
      <c r="W471" s="111" t="n"/>
      <c r="X471" s="111" t="n"/>
    </row>
    <row r="472">
      <c r="A472" s="34" t="n">
        <v>470</v>
      </c>
      <c r="I472" s="111" t="n"/>
      <c r="J472" s="111" t="n"/>
      <c r="K472" s="111" t="n"/>
      <c r="L472" s="111" t="n"/>
      <c r="V472" s="111" t="n"/>
      <c r="W472" s="111" t="n"/>
      <c r="X472" s="111" t="n"/>
    </row>
    <row r="473">
      <c r="A473" s="34" t="n">
        <v>471</v>
      </c>
      <c r="I473" s="111" t="n"/>
      <c r="J473" s="111" t="n"/>
      <c r="K473" s="111" t="n"/>
      <c r="L473" s="111" t="n"/>
      <c r="V473" s="111" t="n"/>
      <c r="W473" s="111" t="n"/>
      <c r="X473" s="111" t="n"/>
    </row>
    <row r="474">
      <c r="A474" s="34" t="n">
        <v>472</v>
      </c>
      <c r="I474" s="111" t="n"/>
      <c r="J474" s="111" t="n"/>
      <c r="K474" s="111" t="n"/>
      <c r="L474" s="111" t="n"/>
      <c r="V474" s="111" t="n"/>
      <c r="W474" s="111" t="n"/>
      <c r="X474" s="111" t="n"/>
    </row>
    <row r="475">
      <c r="A475" s="34" t="n">
        <v>473</v>
      </c>
      <c r="I475" s="111" t="n"/>
      <c r="J475" s="111" t="n"/>
      <c r="K475" s="111" t="n"/>
      <c r="L475" s="111" t="n"/>
      <c r="V475" s="111" t="n"/>
      <c r="W475" s="111" t="n"/>
      <c r="X475" s="111" t="n"/>
    </row>
    <row r="476">
      <c r="A476" s="34" t="n">
        <v>474</v>
      </c>
      <c r="I476" s="111" t="n"/>
      <c r="J476" s="111" t="n"/>
      <c r="K476" s="111" t="n"/>
      <c r="L476" s="111" t="n"/>
      <c r="V476" s="111" t="n"/>
      <c r="W476" s="111" t="n"/>
      <c r="X476" s="111" t="n"/>
    </row>
    <row r="477">
      <c r="A477" s="34" t="n">
        <v>475</v>
      </c>
      <c r="I477" s="111" t="n"/>
      <c r="J477" s="111" t="n"/>
      <c r="K477" s="111" t="n"/>
      <c r="L477" s="111" t="n"/>
      <c r="V477" s="111" t="n"/>
      <c r="W477" s="111" t="n"/>
      <c r="X477" s="111" t="n"/>
    </row>
    <row r="478">
      <c r="A478" s="34" t="n">
        <v>476</v>
      </c>
      <c r="I478" s="111" t="n"/>
      <c r="J478" s="111" t="n"/>
      <c r="K478" s="111" t="n"/>
      <c r="L478" s="111" t="n"/>
      <c r="V478" s="111" t="n"/>
      <c r="W478" s="111" t="n"/>
      <c r="X478" s="111" t="n"/>
    </row>
    <row r="479">
      <c r="A479" s="34" t="n">
        <v>477</v>
      </c>
      <c r="I479" s="111" t="n"/>
      <c r="J479" s="111" t="n"/>
      <c r="K479" s="111" t="n"/>
      <c r="L479" s="111" t="n"/>
      <c r="V479" s="111" t="n"/>
      <c r="W479" s="111" t="n"/>
      <c r="X479" s="111" t="n"/>
    </row>
    <row r="480">
      <c r="A480" s="34" t="n">
        <v>478</v>
      </c>
      <c r="I480" s="111" t="n"/>
      <c r="J480" s="111" t="n"/>
      <c r="K480" s="111" t="n"/>
      <c r="L480" s="111" t="n"/>
      <c r="V480" s="111" t="n"/>
      <c r="W480" s="111" t="n"/>
      <c r="X480" s="111" t="n"/>
    </row>
    <row r="481">
      <c r="A481" s="34" t="n">
        <v>479</v>
      </c>
      <c r="I481" s="111" t="n"/>
      <c r="J481" s="111" t="n"/>
      <c r="K481" s="111" t="n"/>
      <c r="L481" s="111" t="n"/>
      <c r="V481" s="111" t="n"/>
      <c r="W481" s="111" t="n"/>
      <c r="X481" s="111" t="n"/>
    </row>
    <row r="482">
      <c r="A482" s="34" t="n">
        <v>480</v>
      </c>
      <c r="I482" s="111" t="n"/>
      <c r="J482" s="111" t="n"/>
      <c r="K482" s="111" t="n"/>
      <c r="L482" s="111" t="n"/>
      <c r="V482" s="111" t="n"/>
      <c r="W482" s="111" t="n"/>
      <c r="X482" s="111" t="n"/>
    </row>
    <row r="483">
      <c r="A483" s="34" t="n">
        <v>481</v>
      </c>
      <c r="I483" s="111" t="n"/>
      <c r="J483" s="111" t="n"/>
      <c r="K483" s="111" t="n"/>
      <c r="L483" s="111" t="n"/>
      <c r="V483" s="111" t="n"/>
      <c r="W483" s="111" t="n"/>
      <c r="X483" s="111" t="n"/>
    </row>
    <row r="484">
      <c r="A484" s="34" t="n">
        <v>482</v>
      </c>
      <c r="I484" s="111" t="n"/>
      <c r="J484" s="111" t="n"/>
      <c r="K484" s="111" t="n"/>
      <c r="L484" s="111" t="n"/>
      <c r="V484" s="111" t="n"/>
      <c r="W484" s="111" t="n"/>
      <c r="X484" s="111" t="n"/>
    </row>
    <row r="485">
      <c r="A485" s="34" t="n">
        <v>483</v>
      </c>
      <c r="I485" s="111" t="n"/>
      <c r="J485" s="111" t="n"/>
      <c r="K485" s="111" t="n"/>
      <c r="L485" s="111" t="n"/>
      <c r="V485" s="111" t="n"/>
      <c r="W485" s="111" t="n"/>
      <c r="X485" s="111" t="n"/>
    </row>
    <row r="486">
      <c r="A486" s="34" t="n">
        <v>484</v>
      </c>
      <c r="I486" s="111" t="n"/>
      <c r="J486" s="111" t="n"/>
      <c r="K486" s="111" t="n"/>
      <c r="L486" s="111" t="n"/>
      <c r="V486" s="111" t="n"/>
      <c r="W486" s="111" t="n"/>
      <c r="X486" s="111" t="n"/>
    </row>
    <row r="487">
      <c r="A487" s="34" t="n">
        <v>485</v>
      </c>
      <c r="I487" s="111" t="n"/>
      <c r="J487" s="111" t="n"/>
      <c r="K487" s="111" t="n"/>
      <c r="L487" s="111" t="n"/>
      <c r="V487" s="111" t="n"/>
      <c r="W487" s="111" t="n"/>
      <c r="X487" s="111" t="n"/>
    </row>
    <row r="488">
      <c r="A488" s="34" t="n">
        <v>486</v>
      </c>
      <c r="I488" s="111" t="n"/>
      <c r="J488" s="111" t="n"/>
      <c r="K488" s="111" t="n"/>
      <c r="L488" s="111" t="n"/>
      <c r="V488" s="111" t="n"/>
      <c r="W488" s="111" t="n"/>
      <c r="X488" s="111" t="n"/>
    </row>
    <row r="489">
      <c r="A489" s="34" t="n">
        <v>487</v>
      </c>
      <c r="I489" s="111" t="n"/>
      <c r="J489" s="111" t="n"/>
      <c r="K489" s="111" t="n"/>
      <c r="L489" s="111" t="n"/>
      <c r="V489" s="111" t="n"/>
      <c r="W489" s="111" t="n"/>
      <c r="X489" s="111" t="n"/>
    </row>
    <row r="490">
      <c r="A490" s="34" t="n">
        <v>488</v>
      </c>
      <c r="I490" s="111" t="n"/>
      <c r="J490" s="111" t="n"/>
      <c r="K490" s="111" t="n"/>
      <c r="L490" s="111" t="n"/>
      <c r="V490" s="111" t="n"/>
      <c r="W490" s="111" t="n"/>
      <c r="X490" s="111" t="n"/>
    </row>
    <row r="491">
      <c r="A491" s="34" t="n">
        <v>489</v>
      </c>
      <c r="I491" s="111" t="n"/>
      <c r="J491" s="111" t="n"/>
      <c r="K491" s="111" t="n"/>
      <c r="L491" s="111" t="n"/>
      <c r="V491" s="111" t="n"/>
      <c r="W491" s="111" t="n"/>
      <c r="X491" s="111" t="n"/>
    </row>
    <row r="492">
      <c r="A492" s="34" t="n">
        <v>490</v>
      </c>
      <c r="I492" s="111" t="n"/>
      <c r="J492" s="111" t="n"/>
      <c r="K492" s="111" t="n"/>
      <c r="L492" s="111" t="n"/>
      <c r="V492" s="111" t="n"/>
      <c r="W492" s="111" t="n"/>
      <c r="X492" s="111" t="n"/>
    </row>
    <row r="493">
      <c r="A493" s="34" t="n">
        <v>491</v>
      </c>
      <c r="I493" s="111" t="n"/>
      <c r="J493" s="111" t="n"/>
      <c r="K493" s="111" t="n"/>
      <c r="L493" s="111" t="n"/>
      <c r="V493" s="111" t="n"/>
      <c r="W493" s="111" t="n"/>
      <c r="X493" s="111" t="n"/>
    </row>
    <row r="494">
      <c r="A494" s="34" t="n">
        <v>492</v>
      </c>
      <c r="I494" s="111" t="n"/>
      <c r="J494" s="111" t="n"/>
      <c r="K494" s="111" t="n"/>
      <c r="L494" s="111" t="n"/>
      <c r="V494" s="111" t="n"/>
      <c r="W494" s="111" t="n"/>
      <c r="X494" s="111" t="n"/>
    </row>
    <row r="495">
      <c r="A495" s="34" t="n">
        <v>493</v>
      </c>
      <c r="I495" s="111" t="n"/>
      <c r="J495" s="111" t="n"/>
      <c r="K495" s="111" t="n"/>
      <c r="L495" s="111" t="n"/>
      <c r="V495" s="111" t="n"/>
      <c r="W495" s="111" t="n"/>
      <c r="X495" s="111" t="n"/>
    </row>
    <row r="496">
      <c r="A496" s="34" t="n">
        <v>494</v>
      </c>
      <c r="I496" s="111" t="n"/>
      <c r="J496" s="111" t="n"/>
      <c r="K496" s="111" t="n"/>
      <c r="L496" s="111" t="n"/>
      <c r="V496" s="111" t="n"/>
      <c r="W496" s="111" t="n"/>
      <c r="X496" s="111" t="n"/>
    </row>
    <row r="497">
      <c r="A497" s="34" t="n">
        <v>495</v>
      </c>
      <c r="I497" s="111" t="n"/>
      <c r="J497" s="111" t="n"/>
      <c r="K497" s="111" t="n"/>
      <c r="L497" s="111" t="n"/>
      <c r="V497" s="111" t="n"/>
      <c r="W497" s="111" t="n"/>
      <c r="X497" s="111" t="n"/>
    </row>
    <row r="498">
      <c r="A498" s="34" t="n">
        <v>496</v>
      </c>
      <c r="I498" s="111" t="n"/>
      <c r="J498" s="111" t="n"/>
      <c r="K498" s="111" t="n"/>
      <c r="L498" s="111" t="n"/>
      <c r="V498" s="111" t="n"/>
      <c r="W498" s="111" t="n"/>
      <c r="X498" s="111" t="n"/>
    </row>
    <row r="499">
      <c r="A499" s="34" t="n">
        <v>497</v>
      </c>
      <c r="I499" s="111" t="n"/>
      <c r="J499" s="111" t="n"/>
      <c r="K499" s="111" t="n"/>
      <c r="L499" s="111" t="n"/>
      <c r="V499" s="111" t="n"/>
      <c r="W499" s="111" t="n"/>
      <c r="X499" s="111" t="n"/>
    </row>
    <row r="500">
      <c r="A500" s="34" t="n">
        <v>498</v>
      </c>
      <c r="I500" s="111" t="n"/>
      <c r="J500" s="111" t="n"/>
      <c r="K500" s="111" t="n"/>
      <c r="L500" s="111" t="n"/>
      <c r="V500" s="111" t="n"/>
      <c r="W500" s="111" t="n"/>
      <c r="X500" s="111" t="n"/>
    </row>
    <row r="501">
      <c r="A501" s="34" t="n">
        <v>499</v>
      </c>
      <c r="I501" s="111" t="n"/>
      <c r="J501" s="111" t="n"/>
      <c r="K501" s="111" t="n"/>
      <c r="L501" s="111" t="n"/>
      <c r="V501" s="111" t="n"/>
      <c r="W501" s="111" t="n"/>
      <c r="X501" s="111" t="n"/>
    </row>
    <row r="502">
      <c r="A502" s="34" t="n">
        <v>500</v>
      </c>
      <c r="I502" s="111" t="n"/>
      <c r="J502" s="111" t="n"/>
      <c r="K502" s="111" t="n"/>
      <c r="L502" s="111" t="n"/>
      <c r="V502" s="111" t="n"/>
      <c r="W502" s="111" t="n"/>
      <c r="X502" s="111" t="n"/>
    </row>
    <row r="503">
      <c r="A503" s="34" t="n">
        <v>501</v>
      </c>
      <c r="I503" s="111" t="n"/>
      <c r="J503" s="111" t="n"/>
      <c r="K503" s="111" t="n"/>
      <c r="L503" s="111" t="n"/>
      <c r="V503" s="111" t="n"/>
      <c r="W503" s="111" t="n"/>
      <c r="X503" s="111" t="n"/>
    </row>
    <row r="504">
      <c r="A504" s="34" t="n">
        <v>502</v>
      </c>
      <c r="I504" s="111" t="n"/>
      <c r="J504" s="111" t="n"/>
      <c r="K504" s="111" t="n"/>
      <c r="L504" s="111" t="n"/>
      <c r="V504" s="111" t="n"/>
      <c r="W504" s="111" t="n"/>
      <c r="X504" s="111" t="n"/>
    </row>
    <row r="505">
      <c r="A505" s="34" t="n">
        <v>503</v>
      </c>
      <c r="I505" s="111" t="n"/>
      <c r="J505" s="111" t="n"/>
      <c r="K505" s="111" t="n"/>
      <c r="L505" s="111" t="n"/>
      <c r="V505" s="111" t="n"/>
      <c r="W505" s="111" t="n"/>
      <c r="X505" s="111" t="n"/>
    </row>
    <row r="506">
      <c r="A506" s="34" t="n">
        <v>504</v>
      </c>
      <c r="I506" s="111" t="n"/>
      <c r="J506" s="111" t="n"/>
      <c r="K506" s="111" t="n"/>
      <c r="L506" s="111" t="n"/>
      <c r="V506" s="111" t="n"/>
      <c r="W506" s="111" t="n"/>
      <c r="X506" s="111" t="n"/>
    </row>
    <row r="507">
      <c r="A507" s="34" t="n">
        <v>505</v>
      </c>
      <c r="I507" s="111" t="n"/>
      <c r="J507" s="111" t="n"/>
      <c r="K507" s="111" t="n"/>
      <c r="L507" s="111" t="n"/>
      <c r="V507" s="111" t="n"/>
      <c r="W507" s="111" t="n"/>
      <c r="X507" s="111" t="n"/>
    </row>
    <row r="508">
      <c r="A508" s="34" t="n">
        <v>506</v>
      </c>
      <c r="I508" s="111" t="n"/>
      <c r="J508" s="111" t="n"/>
      <c r="K508" s="111" t="n"/>
      <c r="L508" s="111" t="n"/>
      <c r="V508" s="111" t="n"/>
      <c r="W508" s="111" t="n"/>
      <c r="X508" s="111" t="n"/>
    </row>
    <row r="509">
      <c r="A509" s="34" t="n">
        <v>507</v>
      </c>
      <c r="I509" s="111" t="n"/>
      <c r="J509" s="111" t="n"/>
      <c r="K509" s="111" t="n"/>
      <c r="L509" s="111" t="n"/>
      <c r="V509" s="111" t="n"/>
      <c r="W509" s="111" t="n"/>
      <c r="X509" s="111" t="n"/>
    </row>
    <row r="510">
      <c r="A510" s="34" t="n">
        <v>508</v>
      </c>
      <c r="I510" s="111" t="n"/>
      <c r="J510" s="111" t="n"/>
      <c r="K510" s="111" t="n"/>
      <c r="L510" s="111" t="n"/>
      <c r="V510" s="111" t="n"/>
      <c r="W510" s="111" t="n"/>
      <c r="X510" s="111" t="n"/>
    </row>
    <row r="511">
      <c r="A511" s="34" t="n">
        <v>509</v>
      </c>
      <c r="I511" s="111" t="n"/>
      <c r="J511" s="111" t="n"/>
      <c r="K511" s="111" t="n"/>
      <c r="L511" s="111" t="n"/>
      <c r="V511" s="111" t="n"/>
      <c r="W511" s="111" t="n"/>
      <c r="X511" s="111" t="n"/>
    </row>
    <row r="512">
      <c r="A512" s="34" t="n">
        <v>510</v>
      </c>
      <c r="I512" s="111" t="n"/>
      <c r="J512" s="111" t="n"/>
      <c r="K512" s="111" t="n"/>
      <c r="L512" s="111" t="n"/>
      <c r="V512" s="111" t="n"/>
      <c r="W512" s="111" t="n"/>
      <c r="X512" s="111" t="n"/>
    </row>
    <row r="513">
      <c r="A513" s="34" t="n">
        <v>511</v>
      </c>
      <c r="I513" s="111" t="n"/>
      <c r="J513" s="111" t="n"/>
      <c r="K513" s="111" t="n"/>
      <c r="L513" s="111" t="n"/>
      <c r="V513" s="111" t="n"/>
      <c r="W513" s="111" t="n"/>
      <c r="X513" s="111" t="n"/>
    </row>
    <row r="514">
      <c r="A514" s="34" t="n">
        <v>512</v>
      </c>
      <c r="I514" s="111" t="n"/>
      <c r="J514" s="111" t="n"/>
      <c r="K514" s="111" t="n"/>
      <c r="L514" s="111" t="n"/>
      <c r="V514" s="111" t="n"/>
      <c r="W514" s="111" t="n"/>
      <c r="X514" s="111" t="n"/>
    </row>
    <row r="515">
      <c r="A515" s="34" t="n">
        <v>513</v>
      </c>
      <c r="I515" s="111" t="n"/>
      <c r="J515" s="111" t="n"/>
      <c r="K515" s="111" t="n"/>
      <c r="L515" s="111" t="n"/>
      <c r="V515" s="111" t="n"/>
      <c r="W515" s="111" t="n"/>
      <c r="X515" s="111" t="n"/>
    </row>
    <row r="516">
      <c r="A516" s="34" t="n">
        <v>514</v>
      </c>
      <c r="I516" s="111" t="n"/>
      <c r="J516" s="111" t="n"/>
      <c r="K516" s="111" t="n"/>
      <c r="L516" s="111" t="n"/>
      <c r="V516" s="111" t="n"/>
      <c r="W516" s="111" t="n"/>
      <c r="X516" s="111" t="n"/>
    </row>
    <row r="517">
      <c r="A517" s="34" t="n">
        <v>515</v>
      </c>
      <c r="I517" s="111" t="n"/>
      <c r="J517" s="111" t="n"/>
      <c r="K517" s="111" t="n"/>
      <c r="L517" s="111" t="n"/>
      <c r="V517" s="111" t="n"/>
      <c r="W517" s="111" t="n"/>
      <c r="X517" s="111" t="n"/>
    </row>
    <row r="518">
      <c r="A518" s="34" t="n">
        <v>516</v>
      </c>
      <c r="I518" s="111" t="n"/>
      <c r="J518" s="111" t="n"/>
      <c r="K518" s="111" t="n"/>
      <c r="L518" s="111" t="n"/>
      <c r="V518" s="111" t="n"/>
      <c r="W518" s="111" t="n"/>
      <c r="X518" s="111" t="n"/>
    </row>
    <row r="519">
      <c r="A519" s="34" t="n">
        <v>517</v>
      </c>
      <c r="I519" s="111" t="n"/>
      <c r="J519" s="111" t="n"/>
      <c r="K519" s="111" t="n"/>
      <c r="L519" s="111" t="n"/>
      <c r="V519" s="111" t="n"/>
      <c r="W519" s="111" t="n"/>
      <c r="X519" s="111" t="n"/>
    </row>
    <row r="520">
      <c r="A520" s="34" t="n">
        <v>518</v>
      </c>
      <c r="I520" s="111" t="n"/>
      <c r="J520" s="111" t="n"/>
      <c r="K520" s="111" t="n"/>
      <c r="L520" s="111" t="n"/>
      <c r="V520" s="111" t="n"/>
      <c r="W520" s="111" t="n"/>
      <c r="X520" s="111" t="n"/>
    </row>
    <row r="521">
      <c r="A521" s="34" t="n">
        <v>519</v>
      </c>
      <c r="I521" s="111" t="n"/>
      <c r="J521" s="111" t="n"/>
      <c r="K521" s="111" t="n"/>
      <c r="L521" s="111" t="n"/>
      <c r="V521" s="111" t="n"/>
      <c r="W521" s="111" t="n"/>
      <c r="X521" s="111" t="n"/>
    </row>
    <row r="522">
      <c r="A522" s="34" t="n">
        <v>520</v>
      </c>
      <c r="I522" s="111" t="n"/>
      <c r="J522" s="111" t="n"/>
      <c r="K522" s="111" t="n"/>
      <c r="L522" s="111" t="n"/>
      <c r="V522" s="111" t="n"/>
      <c r="W522" s="111" t="n"/>
      <c r="X522" s="111" t="n"/>
    </row>
    <row r="523">
      <c r="A523" s="34" t="n">
        <v>521</v>
      </c>
      <c r="I523" s="111" t="n"/>
      <c r="J523" s="111" t="n"/>
      <c r="K523" s="111" t="n"/>
      <c r="L523" s="111" t="n"/>
      <c r="V523" s="111" t="n"/>
      <c r="W523" s="111" t="n"/>
      <c r="X523" s="111" t="n"/>
    </row>
    <row r="524">
      <c r="A524" s="34" t="n">
        <v>522</v>
      </c>
      <c r="I524" s="111" t="n"/>
      <c r="J524" s="111" t="n"/>
      <c r="K524" s="111" t="n"/>
      <c r="L524" s="111" t="n"/>
      <c r="V524" s="111" t="n"/>
      <c r="W524" s="111" t="n"/>
      <c r="X524" s="111" t="n"/>
    </row>
    <row r="525">
      <c r="A525" s="34" t="n">
        <v>523</v>
      </c>
      <c r="I525" s="111" t="n"/>
      <c r="J525" s="111" t="n"/>
      <c r="K525" s="111" t="n"/>
      <c r="L525" s="111" t="n"/>
      <c r="V525" s="111" t="n"/>
      <c r="W525" s="111" t="n"/>
      <c r="X525" s="111" t="n"/>
    </row>
    <row r="526">
      <c r="A526" s="34" t="n">
        <v>524</v>
      </c>
      <c r="I526" s="111" t="n"/>
      <c r="J526" s="111" t="n"/>
      <c r="K526" s="111" t="n"/>
      <c r="L526" s="111" t="n"/>
      <c r="V526" s="111" t="n"/>
      <c r="W526" s="111" t="n"/>
      <c r="X526" s="111" t="n"/>
    </row>
    <row r="527">
      <c r="A527" s="34" t="n">
        <v>525</v>
      </c>
      <c r="I527" s="111" t="n"/>
      <c r="J527" s="111" t="n"/>
      <c r="K527" s="111" t="n"/>
      <c r="L527" s="111" t="n"/>
      <c r="V527" s="111" t="n"/>
      <c r="W527" s="111" t="n"/>
      <c r="X527" s="111" t="n"/>
    </row>
    <row r="528">
      <c r="A528" s="34" t="n">
        <v>526</v>
      </c>
      <c r="I528" s="111" t="n"/>
      <c r="J528" s="111" t="n"/>
      <c r="K528" s="111" t="n"/>
      <c r="L528" s="111" t="n"/>
      <c r="V528" s="111" t="n"/>
      <c r="W528" s="111" t="n"/>
      <c r="X528" s="111" t="n"/>
    </row>
    <row r="529">
      <c r="A529" s="34" t="n">
        <v>527</v>
      </c>
      <c r="I529" s="111" t="n"/>
      <c r="J529" s="111" t="n"/>
      <c r="K529" s="111" t="n"/>
      <c r="L529" s="111" t="n"/>
      <c r="V529" s="111" t="n"/>
      <c r="W529" s="111" t="n"/>
      <c r="X529" s="111" t="n"/>
    </row>
    <row r="530">
      <c r="A530" s="34" t="n">
        <v>528</v>
      </c>
      <c r="I530" s="111" t="n"/>
      <c r="J530" s="111" t="n"/>
      <c r="K530" s="111" t="n"/>
      <c r="L530" s="111" t="n"/>
      <c r="V530" s="111" t="n"/>
      <c r="W530" s="111" t="n"/>
      <c r="X530" s="111" t="n"/>
    </row>
    <row r="531">
      <c r="A531" s="34" t="n">
        <v>529</v>
      </c>
      <c r="I531" s="111" t="n"/>
      <c r="J531" s="111" t="n"/>
      <c r="K531" s="111" t="n"/>
      <c r="L531" s="111" t="n"/>
      <c r="V531" s="111" t="n"/>
      <c r="W531" s="111" t="n"/>
      <c r="X531" s="111" t="n"/>
    </row>
    <row r="532">
      <c r="A532" s="34" t="n">
        <v>530</v>
      </c>
      <c r="I532" s="111" t="n"/>
      <c r="J532" s="111" t="n"/>
      <c r="K532" s="111" t="n"/>
      <c r="L532" s="111" t="n"/>
      <c r="V532" s="111" t="n"/>
      <c r="W532" s="111" t="n"/>
      <c r="X532" s="111" t="n"/>
    </row>
    <row r="533">
      <c r="A533" s="34" t="n">
        <v>531</v>
      </c>
      <c r="I533" s="111" t="n"/>
      <c r="J533" s="111" t="n"/>
      <c r="K533" s="111" t="n"/>
      <c r="L533" s="111" t="n"/>
      <c r="V533" s="111" t="n"/>
      <c r="W533" s="111" t="n"/>
      <c r="X533" s="111" t="n"/>
    </row>
    <row r="534">
      <c r="A534" s="34" t="n">
        <v>532</v>
      </c>
      <c r="I534" s="111" t="n"/>
      <c r="J534" s="111" t="n"/>
      <c r="K534" s="111" t="n"/>
      <c r="L534" s="111" t="n"/>
      <c r="V534" s="111" t="n"/>
      <c r="W534" s="111" t="n"/>
      <c r="X534" s="111" t="n"/>
    </row>
    <row r="535">
      <c r="A535" s="34" t="n">
        <v>533</v>
      </c>
      <c r="I535" s="111" t="n"/>
      <c r="J535" s="111" t="n"/>
      <c r="K535" s="111" t="n"/>
      <c r="L535" s="111" t="n"/>
      <c r="V535" s="111" t="n"/>
      <c r="W535" s="111" t="n"/>
      <c r="X535" s="111" t="n"/>
    </row>
    <row r="536">
      <c r="A536" s="34" t="n">
        <v>534</v>
      </c>
      <c r="I536" s="111" t="n"/>
      <c r="J536" s="111" t="n"/>
      <c r="K536" s="111" t="n"/>
      <c r="L536" s="111" t="n"/>
      <c r="V536" s="111" t="n"/>
      <c r="W536" s="111" t="n"/>
      <c r="X536" s="111" t="n"/>
    </row>
    <row r="537">
      <c r="A537" s="34" t="n">
        <v>535</v>
      </c>
      <c r="I537" s="111" t="n"/>
      <c r="J537" s="111" t="n"/>
      <c r="K537" s="111" t="n"/>
      <c r="L537" s="111" t="n"/>
      <c r="V537" s="111" t="n"/>
      <c r="W537" s="111" t="n"/>
      <c r="X537" s="111" t="n"/>
    </row>
    <row r="538">
      <c r="A538" s="34" t="n">
        <v>536</v>
      </c>
      <c r="I538" s="111" t="n"/>
      <c r="J538" s="111" t="n"/>
      <c r="K538" s="111" t="n"/>
      <c r="L538" s="111" t="n"/>
      <c r="V538" s="111" t="n"/>
      <c r="W538" s="111" t="n"/>
      <c r="X538" s="111" t="n"/>
    </row>
    <row r="539">
      <c r="A539" s="34" t="n">
        <v>537</v>
      </c>
      <c r="I539" s="111" t="n"/>
      <c r="J539" s="111" t="n"/>
      <c r="K539" s="111" t="n"/>
      <c r="L539" s="111" t="n"/>
      <c r="V539" s="111" t="n"/>
      <c r="W539" s="111" t="n"/>
      <c r="X539" s="111" t="n"/>
    </row>
    <row r="540">
      <c r="A540" s="34" t="n">
        <v>538</v>
      </c>
      <c r="I540" s="111" t="n"/>
      <c r="J540" s="111" t="n"/>
      <c r="K540" s="111" t="n"/>
      <c r="L540" s="111" t="n"/>
      <c r="V540" s="111" t="n"/>
      <c r="W540" s="111" t="n"/>
      <c r="X540" s="111" t="n"/>
    </row>
    <row r="541">
      <c r="A541" s="34" t="n">
        <v>539</v>
      </c>
      <c r="I541" s="111" t="n"/>
      <c r="J541" s="111" t="n"/>
      <c r="K541" s="111" t="n"/>
      <c r="L541" s="111" t="n"/>
      <c r="V541" s="111" t="n"/>
      <c r="W541" s="111" t="n"/>
      <c r="X541" s="111" t="n"/>
    </row>
    <row r="542">
      <c r="A542" s="34" t="n">
        <v>540</v>
      </c>
      <c r="I542" s="111" t="n"/>
      <c r="J542" s="111" t="n"/>
      <c r="K542" s="111" t="n"/>
      <c r="L542" s="111" t="n"/>
      <c r="V542" s="111" t="n"/>
      <c r="W542" s="111" t="n"/>
      <c r="X542" s="111" t="n"/>
    </row>
    <row r="543">
      <c r="A543" s="34" t="n">
        <v>541</v>
      </c>
      <c r="I543" s="111" t="n"/>
      <c r="J543" s="111" t="n"/>
      <c r="K543" s="111" t="n"/>
      <c r="L543" s="111" t="n"/>
      <c r="V543" s="111" t="n"/>
      <c r="W543" s="111" t="n"/>
      <c r="X543" s="111" t="n"/>
    </row>
    <row r="544">
      <c r="A544" s="34" t="n">
        <v>542</v>
      </c>
      <c r="I544" s="111" t="n"/>
      <c r="J544" s="111" t="n"/>
      <c r="K544" s="111" t="n"/>
      <c r="L544" s="111" t="n"/>
      <c r="V544" s="111" t="n"/>
      <c r="W544" s="111" t="n"/>
      <c r="X544" s="111" t="n"/>
    </row>
    <row r="545">
      <c r="A545" s="34" t="n">
        <v>543</v>
      </c>
      <c r="I545" s="111" t="n"/>
      <c r="J545" s="111" t="n"/>
      <c r="K545" s="111" t="n"/>
      <c r="L545" s="111" t="n"/>
      <c r="V545" s="111" t="n"/>
      <c r="W545" s="111" t="n"/>
      <c r="X545" s="111" t="n"/>
    </row>
    <row r="546">
      <c r="A546" s="34" t="n">
        <v>544</v>
      </c>
      <c r="I546" s="111" t="n"/>
      <c r="J546" s="111" t="n"/>
      <c r="K546" s="111" t="n"/>
      <c r="L546" s="111" t="n"/>
      <c r="V546" s="111" t="n"/>
      <c r="W546" s="111" t="n"/>
      <c r="X546" s="111" t="n"/>
    </row>
    <row r="547">
      <c r="A547" s="34" t="n">
        <v>545</v>
      </c>
      <c r="I547" s="111" t="n"/>
      <c r="J547" s="111" t="n"/>
      <c r="K547" s="111" t="n"/>
      <c r="L547" s="111" t="n"/>
      <c r="V547" s="111" t="n"/>
      <c r="W547" s="111" t="n"/>
      <c r="X547" s="111" t="n"/>
    </row>
    <row r="548">
      <c r="A548" s="34" t="n">
        <v>546</v>
      </c>
      <c r="I548" s="111" t="n"/>
      <c r="J548" s="111" t="n"/>
      <c r="K548" s="111" t="n"/>
      <c r="L548" s="111" t="n"/>
      <c r="V548" s="111" t="n"/>
      <c r="W548" s="111" t="n"/>
      <c r="X548" s="111" t="n"/>
    </row>
    <row r="549">
      <c r="A549" s="34" t="n">
        <v>547</v>
      </c>
      <c r="I549" s="111" t="n"/>
      <c r="J549" s="111" t="n"/>
      <c r="K549" s="111" t="n"/>
      <c r="L549" s="111" t="n"/>
      <c r="V549" s="111" t="n"/>
      <c r="W549" s="111" t="n"/>
      <c r="X549" s="111" t="n"/>
    </row>
    <row r="550">
      <c r="A550" s="34" t="n">
        <v>548</v>
      </c>
      <c r="I550" s="111" t="n"/>
      <c r="J550" s="111" t="n"/>
      <c r="K550" s="111" t="n"/>
      <c r="L550" s="111" t="n"/>
      <c r="V550" s="111" t="n"/>
      <c r="W550" s="111" t="n"/>
      <c r="X550" s="111" t="n"/>
    </row>
    <row r="551">
      <c r="A551" s="34" t="n">
        <v>549</v>
      </c>
      <c r="I551" s="111" t="n"/>
      <c r="J551" s="111" t="n"/>
      <c r="K551" s="111" t="n"/>
      <c r="L551" s="111" t="n"/>
      <c r="V551" s="111" t="n"/>
      <c r="W551" s="111" t="n"/>
      <c r="X551" s="111" t="n"/>
    </row>
    <row r="552">
      <c r="A552" s="34" t="n">
        <v>550</v>
      </c>
      <c r="I552" s="111" t="n"/>
      <c r="J552" s="111" t="n"/>
      <c r="K552" s="111" t="n"/>
      <c r="L552" s="111" t="n"/>
      <c r="V552" s="111" t="n"/>
      <c r="W552" s="111" t="n"/>
      <c r="X552" s="111" t="n"/>
    </row>
    <row r="553">
      <c r="A553" s="34" t="n">
        <v>551</v>
      </c>
      <c r="I553" s="111" t="n"/>
      <c r="J553" s="111" t="n"/>
      <c r="K553" s="111" t="n"/>
      <c r="L553" s="111" t="n"/>
      <c r="V553" s="111" t="n"/>
      <c r="W553" s="111" t="n"/>
      <c r="X553" s="111" t="n"/>
    </row>
    <row r="554">
      <c r="A554" s="34" t="n">
        <v>552</v>
      </c>
      <c r="I554" s="111" t="n"/>
      <c r="J554" s="111" t="n"/>
      <c r="K554" s="111" t="n"/>
      <c r="L554" s="111" t="n"/>
      <c r="V554" s="111" t="n"/>
      <c r="W554" s="111" t="n"/>
      <c r="X554" s="111" t="n"/>
    </row>
    <row r="555">
      <c r="A555" s="34" t="n">
        <v>553</v>
      </c>
      <c r="I555" s="111" t="n"/>
      <c r="J555" s="111" t="n"/>
      <c r="K555" s="111" t="n"/>
      <c r="L555" s="111" t="n"/>
      <c r="V555" s="111" t="n"/>
      <c r="W555" s="111" t="n"/>
      <c r="X555" s="111" t="n"/>
    </row>
    <row r="556">
      <c r="A556" s="34" t="n">
        <v>554</v>
      </c>
      <c r="I556" s="111" t="n"/>
      <c r="J556" s="111" t="n"/>
      <c r="K556" s="111" t="n"/>
      <c r="L556" s="111" t="n"/>
      <c r="V556" s="111" t="n"/>
      <c r="W556" s="111" t="n"/>
      <c r="X556" s="111" t="n"/>
    </row>
    <row r="557">
      <c r="A557" s="34" t="n">
        <v>555</v>
      </c>
      <c r="I557" s="111" t="n"/>
      <c r="J557" s="111" t="n"/>
      <c r="K557" s="111" t="n"/>
      <c r="L557" s="111" t="n"/>
      <c r="V557" s="111" t="n"/>
      <c r="W557" s="111" t="n"/>
      <c r="X557" s="111" t="n"/>
    </row>
    <row r="558">
      <c r="A558" s="34" t="n">
        <v>556</v>
      </c>
      <c r="I558" s="111" t="n"/>
      <c r="J558" s="111" t="n"/>
      <c r="K558" s="111" t="n"/>
      <c r="L558" s="111" t="n"/>
      <c r="V558" s="111" t="n"/>
      <c r="W558" s="111" t="n"/>
      <c r="X558" s="111" t="n"/>
    </row>
    <row r="559">
      <c r="A559" s="34" t="n">
        <v>557</v>
      </c>
      <c r="I559" s="111" t="n"/>
      <c r="J559" s="111" t="n"/>
      <c r="K559" s="111" t="n"/>
      <c r="L559" s="111" t="n"/>
      <c r="V559" s="111" t="n"/>
      <c r="W559" s="111" t="n"/>
      <c r="X559" s="111" t="n"/>
    </row>
    <row r="560">
      <c r="A560" s="34" t="n">
        <v>558</v>
      </c>
      <c r="I560" s="111" t="n"/>
      <c r="J560" s="111" t="n"/>
      <c r="K560" s="111" t="n"/>
      <c r="L560" s="111" t="n"/>
      <c r="V560" s="111" t="n"/>
      <c r="W560" s="111" t="n"/>
      <c r="X560" s="111" t="n"/>
    </row>
    <row r="561">
      <c r="A561" s="34" t="n">
        <v>559</v>
      </c>
      <c r="I561" s="111" t="n"/>
      <c r="J561" s="111" t="n"/>
      <c r="K561" s="111" t="n"/>
      <c r="L561" s="111" t="n"/>
      <c r="V561" s="111" t="n"/>
      <c r="W561" s="111" t="n"/>
      <c r="X561" s="111" t="n"/>
    </row>
    <row r="562">
      <c r="A562" s="34" t="n">
        <v>560</v>
      </c>
      <c r="I562" s="111" t="n"/>
      <c r="J562" s="111" t="n"/>
      <c r="K562" s="111" t="n"/>
      <c r="L562" s="111" t="n"/>
      <c r="V562" s="111" t="n"/>
      <c r="W562" s="111" t="n"/>
      <c r="X562" s="111" t="n"/>
    </row>
    <row r="563">
      <c r="A563" s="34" t="n">
        <v>561</v>
      </c>
      <c r="I563" s="111" t="n"/>
      <c r="J563" s="111" t="n"/>
      <c r="K563" s="111" t="n"/>
      <c r="L563" s="111" t="n"/>
      <c r="V563" s="111" t="n"/>
      <c r="W563" s="111" t="n"/>
      <c r="X563" s="111" t="n"/>
    </row>
    <row r="564">
      <c r="A564" s="34" t="n">
        <v>562</v>
      </c>
      <c r="I564" s="111" t="n"/>
      <c r="J564" s="111" t="n"/>
      <c r="K564" s="111" t="n"/>
      <c r="L564" s="111" t="n"/>
      <c r="V564" s="111" t="n"/>
      <c r="W564" s="111" t="n"/>
      <c r="X564" s="111" t="n"/>
    </row>
    <row r="565">
      <c r="A565" s="34" t="n">
        <v>563</v>
      </c>
      <c r="I565" s="111" t="n"/>
      <c r="J565" s="111" t="n"/>
      <c r="K565" s="111" t="n"/>
      <c r="L565" s="111" t="n"/>
      <c r="V565" s="111" t="n"/>
      <c r="W565" s="111" t="n"/>
      <c r="X565" s="111" t="n"/>
    </row>
    <row r="566">
      <c r="A566" s="34" t="n">
        <v>564</v>
      </c>
      <c r="I566" s="111" t="n"/>
      <c r="J566" s="111" t="n"/>
      <c r="K566" s="111" t="n"/>
      <c r="L566" s="111" t="n"/>
      <c r="V566" s="111" t="n"/>
      <c r="W566" s="111" t="n"/>
      <c r="X566" s="111" t="n"/>
    </row>
    <row r="567">
      <c r="A567" s="34" t="n">
        <v>565</v>
      </c>
      <c r="I567" s="111" t="n"/>
      <c r="J567" s="111" t="n"/>
      <c r="K567" s="111" t="n"/>
      <c r="L567" s="111" t="n"/>
      <c r="V567" s="111" t="n"/>
      <c r="W567" s="111" t="n"/>
      <c r="X567" s="111" t="n"/>
    </row>
    <row r="568">
      <c r="A568" s="34" t="n">
        <v>566</v>
      </c>
      <c r="I568" s="111" t="n"/>
      <c r="J568" s="111" t="n"/>
      <c r="K568" s="111" t="n"/>
      <c r="L568" s="111" t="n"/>
      <c r="V568" s="111" t="n"/>
      <c r="W568" s="111" t="n"/>
      <c r="X568" s="111" t="n"/>
    </row>
    <row r="569">
      <c r="A569" s="34" t="n">
        <v>567</v>
      </c>
      <c r="I569" s="111" t="n"/>
      <c r="J569" s="111" t="n"/>
      <c r="K569" s="111" t="n"/>
      <c r="L569" s="111" t="n"/>
      <c r="V569" s="111" t="n"/>
      <c r="W569" s="111" t="n"/>
      <c r="X569" s="111" t="n"/>
    </row>
    <row r="570">
      <c r="A570" s="34" t="n">
        <v>568</v>
      </c>
      <c r="I570" s="111" t="n"/>
      <c r="J570" s="111" t="n"/>
      <c r="K570" s="111" t="n"/>
      <c r="L570" s="111" t="n"/>
      <c r="V570" s="111" t="n"/>
      <c r="W570" s="111" t="n"/>
      <c r="X570" s="111" t="n"/>
    </row>
    <row r="571">
      <c r="A571" s="34" t="n">
        <v>569</v>
      </c>
      <c r="I571" s="111" t="n"/>
      <c r="J571" s="111" t="n"/>
      <c r="K571" s="111" t="n"/>
      <c r="L571" s="111" t="n"/>
      <c r="V571" s="111" t="n"/>
      <c r="W571" s="111" t="n"/>
      <c r="X571" s="111" t="n"/>
    </row>
    <row r="572">
      <c r="A572" s="34" t="n">
        <v>570</v>
      </c>
      <c r="I572" s="111" t="n"/>
      <c r="J572" s="111" t="n"/>
      <c r="K572" s="111" t="n"/>
      <c r="L572" s="111" t="n"/>
      <c r="V572" s="111" t="n"/>
      <c r="W572" s="111" t="n"/>
      <c r="X572" s="111" t="n"/>
    </row>
    <row r="573">
      <c r="A573" s="34" t="n">
        <v>571</v>
      </c>
      <c r="I573" s="111" t="n"/>
      <c r="J573" s="111" t="n"/>
      <c r="K573" s="111" t="n"/>
      <c r="L573" s="111" t="n"/>
      <c r="V573" s="111" t="n"/>
      <c r="W573" s="111" t="n"/>
      <c r="X573" s="111" t="n"/>
    </row>
    <row r="574">
      <c r="A574" s="34" t="n">
        <v>572</v>
      </c>
      <c r="I574" s="111" t="n"/>
      <c r="J574" s="111" t="n"/>
      <c r="K574" s="111" t="n"/>
      <c r="L574" s="111" t="n"/>
      <c r="V574" s="111" t="n"/>
      <c r="W574" s="111" t="n"/>
      <c r="X574" s="111" t="n"/>
    </row>
    <row r="575">
      <c r="A575" s="34" t="n">
        <v>573</v>
      </c>
      <c r="I575" s="111" t="n"/>
      <c r="J575" s="111" t="n"/>
      <c r="K575" s="111" t="n"/>
      <c r="L575" s="111" t="n"/>
      <c r="V575" s="111" t="n"/>
      <c r="W575" s="111" t="n"/>
      <c r="X575" s="111" t="n"/>
    </row>
    <row r="576">
      <c r="A576" s="34" t="n">
        <v>574</v>
      </c>
      <c r="I576" s="111" t="n"/>
      <c r="J576" s="111" t="n"/>
      <c r="K576" s="111" t="n"/>
      <c r="L576" s="111" t="n"/>
      <c r="V576" s="111" t="n"/>
      <c r="W576" s="111" t="n"/>
      <c r="X576" s="111" t="n"/>
    </row>
    <row r="577">
      <c r="A577" s="34" t="n">
        <v>575</v>
      </c>
      <c r="I577" s="111" t="n"/>
      <c r="J577" s="111" t="n"/>
      <c r="K577" s="111" t="n"/>
      <c r="L577" s="111" t="n"/>
      <c r="V577" s="111" t="n"/>
      <c r="W577" s="111" t="n"/>
      <c r="X577" s="111" t="n"/>
    </row>
    <row r="578">
      <c r="A578" s="34" t="n">
        <v>576</v>
      </c>
      <c r="I578" s="111" t="n"/>
      <c r="J578" s="111" t="n"/>
      <c r="K578" s="111" t="n"/>
      <c r="L578" s="111" t="n"/>
      <c r="V578" s="111" t="n"/>
      <c r="W578" s="111" t="n"/>
      <c r="X578" s="111" t="n"/>
    </row>
    <row r="579">
      <c r="A579" s="34" t="n">
        <v>577</v>
      </c>
      <c r="I579" s="111" t="n"/>
      <c r="J579" s="111" t="n"/>
      <c r="K579" s="111" t="n"/>
      <c r="L579" s="111" t="n"/>
      <c r="V579" s="111" t="n"/>
      <c r="W579" s="111" t="n"/>
      <c r="X579" s="111" t="n"/>
    </row>
    <row r="580">
      <c r="A580" s="34" t="n">
        <v>578</v>
      </c>
      <c r="I580" s="111" t="n"/>
      <c r="J580" s="111" t="n"/>
      <c r="K580" s="111" t="n"/>
      <c r="L580" s="111" t="n"/>
      <c r="V580" s="111" t="n"/>
      <c r="W580" s="111" t="n"/>
      <c r="X580" s="111" t="n"/>
    </row>
    <row r="581">
      <c r="A581" s="34" t="n">
        <v>579</v>
      </c>
      <c r="I581" s="111" t="n"/>
      <c r="J581" s="111" t="n"/>
      <c r="K581" s="111" t="n"/>
      <c r="L581" s="111" t="n"/>
      <c r="V581" s="111" t="n"/>
      <c r="W581" s="111" t="n"/>
      <c r="X581" s="111" t="n"/>
    </row>
    <row r="582">
      <c r="A582" s="34" t="n">
        <v>580</v>
      </c>
      <c r="I582" s="111" t="n"/>
      <c r="J582" s="111" t="n"/>
      <c r="K582" s="111" t="n"/>
      <c r="L582" s="111" t="n"/>
      <c r="V582" s="111" t="n"/>
      <c r="W582" s="111" t="n"/>
      <c r="X582" s="111" t="n"/>
    </row>
    <row r="583">
      <c r="A583" s="34" t="n">
        <v>581</v>
      </c>
      <c r="I583" s="111" t="n"/>
      <c r="J583" s="111" t="n"/>
      <c r="K583" s="111" t="n"/>
      <c r="L583" s="111" t="n"/>
      <c r="V583" s="111" t="n"/>
      <c r="W583" s="111" t="n"/>
      <c r="X583" s="111" t="n"/>
    </row>
    <row r="584">
      <c r="A584" s="34" t="n">
        <v>582</v>
      </c>
      <c r="I584" s="111" t="n"/>
      <c r="J584" s="111" t="n"/>
      <c r="K584" s="111" t="n"/>
      <c r="L584" s="111" t="n"/>
      <c r="V584" s="111" t="n"/>
      <c r="W584" s="111" t="n"/>
      <c r="X584" s="111" t="n"/>
    </row>
    <row r="585">
      <c r="A585" s="34" t="n">
        <v>583</v>
      </c>
      <c r="I585" s="111" t="n"/>
      <c r="J585" s="111" t="n"/>
      <c r="K585" s="111" t="n"/>
      <c r="L585" s="111" t="n"/>
      <c r="V585" s="111" t="n"/>
      <c r="W585" s="111" t="n"/>
      <c r="X585" s="111" t="n"/>
    </row>
    <row r="586">
      <c r="A586" s="34" t="n">
        <v>584</v>
      </c>
      <c r="I586" s="111" t="n"/>
      <c r="J586" s="111" t="n"/>
      <c r="K586" s="111" t="n"/>
      <c r="L586" s="111" t="n"/>
      <c r="V586" s="111" t="n"/>
      <c r="W586" s="111" t="n"/>
      <c r="X586" s="111" t="n"/>
    </row>
    <row r="587">
      <c r="A587" s="34" t="n">
        <v>585</v>
      </c>
      <c r="I587" s="111" t="n"/>
      <c r="J587" s="111" t="n"/>
      <c r="K587" s="111" t="n"/>
      <c r="L587" s="111" t="n"/>
      <c r="V587" s="111" t="n"/>
      <c r="W587" s="111" t="n"/>
      <c r="X587" s="111" t="n"/>
    </row>
    <row r="588">
      <c r="A588" s="34" t="n">
        <v>586</v>
      </c>
      <c r="I588" s="111" t="n"/>
      <c r="J588" s="111" t="n"/>
      <c r="K588" s="111" t="n"/>
      <c r="L588" s="111" t="n"/>
      <c r="V588" s="111" t="n"/>
      <c r="W588" s="111" t="n"/>
      <c r="X588" s="111" t="n"/>
    </row>
    <row r="589">
      <c r="A589" s="34" t="n">
        <v>587</v>
      </c>
      <c r="I589" s="111" t="n"/>
      <c r="J589" s="111" t="n"/>
      <c r="K589" s="111" t="n"/>
      <c r="L589" s="111" t="n"/>
      <c r="V589" s="111" t="n"/>
      <c r="W589" s="111" t="n"/>
      <c r="X589" s="111" t="n"/>
    </row>
    <row r="590">
      <c r="A590" s="34" t="n">
        <v>588</v>
      </c>
      <c r="I590" s="111" t="n"/>
      <c r="J590" s="111" t="n"/>
      <c r="K590" s="111" t="n"/>
      <c r="L590" s="111" t="n"/>
      <c r="V590" s="111" t="n"/>
      <c r="W590" s="111" t="n"/>
      <c r="X590" s="111" t="n"/>
    </row>
    <row r="591">
      <c r="A591" s="34" t="n">
        <v>589</v>
      </c>
      <c r="I591" s="111" t="n"/>
      <c r="J591" s="111" t="n"/>
      <c r="K591" s="111" t="n"/>
      <c r="L591" s="111" t="n"/>
      <c r="V591" s="111" t="n"/>
      <c r="W591" s="111" t="n"/>
      <c r="X591" s="111" t="n"/>
    </row>
    <row r="592">
      <c r="A592" s="34" t="n">
        <v>590</v>
      </c>
      <c r="I592" s="111" t="n"/>
      <c r="J592" s="111" t="n"/>
      <c r="K592" s="111" t="n"/>
      <c r="L592" s="111" t="n"/>
      <c r="V592" s="111" t="n"/>
      <c r="W592" s="111" t="n"/>
      <c r="X592" s="111" t="n"/>
    </row>
    <row r="593">
      <c r="A593" s="34" t="n">
        <v>591</v>
      </c>
      <c r="I593" s="111" t="n"/>
      <c r="J593" s="111" t="n"/>
      <c r="K593" s="111" t="n"/>
      <c r="L593" s="111" t="n"/>
      <c r="V593" s="111" t="n"/>
      <c r="W593" s="111" t="n"/>
      <c r="X593" s="111" t="n"/>
    </row>
    <row r="594">
      <c r="A594" s="34" t="n">
        <v>592</v>
      </c>
      <c r="I594" s="111" t="n"/>
      <c r="J594" s="111" t="n"/>
      <c r="K594" s="111" t="n"/>
      <c r="L594" s="111" t="n"/>
      <c r="V594" s="111" t="n"/>
      <c r="W594" s="111" t="n"/>
      <c r="X594" s="111" t="n"/>
    </row>
    <row r="595">
      <c r="A595" s="34" t="n">
        <v>593</v>
      </c>
      <c r="I595" s="111" t="n"/>
      <c r="J595" s="111" t="n"/>
      <c r="K595" s="111" t="n"/>
      <c r="L595" s="111" t="n"/>
      <c r="V595" s="111" t="n"/>
      <c r="W595" s="111" t="n"/>
      <c r="X595" s="111" t="n"/>
    </row>
    <row r="596">
      <c r="A596" s="34" t="n">
        <v>594</v>
      </c>
      <c r="I596" s="111" t="n"/>
      <c r="J596" s="111" t="n"/>
      <c r="K596" s="111" t="n"/>
      <c r="L596" s="111" t="n"/>
      <c r="V596" s="111" t="n"/>
      <c r="W596" s="111" t="n"/>
      <c r="X596" s="111" t="n"/>
    </row>
    <row r="597">
      <c r="A597" s="34" t="n">
        <v>595</v>
      </c>
      <c r="I597" s="111" t="n"/>
      <c r="J597" s="111" t="n"/>
      <c r="K597" s="111" t="n"/>
      <c r="L597" s="111" t="n"/>
      <c r="V597" s="111" t="n"/>
      <c r="W597" s="111" t="n"/>
      <c r="X597" s="111" t="n"/>
    </row>
    <row r="598">
      <c r="A598" s="34" t="n">
        <v>596</v>
      </c>
      <c r="I598" s="111" t="n"/>
      <c r="J598" s="111" t="n"/>
      <c r="K598" s="111" t="n"/>
      <c r="L598" s="111" t="n"/>
      <c r="V598" s="111" t="n"/>
      <c r="W598" s="111" t="n"/>
      <c r="X598" s="111" t="n"/>
    </row>
    <row r="599">
      <c r="A599" s="34" t="n">
        <v>597</v>
      </c>
      <c r="I599" s="111" t="n"/>
      <c r="J599" s="111" t="n"/>
      <c r="K599" s="111" t="n"/>
      <c r="L599" s="111" t="n"/>
      <c r="V599" s="111" t="n"/>
      <c r="W599" s="111" t="n"/>
      <c r="X599" s="111" t="n"/>
    </row>
    <row r="600">
      <c r="A600" s="34" t="n">
        <v>598</v>
      </c>
      <c r="I600" s="111" t="n"/>
      <c r="J600" s="111" t="n"/>
      <c r="K600" s="111" t="n"/>
      <c r="L600" s="111" t="n"/>
      <c r="V600" s="111" t="n"/>
      <c r="W600" s="111" t="n"/>
      <c r="X600" s="111" t="n"/>
    </row>
    <row r="601">
      <c r="A601" s="34" t="n">
        <v>599</v>
      </c>
      <c r="I601" s="111" t="n"/>
      <c r="J601" s="111" t="n"/>
      <c r="K601" s="111" t="n"/>
      <c r="L601" s="111" t="n"/>
      <c r="V601" s="111" t="n"/>
      <c r="W601" s="111" t="n"/>
      <c r="X601" s="111" t="n"/>
    </row>
    <row r="602">
      <c r="A602" s="34" t="n">
        <v>600</v>
      </c>
      <c r="I602" s="111" t="n"/>
      <c r="J602" s="111" t="n"/>
      <c r="K602" s="111" t="n"/>
      <c r="L602" s="111" t="n"/>
      <c r="V602" s="111" t="n"/>
      <c r="W602" s="111" t="n"/>
      <c r="X602" s="111" t="n"/>
    </row>
    <row r="603">
      <c r="A603" s="34" t="n">
        <v>601</v>
      </c>
      <c r="I603" s="111" t="n"/>
      <c r="J603" s="111" t="n"/>
      <c r="K603" s="111" t="n"/>
      <c r="L603" s="111" t="n"/>
      <c r="V603" s="111" t="n"/>
      <c r="W603" s="111" t="n"/>
      <c r="X603" s="111" t="n"/>
    </row>
    <row r="604">
      <c r="A604" s="34" t="n">
        <v>602</v>
      </c>
      <c r="I604" s="111" t="n"/>
      <c r="J604" s="111" t="n"/>
      <c r="K604" s="111" t="n"/>
      <c r="L604" s="111" t="n"/>
      <c r="V604" s="111" t="n"/>
      <c r="W604" s="111" t="n"/>
      <c r="X604" s="111" t="n"/>
    </row>
    <row r="605">
      <c r="A605" s="34" t="n">
        <v>603</v>
      </c>
      <c r="I605" s="111" t="n"/>
      <c r="J605" s="111" t="n"/>
      <c r="K605" s="111" t="n"/>
      <c r="L605" s="111" t="n"/>
      <c r="V605" s="111" t="n"/>
      <c r="W605" s="111" t="n"/>
      <c r="X605" s="111" t="n"/>
    </row>
    <row r="606">
      <c r="A606" s="34" t="n">
        <v>604</v>
      </c>
      <c r="I606" s="111" t="n"/>
      <c r="J606" s="111" t="n"/>
      <c r="K606" s="111" t="n"/>
      <c r="L606" s="111" t="n"/>
      <c r="V606" s="111" t="n"/>
      <c r="W606" s="111" t="n"/>
      <c r="X606" s="111" t="n"/>
    </row>
    <row r="607">
      <c r="A607" s="34" t="n">
        <v>605</v>
      </c>
      <c r="I607" s="111" t="n"/>
      <c r="J607" s="111" t="n"/>
      <c r="K607" s="111" t="n"/>
      <c r="L607" s="111" t="n"/>
      <c r="V607" s="111" t="n"/>
      <c r="W607" s="111" t="n"/>
      <c r="X607" s="111" t="n"/>
    </row>
    <row r="608">
      <c r="A608" s="34" t="n">
        <v>606</v>
      </c>
      <c r="I608" s="111" t="n"/>
      <c r="J608" s="111" t="n"/>
      <c r="K608" s="111" t="n"/>
      <c r="L608" s="111" t="n"/>
      <c r="V608" s="111" t="n"/>
      <c r="W608" s="111" t="n"/>
      <c r="X608" s="111" t="n"/>
    </row>
    <row r="609">
      <c r="A609" s="34" t="n">
        <v>607</v>
      </c>
      <c r="I609" s="111" t="n"/>
      <c r="J609" s="111" t="n"/>
      <c r="K609" s="111" t="n"/>
      <c r="L609" s="111" t="n"/>
      <c r="V609" s="111" t="n"/>
      <c r="W609" s="111" t="n"/>
      <c r="X609" s="111" t="n"/>
    </row>
    <row r="610">
      <c r="A610" s="34" t="n">
        <v>608</v>
      </c>
      <c r="I610" s="111" t="n"/>
      <c r="J610" s="111" t="n"/>
      <c r="K610" s="111" t="n"/>
      <c r="L610" s="111" t="n"/>
      <c r="V610" s="111" t="n"/>
      <c r="W610" s="111" t="n"/>
      <c r="X610" s="111" t="n"/>
    </row>
    <row r="611">
      <c r="A611" s="34" t="n">
        <v>609</v>
      </c>
      <c r="I611" s="111" t="n"/>
      <c r="J611" s="111" t="n"/>
      <c r="K611" s="111" t="n"/>
      <c r="L611" s="111" t="n"/>
      <c r="V611" s="111" t="n"/>
      <c r="W611" s="111" t="n"/>
      <c r="X611" s="111" t="n"/>
    </row>
    <row r="612">
      <c r="A612" s="34" t="n">
        <v>610</v>
      </c>
      <c r="I612" s="111" t="n"/>
      <c r="J612" s="111" t="n"/>
      <c r="K612" s="111" t="n"/>
      <c r="L612" s="111" t="n"/>
      <c r="V612" s="111" t="n"/>
      <c r="W612" s="111" t="n"/>
      <c r="X612" s="111" t="n"/>
    </row>
    <row r="613">
      <c r="A613" s="34" t="n">
        <v>611</v>
      </c>
      <c r="I613" s="111" t="n"/>
      <c r="J613" s="111" t="n"/>
      <c r="K613" s="111" t="n"/>
      <c r="L613" s="111" t="n"/>
      <c r="V613" s="111" t="n"/>
      <c r="W613" s="111" t="n"/>
      <c r="X613" s="111" t="n"/>
    </row>
    <row r="614">
      <c r="A614" s="34" t="n">
        <v>612</v>
      </c>
      <c r="I614" s="111" t="n"/>
      <c r="J614" s="111" t="n"/>
      <c r="K614" s="111" t="n"/>
      <c r="L614" s="111" t="n"/>
      <c r="V614" s="111" t="n"/>
      <c r="W614" s="111" t="n"/>
      <c r="X614" s="111" t="n"/>
    </row>
    <row r="615">
      <c r="A615" s="34" t="n">
        <v>613</v>
      </c>
      <c r="I615" s="111" t="n"/>
      <c r="J615" s="111" t="n"/>
      <c r="K615" s="111" t="n"/>
      <c r="L615" s="111" t="n"/>
      <c r="V615" s="111" t="n"/>
      <c r="W615" s="111" t="n"/>
      <c r="X615" s="111" t="n"/>
    </row>
    <row r="616">
      <c r="A616" s="34" t="n">
        <v>614</v>
      </c>
      <c r="I616" s="111" t="n"/>
      <c r="J616" s="111" t="n"/>
      <c r="K616" s="111" t="n"/>
      <c r="L616" s="111" t="n"/>
      <c r="V616" s="111" t="n"/>
      <c r="W616" s="111" t="n"/>
      <c r="X616" s="111" t="n"/>
    </row>
    <row r="617">
      <c r="A617" s="34" t="n">
        <v>615</v>
      </c>
      <c r="I617" s="111" t="n"/>
      <c r="J617" s="111" t="n"/>
      <c r="K617" s="111" t="n"/>
      <c r="L617" s="111" t="n"/>
      <c r="V617" s="111" t="n"/>
      <c r="W617" s="111" t="n"/>
      <c r="X617" s="111" t="n"/>
    </row>
    <row r="618">
      <c r="A618" s="34" t="n">
        <v>616</v>
      </c>
      <c r="I618" s="111" t="n"/>
      <c r="J618" s="111" t="n"/>
      <c r="K618" s="111" t="n"/>
      <c r="L618" s="111" t="n"/>
      <c r="V618" s="111" t="n"/>
      <c r="W618" s="111" t="n"/>
      <c r="X618" s="111" t="n"/>
    </row>
    <row r="619">
      <c r="A619" s="34" t="n">
        <v>617</v>
      </c>
      <c r="I619" s="111" t="n"/>
      <c r="J619" s="111" t="n"/>
      <c r="K619" s="111" t="n"/>
      <c r="L619" s="111" t="n"/>
      <c r="V619" s="111" t="n"/>
      <c r="W619" s="111" t="n"/>
      <c r="X619" s="111" t="n"/>
    </row>
    <row r="620">
      <c r="A620" s="34" t="n">
        <v>618</v>
      </c>
      <c r="I620" s="111" t="n"/>
      <c r="J620" s="111" t="n"/>
      <c r="K620" s="111" t="n"/>
      <c r="L620" s="111" t="n"/>
      <c r="V620" s="111" t="n"/>
      <c r="W620" s="111" t="n"/>
      <c r="X620" s="111" t="n"/>
    </row>
    <row r="621">
      <c r="A621" s="34" t="n">
        <v>619</v>
      </c>
      <c r="I621" s="111" t="n"/>
      <c r="J621" s="111" t="n"/>
      <c r="K621" s="111" t="n"/>
      <c r="L621" s="111" t="n"/>
      <c r="V621" s="111" t="n"/>
      <c r="W621" s="111" t="n"/>
      <c r="X621" s="111" t="n"/>
    </row>
    <row r="622">
      <c r="A622" s="34" t="n">
        <v>620</v>
      </c>
      <c r="I622" s="111" t="n"/>
      <c r="J622" s="111" t="n"/>
      <c r="K622" s="111" t="n"/>
      <c r="L622" s="111" t="n"/>
      <c r="V622" s="111" t="n"/>
      <c r="W622" s="111" t="n"/>
      <c r="X622" s="111" t="n"/>
    </row>
    <row r="623">
      <c r="A623" s="34" t="n">
        <v>621</v>
      </c>
      <c r="I623" s="111" t="n"/>
      <c r="J623" s="111" t="n"/>
      <c r="K623" s="111" t="n"/>
      <c r="L623" s="111" t="n"/>
      <c r="V623" s="111" t="n"/>
      <c r="W623" s="111" t="n"/>
      <c r="X623" s="111" t="n"/>
    </row>
    <row r="624">
      <c r="A624" s="34" t="n">
        <v>622</v>
      </c>
      <c r="I624" s="111" t="n"/>
      <c r="J624" s="111" t="n"/>
      <c r="K624" s="111" t="n"/>
      <c r="L624" s="111" t="n"/>
      <c r="V624" s="111" t="n"/>
      <c r="W624" s="111" t="n"/>
      <c r="X624" s="111" t="n"/>
    </row>
    <row r="625">
      <c r="A625" s="34" t="n">
        <v>623</v>
      </c>
      <c r="I625" s="111" t="n"/>
      <c r="J625" s="111" t="n"/>
      <c r="K625" s="111" t="n"/>
      <c r="L625" s="111" t="n"/>
      <c r="V625" s="111" t="n"/>
      <c r="W625" s="111" t="n"/>
      <c r="X625" s="111" t="n"/>
    </row>
    <row r="626">
      <c r="A626" s="34" t="n">
        <v>624</v>
      </c>
      <c r="I626" s="111" t="n"/>
      <c r="J626" s="111" t="n"/>
      <c r="K626" s="111" t="n"/>
      <c r="L626" s="111" t="n"/>
      <c r="V626" s="111" t="n"/>
      <c r="W626" s="111" t="n"/>
      <c r="X626" s="111" t="n"/>
    </row>
    <row r="627">
      <c r="A627" s="34" t="n">
        <v>625</v>
      </c>
      <c r="I627" s="111" t="n"/>
      <c r="J627" s="111" t="n"/>
      <c r="K627" s="111" t="n"/>
      <c r="L627" s="111" t="n"/>
      <c r="V627" s="111" t="n"/>
      <c r="W627" s="111" t="n"/>
      <c r="X627" s="111" t="n"/>
    </row>
    <row r="628">
      <c r="A628" s="34" t="n">
        <v>626</v>
      </c>
      <c r="I628" s="111" t="n"/>
      <c r="J628" s="111" t="n"/>
      <c r="K628" s="111" t="n"/>
      <c r="L628" s="111" t="n"/>
      <c r="V628" s="111" t="n"/>
      <c r="W628" s="111" t="n"/>
      <c r="X628" s="111" t="n"/>
    </row>
    <row r="629">
      <c r="A629" s="34" t="n">
        <v>627</v>
      </c>
      <c r="I629" s="111" t="n"/>
      <c r="J629" s="111" t="n"/>
      <c r="K629" s="111" t="n"/>
      <c r="L629" s="111" t="n"/>
      <c r="V629" s="111" t="n"/>
      <c r="W629" s="111" t="n"/>
      <c r="X629" s="111" t="n"/>
    </row>
    <row r="630">
      <c r="A630" s="34" t="n">
        <v>628</v>
      </c>
      <c r="I630" s="111" t="n"/>
      <c r="J630" s="111" t="n"/>
      <c r="K630" s="111" t="n"/>
      <c r="L630" s="111" t="n"/>
      <c r="V630" s="111" t="n"/>
      <c r="W630" s="111" t="n"/>
      <c r="X630" s="111" t="n"/>
    </row>
    <row r="631">
      <c r="A631" s="34" t="n">
        <v>629</v>
      </c>
      <c r="I631" s="111" t="n"/>
      <c r="J631" s="111" t="n"/>
      <c r="K631" s="111" t="n"/>
      <c r="L631" s="111" t="n"/>
      <c r="V631" s="111" t="n"/>
      <c r="W631" s="111" t="n"/>
      <c r="X631" s="111" t="n"/>
    </row>
    <row r="632">
      <c r="A632" s="34" t="n">
        <v>630</v>
      </c>
      <c r="I632" s="111" t="n"/>
      <c r="J632" s="111" t="n"/>
      <c r="K632" s="111" t="n"/>
      <c r="L632" s="111" t="n"/>
      <c r="V632" s="111" t="n"/>
      <c r="W632" s="111" t="n"/>
      <c r="X632" s="111" t="n"/>
    </row>
    <row r="633">
      <c r="A633" s="34" t="n">
        <v>631</v>
      </c>
      <c r="I633" s="111" t="n"/>
      <c r="J633" s="111" t="n"/>
      <c r="K633" s="111" t="n"/>
      <c r="L633" s="111" t="n"/>
      <c r="V633" s="111" t="n"/>
      <c r="W633" s="111" t="n"/>
      <c r="X633" s="111" t="n"/>
    </row>
    <row r="634">
      <c r="A634" s="34" t="n">
        <v>632</v>
      </c>
      <c r="I634" s="111" t="n"/>
      <c r="J634" s="111" t="n"/>
      <c r="K634" s="111" t="n"/>
      <c r="L634" s="111" t="n"/>
      <c r="V634" s="111" t="n"/>
      <c r="W634" s="111" t="n"/>
      <c r="X634" s="111" t="n"/>
    </row>
    <row r="635">
      <c r="A635" s="34" t="n">
        <v>633</v>
      </c>
      <c r="I635" s="111" t="n"/>
      <c r="J635" s="111" t="n"/>
      <c r="K635" s="111" t="n"/>
      <c r="L635" s="111" t="n"/>
      <c r="V635" s="111" t="n"/>
      <c r="W635" s="111" t="n"/>
      <c r="X635" s="111" t="n"/>
    </row>
    <row r="636">
      <c r="A636" s="34" t="n">
        <v>634</v>
      </c>
      <c r="I636" s="111" t="n"/>
      <c r="J636" s="111" t="n"/>
      <c r="K636" s="111" t="n"/>
      <c r="L636" s="111" t="n"/>
      <c r="V636" s="111" t="n"/>
      <c r="W636" s="111" t="n"/>
      <c r="X636" s="111" t="n"/>
    </row>
    <row r="637">
      <c r="A637" s="34" t="n">
        <v>635</v>
      </c>
      <c r="I637" s="111" t="n"/>
      <c r="J637" s="111" t="n"/>
      <c r="K637" s="111" t="n"/>
      <c r="L637" s="111" t="n"/>
      <c r="V637" s="111" t="n"/>
      <c r="W637" s="111" t="n"/>
      <c r="X637" s="111" t="n"/>
    </row>
    <row r="638">
      <c r="A638" s="34" t="n">
        <v>636</v>
      </c>
      <c r="I638" s="111" t="n"/>
      <c r="J638" s="111" t="n"/>
      <c r="K638" s="111" t="n"/>
      <c r="L638" s="111" t="n"/>
      <c r="V638" s="111" t="n"/>
      <c r="W638" s="111" t="n"/>
      <c r="X638" s="111" t="n"/>
    </row>
    <row r="639">
      <c r="A639" s="34" t="n">
        <v>637</v>
      </c>
      <c r="I639" s="111" t="n"/>
      <c r="J639" s="111" t="n"/>
      <c r="K639" s="111" t="n"/>
      <c r="L639" s="111" t="n"/>
      <c r="V639" s="111" t="n"/>
      <c r="W639" s="111" t="n"/>
      <c r="X639" s="111" t="n"/>
    </row>
    <row r="640">
      <c r="A640" s="34" t="n">
        <v>638</v>
      </c>
      <c r="I640" s="111" t="n"/>
      <c r="J640" s="111" t="n"/>
      <c r="K640" s="111" t="n"/>
      <c r="L640" s="111" t="n"/>
      <c r="V640" s="111" t="n"/>
      <c r="W640" s="111" t="n"/>
      <c r="X640" s="111" t="n"/>
    </row>
    <row r="641">
      <c r="A641" s="34" t="n">
        <v>639</v>
      </c>
      <c r="I641" s="111" t="n"/>
      <c r="J641" s="111" t="n"/>
      <c r="K641" s="111" t="n"/>
      <c r="L641" s="111" t="n"/>
      <c r="V641" s="111" t="n"/>
      <c r="W641" s="111" t="n"/>
      <c r="X641" s="111" t="n"/>
    </row>
    <row r="642">
      <c r="A642" s="34" t="n">
        <v>640</v>
      </c>
      <c r="I642" s="111" t="n"/>
      <c r="J642" s="111" t="n"/>
      <c r="K642" s="111" t="n"/>
      <c r="L642" s="111" t="n"/>
      <c r="V642" s="111" t="n"/>
      <c r="W642" s="111" t="n"/>
      <c r="X642" s="111" t="n"/>
    </row>
    <row r="643">
      <c r="A643" s="34" t="n">
        <v>641</v>
      </c>
      <c r="I643" s="111" t="n"/>
      <c r="J643" s="111" t="n"/>
      <c r="K643" s="111" t="n"/>
      <c r="L643" s="111" t="n"/>
      <c r="V643" s="111" t="n"/>
      <c r="W643" s="111" t="n"/>
      <c r="X643" s="111" t="n"/>
    </row>
    <row r="644">
      <c r="A644" s="34" t="n">
        <v>642</v>
      </c>
      <c r="I644" s="111" t="n"/>
      <c r="J644" s="111" t="n"/>
      <c r="K644" s="111" t="n"/>
      <c r="L644" s="111" t="n"/>
      <c r="V644" s="111" t="n"/>
      <c r="W644" s="111" t="n"/>
      <c r="X644" s="111" t="n"/>
    </row>
    <row r="645">
      <c r="A645" s="34" t="n">
        <v>643</v>
      </c>
      <c r="I645" s="111" t="n"/>
      <c r="J645" s="111" t="n"/>
      <c r="K645" s="111" t="n"/>
      <c r="L645" s="111" t="n"/>
      <c r="V645" s="111" t="n"/>
      <c r="W645" s="111" t="n"/>
      <c r="X645" s="111" t="n"/>
    </row>
    <row r="646">
      <c r="A646" s="34" t="n">
        <v>644</v>
      </c>
      <c r="I646" s="111" t="n"/>
      <c r="J646" s="111" t="n"/>
      <c r="K646" s="111" t="n"/>
      <c r="L646" s="111" t="n"/>
      <c r="V646" s="111" t="n"/>
      <c r="W646" s="111" t="n"/>
      <c r="X646" s="111" t="n"/>
    </row>
    <row r="647">
      <c r="A647" s="34" t="n">
        <v>645</v>
      </c>
      <c r="I647" s="111" t="n"/>
      <c r="J647" s="111" t="n"/>
      <c r="K647" s="111" t="n"/>
      <c r="L647" s="111" t="n"/>
      <c r="V647" s="111" t="n"/>
      <c r="W647" s="111" t="n"/>
      <c r="X647" s="111" t="n"/>
    </row>
    <row r="648">
      <c r="A648" s="34" t="n">
        <v>646</v>
      </c>
      <c r="I648" s="111" t="n"/>
      <c r="J648" s="111" t="n"/>
      <c r="K648" s="111" t="n"/>
      <c r="L648" s="111" t="n"/>
      <c r="V648" s="111" t="n"/>
      <c r="W648" s="111" t="n"/>
      <c r="X648" s="111" t="n"/>
    </row>
    <row r="649">
      <c r="A649" s="34" t="n">
        <v>647</v>
      </c>
      <c r="I649" s="111" t="n"/>
      <c r="J649" s="111" t="n"/>
      <c r="K649" s="111" t="n"/>
      <c r="L649" s="111" t="n"/>
      <c r="V649" s="111" t="n"/>
      <c r="W649" s="111" t="n"/>
      <c r="X649" s="111" t="n"/>
    </row>
    <row r="650">
      <c r="A650" s="34" t="n">
        <v>648</v>
      </c>
      <c r="I650" s="111" t="n"/>
      <c r="J650" s="111" t="n"/>
      <c r="K650" s="111" t="n"/>
      <c r="L650" s="111" t="n"/>
      <c r="V650" s="111" t="n"/>
      <c r="W650" s="111" t="n"/>
      <c r="X650" s="111" t="n"/>
    </row>
    <row r="651">
      <c r="A651" s="34" t="n">
        <v>649</v>
      </c>
      <c r="I651" s="111" t="n"/>
      <c r="J651" s="111" t="n"/>
      <c r="K651" s="111" t="n"/>
      <c r="L651" s="111" t="n"/>
      <c r="V651" s="111" t="n"/>
      <c r="W651" s="111" t="n"/>
      <c r="X651" s="111" t="n"/>
    </row>
    <row r="652">
      <c r="A652" s="34" t="n">
        <v>650</v>
      </c>
      <c r="I652" s="111" t="n"/>
      <c r="J652" s="111" t="n"/>
      <c r="K652" s="111" t="n"/>
      <c r="L652" s="111" t="n"/>
      <c r="V652" s="111" t="n"/>
      <c r="W652" s="111" t="n"/>
      <c r="X652" s="111" t="n"/>
    </row>
    <row r="653">
      <c r="A653" s="34" t="n">
        <v>651</v>
      </c>
      <c r="I653" s="111" t="n"/>
      <c r="J653" s="111" t="n"/>
      <c r="K653" s="111" t="n"/>
      <c r="L653" s="111" t="n"/>
      <c r="V653" s="111" t="n"/>
      <c r="W653" s="111" t="n"/>
      <c r="X653" s="111" t="n"/>
    </row>
    <row r="654">
      <c r="A654" s="34" t="n">
        <v>652</v>
      </c>
      <c r="I654" s="111" t="n"/>
      <c r="J654" s="111" t="n"/>
      <c r="K654" s="111" t="n"/>
      <c r="L654" s="111" t="n"/>
      <c r="V654" s="111" t="n"/>
      <c r="W654" s="111" t="n"/>
      <c r="X654" s="111" t="n"/>
    </row>
    <row r="655">
      <c r="A655" s="34" t="n">
        <v>653</v>
      </c>
      <c r="I655" s="111" t="n"/>
      <c r="J655" s="111" t="n"/>
      <c r="K655" s="111" t="n"/>
      <c r="L655" s="111" t="n"/>
      <c r="V655" s="111" t="n"/>
      <c r="W655" s="111" t="n"/>
      <c r="X655" s="111" t="n"/>
    </row>
    <row r="656">
      <c r="A656" s="34" t="n">
        <v>654</v>
      </c>
      <c r="I656" s="111" t="n"/>
      <c r="J656" s="111" t="n"/>
      <c r="K656" s="111" t="n"/>
      <c r="L656" s="111" t="n"/>
      <c r="V656" s="111" t="n"/>
      <c r="W656" s="111" t="n"/>
      <c r="X656" s="111" t="n"/>
    </row>
    <row r="657">
      <c r="A657" s="34" t="n">
        <v>655</v>
      </c>
      <c r="I657" s="111" t="n"/>
      <c r="J657" s="111" t="n"/>
      <c r="K657" s="111" t="n"/>
      <c r="L657" s="111" t="n"/>
      <c r="V657" s="111" t="n"/>
      <c r="W657" s="111" t="n"/>
      <c r="X657" s="111" t="n"/>
    </row>
    <row r="658">
      <c r="A658" s="34" t="n">
        <v>656</v>
      </c>
      <c r="I658" s="111" t="n"/>
      <c r="J658" s="111" t="n"/>
      <c r="K658" s="111" t="n"/>
      <c r="L658" s="111" t="n"/>
      <c r="V658" s="111" t="n"/>
      <c r="W658" s="111" t="n"/>
      <c r="X658" s="111" t="n"/>
    </row>
    <row r="659">
      <c r="A659" s="34" t="n">
        <v>657</v>
      </c>
      <c r="I659" s="111" t="n"/>
      <c r="J659" s="111" t="n"/>
      <c r="K659" s="111" t="n"/>
      <c r="L659" s="111" t="n"/>
      <c r="V659" s="111" t="n"/>
      <c r="W659" s="111" t="n"/>
      <c r="X659" s="111" t="n"/>
    </row>
    <row r="660">
      <c r="A660" s="34" t="n">
        <v>658</v>
      </c>
      <c r="I660" s="111" t="n"/>
      <c r="J660" s="111" t="n"/>
      <c r="K660" s="111" t="n"/>
      <c r="L660" s="111" t="n"/>
      <c r="V660" s="111" t="n"/>
      <c r="W660" s="111" t="n"/>
      <c r="X660" s="111" t="n"/>
    </row>
    <row r="661">
      <c r="A661" s="34" t="n">
        <v>659</v>
      </c>
      <c r="I661" s="111" t="n"/>
      <c r="J661" s="111" t="n"/>
      <c r="K661" s="111" t="n"/>
      <c r="L661" s="111" t="n"/>
      <c r="V661" s="111" t="n"/>
      <c r="W661" s="111" t="n"/>
      <c r="X661" s="111" t="n"/>
    </row>
    <row r="662">
      <c r="A662" s="34" t="n">
        <v>660</v>
      </c>
      <c r="I662" s="111" t="n"/>
      <c r="J662" s="111" t="n"/>
      <c r="K662" s="111" t="n"/>
      <c r="L662" s="111" t="n"/>
      <c r="V662" s="111" t="n"/>
      <c r="W662" s="111" t="n"/>
      <c r="X662" s="111" t="n"/>
    </row>
    <row r="663">
      <c r="A663" s="34" t="n">
        <v>661</v>
      </c>
      <c r="I663" s="111" t="n"/>
      <c r="J663" s="111" t="n"/>
      <c r="K663" s="111" t="n"/>
      <c r="L663" s="111" t="n"/>
      <c r="V663" s="111" t="n"/>
      <c r="W663" s="111" t="n"/>
      <c r="X663" s="111" t="n"/>
    </row>
    <row r="664">
      <c r="A664" s="34" t="n">
        <v>662</v>
      </c>
      <c r="I664" s="111" t="n"/>
      <c r="J664" s="111" t="n"/>
      <c r="K664" s="111" t="n"/>
      <c r="L664" s="111" t="n"/>
      <c r="V664" s="111" t="n"/>
      <c r="W664" s="111" t="n"/>
      <c r="X664" s="111" t="n"/>
    </row>
    <row r="665">
      <c r="A665" s="34" t="n">
        <v>663</v>
      </c>
      <c r="I665" s="111" t="n"/>
      <c r="J665" s="111" t="n"/>
      <c r="K665" s="111" t="n"/>
      <c r="L665" s="111" t="n"/>
      <c r="V665" s="111" t="n"/>
      <c r="W665" s="111" t="n"/>
      <c r="X665" s="111" t="n"/>
    </row>
    <row r="666">
      <c r="A666" s="34" t="n">
        <v>664</v>
      </c>
      <c r="I666" s="111" t="n"/>
      <c r="J666" s="111" t="n"/>
      <c r="K666" s="111" t="n"/>
      <c r="L666" s="111" t="n"/>
      <c r="V666" s="111" t="n"/>
      <c r="W666" s="111" t="n"/>
      <c r="X666" s="111" t="n"/>
    </row>
    <row r="667">
      <c r="A667" s="34" t="n">
        <v>665</v>
      </c>
      <c r="I667" s="111" t="n"/>
      <c r="J667" s="111" t="n"/>
      <c r="K667" s="111" t="n"/>
      <c r="L667" s="111" t="n"/>
      <c r="V667" s="111" t="n"/>
      <c r="W667" s="111" t="n"/>
      <c r="X667" s="111" t="n"/>
    </row>
    <row r="668">
      <c r="A668" s="34" t="n">
        <v>666</v>
      </c>
      <c r="I668" s="111" t="n"/>
      <c r="J668" s="111" t="n"/>
      <c r="K668" s="111" t="n"/>
      <c r="L668" s="111" t="n"/>
      <c r="V668" s="111" t="n"/>
      <c r="W668" s="111" t="n"/>
      <c r="X668" s="111" t="n"/>
    </row>
    <row r="669">
      <c r="A669" s="34" t="n">
        <v>667</v>
      </c>
      <c r="I669" s="111" t="n"/>
      <c r="J669" s="111" t="n"/>
      <c r="K669" s="111" t="n"/>
      <c r="L669" s="111" t="n"/>
      <c r="V669" s="111" t="n"/>
      <c r="W669" s="111" t="n"/>
      <c r="X669" s="111" t="n"/>
    </row>
    <row r="670">
      <c r="A670" s="34" t="n">
        <v>668</v>
      </c>
      <c r="I670" s="111" t="n"/>
      <c r="J670" s="111" t="n"/>
      <c r="K670" s="111" t="n"/>
      <c r="L670" s="111" t="n"/>
      <c r="V670" s="111" t="n"/>
      <c r="W670" s="111" t="n"/>
      <c r="X670" s="111" t="n"/>
    </row>
    <row r="671">
      <c r="A671" s="34" t="n">
        <v>669</v>
      </c>
      <c r="I671" s="111" t="n"/>
      <c r="J671" s="111" t="n"/>
      <c r="K671" s="111" t="n"/>
      <c r="L671" s="111" t="n"/>
      <c r="V671" s="111" t="n"/>
      <c r="W671" s="111" t="n"/>
      <c r="X671" s="111" t="n"/>
    </row>
    <row r="672">
      <c r="A672" s="34" t="n">
        <v>670</v>
      </c>
      <c r="I672" s="111" t="n"/>
      <c r="J672" s="111" t="n"/>
      <c r="K672" s="111" t="n"/>
      <c r="L672" s="111" t="n"/>
      <c r="V672" s="111" t="n"/>
      <c r="W672" s="111" t="n"/>
      <c r="X672" s="111" t="n"/>
    </row>
    <row r="673">
      <c r="A673" s="34" t="n">
        <v>671</v>
      </c>
      <c r="I673" s="111" t="n"/>
      <c r="J673" s="111" t="n"/>
      <c r="K673" s="111" t="n"/>
      <c r="L673" s="111" t="n"/>
      <c r="V673" s="111" t="n"/>
      <c r="W673" s="111" t="n"/>
      <c r="X673" s="111" t="n"/>
    </row>
    <row r="674">
      <c r="A674" s="34" t="n">
        <v>672</v>
      </c>
      <c r="I674" s="111" t="n"/>
      <c r="J674" s="111" t="n"/>
      <c r="K674" s="111" t="n"/>
      <c r="L674" s="111" t="n"/>
      <c r="V674" s="111" t="n"/>
      <c r="W674" s="111" t="n"/>
      <c r="X674" s="111" t="n"/>
    </row>
    <row r="675">
      <c r="A675" s="34" t="n">
        <v>673</v>
      </c>
      <c r="I675" s="111" t="n"/>
      <c r="J675" s="111" t="n"/>
      <c r="K675" s="111" t="n"/>
      <c r="L675" s="111" t="n"/>
      <c r="V675" s="111" t="n"/>
      <c r="W675" s="111" t="n"/>
      <c r="X675" s="111" t="n"/>
    </row>
    <row r="676">
      <c r="A676" s="34" t="n">
        <v>674</v>
      </c>
      <c r="I676" s="111" t="n"/>
      <c r="J676" s="111" t="n"/>
      <c r="K676" s="111" t="n"/>
      <c r="L676" s="111" t="n"/>
      <c r="V676" s="111" t="n"/>
      <c r="W676" s="111" t="n"/>
      <c r="X676" s="111" t="n"/>
    </row>
    <row r="677">
      <c r="A677" s="34" t="n">
        <v>675</v>
      </c>
      <c r="I677" s="111" t="n"/>
      <c r="J677" s="111" t="n"/>
      <c r="K677" s="111" t="n"/>
      <c r="L677" s="111" t="n"/>
      <c r="V677" s="111" t="n"/>
      <c r="W677" s="111" t="n"/>
      <c r="X677" s="111" t="n"/>
    </row>
    <row r="678">
      <c r="A678" s="34" t="n">
        <v>676</v>
      </c>
      <c r="I678" s="111" t="n"/>
      <c r="J678" s="111" t="n"/>
      <c r="K678" s="111" t="n"/>
      <c r="L678" s="111" t="n"/>
      <c r="V678" s="111" t="n"/>
      <c r="W678" s="111" t="n"/>
      <c r="X678" s="111" t="n"/>
    </row>
    <row r="679">
      <c r="A679" s="34" t="n">
        <v>677</v>
      </c>
      <c r="I679" s="111" t="n"/>
      <c r="J679" s="111" t="n"/>
      <c r="K679" s="111" t="n"/>
      <c r="L679" s="111" t="n"/>
      <c r="V679" s="111" t="n"/>
      <c r="W679" s="111" t="n"/>
      <c r="X679" s="111" t="n"/>
    </row>
    <row r="680">
      <c r="A680" s="34" t="n">
        <v>678</v>
      </c>
      <c r="I680" s="111" t="n"/>
      <c r="J680" s="111" t="n"/>
      <c r="K680" s="111" t="n"/>
      <c r="L680" s="111" t="n"/>
      <c r="V680" s="111" t="n"/>
      <c r="W680" s="111" t="n"/>
      <c r="X680" s="111" t="n"/>
    </row>
    <row r="681">
      <c r="A681" s="34" t="n">
        <v>679</v>
      </c>
      <c r="I681" s="111" t="n"/>
      <c r="J681" s="111" t="n"/>
      <c r="K681" s="111" t="n"/>
      <c r="L681" s="111" t="n"/>
      <c r="V681" s="111" t="n"/>
      <c r="W681" s="111" t="n"/>
      <c r="X681" s="111" t="n"/>
    </row>
    <row r="682">
      <c r="A682" s="34" t="n">
        <v>680</v>
      </c>
      <c r="I682" s="111" t="n"/>
      <c r="J682" s="111" t="n"/>
      <c r="K682" s="111" t="n"/>
      <c r="L682" s="111" t="n"/>
      <c r="V682" s="111" t="n"/>
      <c r="W682" s="111" t="n"/>
      <c r="X682" s="111" t="n"/>
    </row>
    <row r="683">
      <c r="A683" s="34" t="n">
        <v>681</v>
      </c>
      <c r="I683" s="111" t="n"/>
      <c r="J683" s="111" t="n"/>
      <c r="K683" s="111" t="n"/>
      <c r="L683" s="111" t="n"/>
      <c r="V683" s="111" t="n"/>
      <c r="W683" s="111" t="n"/>
      <c r="X683" s="111" t="n"/>
    </row>
    <row r="684">
      <c r="A684" s="34" t="n">
        <v>682</v>
      </c>
      <c r="I684" s="111" t="n"/>
      <c r="J684" s="111" t="n"/>
      <c r="K684" s="111" t="n"/>
      <c r="L684" s="111" t="n"/>
      <c r="V684" s="111" t="n"/>
      <c r="W684" s="111" t="n"/>
      <c r="X684" s="111" t="n"/>
    </row>
    <row r="685">
      <c r="A685" s="34" t="n">
        <v>683</v>
      </c>
      <c r="I685" s="111" t="n"/>
      <c r="J685" s="111" t="n"/>
      <c r="K685" s="111" t="n"/>
      <c r="L685" s="111" t="n"/>
      <c r="V685" s="111" t="n"/>
      <c r="W685" s="111" t="n"/>
      <c r="X685" s="111" t="n"/>
    </row>
    <row r="686">
      <c r="A686" s="34" t="n">
        <v>684</v>
      </c>
      <c r="I686" s="111" t="n"/>
      <c r="J686" s="111" t="n"/>
      <c r="K686" s="111" t="n"/>
      <c r="L686" s="111" t="n"/>
      <c r="V686" s="111" t="n"/>
      <c r="W686" s="111" t="n"/>
      <c r="X686" s="111" t="n"/>
    </row>
    <row r="687">
      <c r="A687" s="34" t="n">
        <v>685</v>
      </c>
      <c r="I687" s="111" t="n"/>
      <c r="J687" s="111" t="n"/>
      <c r="K687" s="111" t="n"/>
      <c r="L687" s="111" t="n"/>
      <c r="V687" s="111" t="n"/>
      <c r="W687" s="111" t="n"/>
      <c r="X687" s="111" t="n"/>
    </row>
    <row r="688">
      <c r="A688" s="34" t="n">
        <v>686</v>
      </c>
      <c r="I688" s="111" t="n"/>
      <c r="J688" s="111" t="n"/>
      <c r="K688" s="111" t="n"/>
      <c r="L688" s="111" t="n"/>
      <c r="V688" s="111" t="n"/>
      <c r="W688" s="111" t="n"/>
      <c r="X688" s="111" t="n"/>
    </row>
    <row r="689">
      <c r="A689" s="34" t="n">
        <v>687</v>
      </c>
      <c r="I689" s="111" t="n"/>
      <c r="J689" s="111" t="n"/>
      <c r="K689" s="111" t="n"/>
      <c r="L689" s="111" t="n"/>
      <c r="V689" s="111" t="n"/>
      <c r="W689" s="111" t="n"/>
      <c r="X689" s="111" t="n"/>
    </row>
    <row r="690">
      <c r="A690" s="34" t="n">
        <v>688</v>
      </c>
      <c r="I690" s="111" t="n"/>
      <c r="J690" s="111" t="n"/>
      <c r="K690" s="111" t="n"/>
      <c r="L690" s="111" t="n"/>
      <c r="V690" s="111" t="n"/>
      <c r="W690" s="111" t="n"/>
      <c r="X690" s="111" t="n"/>
    </row>
    <row r="691">
      <c r="A691" s="34" t="n">
        <v>689</v>
      </c>
      <c r="I691" s="111" t="n"/>
      <c r="J691" s="111" t="n"/>
      <c r="K691" s="111" t="n"/>
      <c r="L691" s="111" t="n"/>
      <c r="V691" s="111" t="n"/>
      <c r="W691" s="111" t="n"/>
      <c r="X691" s="111" t="n"/>
    </row>
    <row r="692">
      <c r="A692" s="34" t="n">
        <v>690</v>
      </c>
      <c r="I692" s="111" t="n"/>
      <c r="J692" s="111" t="n"/>
      <c r="K692" s="111" t="n"/>
      <c r="L692" s="111" t="n"/>
      <c r="V692" s="111" t="n"/>
      <c r="W692" s="111" t="n"/>
      <c r="X692" s="111" t="n"/>
    </row>
    <row r="693">
      <c r="A693" s="34" t="n">
        <v>691</v>
      </c>
      <c r="I693" s="111" t="n"/>
      <c r="J693" s="111" t="n"/>
      <c r="K693" s="111" t="n"/>
      <c r="L693" s="111" t="n"/>
      <c r="V693" s="111" t="n"/>
      <c r="W693" s="111" t="n"/>
      <c r="X693" s="111" t="n"/>
    </row>
    <row r="694">
      <c r="A694" s="34" t="n">
        <v>692</v>
      </c>
      <c r="I694" s="111" t="n"/>
      <c r="J694" s="111" t="n"/>
      <c r="K694" s="111" t="n"/>
      <c r="L694" s="111" t="n"/>
      <c r="V694" s="111" t="n"/>
      <c r="W694" s="111" t="n"/>
      <c r="X694" s="111" t="n"/>
    </row>
    <row r="695">
      <c r="A695" s="34" t="n">
        <v>693</v>
      </c>
      <c r="I695" s="111" t="n"/>
      <c r="J695" s="111" t="n"/>
      <c r="K695" s="111" t="n"/>
      <c r="L695" s="111" t="n"/>
      <c r="V695" s="111" t="n"/>
      <c r="W695" s="111" t="n"/>
      <c r="X695" s="111" t="n"/>
    </row>
    <row r="696">
      <c r="A696" s="34" t="n">
        <v>694</v>
      </c>
      <c r="I696" s="111" t="n"/>
      <c r="J696" s="111" t="n"/>
      <c r="K696" s="111" t="n"/>
      <c r="L696" s="111" t="n"/>
      <c r="V696" s="111" t="n"/>
      <c r="W696" s="111" t="n"/>
      <c r="X696" s="111" t="n"/>
    </row>
    <row r="697">
      <c r="A697" s="34" t="n">
        <v>695</v>
      </c>
      <c r="I697" s="111" t="n"/>
      <c r="J697" s="111" t="n"/>
      <c r="K697" s="111" t="n"/>
      <c r="L697" s="111" t="n"/>
      <c r="V697" s="111" t="n"/>
      <c r="W697" s="111" t="n"/>
      <c r="X697" s="111" t="n"/>
    </row>
    <row r="698">
      <c r="A698" s="34" t="n">
        <v>696</v>
      </c>
      <c r="I698" s="111" t="n"/>
      <c r="J698" s="111" t="n"/>
      <c r="K698" s="111" t="n"/>
      <c r="L698" s="111" t="n"/>
      <c r="V698" s="111" t="n"/>
      <c r="W698" s="111" t="n"/>
      <c r="X698" s="111" t="n"/>
    </row>
    <row r="699">
      <c r="A699" s="34" t="n">
        <v>697</v>
      </c>
      <c r="I699" s="111" t="n"/>
      <c r="J699" s="111" t="n"/>
      <c r="K699" s="111" t="n"/>
      <c r="L699" s="111" t="n"/>
      <c r="V699" s="111" t="n"/>
      <c r="W699" s="111" t="n"/>
      <c r="X699" s="111" t="n"/>
    </row>
    <row r="700">
      <c r="A700" s="34" t="n">
        <v>698</v>
      </c>
      <c r="I700" s="111" t="n"/>
      <c r="J700" s="111" t="n"/>
      <c r="K700" s="111" t="n"/>
      <c r="L700" s="111" t="n"/>
      <c r="V700" s="111" t="n"/>
      <c r="W700" s="111" t="n"/>
      <c r="X700" s="111" t="n"/>
    </row>
    <row r="701">
      <c r="A701" s="34" t="n">
        <v>699</v>
      </c>
      <c r="I701" s="111" t="n"/>
      <c r="J701" s="111" t="n"/>
      <c r="K701" s="111" t="n"/>
      <c r="L701" s="111" t="n"/>
      <c r="V701" s="111" t="n"/>
      <c r="W701" s="111" t="n"/>
      <c r="X701" s="111" t="n"/>
    </row>
    <row r="702">
      <c r="A702" s="34" t="n">
        <v>700</v>
      </c>
      <c r="I702" s="111" t="n"/>
      <c r="J702" s="111" t="n"/>
      <c r="K702" s="111" t="n"/>
      <c r="L702" s="111" t="n"/>
      <c r="V702" s="111" t="n"/>
      <c r="W702" s="111" t="n"/>
      <c r="X702" s="111" t="n"/>
    </row>
    <row r="703">
      <c r="A703" s="34" t="n">
        <v>701</v>
      </c>
      <c r="I703" s="111" t="n"/>
      <c r="J703" s="111" t="n"/>
      <c r="K703" s="111" t="n"/>
      <c r="L703" s="111" t="n"/>
      <c r="V703" s="111" t="n"/>
      <c r="W703" s="111" t="n"/>
      <c r="X703" s="111" t="n"/>
    </row>
    <row r="704">
      <c r="A704" s="34" t="n">
        <v>702</v>
      </c>
      <c r="I704" s="111" t="n"/>
      <c r="J704" s="111" t="n"/>
      <c r="K704" s="111" t="n"/>
      <c r="L704" s="111" t="n"/>
      <c r="V704" s="111" t="n"/>
      <c r="W704" s="111" t="n"/>
      <c r="X704" s="111" t="n"/>
    </row>
    <row r="705">
      <c r="A705" s="34" t="n">
        <v>703</v>
      </c>
      <c r="I705" s="111" t="n"/>
      <c r="J705" s="111" t="n"/>
      <c r="K705" s="111" t="n"/>
      <c r="L705" s="111" t="n"/>
      <c r="V705" s="111" t="n"/>
      <c r="W705" s="111" t="n"/>
      <c r="X705" s="111" t="n"/>
    </row>
    <row r="706">
      <c r="A706" s="34" t="n">
        <v>704</v>
      </c>
      <c r="I706" s="111" t="n"/>
      <c r="J706" s="111" t="n"/>
      <c r="K706" s="111" t="n"/>
      <c r="L706" s="111" t="n"/>
      <c r="V706" s="111" t="n"/>
      <c r="W706" s="111" t="n"/>
      <c r="X706" s="111" t="n"/>
    </row>
    <row r="707">
      <c r="A707" s="34" t="n">
        <v>705</v>
      </c>
      <c r="I707" s="111" t="n"/>
      <c r="J707" s="111" t="n"/>
      <c r="K707" s="111" t="n"/>
      <c r="L707" s="111" t="n"/>
      <c r="V707" s="111" t="n"/>
      <c r="W707" s="111" t="n"/>
      <c r="X707" s="111" t="n"/>
    </row>
    <row r="708">
      <c r="A708" s="34" t="n">
        <v>706</v>
      </c>
      <c r="I708" s="111" t="n"/>
      <c r="J708" s="111" t="n"/>
      <c r="K708" s="111" t="n"/>
      <c r="L708" s="111" t="n"/>
      <c r="V708" s="111" t="n"/>
      <c r="W708" s="111" t="n"/>
      <c r="X708" s="111" t="n"/>
    </row>
    <row r="709">
      <c r="A709" s="34" t="n">
        <v>707</v>
      </c>
      <c r="I709" s="111" t="n"/>
      <c r="J709" s="111" t="n"/>
      <c r="K709" s="111" t="n"/>
      <c r="L709" s="111" t="n"/>
      <c r="V709" s="111" t="n"/>
      <c r="W709" s="111" t="n"/>
      <c r="X709" s="111" t="n"/>
    </row>
    <row r="710">
      <c r="A710" s="34" t="n">
        <v>708</v>
      </c>
      <c r="I710" s="111" t="n"/>
      <c r="J710" s="111" t="n"/>
      <c r="K710" s="111" t="n"/>
      <c r="L710" s="111" t="n"/>
      <c r="V710" s="111" t="n"/>
      <c r="W710" s="111" t="n"/>
      <c r="X710" s="111" t="n"/>
    </row>
    <row r="711">
      <c r="A711" s="34" t="n">
        <v>709</v>
      </c>
      <c r="I711" s="111" t="n"/>
      <c r="J711" s="111" t="n"/>
      <c r="K711" s="111" t="n"/>
      <c r="L711" s="111" t="n"/>
      <c r="V711" s="111" t="n"/>
      <c r="W711" s="111" t="n"/>
      <c r="X711" s="111" t="n"/>
    </row>
    <row r="712">
      <c r="A712" s="34" t="n">
        <v>710</v>
      </c>
      <c r="I712" s="111" t="n"/>
      <c r="J712" s="111" t="n"/>
      <c r="K712" s="111" t="n"/>
      <c r="L712" s="111" t="n"/>
      <c r="V712" s="111" t="n"/>
      <c r="W712" s="111" t="n"/>
      <c r="X712" s="111" t="n"/>
    </row>
    <row r="713">
      <c r="A713" s="34" t="n">
        <v>711</v>
      </c>
      <c r="I713" s="111" t="n"/>
      <c r="J713" s="111" t="n"/>
      <c r="K713" s="111" t="n"/>
      <c r="L713" s="111" t="n"/>
      <c r="V713" s="111" t="n"/>
      <c r="W713" s="111" t="n"/>
      <c r="X713" s="111" t="n"/>
    </row>
    <row r="714">
      <c r="A714" s="34" t="n">
        <v>712</v>
      </c>
      <c r="I714" s="111" t="n"/>
      <c r="J714" s="111" t="n"/>
      <c r="K714" s="111" t="n"/>
      <c r="L714" s="111" t="n"/>
      <c r="V714" s="111" t="n"/>
      <c r="W714" s="111" t="n"/>
      <c r="X714" s="111" t="n"/>
    </row>
    <row r="715">
      <c r="A715" s="34" t="n">
        <v>713</v>
      </c>
      <c r="I715" s="111" t="n"/>
      <c r="J715" s="111" t="n"/>
      <c r="K715" s="111" t="n"/>
      <c r="L715" s="111" t="n"/>
      <c r="V715" s="111" t="n"/>
      <c r="W715" s="111" t="n"/>
      <c r="X715" s="111" t="n"/>
    </row>
    <row r="716">
      <c r="A716" s="34" t="n">
        <v>714</v>
      </c>
      <c r="I716" s="111" t="n"/>
      <c r="J716" s="111" t="n"/>
      <c r="K716" s="111" t="n"/>
      <c r="L716" s="111" t="n"/>
      <c r="V716" s="111" t="n"/>
      <c r="W716" s="111" t="n"/>
      <c r="X716" s="111" t="n"/>
    </row>
    <row r="717">
      <c r="A717" s="34" t="n">
        <v>715</v>
      </c>
      <c r="I717" s="111" t="n"/>
      <c r="J717" s="111" t="n"/>
      <c r="K717" s="111" t="n"/>
      <c r="L717" s="111" t="n"/>
      <c r="V717" s="111" t="n"/>
      <c r="W717" s="111" t="n"/>
      <c r="X717" s="111" t="n"/>
    </row>
    <row r="718">
      <c r="A718" s="34" t="n">
        <v>716</v>
      </c>
      <c r="I718" s="111" t="n"/>
      <c r="J718" s="111" t="n"/>
      <c r="K718" s="111" t="n"/>
      <c r="L718" s="111" t="n"/>
      <c r="V718" s="111" t="n"/>
      <c r="W718" s="111" t="n"/>
      <c r="X718" s="111" t="n"/>
    </row>
    <row r="719">
      <c r="A719" s="34" t="n">
        <v>717</v>
      </c>
      <c r="I719" s="111" t="n"/>
      <c r="J719" s="111" t="n"/>
      <c r="K719" s="111" t="n"/>
      <c r="L719" s="111" t="n"/>
      <c r="V719" s="111" t="n"/>
      <c r="W719" s="111" t="n"/>
      <c r="X719" s="111" t="n"/>
    </row>
    <row r="720">
      <c r="A720" s="34" t="n">
        <v>718</v>
      </c>
      <c r="I720" s="111" t="n"/>
      <c r="J720" s="111" t="n"/>
      <c r="K720" s="111" t="n"/>
      <c r="L720" s="111" t="n"/>
      <c r="V720" s="111" t="n"/>
      <c r="W720" s="111" t="n"/>
      <c r="X720" s="111" t="n"/>
    </row>
    <row r="721">
      <c r="A721" s="34" t="n">
        <v>719</v>
      </c>
      <c r="I721" s="111" t="n"/>
      <c r="J721" s="111" t="n"/>
      <c r="K721" s="111" t="n"/>
      <c r="L721" s="111" t="n"/>
      <c r="V721" s="111" t="n"/>
      <c r="W721" s="111" t="n"/>
      <c r="X721" s="111" t="n"/>
    </row>
    <row r="722">
      <c r="A722" s="34" t="n">
        <v>720</v>
      </c>
      <c r="I722" s="111" t="n"/>
      <c r="J722" s="111" t="n"/>
      <c r="K722" s="111" t="n"/>
      <c r="L722" s="111" t="n"/>
      <c r="V722" s="111" t="n"/>
      <c r="W722" s="111" t="n"/>
      <c r="X722" s="111" t="n"/>
    </row>
    <row r="723">
      <c r="A723" s="34" t="n">
        <v>721</v>
      </c>
      <c r="I723" s="111" t="n"/>
      <c r="J723" s="111" t="n"/>
      <c r="K723" s="111" t="n"/>
      <c r="L723" s="111" t="n"/>
      <c r="V723" s="111" t="n"/>
      <c r="W723" s="111" t="n"/>
      <c r="X723" s="111" t="n"/>
    </row>
    <row r="724">
      <c r="A724" s="34" t="n">
        <v>722</v>
      </c>
      <c r="I724" s="111" t="n"/>
      <c r="J724" s="111" t="n"/>
      <c r="K724" s="111" t="n"/>
      <c r="L724" s="111" t="n"/>
      <c r="V724" s="111" t="n"/>
      <c r="W724" s="111" t="n"/>
      <c r="X724" s="111" t="n"/>
    </row>
    <row r="725">
      <c r="A725" s="34" t="n">
        <v>723</v>
      </c>
      <c r="I725" s="111" t="n"/>
      <c r="J725" s="111" t="n"/>
      <c r="K725" s="111" t="n"/>
      <c r="L725" s="111" t="n"/>
      <c r="V725" s="111" t="n"/>
      <c r="W725" s="111" t="n"/>
      <c r="X725" s="111" t="n"/>
    </row>
    <row r="726">
      <c r="A726" s="34" t="n">
        <v>724</v>
      </c>
      <c r="I726" s="111" t="n"/>
      <c r="J726" s="111" t="n"/>
      <c r="K726" s="111" t="n"/>
      <c r="L726" s="111" t="n"/>
      <c r="V726" s="111" t="n"/>
      <c r="W726" s="111" t="n"/>
      <c r="X726" s="111" t="n"/>
    </row>
    <row r="727">
      <c r="A727" s="34" t="n">
        <v>725</v>
      </c>
      <c r="I727" s="111" t="n"/>
      <c r="J727" s="111" t="n"/>
      <c r="K727" s="111" t="n"/>
      <c r="L727" s="111" t="n"/>
      <c r="V727" s="111" t="n"/>
      <c r="W727" s="111" t="n"/>
      <c r="X727" s="111" t="n"/>
    </row>
    <row r="728">
      <c r="A728" s="34" t="n">
        <v>726</v>
      </c>
      <c r="I728" s="111" t="n"/>
      <c r="J728" s="111" t="n"/>
      <c r="K728" s="111" t="n"/>
      <c r="L728" s="111" t="n"/>
      <c r="V728" s="111" t="n"/>
      <c r="W728" s="111" t="n"/>
      <c r="X728" s="111" t="n"/>
    </row>
    <row r="729">
      <c r="A729" s="34" t="n">
        <v>727</v>
      </c>
      <c r="I729" s="111" t="n"/>
      <c r="J729" s="111" t="n"/>
      <c r="K729" s="111" t="n"/>
      <c r="L729" s="111" t="n"/>
      <c r="V729" s="111" t="n"/>
      <c r="W729" s="111" t="n"/>
      <c r="X729" s="111" t="n"/>
    </row>
    <row r="730">
      <c r="A730" s="34" t="n">
        <v>728</v>
      </c>
      <c r="I730" s="111" t="n"/>
      <c r="J730" s="111" t="n"/>
      <c r="K730" s="111" t="n"/>
      <c r="L730" s="111" t="n"/>
      <c r="V730" s="111" t="n"/>
      <c r="W730" s="111" t="n"/>
      <c r="X730" s="111" t="n"/>
    </row>
    <row r="731">
      <c r="A731" s="34" t="n">
        <v>729</v>
      </c>
      <c r="I731" s="111" t="n"/>
      <c r="J731" s="111" t="n"/>
      <c r="K731" s="111" t="n"/>
      <c r="L731" s="111" t="n"/>
      <c r="V731" s="111" t="n"/>
      <c r="W731" s="111" t="n"/>
      <c r="X731" s="111" t="n"/>
    </row>
    <row r="732">
      <c r="A732" s="34" t="n">
        <v>730</v>
      </c>
      <c r="I732" s="111" t="n"/>
      <c r="J732" s="111" t="n"/>
      <c r="K732" s="111" t="n"/>
      <c r="L732" s="111" t="n"/>
      <c r="V732" s="111" t="n"/>
      <c r="W732" s="111" t="n"/>
      <c r="X732" s="111" t="n"/>
    </row>
    <row r="733">
      <c r="A733" s="34" t="n">
        <v>731</v>
      </c>
      <c r="I733" s="111" t="n"/>
      <c r="J733" s="111" t="n"/>
      <c r="K733" s="111" t="n"/>
      <c r="L733" s="111" t="n"/>
      <c r="V733" s="111" t="n"/>
      <c r="W733" s="111" t="n"/>
      <c r="X733" s="111" t="n"/>
    </row>
    <row r="734">
      <c r="A734" s="34" t="n">
        <v>732</v>
      </c>
      <c r="I734" s="111" t="n"/>
      <c r="J734" s="111" t="n"/>
      <c r="K734" s="111" t="n"/>
      <c r="L734" s="111" t="n"/>
      <c r="V734" s="111" t="n"/>
      <c r="W734" s="111" t="n"/>
      <c r="X734" s="111" t="n"/>
    </row>
    <row r="735">
      <c r="A735" s="34" t="n">
        <v>733</v>
      </c>
      <c r="I735" s="111" t="n"/>
      <c r="J735" s="111" t="n"/>
      <c r="K735" s="111" t="n"/>
      <c r="L735" s="111" t="n"/>
      <c r="V735" s="111" t="n"/>
      <c r="W735" s="111" t="n"/>
      <c r="X735" s="111" t="n"/>
    </row>
    <row r="736">
      <c r="A736" s="34" t="n">
        <v>734</v>
      </c>
      <c r="I736" s="111" t="n"/>
      <c r="J736" s="111" t="n"/>
      <c r="K736" s="111" t="n"/>
      <c r="L736" s="111" t="n"/>
      <c r="V736" s="111" t="n"/>
      <c r="W736" s="111" t="n"/>
      <c r="X736" s="111" t="n"/>
    </row>
    <row r="737">
      <c r="A737" s="34" t="n">
        <v>735</v>
      </c>
      <c r="I737" s="111" t="n"/>
      <c r="J737" s="111" t="n"/>
      <c r="K737" s="111" t="n"/>
      <c r="L737" s="111" t="n"/>
      <c r="V737" s="111" t="n"/>
      <c r="W737" s="111" t="n"/>
      <c r="X737" s="111" t="n"/>
    </row>
    <row r="738">
      <c r="A738" s="34" t="n">
        <v>736</v>
      </c>
      <c r="I738" s="111" t="n"/>
      <c r="J738" s="111" t="n"/>
      <c r="K738" s="111" t="n"/>
      <c r="L738" s="111" t="n"/>
      <c r="V738" s="111" t="n"/>
      <c r="W738" s="111" t="n"/>
      <c r="X738" s="111" t="n"/>
    </row>
    <row r="739">
      <c r="A739" s="34" t="n">
        <v>737</v>
      </c>
      <c r="I739" s="111" t="n"/>
      <c r="J739" s="111" t="n"/>
      <c r="K739" s="111" t="n"/>
      <c r="L739" s="111" t="n"/>
      <c r="V739" s="111" t="n"/>
      <c r="W739" s="111" t="n"/>
      <c r="X739" s="111" t="n"/>
    </row>
    <row r="740">
      <c r="A740" s="34" t="n">
        <v>738</v>
      </c>
      <c r="I740" s="111" t="n"/>
      <c r="J740" s="111" t="n"/>
      <c r="K740" s="111" t="n"/>
      <c r="L740" s="111" t="n"/>
      <c r="V740" s="111" t="n"/>
      <c r="W740" s="111" t="n"/>
      <c r="X740" s="111" t="n"/>
    </row>
    <row r="741">
      <c r="A741" s="34" t="n">
        <v>739</v>
      </c>
      <c r="I741" s="111" t="n"/>
      <c r="J741" s="111" t="n"/>
      <c r="K741" s="111" t="n"/>
      <c r="L741" s="111" t="n"/>
      <c r="V741" s="111" t="n"/>
      <c r="W741" s="111" t="n"/>
      <c r="X741" s="111" t="n"/>
    </row>
    <row r="742">
      <c r="A742" s="34" t="n">
        <v>740</v>
      </c>
      <c r="I742" s="111" t="n"/>
      <c r="J742" s="111" t="n"/>
      <c r="K742" s="111" t="n"/>
      <c r="L742" s="111" t="n"/>
      <c r="V742" s="111" t="n"/>
      <c r="W742" s="111" t="n"/>
      <c r="X742" s="111" t="n"/>
    </row>
    <row r="743">
      <c r="A743" s="34" t="n">
        <v>741</v>
      </c>
      <c r="I743" s="111" t="n"/>
      <c r="J743" s="111" t="n"/>
      <c r="K743" s="111" t="n"/>
      <c r="L743" s="111" t="n"/>
      <c r="V743" s="111" t="n"/>
      <c r="W743" s="111" t="n"/>
      <c r="X743" s="111" t="n"/>
    </row>
    <row r="744">
      <c r="A744" s="34" t="n">
        <v>742</v>
      </c>
      <c r="I744" s="111" t="n"/>
      <c r="J744" s="111" t="n"/>
      <c r="K744" s="111" t="n"/>
      <c r="L744" s="111" t="n"/>
      <c r="V744" s="111" t="n"/>
      <c r="W744" s="111" t="n"/>
      <c r="X744" s="111" t="n"/>
    </row>
    <row r="745">
      <c r="A745" s="34" t="n">
        <v>743</v>
      </c>
      <c r="I745" s="111" t="n"/>
      <c r="J745" s="111" t="n"/>
      <c r="K745" s="111" t="n"/>
      <c r="L745" s="111" t="n"/>
      <c r="V745" s="111" t="n"/>
      <c r="W745" s="111" t="n"/>
      <c r="X745" s="111" t="n"/>
    </row>
    <row r="746">
      <c r="A746" s="34" t="n">
        <v>744</v>
      </c>
      <c r="I746" s="111" t="n"/>
      <c r="J746" s="111" t="n"/>
      <c r="K746" s="111" t="n"/>
      <c r="L746" s="111" t="n"/>
      <c r="V746" s="111" t="n"/>
      <c r="W746" s="111" t="n"/>
      <c r="X746" s="111" t="n"/>
    </row>
    <row r="747">
      <c r="A747" s="34" t="n">
        <v>745</v>
      </c>
      <c r="I747" s="111" t="n"/>
      <c r="J747" s="111" t="n"/>
      <c r="K747" s="111" t="n"/>
      <c r="L747" s="111" t="n"/>
      <c r="V747" s="111" t="n"/>
      <c r="W747" s="111" t="n"/>
      <c r="X747" s="111" t="n"/>
    </row>
    <row r="748">
      <c r="A748" s="34" t="n">
        <v>746</v>
      </c>
      <c r="I748" s="111" t="n"/>
      <c r="J748" s="111" t="n"/>
      <c r="K748" s="111" t="n"/>
      <c r="L748" s="111" t="n"/>
      <c r="V748" s="111" t="n"/>
      <c r="W748" s="111" t="n"/>
      <c r="X748" s="111" t="n"/>
    </row>
    <row r="749">
      <c r="A749" s="34" t="n">
        <v>747</v>
      </c>
      <c r="I749" s="111" t="n"/>
      <c r="J749" s="111" t="n"/>
      <c r="K749" s="111" t="n"/>
      <c r="L749" s="111" t="n"/>
      <c r="V749" s="111" t="n"/>
      <c r="W749" s="111" t="n"/>
      <c r="X749" s="111" t="n"/>
    </row>
    <row r="750">
      <c r="A750" s="34" t="n">
        <v>748</v>
      </c>
      <c r="I750" s="111" t="n"/>
      <c r="J750" s="111" t="n"/>
      <c r="K750" s="111" t="n"/>
      <c r="L750" s="111" t="n"/>
      <c r="V750" s="111" t="n"/>
      <c r="W750" s="111" t="n"/>
      <c r="X750" s="111" t="n"/>
    </row>
    <row r="751">
      <c r="A751" s="34" t="n">
        <v>749</v>
      </c>
      <c r="I751" s="111" t="n"/>
      <c r="J751" s="111" t="n"/>
      <c r="K751" s="111" t="n"/>
      <c r="L751" s="111" t="n"/>
      <c r="V751" s="111" t="n"/>
      <c r="W751" s="111" t="n"/>
      <c r="X751" s="111" t="n"/>
    </row>
    <row r="752">
      <c r="A752" s="34" t="n">
        <v>750</v>
      </c>
      <c r="I752" s="111" t="n"/>
      <c r="J752" s="111" t="n"/>
      <c r="K752" s="111" t="n"/>
      <c r="L752" s="111" t="n"/>
      <c r="V752" s="111" t="n"/>
      <c r="W752" s="111" t="n"/>
      <c r="X752" s="111" t="n"/>
    </row>
    <row r="753">
      <c r="A753" s="34" t="n">
        <v>751</v>
      </c>
      <c r="I753" s="111" t="n"/>
      <c r="J753" s="111" t="n"/>
      <c r="K753" s="111" t="n"/>
      <c r="L753" s="111" t="n"/>
      <c r="V753" s="111" t="n"/>
      <c r="W753" s="111" t="n"/>
      <c r="X753" s="111" t="n"/>
    </row>
    <row r="754">
      <c r="A754" s="34" t="n">
        <v>752</v>
      </c>
      <c r="I754" s="111" t="n"/>
      <c r="J754" s="111" t="n"/>
      <c r="K754" s="111" t="n"/>
      <c r="L754" s="111" t="n"/>
      <c r="V754" s="111" t="n"/>
      <c r="W754" s="111" t="n"/>
      <c r="X754" s="111" t="n"/>
    </row>
    <row r="755">
      <c r="A755" s="34" t="n">
        <v>753</v>
      </c>
      <c r="I755" s="111" t="n"/>
      <c r="J755" s="111" t="n"/>
      <c r="K755" s="111" t="n"/>
      <c r="L755" s="111" t="n"/>
      <c r="V755" s="111" t="n"/>
      <c r="W755" s="111" t="n"/>
      <c r="X755" s="111" t="n"/>
    </row>
    <row r="756">
      <c r="A756" s="34" t="n">
        <v>754</v>
      </c>
      <c r="I756" s="111" t="n"/>
      <c r="J756" s="111" t="n"/>
      <c r="K756" s="111" t="n"/>
      <c r="L756" s="111" t="n"/>
      <c r="V756" s="111" t="n"/>
      <c r="W756" s="111" t="n"/>
      <c r="X756" s="111" t="n"/>
    </row>
    <row r="757">
      <c r="A757" s="34" t="n">
        <v>755</v>
      </c>
      <c r="I757" s="111" t="n"/>
      <c r="J757" s="111" t="n"/>
      <c r="K757" s="111" t="n"/>
      <c r="L757" s="111" t="n"/>
      <c r="V757" s="111" t="n"/>
      <c r="W757" s="111" t="n"/>
      <c r="X757" s="111" t="n"/>
    </row>
    <row r="758">
      <c r="A758" s="34" t="n">
        <v>756</v>
      </c>
      <c r="I758" s="111" t="n"/>
      <c r="J758" s="111" t="n"/>
      <c r="K758" s="111" t="n"/>
      <c r="L758" s="111" t="n"/>
      <c r="V758" s="111" t="n"/>
      <c r="W758" s="111" t="n"/>
      <c r="X758" s="111" t="n"/>
    </row>
    <row r="759">
      <c r="A759" s="34" t="n">
        <v>757</v>
      </c>
      <c r="I759" s="111" t="n"/>
      <c r="J759" s="111" t="n"/>
      <c r="K759" s="111" t="n"/>
      <c r="L759" s="111" t="n"/>
      <c r="V759" s="111" t="n"/>
      <c r="W759" s="111" t="n"/>
      <c r="X759" s="111" t="n"/>
    </row>
    <row r="760">
      <c r="A760" s="34" t="n">
        <v>758</v>
      </c>
      <c r="I760" s="111" t="n"/>
      <c r="J760" s="111" t="n"/>
      <c r="K760" s="111" t="n"/>
      <c r="L760" s="111" t="n"/>
      <c r="V760" s="111" t="n"/>
      <c r="W760" s="111" t="n"/>
      <c r="X760" s="111" t="n"/>
    </row>
    <row r="761">
      <c r="A761" s="34" t="n">
        <v>759</v>
      </c>
      <c r="I761" s="111" t="n"/>
      <c r="J761" s="111" t="n"/>
      <c r="K761" s="111" t="n"/>
      <c r="L761" s="111" t="n"/>
      <c r="V761" s="111" t="n"/>
      <c r="W761" s="111" t="n"/>
      <c r="X761" s="111" t="n"/>
    </row>
    <row r="762">
      <c r="A762" s="34" t="n">
        <v>760</v>
      </c>
      <c r="I762" s="111" t="n"/>
      <c r="J762" s="111" t="n"/>
      <c r="K762" s="111" t="n"/>
      <c r="L762" s="111" t="n"/>
      <c r="V762" s="111" t="n"/>
      <c r="W762" s="111" t="n"/>
      <c r="X762" s="111" t="n"/>
    </row>
    <row r="763">
      <c r="A763" s="34" t="n">
        <v>761</v>
      </c>
      <c r="I763" s="111" t="n"/>
      <c r="J763" s="111" t="n"/>
      <c r="K763" s="111" t="n"/>
      <c r="L763" s="111" t="n"/>
      <c r="V763" s="111" t="n"/>
      <c r="W763" s="111" t="n"/>
      <c r="X763" s="111" t="n"/>
    </row>
    <row r="764">
      <c r="A764" s="34" t="n">
        <v>762</v>
      </c>
      <c r="I764" s="111" t="n"/>
      <c r="J764" s="111" t="n"/>
      <c r="K764" s="111" t="n"/>
      <c r="L764" s="111" t="n"/>
      <c r="V764" s="111" t="n"/>
      <c r="W764" s="111" t="n"/>
      <c r="X764" s="111" t="n"/>
    </row>
    <row r="765">
      <c r="A765" s="34" t="n">
        <v>763</v>
      </c>
      <c r="I765" s="111" t="n"/>
      <c r="J765" s="111" t="n"/>
      <c r="K765" s="111" t="n"/>
      <c r="L765" s="111" t="n"/>
      <c r="V765" s="111" t="n"/>
      <c r="W765" s="111" t="n"/>
      <c r="X765" s="111" t="n"/>
    </row>
    <row r="766">
      <c r="A766" s="34" t="n">
        <v>764</v>
      </c>
      <c r="I766" s="111" t="n"/>
      <c r="J766" s="111" t="n"/>
      <c r="K766" s="111" t="n"/>
      <c r="L766" s="111" t="n"/>
      <c r="V766" s="111" t="n"/>
      <c r="W766" s="111" t="n"/>
      <c r="X766" s="111" t="n"/>
    </row>
    <row r="767">
      <c r="A767" s="34" t="n">
        <v>765</v>
      </c>
      <c r="I767" s="111" t="n"/>
      <c r="J767" s="111" t="n"/>
      <c r="K767" s="111" t="n"/>
      <c r="L767" s="111" t="n"/>
      <c r="V767" s="111" t="n"/>
      <c r="W767" s="111" t="n"/>
      <c r="X767" s="111" t="n"/>
    </row>
    <row r="768">
      <c r="A768" s="34" t="n">
        <v>766</v>
      </c>
      <c r="I768" s="111" t="n"/>
      <c r="J768" s="111" t="n"/>
      <c r="K768" s="111" t="n"/>
      <c r="L768" s="111" t="n"/>
      <c r="V768" s="111" t="n"/>
      <c r="W768" s="111" t="n"/>
      <c r="X768" s="111" t="n"/>
    </row>
    <row r="769">
      <c r="A769" s="34" t="n">
        <v>767</v>
      </c>
      <c r="I769" s="111" t="n"/>
      <c r="J769" s="111" t="n"/>
      <c r="K769" s="111" t="n"/>
      <c r="L769" s="111" t="n"/>
      <c r="V769" s="111" t="n"/>
      <c r="W769" s="111" t="n"/>
      <c r="X769" s="111" t="n"/>
    </row>
    <row r="770">
      <c r="A770" s="34" t="n">
        <v>768</v>
      </c>
      <c r="I770" s="111" t="n"/>
      <c r="J770" s="111" t="n"/>
      <c r="K770" s="111" t="n"/>
      <c r="L770" s="111" t="n"/>
      <c r="V770" s="111" t="n"/>
      <c r="W770" s="111" t="n"/>
      <c r="X770" s="111" t="n"/>
    </row>
    <row r="771">
      <c r="A771" s="34" t="n">
        <v>769</v>
      </c>
      <c r="I771" s="111" t="n"/>
      <c r="J771" s="111" t="n"/>
      <c r="K771" s="111" t="n"/>
      <c r="L771" s="111" t="n"/>
      <c r="V771" s="111" t="n"/>
      <c r="W771" s="111" t="n"/>
      <c r="X771" s="111" t="n"/>
    </row>
    <row r="772">
      <c r="A772" s="34" t="n">
        <v>770</v>
      </c>
      <c r="I772" s="111" t="n"/>
      <c r="J772" s="111" t="n"/>
      <c r="K772" s="111" t="n"/>
      <c r="L772" s="111" t="n"/>
      <c r="V772" s="111" t="n"/>
      <c r="W772" s="111" t="n"/>
      <c r="X772" s="111" t="n"/>
    </row>
    <row r="773">
      <c r="A773" s="34" t="n">
        <v>771</v>
      </c>
      <c r="I773" s="111" t="n"/>
      <c r="J773" s="111" t="n"/>
      <c r="K773" s="111" t="n"/>
      <c r="L773" s="111" t="n"/>
      <c r="V773" s="111" t="n"/>
      <c r="W773" s="111" t="n"/>
      <c r="X773" s="111" t="n"/>
    </row>
    <row r="774">
      <c r="A774" s="34" t="n">
        <v>772</v>
      </c>
      <c r="I774" s="111" t="n"/>
      <c r="J774" s="111" t="n"/>
      <c r="K774" s="111" t="n"/>
      <c r="L774" s="111" t="n"/>
      <c r="V774" s="111" t="n"/>
      <c r="W774" s="111" t="n"/>
      <c r="X774" s="111" t="n"/>
    </row>
    <row r="775">
      <c r="A775" s="34" t="n">
        <v>773</v>
      </c>
      <c r="I775" s="111" t="n"/>
      <c r="J775" s="111" t="n"/>
      <c r="K775" s="111" t="n"/>
      <c r="L775" s="111" t="n"/>
      <c r="V775" s="111" t="n"/>
      <c r="W775" s="111" t="n"/>
      <c r="X775" s="111" t="n"/>
    </row>
    <row r="776">
      <c r="A776" s="34" t="n">
        <v>774</v>
      </c>
      <c r="I776" s="111" t="n"/>
      <c r="J776" s="111" t="n"/>
      <c r="K776" s="111" t="n"/>
      <c r="L776" s="111" t="n"/>
      <c r="V776" s="111" t="n"/>
      <c r="W776" s="111" t="n"/>
      <c r="X776" s="111" t="n"/>
    </row>
    <row r="777">
      <c r="A777" s="34" t="n">
        <v>775</v>
      </c>
      <c r="I777" s="111" t="n"/>
      <c r="J777" s="111" t="n"/>
      <c r="K777" s="111" t="n"/>
      <c r="L777" s="111" t="n"/>
      <c r="V777" s="111" t="n"/>
      <c r="W777" s="111" t="n"/>
      <c r="X777" s="111" t="n"/>
    </row>
    <row r="778">
      <c r="A778" s="34" t="n">
        <v>776</v>
      </c>
      <c r="I778" s="111" t="n"/>
      <c r="J778" s="111" t="n"/>
      <c r="K778" s="111" t="n"/>
      <c r="L778" s="111" t="n"/>
      <c r="V778" s="111" t="n"/>
      <c r="W778" s="111" t="n"/>
      <c r="X778" s="111" t="n"/>
    </row>
    <row r="779">
      <c r="A779" s="34" t="n">
        <v>777</v>
      </c>
      <c r="I779" s="111" t="n"/>
      <c r="J779" s="111" t="n"/>
      <c r="K779" s="111" t="n"/>
      <c r="L779" s="111" t="n"/>
      <c r="V779" s="111" t="n"/>
      <c r="W779" s="111" t="n"/>
      <c r="X779" s="111" t="n"/>
    </row>
    <row r="780">
      <c r="A780" s="34" t="n">
        <v>778</v>
      </c>
      <c r="I780" s="111" t="n"/>
      <c r="J780" s="111" t="n"/>
      <c r="K780" s="111" t="n"/>
      <c r="L780" s="111" t="n"/>
      <c r="V780" s="111" t="n"/>
      <c r="W780" s="111" t="n"/>
      <c r="X780" s="111" t="n"/>
    </row>
    <row r="781">
      <c r="A781" s="34" t="n">
        <v>779</v>
      </c>
      <c r="I781" s="111" t="n"/>
      <c r="J781" s="111" t="n"/>
      <c r="K781" s="111" t="n"/>
      <c r="L781" s="111" t="n"/>
      <c r="V781" s="111" t="n"/>
      <c r="W781" s="111" t="n"/>
      <c r="X781" s="111" t="n"/>
    </row>
    <row r="782">
      <c r="A782" s="34" t="n">
        <v>780</v>
      </c>
      <c r="I782" s="111" t="n"/>
      <c r="J782" s="111" t="n"/>
      <c r="K782" s="111" t="n"/>
      <c r="L782" s="111" t="n"/>
      <c r="V782" s="111" t="n"/>
      <c r="W782" s="111" t="n"/>
      <c r="X782" s="111" t="n"/>
    </row>
    <row r="783">
      <c r="A783" s="34" t="n">
        <v>781</v>
      </c>
      <c r="I783" s="111" t="n"/>
      <c r="J783" s="111" t="n"/>
      <c r="K783" s="111" t="n"/>
      <c r="L783" s="111" t="n"/>
      <c r="V783" s="111" t="n"/>
      <c r="W783" s="111" t="n"/>
      <c r="X783" s="111" t="n"/>
    </row>
    <row r="784">
      <c r="A784" s="34" t="n">
        <v>782</v>
      </c>
      <c r="I784" s="111" t="n"/>
      <c r="J784" s="111" t="n"/>
      <c r="K784" s="111" t="n"/>
      <c r="L784" s="111" t="n"/>
      <c r="V784" s="111" t="n"/>
      <c r="W784" s="111" t="n"/>
      <c r="X784" s="111" t="n"/>
    </row>
    <row r="785">
      <c r="A785" s="34" t="n">
        <v>783</v>
      </c>
      <c r="I785" s="111" t="n"/>
      <c r="J785" s="111" t="n"/>
      <c r="K785" s="111" t="n"/>
      <c r="L785" s="111" t="n"/>
      <c r="V785" s="111" t="n"/>
      <c r="W785" s="111" t="n"/>
      <c r="X785" s="111" t="n"/>
    </row>
    <row r="786">
      <c r="A786" s="34" t="n">
        <v>784</v>
      </c>
      <c r="I786" s="111" t="n"/>
      <c r="J786" s="111" t="n"/>
      <c r="K786" s="111" t="n"/>
      <c r="L786" s="111" t="n"/>
      <c r="V786" s="111" t="n"/>
      <c r="W786" s="111" t="n"/>
      <c r="X786" s="111" t="n"/>
    </row>
    <row r="787">
      <c r="A787" s="34" t="n">
        <v>785</v>
      </c>
      <c r="I787" s="111" t="n"/>
      <c r="J787" s="111" t="n"/>
      <c r="K787" s="111" t="n"/>
      <c r="L787" s="111" t="n"/>
      <c r="V787" s="111" t="n"/>
      <c r="W787" s="111" t="n"/>
      <c r="X787" s="111" t="n"/>
    </row>
    <row r="788">
      <c r="A788" s="34" t="n">
        <v>786</v>
      </c>
      <c r="I788" s="111" t="n"/>
      <c r="J788" s="111" t="n"/>
      <c r="K788" s="111" t="n"/>
      <c r="L788" s="111" t="n"/>
      <c r="V788" s="111" t="n"/>
      <c r="W788" s="111" t="n"/>
      <c r="X788" s="111" t="n"/>
    </row>
    <row r="789">
      <c r="A789" s="34" t="n">
        <v>787</v>
      </c>
      <c r="I789" s="111" t="n"/>
      <c r="J789" s="111" t="n"/>
      <c r="K789" s="111" t="n"/>
      <c r="L789" s="111" t="n"/>
      <c r="V789" s="111" t="n"/>
      <c r="W789" s="111" t="n"/>
      <c r="X789" s="111" t="n"/>
    </row>
    <row r="790">
      <c r="A790" s="34" t="n">
        <v>788</v>
      </c>
      <c r="I790" s="111" t="n"/>
      <c r="J790" s="111" t="n"/>
      <c r="K790" s="111" t="n"/>
      <c r="L790" s="111" t="n"/>
      <c r="V790" s="111" t="n"/>
      <c r="W790" s="111" t="n"/>
      <c r="X790" s="111" t="n"/>
    </row>
    <row r="791">
      <c r="A791" s="34" t="n">
        <v>789</v>
      </c>
      <c r="I791" s="111" t="n"/>
      <c r="J791" s="111" t="n"/>
      <c r="K791" s="111" t="n"/>
      <c r="L791" s="111" t="n"/>
      <c r="V791" s="111" t="n"/>
      <c r="W791" s="111" t="n"/>
      <c r="X791" s="111" t="n"/>
    </row>
    <row r="792">
      <c r="A792" s="34" t="n">
        <v>790</v>
      </c>
      <c r="I792" s="111" t="n"/>
      <c r="J792" s="111" t="n"/>
      <c r="K792" s="111" t="n"/>
      <c r="L792" s="111" t="n"/>
      <c r="V792" s="111" t="n"/>
      <c r="W792" s="111" t="n"/>
      <c r="X792" s="111" t="n"/>
    </row>
    <row r="793">
      <c r="A793" s="34" t="n">
        <v>791</v>
      </c>
      <c r="I793" s="111" t="n"/>
      <c r="J793" s="111" t="n"/>
      <c r="K793" s="111" t="n"/>
      <c r="L793" s="111" t="n"/>
      <c r="V793" s="111" t="n"/>
      <c r="W793" s="111" t="n"/>
      <c r="X793" s="111" t="n"/>
    </row>
    <row r="794">
      <c r="A794" s="34" t="n">
        <v>792</v>
      </c>
      <c r="I794" s="111" t="n"/>
      <c r="J794" s="111" t="n"/>
      <c r="K794" s="111" t="n"/>
      <c r="L794" s="111" t="n"/>
      <c r="V794" s="111" t="n"/>
      <c r="W794" s="111" t="n"/>
      <c r="X794" s="111" t="n"/>
    </row>
    <row r="795">
      <c r="A795" s="34" t="n">
        <v>793</v>
      </c>
      <c r="I795" s="111" t="n"/>
      <c r="J795" s="111" t="n"/>
      <c r="K795" s="111" t="n"/>
      <c r="L795" s="111" t="n"/>
      <c r="V795" s="111" t="n"/>
      <c r="W795" s="111" t="n"/>
      <c r="X795" s="111" t="n"/>
    </row>
    <row r="796">
      <c r="A796" s="34" t="n">
        <v>794</v>
      </c>
      <c r="I796" s="111" t="n"/>
      <c r="J796" s="111" t="n"/>
      <c r="K796" s="111" t="n"/>
      <c r="L796" s="111" t="n"/>
      <c r="V796" s="111" t="n"/>
      <c r="W796" s="111" t="n"/>
      <c r="X796" s="111" t="n"/>
    </row>
    <row r="797">
      <c r="A797" s="34" t="n">
        <v>795</v>
      </c>
      <c r="I797" s="111" t="n"/>
      <c r="J797" s="111" t="n"/>
      <c r="K797" s="111" t="n"/>
      <c r="L797" s="111" t="n"/>
      <c r="V797" s="111" t="n"/>
      <c r="W797" s="111" t="n"/>
      <c r="X797" s="111" t="n"/>
    </row>
    <row r="798">
      <c r="A798" s="34" t="n">
        <v>796</v>
      </c>
      <c r="I798" s="111" t="n"/>
      <c r="J798" s="111" t="n"/>
      <c r="K798" s="111" t="n"/>
      <c r="L798" s="111" t="n"/>
      <c r="V798" s="111" t="n"/>
      <c r="W798" s="111" t="n"/>
      <c r="X798" s="111" t="n"/>
    </row>
    <row r="799">
      <c r="A799" s="34" t="n">
        <v>797</v>
      </c>
      <c r="I799" s="111" t="n"/>
      <c r="J799" s="111" t="n"/>
      <c r="K799" s="111" t="n"/>
      <c r="L799" s="111" t="n"/>
      <c r="V799" s="111" t="n"/>
      <c r="W799" s="111" t="n"/>
      <c r="X799" s="111" t="n"/>
    </row>
    <row r="800">
      <c r="A800" s="34" t="n">
        <v>798</v>
      </c>
      <c r="I800" s="111" t="n"/>
      <c r="J800" s="111" t="n"/>
      <c r="K800" s="111" t="n"/>
      <c r="L800" s="111" t="n"/>
      <c r="V800" s="111" t="n"/>
      <c r="W800" s="111" t="n"/>
      <c r="X800" s="111" t="n"/>
    </row>
    <row r="801">
      <c r="A801" s="34" t="n">
        <v>799</v>
      </c>
      <c r="I801" s="111" t="n"/>
      <c r="J801" s="111" t="n"/>
      <c r="K801" s="111" t="n"/>
      <c r="L801" s="111" t="n"/>
      <c r="V801" s="111" t="n"/>
      <c r="W801" s="111" t="n"/>
      <c r="X801" s="111" t="n"/>
    </row>
    <row r="802">
      <c r="A802" s="34" t="n">
        <v>800</v>
      </c>
      <c r="I802" s="111" t="n"/>
      <c r="J802" s="111" t="n"/>
      <c r="K802" s="111" t="n"/>
      <c r="L802" s="111" t="n"/>
      <c r="V802" s="111" t="n"/>
      <c r="W802" s="111" t="n"/>
      <c r="X802" s="111" t="n"/>
    </row>
    <row r="803">
      <c r="A803" s="34" t="n">
        <v>801</v>
      </c>
      <c r="I803" s="111" t="n"/>
      <c r="J803" s="111" t="n"/>
      <c r="K803" s="111" t="n"/>
      <c r="L803" s="111" t="n"/>
      <c r="V803" s="111" t="n"/>
      <c r="W803" s="111" t="n"/>
      <c r="X803" s="111" t="n"/>
    </row>
    <row r="804">
      <c r="A804" s="34" t="n">
        <v>802</v>
      </c>
      <c r="I804" s="111" t="n"/>
      <c r="J804" s="111" t="n"/>
      <c r="K804" s="111" t="n"/>
      <c r="L804" s="111" t="n"/>
      <c r="V804" s="111" t="n"/>
      <c r="W804" s="111" t="n"/>
      <c r="X804" s="111" t="n"/>
    </row>
    <row r="805">
      <c r="A805" s="34" t="n">
        <v>803</v>
      </c>
      <c r="I805" s="111" t="n"/>
      <c r="J805" s="111" t="n"/>
      <c r="K805" s="111" t="n"/>
      <c r="L805" s="111" t="n"/>
      <c r="V805" s="111" t="n"/>
      <c r="W805" s="111" t="n"/>
      <c r="X805" s="111" t="n"/>
    </row>
    <row r="806">
      <c r="A806" s="34" t="n">
        <v>804</v>
      </c>
      <c r="I806" s="111" t="n"/>
      <c r="J806" s="111" t="n"/>
      <c r="K806" s="111" t="n"/>
      <c r="L806" s="111" t="n"/>
      <c r="V806" s="111" t="n"/>
      <c r="W806" s="111" t="n"/>
      <c r="X806" s="111" t="n"/>
    </row>
    <row r="807">
      <c r="A807" s="34" t="n">
        <v>805</v>
      </c>
      <c r="I807" s="111" t="n"/>
      <c r="J807" s="111" t="n"/>
      <c r="K807" s="111" t="n"/>
      <c r="L807" s="111" t="n"/>
      <c r="V807" s="111" t="n"/>
      <c r="W807" s="111" t="n"/>
      <c r="X807" s="111" t="n"/>
    </row>
    <row r="808">
      <c r="A808" s="34" t="n">
        <v>806</v>
      </c>
      <c r="I808" s="111" t="n"/>
      <c r="J808" s="111" t="n"/>
      <c r="K808" s="111" t="n"/>
      <c r="L808" s="111" t="n"/>
      <c r="V808" s="111" t="n"/>
      <c r="W808" s="111" t="n"/>
      <c r="X808" s="111" t="n"/>
    </row>
    <row r="809">
      <c r="A809" s="34" t="n">
        <v>807</v>
      </c>
      <c r="I809" s="111" t="n"/>
      <c r="J809" s="111" t="n"/>
      <c r="K809" s="111" t="n"/>
      <c r="L809" s="111" t="n"/>
      <c r="V809" s="111" t="n"/>
      <c r="W809" s="111" t="n"/>
      <c r="X809" s="111" t="n"/>
    </row>
    <row r="810">
      <c r="A810" s="34" t="n">
        <v>808</v>
      </c>
      <c r="I810" s="111" t="n"/>
      <c r="J810" s="111" t="n"/>
      <c r="K810" s="111" t="n"/>
      <c r="L810" s="111" t="n"/>
      <c r="V810" s="111" t="n"/>
      <c r="W810" s="111" t="n"/>
      <c r="X810" s="111" t="n"/>
    </row>
    <row r="811">
      <c r="A811" s="34" t="n">
        <v>809</v>
      </c>
      <c r="I811" s="111" t="n"/>
      <c r="J811" s="111" t="n"/>
      <c r="K811" s="111" t="n"/>
      <c r="L811" s="111" t="n"/>
      <c r="V811" s="111" t="n"/>
      <c r="W811" s="111" t="n"/>
      <c r="X811" s="111" t="n"/>
    </row>
    <row r="812">
      <c r="A812" s="34" t="n">
        <v>810</v>
      </c>
      <c r="I812" s="111" t="n"/>
      <c r="J812" s="111" t="n"/>
      <c r="K812" s="111" t="n"/>
      <c r="L812" s="111" t="n"/>
      <c r="V812" s="111" t="n"/>
      <c r="W812" s="111" t="n"/>
      <c r="X812" s="111" t="n"/>
    </row>
    <row r="813">
      <c r="A813" s="34" t="n">
        <v>811</v>
      </c>
      <c r="I813" s="111" t="n"/>
      <c r="J813" s="111" t="n"/>
      <c r="K813" s="111" t="n"/>
      <c r="L813" s="111" t="n"/>
      <c r="V813" s="111" t="n"/>
      <c r="W813" s="111" t="n"/>
      <c r="X813" s="111" t="n"/>
    </row>
    <row r="814">
      <c r="A814" s="34" t="n">
        <v>812</v>
      </c>
      <c r="I814" s="111" t="n"/>
      <c r="J814" s="111" t="n"/>
      <c r="K814" s="111" t="n"/>
      <c r="L814" s="111" t="n"/>
      <c r="V814" s="111" t="n"/>
      <c r="W814" s="111" t="n"/>
      <c r="X814" s="111" t="n"/>
    </row>
    <row r="815">
      <c r="A815" s="34" t="n">
        <v>813</v>
      </c>
      <c r="I815" s="111" t="n"/>
      <c r="J815" s="111" t="n"/>
      <c r="K815" s="111" t="n"/>
      <c r="L815" s="111" t="n"/>
      <c r="V815" s="111" t="n"/>
      <c r="W815" s="111" t="n"/>
      <c r="X815" s="111" t="n"/>
    </row>
    <row r="816">
      <c r="A816" s="34" t="n">
        <v>814</v>
      </c>
      <c r="I816" s="111" t="n"/>
      <c r="J816" s="111" t="n"/>
      <c r="K816" s="111" t="n"/>
      <c r="L816" s="111" t="n"/>
      <c r="V816" s="111" t="n"/>
      <c r="W816" s="111" t="n"/>
      <c r="X816" s="111" t="n"/>
    </row>
    <row r="817">
      <c r="A817" s="34" t="n">
        <v>815</v>
      </c>
      <c r="I817" s="111" t="n"/>
      <c r="J817" s="111" t="n"/>
      <c r="K817" s="111" t="n"/>
      <c r="L817" s="111" t="n"/>
      <c r="V817" s="111" t="n"/>
      <c r="W817" s="111" t="n"/>
      <c r="X817" s="111" t="n"/>
    </row>
    <row r="818">
      <c r="A818" s="34" t="n">
        <v>816</v>
      </c>
      <c r="I818" s="111" t="n"/>
      <c r="J818" s="111" t="n"/>
      <c r="K818" s="111" t="n"/>
      <c r="L818" s="111" t="n"/>
      <c r="V818" s="111" t="n"/>
      <c r="W818" s="111" t="n"/>
      <c r="X818" s="111" t="n"/>
    </row>
    <row r="819">
      <c r="A819" s="34" t="n">
        <v>817</v>
      </c>
      <c r="I819" s="111" t="n"/>
      <c r="J819" s="111" t="n"/>
      <c r="K819" s="111" t="n"/>
      <c r="L819" s="111" t="n"/>
      <c r="V819" s="111" t="n"/>
      <c r="W819" s="111" t="n"/>
      <c r="X819" s="111" t="n"/>
    </row>
    <row r="820">
      <c r="A820" s="34" t="n">
        <v>818</v>
      </c>
      <c r="I820" s="111" t="n"/>
      <c r="J820" s="111" t="n"/>
      <c r="K820" s="111" t="n"/>
      <c r="L820" s="111" t="n"/>
      <c r="V820" s="111" t="n"/>
      <c r="W820" s="111" t="n"/>
      <c r="X820" s="111" t="n"/>
    </row>
    <row r="821">
      <c r="A821" s="34" t="n">
        <v>819</v>
      </c>
      <c r="I821" s="111" t="n"/>
      <c r="J821" s="111" t="n"/>
      <c r="K821" s="111" t="n"/>
      <c r="L821" s="111" t="n"/>
      <c r="V821" s="111" t="n"/>
      <c r="W821" s="111" t="n"/>
      <c r="X821" s="111" t="n"/>
    </row>
    <row r="822">
      <c r="A822" s="34" t="n">
        <v>820</v>
      </c>
      <c r="I822" s="111" t="n"/>
      <c r="J822" s="111" t="n"/>
      <c r="K822" s="111" t="n"/>
      <c r="L822" s="111" t="n"/>
      <c r="V822" s="111" t="n"/>
      <c r="W822" s="111" t="n"/>
      <c r="X822" s="111" t="n"/>
    </row>
    <row r="823">
      <c r="A823" s="34" t="n">
        <v>821</v>
      </c>
      <c r="I823" s="111" t="n"/>
      <c r="J823" s="111" t="n"/>
      <c r="K823" s="111" t="n"/>
      <c r="L823" s="111" t="n"/>
      <c r="V823" s="111" t="n"/>
      <c r="W823" s="111" t="n"/>
      <c r="X823" s="111" t="n"/>
    </row>
    <row r="824">
      <c r="A824" s="34" t="n">
        <v>822</v>
      </c>
      <c r="I824" s="111" t="n"/>
      <c r="J824" s="111" t="n"/>
      <c r="K824" s="111" t="n"/>
      <c r="L824" s="111" t="n"/>
      <c r="V824" s="111" t="n"/>
      <c r="W824" s="111" t="n"/>
      <c r="X824" s="111" t="n"/>
    </row>
    <row r="825">
      <c r="A825" s="34" t="n">
        <v>823</v>
      </c>
      <c r="I825" s="111" t="n"/>
      <c r="J825" s="111" t="n"/>
      <c r="K825" s="111" t="n"/>
      <c r="L825" s="111" t="n"/>
      <c r="V825" s="111" t="n"/>
      <c r="W825" s="111" t="n"/>
      <c r="X825" s="111" t="n"/>
    </row>
    <row r="826">
      <c r="A826" s="34" t="n">
        <v>824</v>
      </c>
      <c r="I826" s="111" t="n"/>
      <c r="J826" s="111" t="n"/>
      <c r="K826" s="111" t="n"/>
      <c r="L826" s="111" t="n"/>
      <c r="V826" s="111" t="n"/>
      <c r="W826" s="111" t="n"/>
      <c r="X826" s="111" t="n"/>
    </row>
    <row r="827">
      <c r="A827" s="34" t="n">
        <v>825</v>
      </c>
      <c r="I827" s="111" t="n"/>
      <c r="J827" s="111" t="n"/>
      <c r="K827" s="111" t="n"/>
      <c r="L827" s="111" t="n"/>
      <c r="V827" s="111" t="n"/>
      <c r="W827" s="111" t="n"/>
      <c r="X827" s="111" t="n"/>
    </row>
    <row r="828">
      <c r="A828" s="34" t="n">
        <v>826</v>
      </c>
      <c r="I828" s="111" t="n"/>
      <c r="J828" s="111" t="n"/>
      <c r="K828" s="111" t="n"/>
      <c r="L828" s="111" t="n"/>
      <c r="V828" s="111" t="n"/>
      <c r="W828" s="111" t="n"/>
      <c r="X828" s="111" t="n"/>
    </row>
    <row r="829">
      <c r="A829" s="34" t="n">
        <v>827</v>
      </c>
      <c r="I829" s="111" t="n"/>
      <c r="J829" s="111" t="n"/>
      <c r="K829" s="111" t="n"/>
      <c r="L829" s="111" t="n"/>
      <c r="V829" s="111" t="n"/>
      <c r="W829" s="111" t="n"/>
      <c r="X829" s="111" t="n"/>
    </row>
    <row r="830">
      <c r="A830" s="34" t="n">
        <v>828</v>
      </c>
      <c r="I830" s="111" t="n"/>
      <c r="J830" s="111" t="n"/>
      <c r="K830" s="111" t="n"/>
      <c r="L830" s="111" t="n"/>
      <c r="V830" s="111" t="n"/>
      <c r="W830" s="111" t="n"/>
      <c r="X830" s="111" t="n"/>
    </row>
    <row r="831">
      <c r="A831" s="34" t="n">
        <v>829</v>
      </c>
      <c r="I831" s="111" t="n"/>
      <c r="J831" s="111" t="n"/>
      <c r="K831" s="111" t="n"/>
      <c r="L831" s="111" t="n"/>
      <c r="V831" s="111" t="n"/>
      <c r="W831" s="111" t="n"/>
      <c r="X831" s="111" t="n"/>
    </row>
    <row r="832">
      <c r="A832" s="34" t="n">
        <v>830</v>
      </c>
      <c r="I832" s="111" t="n"/>
      <c r="J832" s="111" t="n"/>
      <c r="K832" s="111" t="n"/>
      <c r="L832" s="111" t="n"/>
      <c r="V832" s="111" t="n"/>
      <c r="W832" s="111" t="n"/>
      <c r="X832" s="111" t="n"/>
    </row>
    <row r="833">
      <c r="A833" s="34" t="n">
        <v>831</v>
      </c>
      <c r="I833" s="111" t="n"/>
      <c r="J833" s="111" t="n"/>
      <c r="K833" s="111" t="n"/>
      <c r="L833" s="111" t="n"/>
      <c r="V833" s="111" t="n"/>
      <c r="W833" s="111" t="n"/>
      <c r="X833" s="111" t="n"/>
    </row>
    <row r="834">
      <c r="A834" s="34" t="n">
        <v>832</v>
      </c>
      <c r="I834" s="111" t="n"/>
      <c r="J834" s="111" t="n"/>
      <c r="K834" s="111" t="n"/>
      <c r="L834" s="111" t="n"/>
      <c r="V834" s="111" t="n"/>
      <c r="W834" s="111" t="n"/>
      <c r="X834" s="111" t="n"/>
    </row>
    <row r="835">
      <c r="A835" s="34" t="n">
        <v>833</v>
      </c>
      <c r="I835" s="111" t="n"/>
      <c r="J835" s="111" t="n"/>
      <c r="K835" s="111" t="n"/>
      <c r="L835" s="111" t="n"/>
      <c r="V835" s="111" t="n"/>
      <c r="W835" s="111" t="n"/>
      <c r="X835" s="111" t="n"/>
    </row>
    <row r="836">
      <c r="A836" s="34" t="n">
        <v>834</v>
      </c>
      <c r="I836" s="111" t="n"/>
      <c r="J836" s="111" t="n"/>
      <c r="K836" s="111" t="n"/>
      <c r="L836" s="111" t="n"/>
      <c r="V836" s="111" t="n"/>
      <c r="W836" s="111" t="n"/>
      <c r="X836" s="111" t="n"/>
    </row>
    <row r="837">
      <c r="A837" s="34" t="n">
        <v>835</v>
      </c>
      <c r="I837" s="111" t="n"/>
      <c r="J837" s="111" t="n"/>
      <c r="K837" s="111" t="n"/>
      <c r="L837" s="111" t="n"/>
      <c r="V837" s="111" t="n"/>
      <c r="W837" s="111" t="n"/>
      <c r="X837" s="111" t="n"/>
    </row>
    <row r="838">
      <c r="A838" s="34" t="n">
        <v>836</v>
      </c>
      <c r="I838" s="111" t="n"/>
      <c r="J838" s="111" t="n"/>
      <c r="K838" s="111" t="n"/>
      <c r="L838" s="111" t="n"/>
      <c r="V838" s="111" t="n"/>
      <c r="W838" s="111" t="n"/>
      <c r="X838" s="111" t="n"/>
    </row>
    <row r="839">
      <c r="A839" s="34" t="n">
        <v>837</v>
      </c>
      <c r="I839" s="111" t="n"/>
      <c r="J839" s="111" t="n"/>
      <c r="K839" s="111" t="n"/>
      <c r="L839" s="111" t="n"/>
      <c r="V839" s="111" t="n"/>
      <c r="W839" s="111" t="n"/>
      <c r="X839" s="111" t="n"/>
    </row>
    <row r="840">
      <c r="A840" s="34" t="n">
        <v>838</v>
      </c>
      <c r="I840" s="111" t="n"/>
      <c r="J840" s="111" t="n"/>
      <c r="K840" s="111" t="n"/>
      <c r="L840" s="111" t="n"/>
      <c r="V840" s="111" t="n"/>
      <c r="W840" s="111" t="n"/>
      <c r="X840" s="111" t="n"/>
    </row>
    <row r="841">
      <c r="A841" s="34" t="n">
        <v>839</v>
      </c>
      <c r="I841" s="111" t="n"/>
      <c r="J841" s="111" t="n"/>
      <c r="K841" s="111" t="n"/>
      <c r="L841" s="111" t="n"/>
      <c r="V841" s="111" t="n"/>
      <c r="W841" s="111" t="n"/>
      <c r="X841" s="111" t="n"/>
    </row>
    <row r="842">
      <c r="A842" s="34" t="n">
        <v>840</v>
      </c>
      <c r="I842" s="111" t="n"/>
      <c r="J842" s="111" t="n"/>
      <c r="K842" s="111" t="n"/>
      <c r="L842" s="111" t="n"/>
      <c r="V842" s="111" t="n"/>
      <c r="W842" s="111" t="n"/>
      <c r="X842" s="111" t="n"/>
    </row>
    <row r="843">
      <c r="A843" s="34" t="n">
        <v>841</v>
      </c>
      <c r="I843" s="111" t="n"/>
      <c r="J843" s="111" t="n"/>
      <c r="K843" s="111" t="n"/>
      <c r="L843" s="111" t="n"/>
      <c r="V843" s="111" t="n"/>
      <c r="W843" s="111" t="n"/>
      <c r="X843" s="111" t="n"/>
    </row>
    <row r="844">
      <c r="A844" s="34" t="n">
        <v>842</v>
      </c>
      <c r="I844" s="111" t="n"/>
      <c r="J844" s="111" t="n"/>
      <c r="K844" s="111" t="n"/>
      <c r="L844" s="111" t="n"/>
      <c r="V844" s="111" t="n"/>
      <c r="W844" s="111" t="n"/>
      <c r="X844" s="111" t="n"/>
    </row>
    <row r="845">
      <c r="A845" s="34" t="n">
        <v>843</v>
      </c>
      <c r="I845" s="111" t="n"/>
      <c r="J845" s="111" t="n"/>
      <c r="K845" s="111" t="n"/>
      <c r="L845" s="111" t="n"/>
      <c r="V845" s="111" t="n"/>
      <c r="W845" s="111" t="n"/>
      <c r="X845" s="111" t="n"/>
    </row>
    <row r="846">
      <c r="A846" s="34" t="n">
        <v>844</v>
      </c>
      <c r="I846" s="111" t="n"/>
      <c r="J846" s="111" t="n"/>
      <c r="K846" s="111" t="n"/>
      <c r="L846" s="111" t="n"/>
      <c r="V846" s="111" t="n"/>
      <c r="W846" s="111" t="n"/>
      <c r="X846" s="111" t="n"/>
    </row>
    <row r="847">
      <c r="A847" s="34" t="n">
        <v>845</v>
      </c>
      <c r="I847" s="111" t="n"/>
      <c r="J847" s="111" t="n"/>
      <c r="K847" s="111" t="n"/>
      <c r="L847" s="111" t="n"/>
      <c r="V847" s="111" t="n"/>
      <c r="W847" s="111" t="n"/>
      <c r="X847" s="111" t="n"/>
    </row>
    <row r="848">
      <c r="A848" s="34" t="n">
        <v>846</v>
      </c>
      <c r="I848" s="111" t="n"/>
      <c r="J848" s="111" t="n"/>
      <c r="K848" s="111" t="n"/>
      <c r="L848" s="111" t="n"/>
      <c r="V848" s="111" t="n"/>
      <c r="W848" s="111" t="n"/>
      <c r="X848" s="111" t="n"/>
    </row>
    <row r="849">
      <c r="A849" s="34" t="n">
        <v>847</v>
      </c>
      <c r="I849" s="111" t="n"/>
      <c r="J849" s="111" t="n"/>
      <c r="K849" s="111" t="n"/>
      <c r="L849" s="111" t="n"/>
      <c r="V849" s="111" t="n"/>
      <c r="W849" s="111" t="n"/>
      <c r="X849" s="111" t="n"/>
    </row>
    <row r="850">
      <c r="A850" s="34" t="n">
        <v>848</v>
      </c>
      <c r="I850" s="111" t="n"/>
      <c r="J850" s="111" t="n"/>
      <c r="K850" s="111" t="n"/>
      <c r="L850" s="111" t="n"/>
      <c r="V850" s="111" t="n"/>
      <c r="W850" s="111" t="n"/>
      <c r="X850" s="111" t="n"/>
    </row>
    <row r="851">
      <c r="A851" s="34" t="n">
        <v>849</v>
      </c>
      <c r="I851" s="111" t="n"/>
      <c r="J851" s="111" t="n"/>
      <c r="K851" s="111" t="n"/>
      <c r="L851" s="111" t="n"/>
      <c r="V851" s="111" t="n"/>
      <c r="W851" s="111" t="n"/>
      <c r="X851" s="111" t="n"/>
    </row>
    <row r="852">
      <c r="A852" s="34" t="n">
        <v>850</v>
      </c>
      <c r="I852" s="111" t="n"/>
      <c r="J852" s="111" t="n"/>
      <c r="K852" s="111" t="n"/>
      <c r="L852" s="111" t="n"/>
      <c r="V852" s="111" t="n"/>
      <c r="W852" s="111" t="n"/>
      <c r="X852" s="111" t="n"/>
    </row>
    <row r="853">
      <c r="A853" s="34" t="n">
        <v>851</v>
      </c>
      <c r="I853" s="111" t="n"/>
      <c r="J853" s="111" t="n"/>
      <c r="K853" s="111" t="n"/>
      <c r="L853" s="111" t="n"/>
      <c r="V853" s="111" t="n"/>
      <c r="W853" s="111" t="n"/>
      <c r="X853" s="111" t="n"/>
    </row>
    <row r="854">
      <c r="A854" s="34" t="n">
        <v>852</v>
      </c>
      <c r="I854" s="111" t="n"/>
      <c r="J854" s="111" t="n"/>
      <c r="K854" s="111" t="n"/>
      <c r="L854" s="111" t="n"/>
      <c r="V854" s="111" t="n"/>
      <c r="W854" s="111" t="n"/>
      <c r="X854" s="111" t="n"/>
    </row>
    <row r="855">
      <c r="A855" s="34" t="n">
        <v>853</v>
      </c>
      <c r="I855" s="111" t="n"/>
      <c r="J855" s="111" t="n"/>
      <c r="K855" s="111" t="n"/>
      <c r="L855" s="111" t="n"/>
      <c r="V855" s="111" t="n"/>
      <c r="W855" s="111" t="n"/>
      <c r="X855" s="111" t="n"/>
    </row>
    <row r="856">
      <c r="A856" s="34" t="n">
        <v>854</v>
      </c>
      <c r="I856" s="111" t="n"/>
      <c r="J856" s="111" t="n"/>
      <c r="K856" s="111" t="n"/>
      <c r="L856" s="111" t="n"/>
      <c r="V856" s="111" t="n"/>
      <c r="W856" s="111" t="n"/>
      <c r="X856" s="111" t="n"/>
    </row>
    <row r="857">
      <c r="A857" s="34" t="n">
        <v>855</v>
      </c>
      <c r="I857" s="111" t="n"/>
      <c r="J857" s="111" t="n"/>
      <c r="K857" s="111" t="n"/>
      <c r="L857" s="111" t="n"/>
      <c r="V857" s="111" t="n"/>
      <c r="W857" s="111" t="n"/>
      <c r="X857" s="111" t="n"/>
    </row>
    <row r="858">
      <c r="A858" s="34" t="n">
        <v>856</v>
      </c>
      <c r="I858" s="111" t="n"/>
      <c r="J858" s="111" t="n"/>
      <c r="K858" s="111" t="n"/>
      <c r="L858" s="111" t="n"/>
      <c r="V858" s="111" t="n"/>
      <c r="W858" s="111" t="n"/>
      <c r="X858" s="111" t="n"/>
    </row>
    <row r="859">
      <c r="A859" s="34" t="n">
        <v>857</v>
      </c>
      <c r="I859" s="111" t="n"/>
      <c r="J859" s="111" t="n"/>
      <c r="K859" s="111" t="n"/>
      <c r="L859" s="111" t="n"/>
      <c r="V859" s="111" t="n"/>
      <c r="W859" s="111" t="n"/>
      <c r="X859" s="111" t="n"/>
    </row>
    <row r="860">
      <c r="A860" s="34" t="n">
        <v>858</v>
      </c>
      <c r="I860" s="111" t="n"/>
      <c r="J860" s="111" t="n"/>
      <c r="K860" s="111" t="n"/>
      <c r="L860" s="111" t="n"/>
      <c r="V860" s="111" t="n"/>
      <c r="W860" s="111" t="n"/>
      <c r="X860" s="111" t="n"/>
    </row>
    <row r="861">
      <c r="A861" s="34" t="n">
        <v>859</v>
      </c>
      <c r="I861" s="111" t="n"/>
      <c r="J861" s="111" t="n"/>
      <c r="K861" s="111" t="n"/>
      <c r="L861" s="111" t="n"/>
      <c r="V861" s="111" t="n"/>
      <c r="W861" s="111" t="n"/>
      <c r="X861" s="111" t="n"/>
    </row>
    <row r="862">
      <c r="A862" s="34" t="n">
        <v>860</v>
      </c>
      <c r="I862" s="111" t="n"/>
      <c r="J862" s="111" t="n"/>
      <c r="K862" s="111" t="n"/>
      <c r="L862" s="111" t="n"/>
      <c r="V862" s="111" t="n"/>
      <c r="W862" s="111" t="n"/>
      <c r="X862" s="111" t="n"/>
    </row>
    <row r="863">
      <c r="A863" s="34" t="n">
        <v>861</v>
      </c>
      <c r="I863" s="111" t="n"/>
      <c r="J863" s="111" t="n"/>
      <c r="K863" s="111" t="n"/>
      <c r="L863" s="111" t="n"/>
      <c r="V863" s="111" t="n"/>
      <c r="W863" s="111" t="n"/>
      <c r="X863" s="111" t="n"/>
    </row>
    <row r="864">
      <c r="A864" s="34" t="n">
        <v>862</v>
      </c>
      <c r="I864" s="111" t="n"/>
      <c r="J864" s="111" t="n"/>
      <c r="K864" s="111" t="n"/>
      <c r="L864" s="111" t="n"/>
      <c r="V864" s="111" t="n"/>
      <c r="W864" s="111" t="n"/>
      <c r="X864" s="111" t="n"/>
    </row>
    <row r="865">
      <c r="A865" s="34" t="n">
        <v>863</v>
      </c>
      <c r="I865" s="111" t="n"/>
      <c r="J865" s="111" t="n"/>
      <c r="K865" s="111" t="n"/>
      <c r="L865" s="111" t="n"/>
      <c r="V865" s="111" t="n"/>
      <c r="W865" s="111" t="n"/>
      <c r="X865" s="111" t="n"/>
    </row>
    <row r="866">
      <c r="A866" s="34" t="n">
        <v>864</v>
      </c>
      <c r="I866" s="111" t="n"/>
      <c r="J866" s="111" t="n"/>
      <c r="K866" s="111" t="n"/>
      <c r="L866" s="111" t="n"/>
      <c r="V866" s="111" t="n"/>
      <c r="W866" s="111" t="n"/>
      <c r="X866" s="111" t="n"/>
    </row>
    <row r="867">
      <c r="A867" s="34" t="n">
        <v>865</v>
      </c>
      <c r="I867" s="111" t="n"/>
      <c r="J867" s="111" t="n"/>
      <c r="K867" s="111" t="n"/>
      <c r="L867" s="111" t="n"/>
      <c r="V867" s="111" t="n"/>
      <c r="W867" s="111" t="n"/>
      <c r="X867" s="111" t="n"/>
    </row>
    <row r="868">
      <c r="A868" s="34" t="n">
        <v>866</v>
      </c>
      <c r="I868" s="111" t="n"/>
      <c r="J868" s="111" t="n"/>
      <c r="K868" s="111" t="n"/>
      <c r="L868" s="111" t="n"/>
      <c r="V868" s="111" t="n"/>
      <c r="W868" s="111" t="n"/>
      <c r="X868" s="111" t="n"/>
    </row>
    <row r="869">
      <c r="A869" s="34" t="n">
        <v>867</v>
      </c>
      <c r="I869" s="111" t="n"/>
      <c r="J869" s="111" t="n"/>
      <c r="K869" s="111" t="n"/>
      <c r="L869" s="111" t="n"/>
      <c r="V869" s="111" t="n"/>
      <c r="W869" s="111" t="n"/>
      <c r="X869" s="111" t="n"/>
    </row>
    <row r="870">
      <c r="A870" s="34" t="n">
        <v>868</v>
      </c>
      <c r="I870" s="111" t="n"/>
      <c r="J870" s="111" t="n"/>
      <c r="K870" s="111" t="n"/>
      <c r="L870" s="111" t="n"/>
      <c r="V870" s="111" t="n"/>
      <c r="W870" s="111" t="n"/>
      <c r="X870" s="111" t="n"/>
    </row>
    <row r="871">
      <c r="A871" s="34" t="n">
        <v>869</v>
      </c>
      <c r="I871" s="111" t="n"/>
      <c r="J871" s="111" t="n"/>
      <c r="K871" s="111" t="n"/>
      <c r="L871" s="111" t="n"/>
      <c r="V871" s="111" t="n"/>
      <c r="W871" s="111" t="n"/>
      <c r="X871" s="111" t="n"/>
    </row>
    <row r="872">
      <c r="A872" s="34" t="n">
        <v>870</v>
      </c>
      <c r="I872" s="111" t="n"/>
      <c r="J872" s="111" t="n"/>
      <c r="K872" s="111" t="n"/>
      <c r="L872" s="111" t="n"/>
      <c r="V872" s="111" t="n"/>
      <c r="W872" s="111" t="n"/>
      <c r="X872" s="111" t="n"/>
    </row>
    <row r="873">
      <c r="A873" s="34" t="n">
        <v>871</v>
      </c>
      <c r="I873" s="111" t="n"/>
      <c r="J873" s="111" t="n"/>
      <c r="K873" s="111" t="n"/>
      <c r="L873" s="111" t="n"/>
      <c r="V873" s="111" t="n"/>
      <c r="W873" s="111" t="n"/>
      <c r="X873" s="111" t="n"/>
    </row>
    <row r="874">
      <c r="A874" s="34" t="n">
        <v>872</v>
      </c>
      <c r="I874" s="111" t="n"/>
      <c r="J874" s="111" t="n"/>
      <c r="K874" s="111" t="n"/>
      <c r="L874" s="111" t="n"/>
      <c r="V874" s="111" t="n"/>
      <c r="W874" s="111" t="n"/>
      <c r="X874" s="111" t="n"/>
    </row>
    <row r="875">
      <c r="A875" s="34" t="n">
        <v>873</v>
      </c>
      <c r="I875" s="111" t="n"/>
      <c r="J875" s="111" t="n"/>
      <c r="K875" s="111" t="n"/>
      <c r="L875" s="111" t="n"/>
      <c r="V875" s="111" t="n"/>
      <c r="W875" s="111" t="n"/>
      <c r="X875" s="111" t="n"/>
    </row>
    <row r="876">
      <c r="A876" s="34" t="n">
        <v>874</v>
      </c>
      <c r="I876" s="111" t="n"/>
      <c r="J876" s="111" t="n"/>
      <c r="K876" s="111" t="n"/>
      <c r="L876" s="111" t="n"/>
      <c r="V876" s="111" t="n"/>
      <c r="W876" s="111" t="n"/>
      <c r="X876" s="111" t="n"/>
    </row>
    <row r="877">
      <c r="A877" s="34" t="n">
        <v>875</v>
      </c>
      <c r="I877" s="111" t="n"/>
      <c r="J877" s="111" t="n"/>
      <c r="K877" s="111" t="n"/>
      <c r="L877" s="111" t="n"/>
      <c r="V877" s="111" t="n"/>
      <c r="W877" s="111" t="n"/>
      <c r="X877" s="111" t="n"/>
    </row>
    <row r="878">
      <c r="A878" s="34" t="n">
        <v>876</v>
      </c>
      <c r="I878" s="111" t="n"/>
      <c r="J878" s="111" t="n"/>
      <c r="K878" s="111" t="n"/>
      <c r="L878" s="111" t="n"/>
      <c r="V878" s="111" t="n"/>
      <c r="W878" s="111" t="n"/>
      <c r="X878" s="111" t="n"/>
    </row>
    <row r="879">
      <c r="A879" s="34" t="n">
        <v>877</v>
      </c>
      <c r="I879" s="111" t="n"/>
      <c r="J879" s="111" t="n"/>
      <c r="K879" s="111" t="n"/>
      <c r="L879" s="111" t="n"/>
      <c r="V879" s="111" t="n"/>
      <c r="W879" s="111" t="n"/>
      <c r="X879" s="111" t="n"/>
    </row>
    <row r="880">
      <c r="A880" s="34" t="n">
        <v>878</v>
      </c>
      <c r="I880" s="111" t="n"/>
      <c r="J880" s="111" t="n"/>
      <c r="K880" s="111" t="n"/>
      <c r="L880" s="111" t="n"/>
      <c r="V880" s="111" t="n"/>
      <c r="W880" s="111" t="n"/>
      <c r="X880" s="111" t="n"/>
    </row>
    <row r="881">
      <c r="A881" s="34" t="n">
        <v>879</v>
      </c>
      <c r="I881" s="111" t="n"/>
      <c r="J881" s="111" t="n"/>
      <c r="K881" s="111" t="n"/>
      <c r="L881" s="111" t="n"/>
      <c r="V881" s="111" t="n"/>
      <c r="W881" s="111" t="n"/>
      <c r="X881" s="111" t="n"/>
    </row>
    <row r="882">
      <c r="A882" s="34" t="n">
        <v>880</v>
      </c>
      <c r="I882" s="111" t="n"/>
      <c r="J882" s="111" t="n"/>
      <c r="K882" s="111" t="n"/>
      <c r="L882" s="111" t="n"/>
      <c r="V882" s="111" t="n"/>
      <c r="W882" s="111" t="n"/>
      <c r="X882" s="111" t="n"/>
    </row>
    <row r="883">
      <c r="A883" s="34" t="n">
        <v>881</v>
      </c>
      <c r="I883" s="111" t="n"/>
      <c r="J883" s="111" t="n"/>
      <c r="K883" s="111" t="n"/>
      <c r="L883" s="111" t="n"/>
      <c r="V883" s="111" t="n"/>
      <c r="W883" s="111" t="n"/>
      <c r="X883" s="111" t="n"/>
    </row>
    <row r="884">
      <c r="A884" s="34" t="n">
        <v>882</v>
      </c>
      <c r="I884" s="111" t="n"/>
      <c r="J884" s="111" t="n"/>
      <c r="K884" s="111" t="n"/>
      <c r="L884" s="111" t="n"/>
      <c r="V884" s="111" t="n"/>
      <c r="W884" s="111" t="n"/>
      <c r="X884" s="111" t="n"/>
    </row>
    <row r="885">
      <c r="A885" s="34" t="n">
        <v>883</v>
      </c>
      <c r="I885" s="111" t="n"/>
      <c r="J885" s="111" t="n"/>
      <c r="K885" s="111" t="n"/>
      <c r="L885" s="111" t="n"/>
      <c r="V885" s="111" t="n"/>
      <c r="W885" s="111" t="n"/>
      <c r="X885" s="111" t="n"/>
    </row>
    <row r="886">
      <c r="A886" s="34" t="n">
        <v>884</v>
      </c>
      <c r="I886" s="111" t="n"/>
      <c r="J886" s="111" t="n"/>
      <c r="K886" s="111" t="n"/>
      <c r="L886" s="111" t="n"/>
      <c r="V886" s="111" t="n"/>
      <c r="W886" s="111" t="n"/>
      <c r="X886" s="111" t="n"/>
    </row>
    <row r="887">
      <c r="A887" s="34" t="n">
        <v>885</v>
      </c>
      <c r="I887" s="111" t="n"/>
      <c r="J887" s="111" t="n"/>
      <c r="K887" s="111" t="n"/>
      <c r="L887" s="111" t="n"/>
      <c r="V887" s="111" t="n"/>
      <c r="W887" s="111" t="n"/>
      <c r="X887" s="111" t="n"/>
    </row>
    <row r="888">
      <c r="A888" s="34" t="n">
        <v>886</v>
      </c>
      <c r="I888" s="111" t="n"/>
      <c r="J888" s="111" t="n"/>
      <c r="K888" s="111" t="n"/>
      <c r="L888" s="111" t="n"/>
      <c r="V888" s="111" t="n"/>
      <c r="W888" s="111" t="n"/>
      <c r="X888" s="111" t="n"/>
    </row>
    <row r="889">
      <c r="A889" s="34" t="n">
        <v>887</v>
      </c>
      <c r="I889" s="111" t="n"/>
      <c r="J889" s="111" t="n"/>
      <c r="K889" s="111" t="n"/>
      <c r="L889" s="111" t="n"/>
      <c r="V889" s="111" t="n"/>
      <c r="W889" s="111" t="n"/>
      <c r="X889" s="111" t="n"/>
    </row>
    <row r="890">
      <c r="A890" s="34" t="n">
        <v>888</v>
      </c>
      <c r="I890" s="111" t="n"/>
      <c r="J890" s="111" t="n"/>
      <c r="K890" s="111" t="n"/>
      <c r="L890" s="111" t="n"/>
      <c r="V890" s="111" t="n"/>
      <c r="W890" s="111" t="n"/>
      <c r="X890" s="111" t="n"/>
    </row>
    <row r="891">
      <c r="A891" s="34" t="n">
        <v>889</v>
      </c>
      <c r="I891" s="111" t="n"/>
      <c r="J891" s="111" t="n"/>
      <c r="K891" s="111" t="n"/>
      <c r="L891" s="111" t="n"/>
      <c r="V891" s="111" t="n"/>
      <c r="W891" s="111" t="n"/>
      <c r="X891" s="111" t="n"/>
    </row>
    <row r="892">
      <c r="A892" s="34" t="n">
        <v>890</v>
      </c>
      <c r="I892" s="111" t="n"/>
      <c r="J892" s="111" t="n"/>
      <c r="K892" s="111" t="n"/>
      <c r="L892" s="111" t="n"/>
      <c r="V892" s="111" t="n"/>
      <c r="W892" s="111" t="n"/>
      <c r="X892" s="111" t="n"/>
    </row>
    <row r="893">
      <c r="A893" s="34" t="n">
        <v>891</v>
      </c>
      <c r="I893" s="111" t="n"/>
      <c r="J893" s="111" t="n"/>
      <c r="K893" s="111" t="n"/>
      <c r="L893" s="111" t="n"/>
      <c r="V893" s="111" t="n"/>
      <c r="W893" s="111" t="n"/>
      <c r="X893" s="111" t="n"/>
    </row>
    <row r="894">
      <c r="A894" s="34" t="n">
        <v>892</v>
      </c>
      <c r="I894" s="111" t="n"/>
      <c r="J894" s="111" t="n"/>
      <c r="K894" s="111" t="n"/>
      <c r="L894" s="111" t="n"/>
      <c r="V894" s="111" t="n"/>
      <c r="W894" s="111" t="n"/>
      <c r="X894" s="111" t="n"/>
    </row>
    <row r="895">
      <c r="A895" s="34" t="n">
        <v>893</v>
      </c>
      <c r="I895" s="111" t="n"/>
      <c r="J895" s="111" t="n"/>
      <c r="K895" s="111" t="n"/>
      <c r="L895" s="111" t="n"/>
      <c r="V895" s="111" t="n"/>
      <c r="W895" s="111" t="n"/>
      <c r="X895" s="111" t="n"/>
    </row>
    <row r="896">
      <c r="A896" s="34" t="n">
        <v>894</v>
      </c>
      <c r="I896" s="111" t="n"/>
      <c r="J896" s="111" t="n"/>
      <c r="K896" s="111" t="n"/>
      <c r="L896" s="111" t="n"/>
      <c r="V896" s="111" t="n"/>
      <c r="W896" s="111" t="n"/>
      <c r="X896" s="111" t="n"/>
    </row>
    <row r="897">
      <c r="A897" s="34" t="n">
        <v>895</v>
      </c>
      <c r="I897" s="111" t="n"/>
      <c r="J897" s="111" t="n"/>
      <c r="K897" s="111" t="n"/>
      <c r="L897" s="111" t="n"/>
      <c r="V897" s="111" t="n"/>
      <c r="W897" s="111" t="n"/>
      <c r="X897" s="111" t="n"/>
    </row>
    <row r="898">
      <c r="A898" s="34" t="n">
        <v>896</v>
      </c>
      <c r="I898" s="111" t="n"/>
      <c r="J898" s="111" t="n"/>
      <c r="K898" s="111" t="n"/>
      <c r="L898" s="111" t="n"/>
      <c r="V898" s="111" t="n"/>
      <c r="W898" s="111" t="n"/>
      <c r="X898" s="111" t="n"/>
    </row>
    <row r="899">
      <c r="A899" s="34" t="n">
        <v>897</v>
      </c>
      <c r="I899" s="111" t="n"/>
      <c r="J899" s="111" t="n"/>
      <c r="K899" s="111" t="n"/>
      <c r="L899" s="111" t="n"/>
      <c r="V899" s="111" t="n"/>
      <c r="W899" s="111" t="n"/>
      <c r="X899" s="111" t="n"/>
    </row>
    <row r="900">
      <c r="A900" s="34" t="n">
        <v>898</v>
      </c>
      <c r="I900" s="111" t="n"/>
      <c r="J900" s="111" t="n"/>
      <c r="K900" s="111" t="n"/>
      <c r="L900" s="111" t="n"/>
      <c r="V900" s="111" t="n"/>
      <c r="W900" s="111" t="n"/>
      <c r="X900" s="111" t="n"/>
    </row>
    <row r="901">
      <c r="A901" s="34" t="n">
        <v>899</v>
      </c>
      <c r="I901" s="111" t="n"/>
      <c r="J901" s="111" t="n"/>
      <c r="K901" s="111" t="n"/>
      <c r="L901" s="111" t="n"/>
      <c r="V901" s="111" t="n"/>
      <c r="W901" s="111" t="n"/>
      <c r="X901" s="111" t="n"/>
    </row>
    <row r="902">
      <c r="A902" s="34" t="n">
        <v>900</v>
      </c>
      <c r="I902" s="111" t="n"/>
      <c r="J902" s="111" t="n"/>
      <c r="K902" s="111" t="n"/>
      <c r="L902" s="111" t="n"/>
      <c r="V902" s="111" t="n"/>
      <c r="W902" s="111" t="n"/>
      <c r="X902" s="111" t="n"/>
    </row>
    <row r="903">
      <c r="A903" s="34" t="n">
        <v>901</v>
      </c>
      <c r="I903" s="111" t="n"/>
      <c r="J903" s="111" t="n"/>
      <c r="K903" s="111" t="n"/>
      <c r="L903" s="111" t="n"/>
      <c r="V903" s="111" t="n"/>
      <c r="W903" s="111" t="n"/>
      <c r="X903" s="111" t="n"/>
    </row>
    <row r="904">
      <c r="A904" s="34" t="n">
        <v>902</v>
      </c>
      <c r="I904" s="111" t="n"/>
      <c r="J904" s="111" t="n"/>
      <c r="K904" s="111" t="n"/>
      <c r="L904" s="111" t="n"/>
      <c r="V904" s="111" t="n"/>
      <c r="W904" s="111" t="n"/>
      <c r="X904" s="111" t="n"/>
    </row>
    <row r="905">
      <c r="A905" s="34" t="n">
        <v>903</v>
      </c>
      <c r="I905" s="111" t="n"/>
      <c r="J905" s="111" t="n"/>
      <c r="K905" s="111" t="n"/>
      <c r="L905" s="111" t="n"/>
      <c r="V905" s="111" t="n"/>
      <c r="W905" s="111" t="n"/>
      <c r="X905" s="111" t="n"/>
    </row>
    <row r="906">
      <c r="A906" s="34" t="n">
        <v>904</v>
      </c>
      <c r="I906" s="111" t="n"/>
      <c r="J906" s="111" t="n"/>
      <c r="K906" s="111" t="n"/>
      <c r="L906" s="111" t="n"/>
      <c r="V906" s="111" t="n"/>
      <c r="W906" s="111" t="n"/>
      <c r="X906" s="111" t="n"/>
    </row>
    <row r="907">
      <c r="A907" s="34" t="n">
        <v>905</v>
      </c>
      <c r="I907" s="111" t="n"/>
      <c r="J907" s="111" t="n"/>
      <c r="K907" s="111" t="n"/>
      <c r="L907" s="111" t="n"/>
      <c r="V907" s="111" t="n"/>
      <c r="W907" s="111" t="n"/>
      <c r="X907" s="111" t="n"/>
    </row>
    <row r="908">
      <c r="A908" s="34" t="n">
        <v>906</v>
      </c>
      <c r="I908" s="111" t="n"/>
      <c r="J908" s="111" t="n"/>
      <c r="K908" s="111" t="n"/>
      <c r="L908" s="111" t="n"/>
      <c r="V908" s="111" t="n"/>
      <c r="W908" s="111" t="n"/>
      <c r="X908" s="111" t="n"/>
    </row>
    <row r="909">
      <c r="A909" s="34" t="n">
        <v>907</v>
      </c>
      <c r="I909" s="111" t="n"/>
      <c r="J909" s="111" t="n"/>
      <c r="K909" s="111" t="n"/>
      <c r="L909" s="111" t="n"/>
      <c r="V909" s="111" t="n"/>
      <c r="W909" s="111" t="n"/>
      <c r="X909" s="111" t="n"/>
    </row>
    <row r="910">
      <c r="A910" s="34" t="n">
        <v>908</v>
      </c>
      <c r="I910" s="111" t="n"/>
      <c r="J910" s="111" t="n"/>
      <c r="K910" s="111" t="n"/>
      <c r="L910" s="111" t="n"/>
      <c r="V910" s="111" t="n"/>
      <c r="W910" s="111" t="n"/>
      <c r="X910" s="111" t="n"/>
    </row>
    <row r="911">
      <c r="A911" s="34" t="n">
        <v>909</v>
      </c>
      <c r="I911" s="111" t="n"/>
      <c r="J911" s="111" t="n"/>
      <c r="K911" s="111" t="n"/>
      <c r="L911" s="111" t="n"/>
      <c r="V911" s="111" t="n"/>
      <c r="W911" s="111" t="n"/>
      <c r="X911" s="111" t="n"/>
    </row>
    <row r="912">
      <c r="A912" s="34" t="n">
        <v>910</v>
      </c>
      <c r="I912" s="111" t="n"/>
      <c r="J912" s="111" t="n"/>
      <c r="K912" s="111" t="n"/>
      <c r="L912" s="111" t="n"/>
      <c r="V912" s="111" t="n"/>
      <c r="W912" s="111" t="n"/>
      <c r="X912" s="111" t="n"/>
    </row>
    <row r="913">
      <c r="A913" s="34" t="n">
        <v>911</v>
      </c>
      <c r="I913" s="111" t="n"/>
      <c r="J913" s="111" t="n"/>
      <c r="K913" s="111" t="n"/>
      <c r="L913" s="111" t="n"/>
      <c r="V913" s="111" t="n"/>
      <c r="W913" s="111" t="n"/>
      <c r="X913" s="111" t="n"/>
    </row>
    <row r="914">
      <c r="A914" s="34" t="n">
        <v>912</v>
      </c>
      <c r="I914" s="111" t="n"/>
      <c r="J914" s="111" t="n"/>
      <c r="K914" s="111" t="n"/>
      <c r="L914" s="111" t="n"/>
      <c r="V914" s="111" t="n"/>
      <c r="W914" s="111" t="n"/>
      <c r="X914" s="111" t="n"/>
    </row>
    <row r="915">
      <c r="A915" s="34" t="n">
        <v>913</v>
      </c>
      <c r="I915" s="111" t="n"/>
      <c r="J915" s="111" t="n"/>
      <c r="K915" s="111" t="n"/>
      <c r="L915" s="111" t="n"/>
      <c r="V915" s="111" t="n"/>
      <c r="W915" s="111" t="n"/>
      <c r="X915" s="111" t="n"/>
    </row>
    <row r="916">
      <c r="A916" s="34" t="n">
        <v>914</v>
      </c>
      <c r="I916" s="111" t="n"/>
      <c r="J916" s="111" t="n"/>
      <c r="K916" s="111" t="n"/>
      <c r="L916" s="111" t="n"/>
      <c r="V916" s="111" t="n"/>
      <c r="W916" s="111" t="n"/>
      <c r="X916" s="111" t="n"/>
    </row>
    <row r="917">
      <c r="A917" s="34" t="n">
        <v>915</v>
      </c>
      <c r="I917" s="111" t="n"/>
      <c r="J917" s="111" t="n"/>
      <c r="K917" s="111" t="n"/>
      <c r="L917" s="111" t="n"/>
      <c r="V917" s="111" t="n"/>
      <c r="W917" s="111" t="n"/>
      <c r="X917" s="111" t="n"/>
    </row>
    <row r="918">
      <c r="A918" s="34" t="n">
        <v>916</v>
      </c>
      <c r="I918" s="111" t="n"/>
      <c r="J918" s="111" t="n"/>
      <c r="K918" s="111" t="n"/>
      <c r="L918" s="111" t="n"/>
      <c r="V918" s="111" t="n"/>
      <c r="W918" s="111" t="n"/>
      <c r="X918" s="111" t="n"/>
    </row>
    <row r="919">
      <c r="A919" s="34" t="n">
        <v>917</v>
      </c>
      <c r="I919" s="111" t="n"/>
      <c r="J919" s="111" t="n"/>
      <c r="K919" s="111" t="n"/>
      <c r="L919" s="111" t="n"/>
      <c r="V919" s="111" t="n"/>
      <c r="W919" s="111" t="n"/>
      <c r="X919" s="111" t="n"/>
    </row>
    <row r="920">
      <c r="A920" s="34" t="n">
        <v>918</v>
      </c>
      <c r="I920" s="111" t="n"/>
      <c r="J920" s="111" t="n"/>
      <c r="K920" s="111" t="n"/>
      <c r="L920" s="111" t="n"/>
      <c r="V920" s="111" t="n"/>
      <c r="W920" s="111" t="n"/>
      <c r="X920" s="111" t="n"/>
    </row>
    <row r="921">
      <c r="A921" s="34" t="n">
        <v>919</v>
      </c>
      <c r="I921" s="111" t="n"/>
      <c r="J921" s="111" t="n"/>
      <c r="K921" s="111" t="n"/>
      <c r="L921" s="111" t="n"/>
      <c r="V921" s="111" t="n"/>
      <c r="W921" s="111" t="n"/>
      <c r="X921" s="111" t="n"/>
    </row>
    <row r="922">
      <c r="A922" s="34" t="n">
        <v>920</v>
      </c>
      <c r="I922" s="111" t="n"/>
      <c r="J922" s="111" t="n"/>
      <c r="K922" s="111" t="n"/>
      <c r="L922" s="111" t="n"/>
      <c r="V922" s="111" t="n"/>
      <c r="W922" s="111" t="n"/>
      <c r="X922" s="111" t="n"/>
    </row>
    <row r="923">
      <c r="A923" s="34" t="n">
        <v>921</v>
      </c>
      <c r="I923" s="111" t="n"/>
      <c r="J923" s="111" t="n"/>
      <c r="K923" s="111" t="n"/>
      <c r="L923" s="111" t="n"/>
      <c r="V923" s="111" t="n"/>
      <c r="W923" s="111" t="n"/>
      <c r="X923" s="111" t="n"/>
    </row>
    <row r="924">
      <c r="A924" s="34" t="n">
        <v>922</v>
      </c>
      <c r="I924" s="111" t="n"/>
      <c r="J924" s="111" t="n"/>
      <c r="K924" s="111" t="n"/>
      <c r="L924" s="111" t="n"/>
      <c r="V924" s="111" t="n"/>
      <c r="W924" s="111" t="n"/>
      <c r="X924" s="111" t="n"/>
    </row>
    <row r="925">
      <c r="A925" s="34" t="n">
        <v>923</v>
      </c>
      <c r="I925" s="111" t="n"/>
      <c r="J925" s="111" t="n"/>
      <c r="K925" s="111" t="n"/>
      <c r="L925" s="111" t="n"/>
      <c r="V925" s="111" t="n"/>
      <c r="W925" s="111" t="n"/>
      <c r="X925" s="111" t="n"/>
    </row>
    <row r="926">
      <c r="A926" s="34" t="n">
        <v>924</v>
      </c>
      <c r="I926" s="111" t="n"/>
      <c r="J926" s="111" t="n"/>
      <c r="K926" s="111" t="n"/>
      <c r="L926" s="111" t="n"/>
      <c r="V926" s="111" t="n"/>
      <c r="W926" s="111" t="n"/>
      <c r="X926" s="111" t="n"/>
    </row>
    <row r="927">
      <c r="A927" s="34" t="n">
        <v>925</v>
      </c>
      <c r="I927" s="111" t="n"/>
      <c r="J927" s="111" t="n"/>
      <c r="K927" s="111" t="n"/>
      <c r="L927" s="111" t="n"/>
      <c r="V927" s="111" t="n"/>
      <c r="W927" s="111" t="n"/>
      <c r="X927" s="111" t="n"/>
    </row>
    <row r="928">
      <c r="A928" s="34" t="n">
        <v>926</v>
      </c>
      <c r="I928" s="111" t="n"/>
      <c r="J928" s="111" t="n"/>
      <c r="K928" s="111" t="n"/>
      <c r="L928" s="111" t="n"/>
      <c r="V928" s="111" t="n"/>
      <c r="W928" s="111" t="n"/>
      <c r="X928" s="111" t="n"/>
    </row>
    <row r="929">
      <c r="A929" s="34" t="n">
        <v>927</v>
      </c>
      <c r="I929" s="111" t="n"/>
      <c r="J929" s="111" t="n"/>
      <c r="K929" s="111" t="n"/>
      <c r="L929" s="111" t="n"/>
      <c r="V929" s="111" t="n"/>
      <c r="W929" s="111" t="n"/>
      <c r="X929" s="111" t="n"/>
    </row>
    <row r="930">
      <c r="A930" s="34" t="n">
        <v>928</v>
      </c>
      <c r="I930" s="111" t="n"/>
      <c r="J930" s="111" t="n"/>
      <c r="K930" s="111" t="n"/>
      <c r="L930" s="111" t="n"/>
      <c r="V930" s="111" t="n"/>
      <c r="W930" s="111" t="n"/>
      <c r="X930" s="111" t="n"/>
    </row>
    <row r="931">
      <c r="A931" s="34" t="n">
        <v>929</v>
      </c>
      <c r="I931" s="111" t="n"/>
      <c r="J931" s="111" t="n"/>
      <c r="K931" s="111" t="n"/>
      <c r="L931" s="111" t="n"/>
      <c r="V931" s="111" t="n"/>
      <c r="W931" s="111" t="n"/>
      <c r="X931" s="111" t="n"/>
    </row>
    <row r="932">
      <c r="A932" s="34" t="n">
        <v>930</v>
      </c>
      <c r="I932" s="111" t="n"/>
      <c r="J932" s="111" t="n"/>
      <c r="K932" s="111" t="n"/>
      <c r="L932" s="111" t="n"/>
      <c r="V932" s="111" t="n"/>
      <c r="W932" s="111" t="n"/>
      <c r="X932" s="111" t="n"/>
    </row>
    <row r="933">
      <c r="A933" s="34" t="n">
        <v>931</v>
      </c>
      <c r="I933" s="111" t="n"/>
      <c r="J933" s="111" t="n"/>
      <c r="K933" s="111" t="n"/>
      <c r="L933" s="111" t="n"/>
      <c r="V933" s="111" t="n"/>
      <c r="W933" s="111" t="n"/>
      <c r="X933" s="111" t="n"/>
    </row>
    <row r="934">
      <c r="A934" s="34" t="n">
        <v>932</v>
      </c>
      <c r="I934" s="111" t="n"/>
      <c r="J934" s="111" t="n"/>
      <c r="K934" s="111" t="n"/>
      <c r="L934" s="111" t="n"/>
      <c r="V934" s="111" t="n"/>
      <c r="W934" s="111" t="n"/>
      <c r="X934" s="111" t="n"/>
    </row>
    <row r="935">
      <c r="A935" s="34" t="n">
        <v>933</v>
      </c>
      <c r="I935" s="111" t="n"/>
      <c r="J935" s="111" t="n"/>
      <c r="K935" s="111" t="n"/>
      <c r="L935" s="111" t="n"/>
      <c r="V935" s="111" t="n"/>
      <c r="W935" s="111" t="n"/>
      <c r="X935" s="111" t="n"/>
    </row>
    <row r="936">
      <c r="A936" s="34" t="n">
        <v>934</v>
      </c>
      <c r="I936" s="111" t="n"/>
      <c r="J936" s="111" t="n"/>
      <c r="K936" s="111" t="n"/>
      <c r="L936" s="111" t="n"/>
      <c r="V936" s="111" t="n"/>
      <c r="W936" s="111" t="n"/>
      <c r="X936" s="111" t="n"/>
    </row>
    <row r="937">
      <c r="A937" s="34" t="n">
        <v>935</v>
      </c>
      <c r="I937" s="111" t="n"/>
      <c r="J937" s="111" t="n"/>
      <c r="K937" s="111" t="n"/>
      <c r="L937" s="111" t="n"/>
      <c r="V937" s="111" t="n"/>
      <c r="W937" s="111" t="n"/>
      <c r="X937" s="111" t="n"/>
    </row>
    <row r="938">
      <c r="A938" s="34" t="n">
        <v>936</v>
      </c>
      <c r="I938" s="111" t="n"/>
      <c r="J938" s="111" t="n"/>
      <c r="K938" s="111" t="n"/>
      <c r="L938" s="111" t="n"/>
      <c r="V938" s="111" t="n"/>
      <c r="W938" s="111" t="n"/>
      <c r="X938" s="111" t="n"/>
    </row>
    <row r="939">
      <c r="A939" s="34" t="n">
        <v>937</v>
      </c>
      <c r="I939" s="111" t="n"/>
      <c r="J939" s="111" t="n"/>
      <c r="K939" s="111" t="n"/>
      <c r="L939" s="111" t="n"/>
      <c r="V939" s="111" t="n"/>
      <c r="W939" s="111" t="n"/>
      <c r="X939" s="111" t="n"/>
    </row>
    <row r="940">
      <c r="A940" s="34" t="n">
        <v>938</v>
      </c>
      <c r="I940" s="111" t="n"/>
      <c r="J940" s="111" t="n"/>
      <c r="K940" s="111" t="n"/>
      <c r="L940" s="111" t="n"/>
      <c r="V940" s="111" t="n"/>
      <c r="W940" s="111" t="n"/>
      <c r="X940" s="111" t="n"/>
    </row>
    <row r="941">
      <c r="A941" s="34" t="n">
        <v>939</v>
      </c>
      <c r="I941" s="111" t="n"/>
      <c r="J941" s="111" t="n"/>
      <c r="K941" s="111" t="n"/>
      <c r="L941" s="111" t="n"/>
      <c r="V941" s="111" t="n"/>
      <c r="W941" s="111" t="n"/>
      <c r="X941" s="111" t="n"/>
    </row>
    <row r="942">
      <c r="A942" s="34" t="n">
        <v>940</v>
      </c>
      <c r="I942" s="111" t="n"/>
      <c r="J942" s="111" t="n"/>
      <c r="K942" s="111" t="n"/>
      <c r="L942" s="111" t="n"/>
      <c r="V942" s="111" t="n"/>
      <c r="W942" s="111" t="n"/>
      <c r="X942" s="111" t="n"/>
    </row>
    <row r="943">
      <c r="A943" s="34" t="n">
        <v>941</v>
      </c>
      <c r="I943" s="111" t="n"/>
      <c r="J943" s="111" t="n"/>
      <c r="K943" s="111" t="n"/>
      <c r="L943" s="111" t="n"/>
      <c r="V943" s="111" t="n"/>
      <c r="W943" s="111" t="n"/>
      <c r="X943" s="111" t="n"/>
    </row>
    <row r="944">
      <c r="A944" s="34" t="n">
        <v>942</v>
      </c>
      <c r="I944" s="111" t="n"/>
      <c r="J944" s="111" t="n"/>
      <c r="K944" s="111" t="n"/>
      <c r="L944" s="111" t="n"/>
      <c r="V944" s="111" t="n"/>
      <c r="W944" s="111" t="n"/>
      <c r="X944" s="111" t="n"/>
    </row>
    <row r="945">
      <c r="A945" s="34" t="n">
        <v>943</v>
      </c>
      <c r="I945" s="111" t="n"/>
      <c r="J945" s="111" t="n"/>
      <c r="K945" s="111" t="n"/>
      <c r="L945" s="111" t="n"/>
      <c r="V945" s="111" t="n"/>
      <c r="W945" s="111" t="n"/>
      <c r="X945" s="111" t="n"/>
    </row>
    <row r="946">
      <c r="A946" s="34" t="n">
        <v>944</v>
      </c>
      <c r="I946" s="111" t="n"/>
      <c r="J946" s="111" t="n"/>
      <c r="K946" s="111" t="n"/>
      <c r="L946" s="111" t="n"/>
      <c r="V946" s="111" t="n"/>
      <c r="W946" s="111" t="n"/>
      <c r="X946" s="111" t="n"/>
    </row>
    <row r="947">
      <c r="A947" s="34" t="n">
        <v>945</v>
      </c>
      <c r="I947" s="111" t="n"/>
      <c r="J947" s="111" t="n"/>
      <c r="K947" s="111" t="n"/>
      <c r="L947" s="111" t="n"/>
      <c r="V947" s="111" t="n"/>
      <c r="W947" s="111" t="n"/>
      <c r="X947" s="111" t="n"/>
    </row>
    <row r="948">
      <c r="A948" s="34" t="n">
        <v>946</v>
      </c>
      <c r="I948" s="111" t="n"/>
      <c r="J948" s="111" t="n"/>
      <c r="K948" s="111" t="n"/>
      <c r="L948" s="111" t="n"/>
      <c r="V948" s="111" t="n"/>
      <c r="W948" s="111" t="n"/>
      <c r="X948" s="111" t="n"/>
    </row>
    <row r="949">
      <c r="A949" s="34" t="n">
        <v>947</v>
      </c>
      <c r="I949" s="111" t="n"/>
      <c r="J949" s="111" t="n"/>
      <c r="K949" s="111" t="n"/>
      <c r="L949" s="111" t="n"/>
      <c r="V949" s="111" t="n"/>
      <c r="W949" s="111" t="n"/>
      <c r="X949" s="111" t="n"/>
    </row>
    <row r="950">
      <c r="A950" s="34" t="n">
        <v>948</v>
      </c>
      <c r="I950" s="111" t="n"/>
      <c r="J950" s="111" t="n"/>
      <c r="K950" s="111" t="n"/>
      <c r="L950" s="111" t="n"/>
      <c r="V950" s="111" t="n"/>
      <c r="W950" s="111" t="n"/>
      <c r="X950" s="111" t="n"/>
    </row>
    <row r="951">
      <c r="A951" s="34" t="n">
        <v>949</v>
      </c>
      <c r="I951" s="111" t="n"/>
      <c r="J951" s="111" t="n"/>
      <c r="K951" s="111" t="n"/>
      <c r="L951" s="111" t="n"/>
      <c r="V951" s="111" t="n"/>
      <c r="W951" s="111" t="n"/>
      <c r="X951" s="111" t="n"/>
    </row>
    <row r="952">
      <c r="A952" s="34" t="n">
        <v>950</v>
      </c>
      <c r="I952" s="111" t="n"/>
      <c r="J952" s="111" t="n"/>
      <c r="K952" s="111" t="n"/>
      <c r="L952" s="111" t="n"/>
      <c r="V952" s="111" t="n"/>
      <c r="W952" s="111" t="n"/>
      <c r="X952" s="111" t="n"/>
    </row>
    <row r="953">
      <c r="A953" s="34" t="n">
        <v>951</v>
      </c>
      <c r="I953" s="111" t="n"/>
      <c r="J953" s="111" t="n"/>
      <c r="K953" s="111" t="n"/>
      <c r="L953" s="111" t="n"/>
      <c r="V953" s="111" t="n"/>
      <c r="W953" s="111" t="n"/>
      <c r="X953" s="111" t="n"/>
    </row>
    <row r="954">
      <c r="A954" s="34" t="n">
        <v>952</v>
      </c>
      <c r="I954" s="111" t="n"/>
      <c r="J954" s="111" t="n"/>
      <c r="K954" s="111" t="n"/>
      <c r="L954" s="111" t="n"/>
      <c r="V954" s="111" t="n"/>
      <c r="W954" s="111" t="n"/>
      <c r="X954" s="111" t="n"/>
    </row>
    <row r="955">
      <c r="A955" s="34" t="n">
        <v>953</v>
      </c>
      <c r="I955" s="111" t="n"/>
      <c r="J955" s="111" t="n"/>
      <c r="K955" s="111" t="n"/>
      <c r="L955" s="111" t="n"/>
      <c r="V955" s="111" t="n"/>
      <c r="W955" s="111" t="n"/>
      <c r="X955" s="111" t="n"/>
    </row>
    <row r="956">
      <c r="A956" s="34" t="n">
        <v>954</v>
      </c>
      <c r="I956" s="111" t="n"/>
      <c r="J956" s="111" t="n"/>
      <c r="K956" s="111" t="n"/>
      <c r="L956" s="111" t="n"/>
      <c r="V956" s="111" t="n"/>
      <c r="W956" s="111" t="n"/>
      <c r="X956" s="111" t="n"/>
    </row>
    <row r="957">
      <c r="A957" s="34" t="n">
        <v>955</v>
      </c>
      <c r="I957" s="111" t="n"/>
      <c r="J957" s="111" t="n"/>
      <c r="K957" s="111" t="n"/>
      <c r="L957" s="111" t="n"/>
      <c r="V957" s="111" t="n"/>
      <c r="W957" s="111" t="n"/>
      <c r="X957" s="111" t="n"/>
    </row>
    <row r="958">
      <c r="A958" s="34" t="n">
        <v>956</v>
      </c>
      <c r="I958" s="111" t="n"/>
      <c r="J958" s="111" t="n"/>
      <c r="K958" s="111" t="n"/>
      <c r="L958" s="111" t="n"/>
      <c r="V958" s="111" t="n"/>
      <c r="W958" s="111" t="n"/>
      <c r="X958" s="111" t="n"/>
    </row>
    <row r="959">
      <c r="A959" s="34" t="n">
        <v>957</v>
      </c>
      <c r="I959" s="111" t="n"/>
      <c r="J959" s="111" t="n"/>
      <c r="K959" s="111" t="n"/>
      <c r="L959" s="111" t="n"/>
      <c r="V959" s="111" t="n"/>
      <c r="W959" s="111" t="n"/>
      <c r="X959" s="111" t="n"/>
    </row>
    <row r="960">
      <c r="A960" s="34" t="n">
        <v>958</v>
      </c>
      <c r="I960" s="111" t="n"/>
      <c r="J960" s="111" t="n"/>
      <c r="K960" s="111" t="n"/>
      <c r="L960" s="111" t="n"/>
      <c r="V960" s="111" t="n"/>
      <c r="W960" s="111" t="n"/>
      <c r="X960" s="111" t="n"/>
    </row>
    <row r="961">
      <c r="A961" s="34" t="n">
        <v>959</v>
      </c>
      <c r="I961" s="111" t="n"/>
      <c r="J961" s="111" t="n"/>
      <c r="K961" s="111" t="n"/>
      <c r="L961" s="111" t="n"/>
      <c r="V961" s="111" t="n"/>
      <c r="W961" s="111" t="n"/>
      <c r="X961" s="111" t="n"/>
    </row>
    <row r="962">
      <c r="A962" s="34" t="n">
        <v>960</v>
      </c>
      <c r="I962" s="111" t="n"/>
      <c r="J962" s="111" t="n"/>
      <c r="K962" s="111" t="n"/>
      <c r="L962" s="111" t="n"/>
      <c r="V962" s="111" t="n"/>
      <c r="W962" s="111" t="n"/>
      <c r="X962" s="111" t="n"/>
    </row>
    <row r="963">
      <c r="A963" s="34" t="n">
        <v>961</v>
      </c>
      <c r="I963" s="111" t="n"/>
      <c r="J963" s="111" t="n"/>
      <c r="K963" s="111" t="n"/>
      <c r="L963" s="111" t="n"/>
      <c r="V963" s="111" t="n"/>
      <c r="W963" s="111" t="n"/>
      <c r="X963" s="111" t="n"/>
    </row>
    <row r="964">
      <c r="A964" s="34" t="n">
        <v>962</v>
      </c>
      <c r="I964" s="111" t="n"/>
      <c r="J964" s="111" t="n"/>
      <c r="K964" s="111" t="n"/>
      <c r="L964" s="111" t="n"/>
      <c r="V964" s="111" t="n"/>
      <c r="W964" s="111" t="n"/>
      <c r="X964" s="111" t="n"/>
    </row>
    <row r="965">
      <c r="A965" s="34" t="n">
        <v>963</v>
      </c>
      <c r="I965" s="111" t="n"/>
      <c r="J965" s="111" t="n"/>
      <c r="K965" s="111" t="n"/>
      <c r="L965" s="111" t="n"/>
      <c r="V965" s="111" t="n"/>
      <c r="W965" s="111" t="n"/>
      <c r="X965" s="111" t="n"/>
    </row>
    <row r="966">
      <c r="A966" s="34" t="n">
        <v>964</v>
      </c>
      <c r="I966" s="111" t="n"/>
      <c r="J966" s="111" t="n"/>
      <c r="K966" s="111" t="n"/>
      <c r="L966" s="111" t="n"/>
      <c r="V966" s="111" t="n"/>
      <c r="W966" s="111" t="n"/>
      <c r="X966" s="111" t="n"/>
    </row>
    <row r="967">
      <c r="A967" s="34" t="n">
        <v>965</v>
      </c>
      <c r="I967" s="111" t="n"/>
      <c r="J967" s="111" t="n"/>
      <c r="K967" s="111" t="n"/>
      <c r="L967" s="111" t="n"/>
      <c r="V967" s="111" t="n"/>
      <c r="W967" s="111" t="n"/>
      <c r="X967" s="111" t="n"/>
    </row>
    <row r="968">
      <c r="A968" s="34" t="n">
        <v>966</v>
      </c>
      <c r="I968" s="111" t="n"/>
      <c r="J968" s="111" t="n"/>
      <c r="K968" s="111" t="n"/>
      <c r="L968" s="111" t="n"/>
      <c r="V968" s="111" t="n"/>
      <c r="W968" s="111" t="n"/>
      <c r="X968" s="111" t="n"/>
    </row>
    <row r="969">
      <c r="A969" s="34" t="n">
        <v>967</v>
      </c>
      <c r="I969" s="111" t="n"/>
      <c r="J969" s="111" t="n"/>
      <c r="K969" s="111" t="n"/>
      <c r="L969" s="111" t="n"/>
      <c r="V969" s="111" t="n"/>
      <c r="W969" s="111" t="n"/>
      <c r="X969" s="111" t="n"/>
    </row>
    <row r="970">
      <c r="A970" s="34" t="n">
        <v>968</v>
      </c>
      <c r="I970" s="111" t="n"/>
      <c r="J970" s="111" t="n"/>
      <c r="K970" s="111" t="n"/>
      <c r="L970" s="111" t="n"/>
      <c r="V970" s="111" t="n"/>
      <c r="W970" s="111" t="n"/>
      <c r="X970" s="111" t="n"/>
    </row>
    <row r="971">
      <c r="A971" s="34" t="n">
        <v>969</v>
      </c>
      <c r="I971" s="111" t="n"/>
      <c r="J971" s="111" t="n"/>
      <c r="K971" s="111" t="n"/>
      <c r="L971" s="111" t="n"/>
      <c r="V971" s="111" t="n"/>
      <c r="W971" s="111" t="n"/>
      <c r="X971" s="111" t="n"/>
    </row>
    <row r="972">
      <c r="A972" s="34" t="n">
        <v>970</v>
      </c>
      <c r="I972" s="111" t="n"/>
      <c r="J972" s="111" t="n"/>
      <c r="K972" s="111" t="n"/>
      <c r="L972" s="111" t="n"/>
      <c r="V972" s="111" t="n"/>
      <c r="W972" s="111" t="n"/>
      <c r="X972" s="111" t="n"/>
    </row>
    <row r="973">
      <c r="A973" s="34" t="n">
        <v>971</v>
      </c>
      <c r="I973" s="111" t="n"/>
      <c r="J973" s="111" t="n"/>
      <c r="K973" s="111" t="n"/>
      <c r="L973" s="111" t="n"/>
      <c r="V973" s="111" t="n"/>
      <c r="W973" s="111" t="n"/>
      <c r="X973" s="111" t="n"/>
    </row>
    <row r="974">
      <c r="A974" s="34" t="n">
        <v>972</v>
      </c>
      <c r="I974" s="111" t="n"/>
      <c r="J974" s="111" t="n"/>
      <c r="K974" s="111" t="n"/>
      <c r="L974" s="111" t="n"/>
      <c r="V974" s="111" t="n"/>
      <c r="W974" s="111" t="n"/>
      <c r="X974" s="111" t="n"/>
    </row>
    <row r="975">
      <c r="A975" s="34" t="n">
        <v>973</v>
      </c>
      <c r="I975" s="111" t="n"/>
      <c r="J975" s="111" t="n"/>
      <c r="K975" s="111" t="n"/>
      <c r="L975" s="111" t="n"/>
      <c r="V975" s="111" t="n"/>
      <c r="W975" s="111" t="n"/>
      <c r="X975" s="111" t="n"/>
    </row>
    <row r="976">
      <c r="A976" s="34" t="n">
        <v>974</v>
      </c>
      <c r="I976" s="111" t="n"/>
      <c r="J976" s="111" t="n"/>
      <c r="K976" s="111" t="n"/>
      <c r="L976" s="111" t="n"/>
      <c r="V976" s="111" t="n"/>
      <c r="W976" s="111" t="n"/>
      <c r="X976" s="111" t="n"/>
    </row>
    <row r="977">
      <c r="A977" s="34" t="n">
        <v>975</v>
      </c>
      <c r="I977" s="111" t="n"/>
      <c r="J977" s="111" t="n"/>
      <c r="K977" s="111" t="n"/>
      <c r="L977" s="111" t="n"/>
      <c r="V977" s="111" t="n"/>
      <c r="W977" s="111" t="n"/>
      <c r="X977" s="111" t="n"/>
    </row>
    <row r="978">
      <c r="A978" s="34" t="n">
        <v>976</v>
      </c>
      <c r="I978" s="111" t="n"/>
      <c r="J978" s="111" t="n"/>
      <c r="K978" s="111" t="n"/>
      <c r="L978" s="111" t="n"/>
      <c r="V978" s="111" t="n"/>
      <c r="W978" s="111" t="n"/>
      <c r="X978" s="111" t="n"/>
    </row>
    <row r="979">
      <c r="A979" s="34" t="n">
        <v>977</v>
      </c>
      <c r="I979" s="111" t="n"/>
      <c r="J979" s="111" t="n"/>
      <c r="K979" s="111" t="n"/>
      <c r="L979" s="111" t="n"/>
      <c r="V979" s="111" t="n"/>
      <c r="W979" s="111" t="n"/>
      <c r="X979" s="111" t="n"/>
    </row>
    <row r="980">
      <c r="A980" s="34" t="n">
        <v>978</v>
      </c>
      <c r="I980" s="111" t="n"/>
      <c r="J980" s="111" t="n"/>
      <c r="K980" s="111" t="n"/>
      <c r="L980" s="111" t="n"/>
      <c r="V980" s="111" t="n"/>
      <c r="W980" s="111" t="n"/>
      <c r="X980" s="111" t="n"/>
    </row>
    <row r="981">
      <c r="A981" s="34" t="n">
        <v>979</v>
      </c>
      <c r="I981" s="111" t="n"/>
      <c r="J981" s="111" t="n"/>
      <c r="K981" s="111" t="n"/>
      <c r="L981" s="111" t="n"/>
      <c r="V981" s="111" t="n"/>
      <c r="W981" s="111" t="n"/>
      <c r="X981" s="111" t="n"/>
    </row>
    <row r="982">
      <c r="A982" s="34" t="n">
        <v>980</v>
      </c>
      <c r="I982" s="111" t="n"/>
      <c r="J982" s="111" t="n"/>
      <c r="K982" s="111" t="n"/>
      <c r="L982" s="111" t="n"/>
      <c r="V982" s="111" t="n"/>
      <c r="W982" s="111" t="n"/>
      <c r="X982" s="111" t="n"/>
    </row>
    <row r="983">
      <c r="A983" s="34" t="n">
        <v>981</v>
      </c>
      <c r="I983" s="111" t="n"/>
      <c r="J983" s="111" t="n"/>
      <c r="K983" s="111" t="n"/>
      <c r="L983" s="111" t="n"/>
      <c r="V983" s="111" t="n"/>
      <c r="W983" s="111" t="n"/>
      <c r="X983" s="111" t="n"/>
    </row>
    <row r="984">
      <c r="A984" s="34" t="n">
        <v>982</v>
      </c>
      <c r="I984" s="111" t="n"/>
      <c r="J984" s="111" t="n"/>
      <c r="K984" s="111" t="n"/>
      <c r="L984" s="111" t="n"/>
      <c r="V984" s="111" t="n"/>
      <c r="W984" s="111" t="n"/>
      <c r="X984" s="111" t="n"/>
    </row>
    <row r="985">
      <c r="A985" s="34" t="n">
        <v>983</v>
      </c>
      <c r="I985" s="111" t="n"/>
      <c r="J985" s="111" t="n"/>
      <c r="K985" s="111" t="n"/>
      <c r="L985" s="111" t="n"/>
      <c r="V985" s="111" t="n"/>
      <c r="W985" s="111" t="n"/>
      <c r="X985" s="111" t="n"/>
    </row>
    <row r="986">
      <c r="A986" s="34" t="n">
        <v>984</v>
      </c>
      <c r="I986" s="111" t="n"/>
      <c r="J986" s="111" t="n"/>
      <c r="K986" s="111" t="n"/>
      <c r="L986" s="111" t="n"/>
      <c r="V986" s="111" t="n"/>
      <c r="W986" s="111" t="n"/>
      <c r="X986" s="111" t="n"/>
    </row>
    <row r="987">
      <c r="A987" s="34" t="n">
        <v>985</v>
      </c>
      <c r="I987" s="111" t="n"/>
      <c r="J987" s="111" t="n"/>
      <c r="K987" s="111" t="n"/>
      <c r="L987" s="111" t="n"/>
      <c r="V987" s="111" t="n"/>
      <c r="W987" s="111" t="n"/>
      <c r="X987" s="111" t="n"/>
    </row>
    <row r="988">
      <c r="A988" s="34" t="n">
        <v>986</v>
      </c>
      <c r="I988" s="111" t="n"/>
      <c r="J988" s="111" t="n"/>
      <c r="K988" s="111" t="n"/>
      <c r="L988" s="111" t="n"/>
      <c r="V988" s="111" t="n"/>
      <c r="W988" s="111" t="n"/>
      <c r="X988" s="111" t="n"/>
    </row>
    <row r="989">
      <c r="A989" s="34" t="n">
        <v>987</v>
      </c>
      <c r="I989" s="111" t="n"/>
      <c r="J989" s="111" t="n"/>
      <c r="K989" s="111" t="n"/>
      <c r="L989" s="111" t="n"/>
      <c r="V989" s="111" t="n"/>
      <c r="W989" s="111" t="n"/>
      <c r="X989" s="111" t="n"/>
    </row>
    <row r="990">
      <c r="A990" s="34" t="n">
        <v>988</v>
      </c>
      <c r="I990" s="111" t="n"/>
      <c r="J990" s="111" t="n"/>
      <c r="K990" s="111" t="n"/>
      <c r="L990" s="111" t="n"/>
      <c r="V990" s="111" t="n"/>
      <c r="W990" s="111" t="n"/>
      <c r="X990" s="111" t="n"/>
    </row>
    <row r="991">
      <c r="A991" s="34" t="n">
        <v>989</v>
      </c>
      <c r="I991" s="111" t="n"/>
      <c r="J991" s="111" t="n"/>
      <c r="K991" s="111" t="n"/>
      <c r="L991" s="111" t="n"/>
      <c r="V991" s="111" t="n"/>
      <c r="W991" s="111" t="n"/>
      <c r="X991" s="111" t="n"/>
    </row>
    <row r="992">
      <c r="A992" s="34" t="n">
        <v>990</v>
      </c>
      <c r="I992" s="111" t="n"/>
      <c r="J992" s="111" t="n"/>
      <c r="K992" s="111" t="n"/>
      <c r="L992" s="111" t="n"/>
      <c r="V992" s="111" t="n"/>
      <c r="W992" s="111" t="n"/>
      <c r="X992" s="111" t="n"/>
    </row>
    <row r="993">
      <c r="A993" s="34" t="n">
        <v>991</v>
      </c>
      <c r="I993" s="111" t="n"/>
      <c r="J993" s="111" t="n"/>
      <c r="K993" s="111" t="n"/>
      <c r="L993" s="111" t="n"/>
      <c r="V993" s="111" t="n"/>
      <c r="W993" s="111" t="n"/>
      <c r="X993" s="111" t="n"/>
    </row>
    <row r="994">
      <c r="A994" s="34" t="n">
        <v>992</v>
      </c>
      <c r="I994" s="111" t="n"/>
      <c r="J994" s="111" t="n"/>
      <c r="K994" s="111" t="n"/>
      <c r="L994" s="111" t="n"/>
      <c r="V994" s="111" t="n"/>
      <c r="W994" s="111" t="n"/>
      <c r="X994" s="111" t="n"/>
    </row>
    <row r="995">
      <c r="A995" s="34" t="n">
        <v>993</v>
      </c>
      <c r="I995" s="111" t="n"/>
      <c r="J995" s="111" t="n"/>
      <c r="K995" s="111" t="n"/>
      <c r="L995" s="111" t="n"/>
      <c r="V995" s="111" t="n"/>
      <c r="W995" s="111" t="n"/>
      <c r="X995" s="111" t="n"/>
    </row>
    <row r="996">
      <c r="A996" s="34" t="n">
        <v>994</v>
      </c>
      <c r="I996" s="111" t="n"/>
      <c r="J996" s="111" t="n"/>
      <c r="K996" s="111" t="n"/>
      <c r="L996" s="111" t="n"/>
      <c r="V996" s="111" t="n"/>
      <c r="W996" s="111" t="n"/>
      <c r="X996" s="111" t="n"/>
    </row>
    <row r="997">
      <c r="A997" s="34" t="n">
        <v>995</v>
      </c>
      <c r="I997" s="111" t="n"/>
      <c r="J997" s="111" t="n"/>
      <c r="K997" s="111" t="n"/>
      <c r="L997" s="111" t="n"/>
      <c r="V997" s="111" t="n"/>
      <c r="W997" s="111" t="n"/>
      <c r="X997" s="111" t="n"/>
    </row>
    <row r="998">
      <c r="A998" s="34" t="n">
        <v>996</v>
      </c>
      <c r="I998" s="111" t="n"/>
      <c r="J998" s="111" t="n"/>
      <c r="K998" s="111" t="n"/>
      <c r="L998" s="111" t="n"/>
      <c r="V998" s="111" t="n"/>
      <c r="W998" s="111" t="n"/>
      <c r="X998" s="111" t="n"/>
    </row>
    <row r="999">
      <c r="A999" s="34" t="n">
        <v>997</v>
      </c>
      <c r="I999" s="111" t="n"/>
      <c r="J999" s="111" t="n"/>
      <c r="K999" s="111" t="n"/>
      <c r="L999" s="111" t="n"/>
      <c r="V999" s="111" t="n"/>
      <c r="W999" s="111" t="n"/>
      <c r="X999" s="111" t="n"/>
    </row>
    <row r="1000">
      <c r="A1000" s="34" t="n">
        <v>998</v>
      </c>
      <c r="I1000" s="111" t="n"/>
      <c r="J1000" s="111" t="n"/>
      <c r="K1000" s="111" t="n"/>
      <c r="L1000" s="111" t="n"/>
      <c r="V1000" s="111" t="n"/>
      <c r="W1000" s="111" t="n"/>
      <c r="X1000" s="111" t="n"/>
    </row>
    <row r="1001">
      <c r="A1001" s="34" t="n">
        <v>999</v>
      </c>
      <c r="I1001" s="111" t="n"/>
      <c r="J1001" s="111" t="n"/>
      <c r="K1001" s="111" t="n"/>
      <c r="L1001" s="111" t="n"/>
      <c r="V1001" s="111" t="n"/>
      <c r="W1001" s="111" t="n"/>
      <c r="X1001" s="111" t="n"/>
    </row>
    <row r="1002">
      <c r="A1002" s="34" t="n">
        <v>1000</v>
      </c>
      <c r="I1002" s="111" t="n"/>
      <c r="J1002" s="111" t="n"/>
      <c r="K1002" s="111" t="n"/>
      <c r="L1002" s="111" t="n"/>
      <c r="V1002" s="111" t="n"/>
      <c r="W1002" s="111" t="n"/>
      <c r="X1002" s="111" t="n"/>
    </row>
    <row r="1003">
      <c r="A1003" s="34" t="n">
        <v>1001</v>
      </c>
      <c r="I1003" s="111" t="n"/>
      <c r="J1003" s="111" t="n"/>
      <c r="K1003" s="111" t="n"/>
      <c r="L1003" s="111" t="n"/>
      <c r="V1003" s="111" t="n"/>
      <c r="W1003" s="111" t="n"/>
      <c r="X1003" s="111" t="n"/>
    </row>
    <row r="1004">
      <c r="A1004" s="34" t="n">
        <v>1002</v>
      </c>
      <c r="I1004" s="111" t="n"/>
      <c r="J1004" s="111" t="n"/>
      <c r="K1004" s="111" t="n"/>
      <c r="L1004" s="111" t="n"/>
      <c r="V1004" s="111" t="n"/>
      <c r="W1004" s="111" t="n"/>
      <c r="X1004" s="111" t="n"/>
    </row>
    <row r="1005">
      <c r="A1005" s="34" t="n">
        <v>1003</v>
      </c>
      <c r="I1005" s="111" t="n"/>
      <c r="J1005" s="111" t="n"/>
      <c r="K1005" s="111" t="n"/>
      <c r="L1005" s="111" t="n"/>
      <c r="V1005" s="111" t="n"/>
      <c r="W1005" s="111" t="n"/>
      <c r="X1005" s="111" t="n"/>
    </row>
    <row r="1006">
      <c r="A1006" s="34" t="n">
        <v>1004</v>
      </c>
      <c r="I1006" s="111" t="n"/>
      <c r="J1006" s="111" t="n"/>
      <c r="K1006" s="111" t="n"/>
      <c r="L1006" s="111" t="n"/>
      <c r="V1006" s="111" t="n"/>
      <c r="W1006" s="111" t="n"/>
      <c r="X1006" s="111" t="n"/>
    </row>
    <row r="1007">
      <c r="A1007" s="34" t="n">
        <v>1005</v>
      </c>
      <c r="I1007" s="111" t="n"/>
      <c r="J1007" s="111" t="n"/>
      <c r="K1007" s="111" t="n"/>
      <c r="L1007" s="111" t="n"/>
      <c r="V1007" s="111" t="n"/>
      <c r="W1007" s="111" t="n"/>
      <c r="X1007" s="111" t="n"/>
    </row>
    <row r="1008">
      <c r="A1008" s="34" t="n">
        <v>1006</v>
      </c>
      <c r="I1008" s="111" t="n"/>
      <c r="J1008" s="111" t="n"/>
      <c r="K1008" s="111" t="n"/>
      <c r="L1008" s="111" t="n"/>
      <c r="V1008" s="111" t="n"/>
      <c r="W1008" s="111" t="n"/>
      <c r="X1008" s="111" t="n"/>
    </row>
    <row r="1009">
      <c r="A1009" s="34" t="n">
        <v>1007</v>
      </c>
      <c r="I1009" s="111" t="n"/>
      <c r="J1009" s="111" t="n"/>
      <c r="K1009" s="111" t="n"/>
      <c r="L1009" s="111" t="n"/>
      <c r="V1009" s="111" t="n"/>
      <c r="W1009" s="111" t="n"/>
      <c r="X1009" s="111" t="n"/>
    </row>
    <row r="1010">
      <c r="A1010" s="34" t="n">
        <v>1008</v>
      </c>
      <c r="I1010" s="111" t="n"/>
      <c r="J1010" s="111" t="n"/>
      <c r="K1010" s="111" t="n"/>
      <c r="L1010" s="111" t="n"/>
      <c r="V1010" s="111" t="n"/>
      <c r="W1010" s="111" t="n"/>
      <c r="X1010" s="111" t="n"/>
    </row>
    <row r="1011">
      <c r="A1011" s="34" t="n">
        <v>1009</v>
      </c>
      <c r="I1011" s="111" t="n"/>
      <c r="J1011" s="111" t="n"/>
      <c r="K1011" s="111" t="n"/>
      <c r="L1011" s="111" t="n"/>
      <c r="V1011" s="111" t="n"/>
      <c r="W1011" s="111" t="n"/>
      <c r="X1011" s="111" t="n"/>
    </row>
    <row r="1012">
      <c r="A1012" s="34" t="n">
        <v>1010</v>
      </c>
      <c r="I1012" s="111" t="n"/>
      <c r="J1012" s="111" t="n"/>
      <c r="K1012" s="111" t="n"/>
      <c r="L1012" s="111" t="n"/>
      <c r="V1012" s="111" t="n"/>
      <c r="W1012" s="111" t="n"/>
      <c r="X1012" s="111" t="n"/>
    </row>
    <row r="1013">
      <c r="A1013" s="34" t="n">
        <v>1011</v>
      </c>
      <c r="I1013" s="111" t="n"/>
      <c r="J1013" s="111" t="n"/>
      <c r="K1013" s="111" t="n"/>
      <c r="L1013" s="111" t="n"/>
      <c r="V1013" s="111" t="n"/>
      <c r="W1013" s="111" t="n"/>
      <c r="X1013" s="111" t="n"/>
    </row>
    <row r="1014">
      <c r="A1014" s="34" t="n">
        <v>1012</v>
      </c>
      <c r="I1014" s="111" t="n"/>
      <c r="J1014" s="111" t="n"/>
      <c r="K1014" s="111" t="n"/>
      <c r="L1014" s="111" t="n"/>
      <c r="V1014" s="111" t="n"/>
      <c r="W1014" s="111" t="n"/>
      <c r="X1014" s="111" t="n"/>
    </row>
    <row r="1015">
      <c r="A1015" s="34" t="n">
        <v>1013</v>
      </c>
      <c r="I1015" s="111" t="n"/>
      <c r="J1015" s="111" t="n"/>
      <c r="K1015" s="111" t="n"/>
      <c r="L1015" s="111" t="n"/>
      <c r="V1015" s="111" t="n"/>
      <c r="W1015" s="111" t="n"/>
      <c r="X1015" s="111" t="n"/>
    </row>
    <row r="1016">
      <c r="A1016" s="34" t="n">
        <v>1014</v>
      </c>
      <c r="I1016" s="111" t="n"/>
      <c r="J1016" s="111" t="n"/>
      <c r="K1016" s="111" t="n"/>
      <c r="L1016" s="111" t="n"/>
      <c r="V1016" s="111" t="n"/>
      <c r="W1016" s="111" t="n"/>
      <c r="X1016" s="111" t="n"/>
    </row>
    <row r="1017">
      <c r="A1017" s="34" t="n">
        <v>1015</v>
      </c>
      <c r="I1017" s="111" t="n"/>
      <c r="J1017" s="111" t="n"/>
      <c r="K1017" s="111" t="n"/>
      <c r="L1017" s="111" t="n"/>
      <c r="V1017" s="111" t="n"/>
      <c r="W1017" s="111" t="n"/>
      <c r="X1017" s="111" t="n"/>
    </row>
    <row r="1018">
      <c r="A1018" s="34" t="n">
        <v>1016</v>
      </c>
      <c r="I1018" s="111" t="n"/>
      <c r="J1018" s="111" t="n"/>
      <c r="K1018" s="111" t="n"/>
      <c r="L1018" s="111" t="n"/>
      <c r="V1018" s="111" t="n"/>
      <c r="W1018" s="111" t="n"/>
      <c r="X1018" s="111" t="n"/>
    </row>
    <row r="1019">
      <c r="A1019" s="34" t="n">
        <v>1017</v>
      </c>
      <c r="I1019" s="111" t="n"/>
      <c r="J1019" s="111" t="n"/>
      <c r="K1019" s="111" t="n"/>
      <c r="L1019" s="111" t="n"/>
      <c r="V1019" s="111" t="n"/>
      <c r="W1019" s="111" t="n"/>
      <c r="X1019" s="111" t="n"/>
    </row>
    <row r="1020">
      <c r="A1020" s="34" t="n">
        <v>1018</v>
      </c>
      <c r="I1020" s="111" t="n"/>
      <c r="J1020" s="111" t="n"/>
      <c r="K1020" s="111" t="n"/>
      <c r="L1020" s="111" t="n"/>
      <c r="V1020" s="111" t="n"/>
      <c r="W1020" s="111" t="n"/>
      <c r="X1020" s="111" t="n"/>
    </row>
    <row r="1021">
      <c r="A1021" s="34" t="n">
        <v>1019</v>
      </c>
      <c r="I1021" s="111" t="n"/>
      <c r="J1021" s="111" t="n"/>
      <c r="K1021" s="111" t="n"/>
      <c r="L1021" s="111" t="n"/>
      <c r="V1021" s="111" t="n"/>
      <c r="W1021" s="111" t="n"/>
      <c r="X1021" s="111" t="n"/>
    </row>
    <row r="1022">
      <c r="A1022" s="34" t="n">
        <v>1020</v>
      </c>
      <c r="I1022" s="111" t="n"/>
      <c r="J1022" s="111" t="n"/>
      <c r="K1022" s="111" t="n"/>
      <c r="L1022" s="111" t="n"/>
      <c r="V1022" s="111" t="n"/>
      <c r="W1022" s="111" t="n"/>
      <c r="X1022" s="111" t="n"/>
    </row>
    <row r="1023">
      <c r="A1023" s="34" t="n">
        <v>1021</v>
      </c>
      <c r="I1023" s="111" t="n"/>
      <c r="J1023" s="111" t="n"/>
      <c r="K1023" s="111" t="n"/>
      <c r="L1023" s="111" t="n"/>
      <c r="V1023" s="111" t="n"/>
      <c r="W1023" s="111" t="n"/>
      <c r="X1023" s="111" t="n"/>
    </row>
    <row r="1024">
      <c r="A1024" s="34" t="n">
        <v>1022</v>
      </c>
      <c r="I1024" s="111" t="n"/>
      <c r="J1024" s="111" t="n"/>
      <c r="K1024" s="111" t="n"/>
      <c r="L1024" s="111" t="n"/>
      <c r="V1024" s="111" t="n"/>
      <c r="W1024" s="111" t="n"/>
      <c r="X1024" s="111" t="n"/>
    </row>
    <row r="1025">
      <c r="A1025" s="34" t="n">
        <v>1023</v>
      </c>
      <c r="I1025" s="111" t="n"/>
      <c r="J1025" s="111" t="n"/>
      <c r="K1025" s="111" t="n"/>
      <c r="L1025" s="111" t="n"/>
      <c r="V1025" s="111" t="n"/>
      <c r="W1025" s="111" t="n"/>
      <c r="X1025" s="111" t="n"/>
    </row>
    <row r="1026">
      <c r="A1026" s="34" t="n">
        <v>1024</v>
      </c>
      <c r="I1026" s="111" t="n"/>
      <c r="J1026" s="111" t="n"/>
      <c r="K1026" s="111" t="n"/>
      <c r="L1026" s="111" t="n"/>
      <c r="V1026" s="111" t="n"/>
      <c r="W1026" s="111" t="n"/>
      <c r="X1026" s="111" t="n"/>
    </row>
    <row r="1027">
      <c r="A1027" s="34" t="n">
        <v>1025</v>
      </c>
      <c r="I1027" s="111" t="n"/>
      <c r="J1027" s="111" t="n"/>
      <c r="K1027" s="111" t="n"/>
      <c r="L1027" s="111" t="n"/>
      <c r="V1027" s="111" t="n"/>
      <c r="W1027" s="111" t="n"/>
      <c r="X1027" s="111" t="n"/>
    </row>
    <row r="1028">
      <c r="A1028" s="34" t="n">
        <v>1026</v>
      </c>
      <c r="I1028" s="111" t="n"/>
      <c r="J1028" s="111" t="n"/>
      <c r="K1028" s="111" t="n"/>
      <c r="L1028" s="111" t="n"/>
      <c r="V1028" s="111" t="n"/>
      <c r="W1028" s="111" t="n"/>
      <c r="X1028" s="111" t="n"/>
    </row>
    <row r="1029">
      <c r="A1029" s="34" t="n">
        <v>1027</v>
      </c>
      <c r="I1029" s="111" t="n"/>
      <c r="J1029" s="111" t="n"/>
      <c r="K1029" s="111" t="n"/>
      <c r="L1029" s="111" t="n"/>
      <c r="V1029" s="111" t="n"/>
      <c r="W1029" s="111" t="n"/>
      <c r="X1029" s="111" t="n"/>
    </row>
    <row r="1030">
      <c r="A1030" s="34" t="n">
        <v>1028</v>
      </c>
      <c r="I1030" s="111" t="n"/>
      <c r="J1030" s="111" t="n"/>
      <c r="K1030" s="111" t="n"/>
      <c r="L1030" s="111" t="n"/>
      <c r="V1030" s="111" t="n"/>
      <c r="W1030" s="111" t="n"/>
      <c r="X1030" s="111" t="n"/>
    </row>
    <row r="1031">
      <c r="A1031" s="34" t="n">
        <v>1029</v>
      </c>
      <c r="I1031" s="111" t="n"/>
      <c r="J1031" s="111" t="n"/>
      <c r="K1031" s="111" t="n"/>
      <c r="L1031" s="111" t="n"/>
      <c r="V1031" s="111" t="n"/>
      <c r="W1031" s="111" t="n"/>
      <c r="X1031" s="111" t="n"/>
    </row>
    <row r="1032">
      <c r="A1032" s="34" t="n">
        <v>1030</v>
      </c>
      <c r="I1032" s="111" t="n"/>
      <c r="J1032" s="111" t="n"/>
      <c r="K1032" s="111" t="n"/>
      <c r="L1032" s="111" t="n"/>
      <c r="V1032" s="111" t="n"/>
      <c r="W1032" s="111" t="n"/>
      <c r="X1032" s="111" t="n"/>
    </row>
    <row r="1033">
      <c r="A1033" s="34" t="n">
        <v>1031</v>
      </c>
      <c r="I1033" s="111" t="n"/>
      <c r="J1033" s="111" t="n"/>
      <c r="K1033" s="111" t="n"/>
      <c r="L1033" s="111" t="n"/>
      <c r="V1033" s="111" t="n"/>
      <c r="W1033" s="111" t="n"/>
      <c r="X1033" s="111" t="n"/>
    </row>
    <row r="1034">
      <c r="A1034" s="34" t="n">
        <v>1032</v>
      </c>
      <c r="I1034" s="111" t="n"/>
      <c r="J1034" s="111" t="n"/>
      <c r="K1034" s="111" t="n"/>
      <c r="L1034" s="111" t="n"/>
      <c r="V1034" s="111" t="n"/>
      <c r="W1034" s="111" t="n"/>
      <c r="X1034" s="111" t="n"/>
    </row>
    <row r="1035">
      <c r="A1035" s="34" t="n">
        <v>1033</v>
      </c>
      <c r="I1035" s="111" t="n"/>
      <c r="J1035" s="111" t="n"/>
      <c r="K1035" s="111" t="n"/>
      <c r="L1035" s="111" t="n"/>
      <c r="V1035" s="111" t="n"/>
      <c r="W1035" s="111" t="n"/>
      <c r="X1035" s="111" t="n"/>
    </row>
    <row r="1036">
      <c r="A1036" s="34" t="n">
        <v>1034</v>
      </c>
      <c r="I1036" s="111" t="n"/>
      <c r="J1036" s="111" t="n"/>
      <c r="K1036" s="111" t="n"/>
      <c r="L1036" s="111" t="n"/>
      <c r="V1036" s="111" t="n"/>
      <c r="W1036" s="111" t="n"/>
      <c r="X1036" s="111" t="n"/>
    </row>
    <row r="1037">
      <c r="A1037" s="34" t="n">
        <v>1035</v>
      </c>
      <c r="I1037" s="111" t="n"/>
      <c r="J1037" s="111" t="n"/>
      <c r="K1037" s="111" t="n"/>
      <c r="L1037" s="111" t="n"/>
      <c r="V1037" s="111" t="n"/>
      <c r="W1037" s="111" t="n"/>
      <c r="X1037" s="111" t="n"/>
    </row>
    <row r="1038">
      <c r="A1038" s="34" t="n">
        <v>1036</v>
      </c>
      <c r="I1038" s="111" t="n"/>
      <c r="J1038" s="111" t="n"/>
      <c r="K1038" s="111" t="n"/>
      <c r="L1038" s="111" t="n"/>
      <c r="V1038" s="111" t="n"/>
      <c r="W1038" s="111" t="n"/>
      <c r="X1038" s="111" t="n"/>
    </row>
    <row r="1039">
      <c r="A1039" s="34" t="n">
        <v>1037</v>
      </c>
      <c r="I1039" s="111" t="n"/>
      <c r="J1039" s="111" t="n"/>
      <c r="K1039" s="111" t="n"/>
      <c r="L1039" s="111" t="n"/>
      <c r="V1039" s="111" t="n"/>
      <c r="W1039" s="111" t="n"/>
      <c r="X1039" s="111" t="n"/>
    </row>
    <row r="1040">
      <c r="A1040" s="34" t="n">
        <v>1038</v>
      </c>
      <c r="I1040" s="111" t="n"/>
      <c r="J1040" s="111" t="n"/>
      <c r="K1040" s="111" t="n"/>
      <c r="L1040" s="111" t="n"/>
      <c r="V1040" s="111" t="n"/>
      <c r="W1040" s="111" t="n"/>
      <c r="X1040" s="111" t="n"/>
    </row>
    <row r="1041">
      <c r="A1041" s="34" t="n">
        <v>1039</v>
      </c>
      <c r="I1041" s="111" t="n"/>
      <c r="J1041" s="111" t="n"/>
      <c r="K1041" s="111" t="n"/>
      <c r="L1041" s="111" t="n"/>
      <c r="V1041" s="111" t="n"/>
      <c r="W1041" s="111" t="n"/>
      <c r="X1041" s="111" t="n"/>
    </row>
    <row r="1042">
      <c r="A1042" s="34" t="n">
        <v>1040</v>
      </c>
      <c r="I1042" s="111" t="n"/>
      <c r="J1042" s="111" t="n"/>
      <c r="K1042" s="111" t="n"/>
      <c r="L1042" s="111" t="n"/>
      <c r="V1042" s="111" t="n"/>
      <c r="W1042" s="111" t="n"/>
      <c r="X1042" s="111" t="n"/>
    </row>
    <row r="1043">
      <c r="A1043" s="34" t="n">
        <v>1041</v>
      </c>
      <c r="I1043" s="111" t="n"/>
      <c r="J1043" s="111" t="n"/>
      <c r="K1043" s="111" t="n"/>
      <c r="L1043" s="111" t="n"/>
      <c r="V1043" s="111" t="n"/>
      <c r="W1043" s="111" t="n"/>
      <c r="X1043" s="111" t="n"/>
    </row>
    <row r="1044">
      <c r="A1044" s="34" t="n">
        <v>1042</v>
      </c>
      <c r="I1044" s="111" t="n"/>
      <c r="J1044" s="111" t="n"/>
      <c r="K1044" s="111" t="n"/>
      <c r="L1044" s="111" t="n"/>
      <c r="V1044" s="111" t="n"/>
      <c r="W1044" s="111" t="n"/>
      <c r="X1044" s="111" t="n"/>
    </row>
    <row r="1045">
      <c r="A1045" s="34" t="n">
        <v>1043</v>
      </c>
      <c r="I1045" s="111" t="n"/>
      <c r="J1045" s="111" t="n"/>
      <c r="K1045" s="111" t="n"/>
      <c r="L1045" s="111" t="n"/>
      <c r="V1045" s="111" t="n"/>
      <c r="W1045" s="111" t="n"/>
      <c r="X1045" s="111" t="n"/>
    </row>
    <row r="1046">
      <c r="A1046" s="34" t="n">
        <v>1044</v>
      </c>
      <c r="I1046" s="111" t="n"/>
      <c r="J1046" s="111" t="n"/>
      <c r="K1046" s="111" t="n"/>
      <c r="L1046" s="111" t="n"/>
      <c r="V1046" s="111" t="n"/>
      <c r="W1046" s="111" t="n"/>
      <c r="X1046" s="111" t="n"/>
    </row>
    <row r="1047">
      <c r="A1047" s="34" t="n">
        <v>1045</v>
      </c>
      <c r="I1047" s="111" t="n"/>
      <c r="J1047" s="111" t="n"/>
      <c r="K1047" s="111" t="n"/>
      <c r="L1047" s="111" t="n"/>
      <c r="V1047" s="111" t="n"/>
      <c r="W1047" s="111" t="n"/>
      <c r="X1047" s="111" t="n"/>
    </row>
    <row r="1048">
      <c r="A1048" s="34" t="n">
        <v>1046</v>
      </c>
      <c r="I1048" s="111" t="n"/>
      <c r="J1048" s="111" t="n"/>
      <c r="K1048" s="111" t="n"/>
      <c r="L1048" s="111" t="n"/>
      <c r="V1048" s="111" t="n"/>
      <c r="W1048" s="111" t="n"/>
      <c r="X1048" s="111" t="n"/>
    </row>
    <row r="1049">
      <c r="A1049" s="34" t="n">
        <v>1047</v>
      </c>
      <c r="I1049" s="111" t="n"/>
      <c r="J1049" s="111" t="n"/>
      <c r="K1049" s="111" t="n"/>
      <c r="L1049" s="111" t="n"/>
      <c r="V1049" s="111" t="n"/>
      <c r="W1049" s="111" t="n"/>
      <c r="X1049" s="111" t="n"/>
    </row>
    <row r="1050">
      <c r="A1050" s="34" t="n">
        <v>1048</v>
      </c>
      <c r="I1050" s="111" t="n"/>
      <c r="J1050" s="111" t="n"/>
      <c r="K1050" s="111" t="n"/>
      <c r="L1050" s="111" t="n"/>
      <c r="V1050" s="111" t="n"/>
      <c r="W1050" s="111" t="n"/>
      <c r="X1050" s="111" t="n"/>
    </row>
    <row r="1051">
      <c r="A1051" s="34" t="n">
        <v>1049</v>
      </c>
      <c r="I1051" s="111" t="n"/>
      <c r="J1051" s="111" t="n"/>
      <c r="K1051" s="111" t="n"/>
      <c r="L1051" s="111" t="n"/>
      <c r="V1051" s="111" t="n"/>
      <c r="W1051" s="111" t="n"/>
      <c r="X1051" s="111" t="n"/>
    </row>
    <row r="1052">
      <c r="A1052" s="34" t="n">
        <v>1050</v>
      </c>
      <c r="I1052" s="111" t="n"/>
      <c r="J1052" s="111" t="n"/>
      <c r="K1052" s="111" t="n"/>
      <c r="L1052" s="111" t="n"/>
      <c r="V1052" s="111" t="n"/>
      <c r="W1052" s="111" t="n"/>
      <c r="X1052" s="111" t="n"/>
    </row>
    <row r="1053">
      <c r="A1053" s="34" t="n">
        <v>1051</v>
      </c>
      <c r="I1053" s="111" t="n"/>
      <c r="J1053" s="111" t="n"/>
      <c r="K1053" s="111" t="n"/>
      <c r="L1053" s="111" t="n"/>
      <c r="V1053" s="111" t="n"/>
      <c r="W1053" s="111" t="n"/>
      <c r="X1053" s="111" t="n"/>
    </row>
    <row r="1054">
      <c r="A1054" s="34" t="n">
        <v>1052</v>
      </c>
      <c r="I1054" s="111" t="n"/>
      <c r="J1054" s="111" t="n"/>
      <c r="K1054" s="111" t="n"/>
      <c r="L1054" s="111" t="n"/>
      <c r="V1054" s="111" t="n"/>
      <c r="W1054" s="111" t="n"/>
      <c r="X1054" s="111" t="n"/>
    </row>
    <row r="1055">
      <c r="A1055" s="34" t="n">
        <v>1053</v>
      </c>
      <c r="I1055" s="111" t="n"/>
      <c r="J1055" s="111" t="n"/>
      <c r="K1055" s="111" t="n"/>
      <c r="L1055" s="111" t="n"/>
      <c r="V1055" s="111" t="n"/>
      <c r="W1055" s="111" t="n"/>
      <c r="X1055" s="111" t="n"/>
    </row>
    <row r="1056">
      <c r="A1056" s="34" t="n">
        <v>1054</v>
      </c>
      <c r="I1056" s="111" t="n"/>
      <c r="J1056" s="111" t="n"/>
      <c r="K1056" s="111" t="n"/>
      <c r="L1056" s="111" t="n"/>
      <c r="V1056" s="111" t="n"/>
      <c r="W1056" s="111" t="n"/>
      <c r="X1056" s="111" t="n"/>
    </row>
    <row r="1057">
      <c r="A1057" s="34" t="n">
        <v>1055</v>
      </c>
      <c r="I1057" s="111" t="n"/>
      <c r="J1057" s="111" t="n"/>
      <c r="K1057" s="111" t="n"/>
      <c r="L1057" s="111" t="n"/>
      <c r="V1057" s="111" t="n"/>
      <c r="W1057" s="111" t="n"/>
      <c r="X1057" s="111" t="n"/>
    </row>
    <row r="1058">
      <c r="A1058" s="34" t="n">
        <v>1056</v>
      </c>
      <c r="I1058" s="111" t="n"/>
      <c r="J1058" s="111" t="n"/>
      <c r="K1058" s="111" t="n"/>
      <c r="L1058" s="111" t="n"/>
      <c r="V1058" s="111" t="n"/>
      <c r="W1058" s="111" t="n"/>
      <c r="X1058" s="111" t="n"/>
    </row>
    <row r="1059">
      <c r="A1059" s="34" t="n">
        <v>1057</v>
      </c>
      <c r="I1059" s="111" t="n"/>
      <c r="J1059" s="111" t="n"/>
      <c r="K1059" s="111" t="n"/>
      <c r="L1059" s="111" t="n"/>
      <c r="V1059" s="111" t="n"/>
      <c r="W1059" s="111" t="n"/>
      <c r="X1059" s="111" t="n"/>
    </row>
    <row r="1060">
      <c r="A1060" s="34" t="n">
        <v>1058</v>
      </c>
      <c r="I1060" s="111" t="n"/>
      <c r="J1060" s="111" t="n"/>
      <c r="K1060" s="111" t="n"/>
      <c r="L1060" s="111" t="n"/>
      <c r="V1060" s="111" t="n"/>
      <c r="W1060" s="111" t="n"/>
      <c r="X1060" s="111" t="n"/>
    </row>
    <row r="1061">
      <c r="A1061" s="34" t="n">
        <v>1059</v>
      </c>
      <c r="I1061" s="111" t="n"/>
      <c r="J1061" s="111" t="n"/>
      <c r="K1061" s="111" t="n"/>
      <c r="L1061" s="111" t="n"/>
      <c r="V1061" s="111" t="n"/>
      <c r="W1061" s="111" t="n"/>
      <c r="X1061" s="111" t="n"/>
    </row>
    <row r="1062">
      <c r="A1062" s="34" t="n">
        <v>1060</v>
      </c>
      <c r="I1062" s="111" t="n"/>
      <c r="J1062" s="111" t="n"/>
      <c r="K1062" s="111" t="n"/>
      <c r="L1062" s="111" t="n"/>
      <c r="V1062" s="111" t="n"/>
      <c r="W1062" s="111" t="n"/>
      <c r="X1062" s="111" t="n"/>
    </row>
    <row r="1063">
      <c r="A1063" s="34" t="n">
        <v>1061</v>
      </c>
      <c r="I1063" s="111" t="n"/>
      <c r="J1063" s="111" t="n"/>
      <c r="K1063" s="111" t="n"/>
      <c r="L1063" s="111" t="n"/>
      <c r="V1063" s="111" t="n"/>
      <c r="W1063" s="111" t="n"/>
      <c r="X1063" s="111" t="n"/>
    </row>
    <row r="1064">
      <c r="A1064" s="34" t="n">
        <v>1062</v>
      </c>
      <c r="I1064" s="111" t="n"/>
      <c r="J1064" s="111" t="n"/>
      <c r="K1064" s="111" t="n"/>
      <c r="L1064" s="111" t="n"/>
      <c r="V1064" s="111" t="n"/>
      <c r="W1064" s="111" t="n"/>
      <c r="X1064" s="111" t="n"/>
    </row>
    <row r="1065">
      <c r="A1065" s="34" t="n">
        <v>1063</v>
      </c>
      <c r="I1065" s="111" t="n"/>
      <c r="J1065" s="111" t="n"/>
      <c r="K1065" s="111" t="n"/>
      <c r="L1065" s="111" t="n"/>
      <c r="V1065" s="111" t="n"/>
      <c r="W1065" s="111" t="n"/>
      <c r="X1065" s="111" t="n"/>
    </row>
    <row r="1066">
      <c r="A1066" s="34" t="n">
        <v>1064</v>
      </c>
      <c r="I1066" s="111" t="n"/>
      <c r="J1066" s="111" t="n"/>
      <c r="K1066" s="111" t="n"/>
      <c r="L1066" s="111" t="n"/>
      <c r="V1066" s="111" t="n"/>
      <c r="W1066" s="111" t="n"/>
      <c r="X1066" s="111" t="n"/>
    </row>
    <row r="1067">
      <c r="A1067" s="34" t="n">
        <v>1065</v>
      </c>
      <c r="I1067" s="111" t="n"/>
      <c r="J1067" s="111" t="n"/>
      <c r="K1067" s="111" t="n"/>
      <c r="L1067" s="111" t="n"/>
      <c r="V1067" s="111" t="n"/>
      <c r="W1067" s="111" t="n"/>
      <c r="X1067" s="111" t="n"/>
    </row>
    <row r="1068">
      <c r="A1068" s="34" t="n">
        <v>1066</v>
      </c>
      <c r="I1068" s="111" t="n"/>
      <c r="J1068" s="111" t="n"/>
      <c r="K1068" s="111" t="n"/>
      <c r="L1068" s="111" t="n"/>
      <c r="V1068" s="111" t="n"/>
      <c r="W1068" s="111" t="n"/>
      <c r="X1068" s="111" t="n"/>
    </row>
    <row r="1069">
      <c r="A1069" s="34" t="n">
        <v>1067</v>
      </c>
      <c r="I1069" s="111" t="n"/>
      <c r="J1069" s="111" t="n"/>
      <c r="K1069" s="111" t="n"/>
      <c r="L1069" s="111" t="n"/>
      <c r="V1069" s="111" t="n"/>
      <c r="W1069" s="111" t="n"/>
      <c r="X1069" s="111" t="n"/>
    </row>
    <row r="1070">
      <c r="A1070" s="34" t="n">
        <v>1068</v>
      </c>
      <c r="I1070" s="111" t="n"/>
      <c r="J1070" s="111" t="n"/>
      <c r="K1070" s="111" t="n"/>
      <c r="L1070" s="111" t="n"/>
      <c r="V1070" s="111" t="n"/>
      <c r="W1070" s="111" t="n"/>
      <c r="X1070" s="111" t="n"/>
    </row>
    <row r="1071">
      <c r="A1071" s="34" t="n">
        <v>1069</v>
      </c>
      <c r="I1071" s="111" t="n"/>
      <c r="J1071" s="111" t="n"/>
      <c r="K1071" s="111" t="n"/>
      <c r="L1071" s="111" t="n"/>
      <c r="V1071" s="111" t="n"/>
      <c r="W1071" s="111" t="n"/>
      <c r="X1071" s="111" t="n"/>
    </row>
    <row r="1072">
      <c r="A1072" s="34" t="n">
        <v>1070</v>
      </c>
      <c r="I1072" s="111" t="n"/>
      <c r="J1072" s="111" t="n"/>
      <c r="K1072" s="111" t="n"/>
      <c r="L1072" s="111" t="n"/>
      <c r="V1072" s="111" t="n"/>
      <c r="W1072" s="111" t="n"/>
      <c r="X1072" s="111" t="n"/>
    </row>
    <row r="1073">
      <c r="A1073" s="34" t="n">
        <v>1071</v>
      </c>
      <c r="I1073" s="111" t="n"/>
      <c r="J1073" s="111" t="n"/>
      <c r="K1073" s="111" t="n"/>
      <c r="L1073" s="111" t="n"/>
      <c r="V1073" s="111" t="n"/>
      <c r="W1073" s="111" t="n"/>
      <c r="X1073" s="111" t="n"/>
    </row>
    <row r="1074">
      <c r="A1074" s="34" t="n">
        <v>1072</v>
      </c>
      <c r="I1074" s="111" t="n"/>
      <c r="J1074" s="111" t="n"/>
      <c r="K1074" s="111" t="n"/>
      <c r="L1074" s="111" t="n"/>
      <c r="V1074" s="111" t="n"/>
      <c r="W1074" s="111" t="n"/>
      <c r="X1074" s="111" t="n"/>
    </row>
    <row r="1075">
      <c r="A1075" s="34" t="n">
        <v>1073</v>
      </c>
      <c r="I1075" s="111" t="n"/>
      <c r="J1075" s="111" t="n"/>
      <c r="K1075" s="111" t="n"/>
      <c r="L1075" s="111" t="n"/>
      <c r="V1075" s="111" t="n"/>
      <c r="W1075" s="111" t="n"/>
      <c r="X1075" s="111" t="n"/>
    </row>
    <row r="1076">
      <c r="A1076" s="34" t="n">
        <v>1074</v>
      </c>
      <c r="I1076" s="111" t="n"/>
      <c r="J1076" s="111" t="n"/>
      <c r="K1076" s="111" t="n"/>
      <c r="L1076" s="111" t="n"/>
      <c r="V1076" s="111" t="n"/>
      <c r="W1076" s="111" t="n"/>
      <c r="X1076" s="111" t="n"/>
    </row>
    <row r="1077">
      <c r="A1077" s="34" t="n">
        <v>1075</v>
      </c>
      <c r="I1077" s="111" t="n"/>
      <c r="J1077" s="111" t="n"/>
      <c r="K1077" s="111" t="n"/>
      <c r="L1077" s="111" t="n"/>
      <c r="V1077" s="111" t="n"/>
      <c r="W1077" s="111" t="n"/>
      <c r="X1077" s="111" t="n"/>
    </row>
    <row r="1078">
      <c r="A1078" s="34" t="n">
        <v>1076</v>
      </c>
      <c r="I1078" s="111" t="n"/>
      <c r="J1078" s="111" t="n"/>
      <c r="K1078" s="111" t="n"/>
      <c r="L1078" s="111" t="n"/>
      <c r="V1078" s="111" t="n"/>
      <c r="W1078" s="111" t="n"/>
      <c r="X1078" s="111" t="n"/>
    </row>
    <row r="1079">
      <c r="A1079" s="34" t="n">
        <v>1077</v>
      </c>
      <c r="I1079" s="111" t="n"/>
      <c r="J1079" s="111" t="n"/>
      <c r="K1079" s="111" t="n"/>
      <c r="L1079" s="111" t="n"/>
      <c r="V1079" s="111" t="n"/>
      <c r="W1079" s="111" t="n"/>
      <c r="X1079" s="111" t="n"/>
    </row>
    <row r="1080">
      <c r="A1080" s="34" t="n">
        <v>1078</v>
      </c>
      <c r="I1080" s="111" t="n"/>
      <c r="J1080" s="111" t="n"/>
      <c r="K1080" s="111" t="n"/>
      <c r="L1080" s="111" t="n"/>
      <c r="V1080" s="111" t="n"/>
      <c r="W1080" s="111" t="n"/>
      <c r="X1080" s="111" t="n"/>
    </row>
    <row r="1081">
      <c r="A1081" s="34" t="n">
        <v>1079</v>
      </c>
      <c r="I1081" s="111" t="n"/>
      <c r="J1081" s="111" t="n"/>
      <c r="K1081" s="111" t="n"/>
      <c r="L1081" s="111" t="n"/>
      <c r="V1081" s="111" t="n"/>
      <c r="W1081" s="111" t="n"/>
      <c r="X1081" s="111" t="n"/>
    </row>
    <row r="1082">
      <c r="A1082" s="34" t="n">
        <v>1080</v>
      </c>
      <c r="I1082" s="111" t="n"/>
      <c r="J1082" s="111" t="n"/>
      <c r="K1082" s="111" t="n"/>
      <c r="L1082" s="111" t="n"/>
      <c r="V1082" s="111" t="n"/>
      <c r="W1082" s="111" t="n"/>
      <c r="X1082" s="111" t="n"/>
    </row>
    <row r="1083">
      <c r="A1083" s="34" t="n">
        <v>1081</v>
      </c>
      <c r="I1083" s="111" t="n"/>
      <c r="J1083" s="111" t="n"/>
      <c r="K1083" s="111" t="n"/>
      <c r="L1083" s="111" t="n"/>
      <c r="V1083" s="111" t="n"/>
      <c r="W1083" s="111" t="n"/>
      <c r="X1083" s="111" t="n"/>
    </row>
    <row r="1084">
      <c r="A1084" s="34" t="n">
        <v>1082</v>
      </c>
      <c r="I1084" s="111" t="n"/>
      <c r="J1084" s="111" t="n"/>
      <c r="K1084" s="111" t="n"/>
      <c r="L1084" s="111" t="n"/>
      <c r="V1084" s="111" t="n"/>
      <c r="W1084" s="111" t="n"/>
      <c r="X1084" s="111" t="n"/>
    </row>
    <row r="1085">
      <c r="A1085" s="34" t="n">
        <v>1083</v>
      </c>
      <c r="I1085" s="111" t="n"/>
      <c r="J1085" s="111" t="n"/>
      <c r="K1085" s="111" t="n"/>
      <c r="L1085" s="111" t="n"/>
      <c r="V1085" s="111" t="n"/>
      <c r="W1085" s="111" t="n"/>
      <c r="X1085" s="111" t="n"/>
    </row>
    <row r="1086">
      <c r="A1086" s="34" t="n">
        <v>1084</v>
      </c>
      <c r="I1086" s="111" t="n"/>
      <c r="J1086" s="111" t="n"/>
      <c r="K1086" s="111" t="n"/>
      <c r="L1086" s="111" t="n"/>
      <c r="V1086" s="111" t="n"/>
      <c r="W1086" s="111" t="n"/>
      <c r="X1086" s="111" t="n"/>
    </row>
    <row r="1087">
      <c r="A1087" s="34" t="n">
        <v>1085</v>
      </c>
      <c r="I1087" s="111" t="n"/>
      <c r="J1087" s="111" t="n"/>
      <c r="K1087" s="111" t="n"/>
      <c r="L1087" s="111" t="n"/>
      <c r="V1087" s="111" t="n"/>
      <c r="W1087" s="111" t="n"/>
      <c r="X1087" s="111" t="n"/>
    </row>
    <row r="1088">
      <c r="A1088" s="34" t="n">
        <v>1086</v>
      </c>
      <c r="I1088" s="111" t="n"/>
      <c r="J1088" s="111" t="n"/>
      <c r="K1088" s="111" t="n"/>
      <c r="L1088" s="111" t="n"/>
      <c r="V1088" s="111" t="n"/>
      <c r="W1088" s="111" t="n"/>
      <c r="X1088" s="111" t="n"/>
    </row>
    <row r="1089">
      <c r="A1089" s="34" t="n">
        <v>1087</v>
      </c>
      <c r="I1089" s="111" t="n"/>
      <c r="J1089" s="111" t="n"/>
      <c r="K1089" s="111" t="n"/>
      <c r="L1089" s="111" t="n"/>
      <c r="V1089" s="111" t="n"/>
      <c r="W1089" s="111" t="n"/>
      <c r="X1089" s="111" t="n"/>
    </row>
    <row r="1090">
      <c r="A1090" s="34" t="n">
        <v>1088</v>
      </c>
      <c r="I1090" s="111" t="n"/>
      <c r="J1090" s="111" t="n"/>
      <c r="K1090" s="111" t="n"/>
      <c r="L1090" s="111" t="n"/>
      <c r="V1090" s="111" t="n"/>
      <c r="W1090" s="111" t="n"/>
      <c r="X1090" s="111" t="n"/>
    </row>
    <row r="1091">
      <c r="A1091" s="34" t="n">
        <v>1089</v>
      </c>
      <c r="I1091" s="111" t="n"/>
      <c r="J1091" s="111" t="n"/>
      <c r="K1091" s="111" t="n"/>
      <c r="L1091" s="111" t="n"/>
      <c r="V1091" s="111" t="n"/>
      <c r="W1091" s="111" t="n"/>
      <c r="X1091" s="111" t="n"/>
    </row>
    <row r="1092">
      <c r="A1092" s="34" t="n">
        <v>1090</v>
      </c>
      <c r="I1092" s="111" t="n"/>
      <c r="J1092" s="111" t="n"/>
      <c r="K1092" s="111" t="n"/>
      <c r="L1092" s="111" t="n"/>
      <c r="V1092" s="111" t="n"/>
      <c r="W1092" s="111" t="n"/>
      <c r="X1092" s="111" t="n"/>
    </row>
    <row r="1093">
      <c r="A1093" s="34" t="n">
        <v>1091</v>
      </c>
      <c r="I1093" s="111" t="n"/>
      <c r="J1093" s="111" t="n"/>
      <c r="K1093" s="111" t="n"/>
      <c r="L1093" s="111" t="n"/>
      <c r="V1093" s="111" t="n"/>
      <c r="W1093" s="111" t="n"/>
      <c r="X1093" s="111" t="n"/>
    </row>
    <row r="1094">
      <c r="A1094" s="34" t="n">
        <v>1092</v>
      </c>
      <c r="I1094" s="111" t="n"/>
      <c r="J1094" s="111" t="n"/>
      <c r="K1094" s="111" t="n"/>
      <c r="L1094" s="111" t="n"/>
      <c r="V1094" s="111" t="n"/>
      <c r="W1094" s="111" t="n"/>
      <c r="X1094" s="111" t="n"/>
    </row>
    <row r="1095">
      <c r="A1095" s="34" t="n">
        <v>1093</v>
      </c>
      <c r="I1095" s="111" t="n"/>
      <c r="J1095" s="111" t="n"/>
      <c r="K1095" s="111" t="n"/>
      <c r="L1095" s="111" t="n"/>
      <c r="V1095" s="111" t="n"/>
      <c r="W1095" s="111" t="n"/>
      <c r="X1095" s="111" t="n"/>
    </row>
    <row r="1096">
      <c r="A1096" s="34" t="n">
        <v>1094</v>
      </c>
      <c r="I1096" s="111" t="n"/>
      <c r="J1096" s="111" t="n"/>
      <c r="K1096" s="111" t="n"/>
      <c r="L1096" s="111" t="n"/>
      <c r="V1096" s="111" t="n"/>
      <c r="W1096" s="111" t="n"/>
      <c r="X1096" s="111" t="n"/>
    </row>
    <row r="1097">
      <c r="A1097" s="34" t="n">
        <v>1095</v>
      </c>
      <c r="I1097" s="111" t="n"/>
      <c r="J1097" s="111" t="n"/>
      <c r="K1097" s="111" t="n"/>
      <c r="L1097" s="111" t="n"/>
      <c r="V1097" s="111" t="n"/>
      <c r="W1097" s="111" t="n"/>
      <c r="X1097" s="111" t="n"/>
    </row>
    <row r="1098">
      <c r="A1098" s="34" t="n">
        <v>1096</v>
      </c>
      <c r="I1098" s="111" t="n"/>
      <c r="J1098" s="111" t="n"/>
      <c r="K1098" s="111" t="n"/>
      <c r="L1098" s="111" t="n"/>
      <c r="V1098" s="111" t="n"/>
      <c r="W1098" s="111" t="n"/>
      <c r="X1098" s="111" t="n"/>
    </row>
    <row r="1099">
      <c r="A1099" s="34" t="n">
        <v>1097</v>
      </c>
      <c r="I1099" s="111" t="n"/>
      <c r="J1099" s="111" t="n"/>
      <c r="K1099" s="111" t="n"/>
      <c r="L1099" s="111" t="n"/>
      <c r="V1099" s="111" t="n"/>
      <c r="W1099" s="111" t="n"/>
      <c r="X1099" s="111" t="n"/>
    </row>
    <row r="1100">
      <c r="A1100" s="34" t="n">
        <v>1098</v>
      </c>
      <c r="I1100" s="111" t="n"/>
      <c r="J1100" s="111" t="n"/>
      <c r="K1100" s="111" t="n"/>
      <c r="L1100" s="111" t="n"/>
      <c r="V1100" s="111" t="n"/>
      <c r="W1100" s="111" t="n"/>
      <c r="X1100" s="111" t="n"/>
    </row>
    <row r="1101">
      <c r="A1101" s="34" t="n">
        <v>1099</v>
      </c>
      <c r="I1101" s="111" t="n"/>
      <c r="J1101" s="111" t="n"/>
      <c r="K1101" s="111" t="n"/>
      <c r="L1101" s="111" t="n"/>
      <c r="V1101" s="111" t="n"/>
      <c r="W1101" s="111" t="n"/>
      <c r="X1101" s="111" t="n"/>
    </row>
    <row r="1102">
      <c r="A1102" s="34" t="n">
        <v>1100</v>
      </c>
      <c r="I1102" s="111" t="n"/>
      <c r="J1102" s="111" t="n"/>
      <c r="K1102" s="111" t="n"/>
      <c r="L1102" s="111" t="n"/>
      <c r="V1102" s="111" t="n"/>
      <c r="W1102" s="111" t="n"/>
      <c r="X1102" s="111" t="n"/>
    </row>
    <row r="1103">
      <c r="A1103" s="34" t="n">
        <v>1101</v>
      </c>
      <c r="I1103" s="111" t="n"/>
      <c r="J1103" s="111" t="n"/>
      <c r="K1103" s="111" t="n"/>
      <c r="L1103" s="111" t="n"/>
      <c r="V1103" s="111" t="n"/>
      <c r="W1103" s="111" t="n"/>
      <c r="X1103" s="111" t="n"/>
    </row>
    <row r="1104">
      <c r="A1104" s="34" t="n">
        <v>1102</v>
      </c>
      <c r="I1104" s="111" t="n"/>
      <c r="J1104" s="111" t="n"/>
      <c r="K1104" s="111" t="n"/>
      <c r="L1104" s="111" t="n"/>
      <c r="V1104" s="111" t="n"/>
      <c r="W1104" s="111" t="n"/>
      <c r="X1104" s="111" t="n"/>
    </row>
    <row r="1105">
      <c r="A1105" s="34" t="n">
        <v>1103</v>
      </c>
      <c r="I1105" s="111" t="n"/>
      <c r="J1105" s="111" t="n"/>
      <c r="K1105" s="111" t="n"/>
      <c r="L1105" s="111" t="n"/>
      <c r="V1105" s="111" t="n"/>
      <c r="W1105" s="111" t="n"/>
      <c r="X1105" s="111" t="n"/>
    </row>
    <row r="1106">
      <c r="A1106" s="34" t="n">
        <v>1104</v>
      </c>
      <c r="I1106" s="111" t="n"/>
      <c r="J1106" s="111" t="n"/>
      <c r="K1106" s="111" t="n"/>
      <c r="L1106" s="111" t="n"/>
      <c r="V1106" s="111" t="n"/>
      <c r="W1106" s="111" t="n"/>
      <c r="X1106" s="111" t="n"/>
    </row>
    <row r="1107">
      <c r="A1107" s="34" t="n">
        <v>1105</v>
      </c>
      <c r="I1107" s="111" t="n"/>
      <c r="J1107" s="111" t="n"/>
      <c r="K1107" s="111" t="n"/>
      <c r="L1107" s="111" t="n"/>
      <c r="V1107" s="111" t="n"/>
      <c r="W1107" s="111" t="n"/>
      <c r="X1107" s="111" t="n"/>
    </row>
    <row r="1108">
      <c r="A1108" s="34" t="n">
        <v>1106</v>
      </c>
      <c r="I1108" s="111" t="n"/>
      <c r="J1108" s="111" t="n"/>
      <c r="K1108" s="111" t="n"/>
      <c r="L1108" s="111" t="n"/>
      <c r="V1108" s="111" t="n"/>
      <c r="W1108" s="111" t="n"/>
      <c r="X1108" s="111" t="n"/>
    </row>
    <row r="1109">
      <c r="A1109" s="34" t="n">
        <v>1107</v>
      </c>
      <c r="I1109" s="111" t="n"/>
      <c r="J1109" s="111" t="n"/>
      <c r="K1109" s="111" t="n"/>
      <c r="L1109" s="111" t="n"/>
      <c r="V1109" s="111" t="n"/>
      <c r="W1109" s="111" t="n"/>
      <c r="X1109" s="111" t="n"/>
    </row>
    <row r="1110">
      <c r="A1110" s="34" t="n">
        <v>1108</v>
      </c>
      <c r="I1110" s="111" t="n"/>
      <c r="J1110" s="111" t="n"/>
      <c r="K1110" s="111" t="n"/>
      <c r="L1110" s="111" t="n"/>
      <c r="V1110" s="111" t="n"/>
      <c r="W1110" s="111" t="n"/>
      <c r="X1110" s="111" t="n"/>
    </row>
    <row r="1111">
      <c r="A1111" s="34" t="n">
        <v>1109</v>
      </c>
      <c r="I1111" s="111" t="n"/>
      <c r="J1111" s="111" t="n"/>
      <c r="K1111" s="111" t="n"/>
      <c r="L1111" s="111" t="n"/>
      <c r="V1111" s="111" t="n"/>
      <c r="W1111" s="111" t="n"/>
      <c r="X1111" s="111" t="n"/>
    </row>
    <row r="1112">
      <c r="A1112" s="34" t="n">
        <v>1110</v>
      </c>
      <c r="I1112" s="111" t="n"/>
      <c r="J1112" s="111" t="n"/>
      <c r="K1112" s="111" t="n"/>
      <c r="L1112" s="111" t="n"/>
      <c r="V1112" s="111" t="n"/>
      <c r="W1112" s="111" t="n"/>
      <c r="X1112" s="111" t="n"/>
    </row>
    <row r="1113">
      <c r="A1113" s="34" t="n">
        <v>1111</v>
      </c>
      <c r="I1113" s="111" t="n"/>
      <c r="J1113" s="111" t="n"/>
      <c r="K1113" s="111" t="n"/>
      <c r="L1113" s="111" t="n"/>
      <c r="V1113" s="111" t="n"/>
      <c r="W1113" s="111" t="n"/>
      <c r="X1113" s="111" t="n"/>
    </row>
    <row r="1114">
      <c r="A1114" s="34" t="n">
        <v>1112</v>
      </c>
      <c r="I1114" s="111" t="n"/>
      <c r="J1114" s="111" t="n"/>
      <c r="K1114" s="111" t="n"/>
      <c r="L1114" s="111" t="n"/>
      <c r="V1114" s="111" t="n"/>
      <c r="W1114" s="111" t="n"/>
      <c r="X1114" s="111" t="n"/>
    </row>
    <row r="1115">
      <c r="A1115" s="34" t="n">
        <v>1113</v>
      </c>
      <c r="I1115" s="111" t="n"/>
      <c r="J1115" s="111" t="n"/>
      <c r="K1115" s="111" t="n"/>
      <c r="L1115" s="111" t="n"/>
      <c r="V1115" s="111" t="n"/>
      <c r="W1115" s="111" t="n"/>
      <c r="X1115" s="111" t="n"/>
    </row>
    <row r="1116">
      <c r="A1116" s="34" t="n">
        <v>1114</v>
      </c>
      <c r="I1116" s="111" t="n"/>
      <c r="J1116" s="111" t="n"/>
      <c r="K1116" s="111" t="n"/>
      <c r="L1116" s="111" t="n"/>
      <c r="V1116" s="111" t="n"/>
      <c r="W1116" s="111" t="n"/>
      <c r="X1116" s="111" t="n"/>
    </row>
    <row r="1117">
      <c r="A1117" s="34" t="n">
        <v>1115</v>
      </c>
      <c r="I1117" s="111" t="n"/>
      <c r="J1117" s="111" t="n"/>
      <c r="K1117" s="111" t="n"/>
      <c r="L1117" s="111" t="n"/>
      <c r="V1117" s="111" t="n"/>
      <c r="W1117" s="111" t="n"/>
      <c r="X1117" s="111" t="n"/>
    </row>
    <row r="1118">
      <c r="A1118" s="34" t="n">
        <v>1116</v>
      </c>
      <c r="I1118" s="111" t="n"/>
      <c r="J1118" s="111" t="n"/>
      <c r="K1118" s="111" t="n"/>
      <c r="L1118" s="111" t="n"/>
      <c r="V1118" s="111" t="n"/>
      <c r="W1118" s="111" t="n"/>
      <c r="X1118" s="111" t="n"/>
    </row>
    <row r="1119">
      <c r="A1119" s="34" t="n">
        <v>1117</v>
      </c>
      <c r="I1119" s="111" t="n"/>
      <c r="J1119" s="111" t="n"/>
      <c r="K1119" s="111" t="n"/>
      <c r="L1119" s="111" t="n"/>
      <c r="V1119" s="111" t="n"/>
      <c r="W1119" s="111" t="n"/>
      <c r="X1119" s="111" t="n"/>
    </row>
    <row r="1120">
      <c r="A1120" s="34" t="n">
        <v>1118</v>
      </c>
      <c r="I1120" s="111" t="n"/>
      <c r="J1120" s="111" t="n"/>
      <c r="K1120" s="111" t="n"/>
      <c r="L1120" s="111" t="n"/>
      <c r="V1120" s="111" t="n"/>
      <c r="W1120" s="111" t="n"/>
      <c r="X1120" s="111" t="n"/>
    </row>
    <row r="1121">
      <c r="A1121" s="34" t="n">
        <v>1119</v>
      </c>
      <c r="I1121" s="111" t="n"/>
      <c r="J1121" s="111" t="n"/>
      <c r="K1121" s="111" t="n"/>
      <c r="L1121" s="111" t="n"/>
      <c r="V1121" s="111" t="n"/>
      <c r="W1121" s="111" t="n"/>
      <c r="X1121" s="111" t="n"/>
    </row>
    <row r="1122">
      <c r="A1122" s="34" t="n">
        <v>1120</v>
      </c>
      <c r="I1122" s="111" t="n"/>
      <c r="J1122" s="111" t="n"/>
      <c r="K1122" s="111" t="n"/>
      <c r="L1122" s="111" t="n"/>
      <c r="V1122" s="111" t="n"/>
      <c r="W1122" s="111" t="n"/>
      <c r="X1122" s="111" t="n"/>
    </row>
    <row r="1123">
      <c r="A1123" s="34" t="n">
        <v>1121</v>
      </c>
      <c r="I1123" s="111" t="n"/>
      <c r="J1123" s="111" t="n"/>
      <c r="K1123" s="111" t="n"/>
      <c r="L1123" s="111" t="n"/>
      <c r="V1123" s="111" t="n"/>
      <c r="W1123" s="111" t="n"/>
      <c r="X1123" s="111" t="n"/>
    </row>
    <row r="1124">
      <c r="A1124" s="34" t="n">
        <v>1122</v>
      </c>
      <c r="I1124" s="111" t="n"/>
      <c r="J1124" s="111" t="n"/>
      <c r="K1124" s="111" t="n"/>
      <c r="L1124" s="111" t="n"/>
      <c r="V1124" s="111" t="n"/>
      <c r="W1124" s="111" t="n"/>
      <c r="X1124" s="111" t="n"/>
    </row>
    <row r="1125">
      <c r="A1125" s="34" t="n">
        <v>1123</v>
      </c>
      <c r="I1125" s="111" t="n"/>
      <c r="J1125" s="111" t="n"/>
      <c r="K1125" s="111" t="n"/>
      <c r="L1125" s="111" t="n"/>
      <c r="V1125" s="111" t="n"/>
      <c r="W1125" s="111" t="n"/>
      <c r="X1125" s="111" t="n"/>
    </row>
    <row r="1126">
      <c r="A1126" s="34" t="n">
        <v>1124</v>
      </c>
      <c r="I1126" s="111" t="n"/>
      <c r="J1126" s="111" t="n"/>
      <c r="K1126" s="111" t="n"/>
      <c r="L1126" s="111" t="n"/>
      <c r="V1126" s="111" t="n"/>
      <c r="W1126" s="111" t="n"/>
      <c r="X1126" s="111" t="n"/>
    </row>
    <row r="1127">
      <c r="A1127" s="34" t="n">
        <v>1125</v>
      </c>
      <c r="I1127" s="111" t="n"/>
      <c r="J1127" s="111" t="n"/>
      <c r="K1127" s="111" t="n"/>
      <c r="L1127" s="111" t="n"/>
      <c r="V1127" s="111" t="n"/>
      <c r="W1127" s="111" t="n"/>
      <c r="X1127" s="111" t="n"/>
    </row>
    <row r="1128">
      <c r="A1128" s="34" t="n">
        <v>1126</v>
      </c>
      <c r="I1128" s="111" t="n"/>
      <c r="J1128" s="111" t="n"/>
      <c r="K1128" s="111" t="n"/>
      <c r="L1128" s="111" t="n"/>
      <c r="V1128" s="111" t="n"/>
      <c r="W1128" s="111" t="n"/>
      <c r="X1128" s="111" t="n"/>
    </row>
    <row r="1129">
      <c r="A1129" s="34" t="n">
        <v>1127</v>
      </c>
      <c r="I1129" s="111" t="n"/>
      <c r="J1129" s="111" t="n"/>
      <c r="K1129" s="111" t="n"/>
      <c r="L1129" s="111" t="n"/>
      <c r="V1129" s="111" t="n"/>
      <c r="W1129" s="111" t="n"/>
      <c r="X1129" s="111" t="n"/>
    </row>
    <row r="1130">
      <c r="A1130" s="34" t="n">
        <v>1128</v>
      </c>
      <c r="I1130" s="111" t="n"/>
      <c r="J1130" s="111" t="n"/>
      <c r="K1130" s="111" t="n"/>
      <c r="L1130" s="111" t="n"/>
      <c r="V1130" s="111" t="n"/>
      <c r="W1130" s="111" t="n"/>
      <c r="X1130" s="111" t="n"/>
    </row>
    <row r="1131">
      <c r="A1131" s="34" t="n">
        <v>1129</v>
      </c>
      <c r="I1131" s="111" t="n"/>
      <c r="J1131" s="111" t="n"/>
      <c r="K1131" s="111" t="n"/>
      <c r="L1131" s="111" t="n"/>
      <c r="V1131" s="111" t="n"/>
      <c r="W1131" s="111" t="n"/>
      <c r="X1131" s="111" t="n"/>
    </row>
    <row r="1132">
      <c r="A1132" s="34" t="n">
        <v>1130</v>
      </c>
      <c r="I1132" s="111" t="n"/>
      <c r="J1132" s="111" t="n"/>
      <c r="K1132" s="111" t="n"/>
      <c r="L1132" s="111" t="n"/>
      <c r="V1132" s="111" t="n"/>
      <c r="W1132" s="111" t="n"/>
      <c r="X1132" s="111" t="n"/>
    </row>
    <row r="1133">
      <c r="A1133" s="34" t="n">
        <v>1131</v>
      </c>
      <c r="I1133" s="111" t="n"/>
      <c r="J1133" s="111" t="n"/>
      <c r="K1133" s="111" t="n"/>
      <c r="L1133" s="111" t="n"/>
      <c r="V1133" s="111" t="n"/>
      <c r="W1133" s="111" t="n"/>
      <c r="X1133" s="111" t="n"/>
    </row>
    <row r="1134">
      <c r="A1134" s="34" t="n">
        <v>1132</v>
      </c>
      <c r="I1134" s="111" t="n"/>
      <c r="J1134" s="111" t="n"/>
      <c r="K1134" s="111" t="n"/>
      <c r="L1134" s="111" t="n"/>
      <c r="V1134" s="111" t="n"/>
      <c r="W1134" s="111" t="n"/>
      <c r="X1134" s="111" t="n"/>
    </row>
    <row r="1135">
      <c r="A1135" s="34" t="n">
        <v>1133</v>
      </c>
      <c r="I1135" s="111" t="n"/>
      <c r="J1135" s="111" t="n"/>
      <c r="K1135" s="111" t="n"/>
      <c r="L1135" s="111" t="n"/>
      <c r="V1135" s="111" t="n"/>
      <c r="W1135" s="111" t="n"/>
      <c r="X1135" s="111" t="n"/>
    </row>
    <row r="1136">
      <c r="A1136" s="34" t="n">
        <v>1134</v>
      </c>
      <c r="I1136" s="111" t="n"/>
      <c r="J1136" s="111" t="n"/>
      <c r="K1136" s="111" t="n"/>
      <c r="L1136" s="111" t="n"/>
      <c r="V1136" s="111" t="n"/>
      <c r="W1136" s="111" t="n"/>
      <c r="X1136" s="111" t="n"/>
    </row>
    <row r="1137">
      <c r="A1137" s="34" t="n">
        <v>1135</v>
      </c>
      <c r="I1137" s="111" t="n"/>
      <c r="J1137" s="111" t="n"/>
      <c r="K1137" s="111" t="n"/>
      <c r="L1137" s="111" t="n"/>
      <c r="V1137" s="111" t="n"/>
      <c r="W1137" s="111" t="n"/>
      <c r="X1137" s="111" t="n"/>
    </row>
    <row r="1138">
      <c r="A1138" s="34" t="n">
        <v>1136</v>
      </c>
      <c r="I1138" s="111" t="n"/>
      <c r="J1138" s="111" t="n"/>
      <c r="K1138" s="111" t="n"/>
      <c r="L1138" s="111" t="n"/>
      <c r="V1138" s="111" t="n"/>
      <c r="W1138" s="111" t="n"/>
      <c r="X1138" s="111" t="n"/>
    </row>
    <row r="1139">
      <c r="A1139" s="34" t="n">
        <v>1137</v>
      </c>
      <c r="I1139" s="111" t="n"/>
      <c r="J1139" s="111" t="n"/>
      <c r="K1139" s="111" t="n"/>
      <c r="L1139" s="111" t="n"/>
      <c r="V1139" s="111" t="n"/>
      <c r="W1139" s="111" t="n"/>
      <c r="X1139" s="111" t="n"/>
    </row>
    <row r="1140">
      <c r="A1140" s="34" t="n">
        <v>1138</v>
      </c>
      <c r="I1140" s="111" t="n"/>
      <c r="J1140" s="111" t="n"/>
      <c r="K1140" s="111" t="n"/>
      <c r="L1140" s="111" t="n"/>
      <c r="V1140" s="111" t="n"/>
      <c r="W1140" s="111" t="n"/>
      <c r="X1140" s="111" t="n"/>
    </row>
    <row r="1141">
      <c r="A1141" s="34" t="n">
        <v>1139</v>
      </c>
      <c r="I1141" s="111" t="n"/>
      <c r="J1141" s="111" t="n"/>
      <c r="K1141" s="111" t="n"/>
      <c r="L1141" s="111" t="n"/>
      <c r="V1141" s="111" t="n"/>
      <c r="W1141" s="111" t="n"/>
      <c r="X1141" s="111" t="n"/>
    </row>
    <row r="1142">
      <c r="A1142" s="34" t="n">
        <v>1140</v>
      </c>
      <c r="I1142" s="111" t="n"/>
      <c r="J1142" s="111" t="n"/>
      <c r="K1142" s="111" t="n"/>
      <c r="L1142" s="111" t="n"/>
      <c r="V1142" s="111" t="n"/>
      <c r="W1142" s="111" t="n"/>
      <c r="X1142" s="111" t="n"/>
    </row>
    <row r="1143">
      <c r="A1143" s="34" t="n">
        <v>1141</v>
      </c>
      <c r="I1143" s="111" t="n"/>
      <c r="J1143" s="111" t="n"/>
      <c r="K1143" s="111" t="n"/>
      <c r="L1143" s="111" t="n"/>
      <c r="V1143" s="111" t="n"/>
      <c r="W1143" s="111" t="n"/>
      <c r="X1143" s="111" t="n"/>
    </row>
    <row r="1144">
      <c r="A1144" s="34" t="n">
        <v>1142</v>
      </c>
      <c r="I1144" s="111" t="n"/>
      <c r="J1144" s="111" t="n"/>
      <c r="K1144" s="111" t="n"/>
      <c r="L1144" s="111" t="n"/>
      <c r="V1144" s="111" t="n"/>
      <c r="W1144" s="111" t="n"/>
      <c r="X1144" s="111" t="n"/>
    </row>
    <row r="1145">
      <c r="A1145" s="34" t="n">
        <v>1143</v>
      </c>
      <c r="I1145" s="111" t="n"/>
      <c r="J1145" s="111" t="n"/>
      <c r="K1145" s="111" t="n"/>
      <c r="L1145" s="111" t="n"/>
      <c r="V1145" s="111" t="n"/>
      <c r="W1145" s="111" t="n"/>
      <c r="X1145" s="111" t="n"/>
    </row>
    <row r="1146">
      <c r="A1146" s="34" t="n">
        <v>1144</v>
      </c>
      <c r="I1146" s="111" t="n"/>
      <c r="J1146" s="111" t="n"/>
      <c r="K1146" s="111" t="n"/>
      <c r="L1146" s="111" t="n"/>
      <c r="V1146" s="111" t="n"/>
      <c r="W1146" s="111" t="n"/>
      <c r="X1146" s="111" t="n"/>
    </row>
    <row r="1147">
      <c r="A1147" s="34" t="n">
        <v>1145</v>
      </c>
      <c r="I1147" s="111" t="n"/>
      <c r="J1147" s="111" t="n"/>
      <c r="K1147" s="111" t="n"/>
      <c r="L1147" s="111" t="n"/>
      <c r="V1147" s="111" t="n"/>
      <c r="W1147" s="111" t="n"/>
      <c r="X1147" s="111" t="n"/>
    </row>
    <row r="1148">
      <c r="A1148" s="34" t="n">
        <v>1146</v>
      </c>
      <c r="I1148" s="111" t="n"/>
      <c r="J1148" s="111" t="n"/>
      <c r="K1148" s="111" t="n"/>
      <c r="L1148" s="111" t="n"/>
      <c r="V1148" s="111" t="n"/>
      <c r="W1148" s="111" t="n"/>
      <c r="X1148" s="111" t="n"/>
    </row>
    <row r="1149">
      <c r="A1149" s="34" t="n">
        <v>1147</v>
      </c>
      <c r="I1149" s="111" t="n"/>
      <c r="J1149" s="111" t="n"/>
      <c r="K1149" s="111" t="n"/>
      <c r="L1149" s="111" t="n"/>
      <c r="V1149" s="111" t="n"/>
      <c r="W1149" s="111" t="n"/>
      <c r="X1149" s="111" t="n"/>
    </row>
    <row r="1150">
      <c r="A1150" s="34" t="n">
        <v>1148</v>
      </c>
      <c r="I1150" s="111" t="n"/>
      <c r="J1150" s="111" t="n"/>
      <c r="K1150" s="111" t="n"/>
      <c r="L1150" s="111" t="n"/>
      <c r="V1150" s="111" t="n"/>
      <c r="W1150" s="111" t="n"/>
      <c r="X1150" s="111" t="n"/>
    </row>
    <row r="1151">
      <c r="A1151" s="34" t="n">
        <v>1149</v>
      </c>
      <c r="I1151" s="111" t="n"/>
      <c r="J1151" s="111" t="n"/>
      <c r="K1151" s="111" t="n"/>
      <c r="L1151" s="111" t="n"/>
      <c r="V1151" s="111" t="n"/>
      <c r="W1151" s="111" t="n"/>
      <c r="X1151" s="111" t="n"/>
    </row>
    <row r="1152">
      <c r="A1152" s="34" t="n">
        <v>1150</v>
      </c>
      <c r="I1152" s="111" t="n"/>
      <c r="J1152" s="111" t="n"/>
      <c r="K1152" s="111" t="n"/>
      <c r="L1152" s="111" t="n"/>
      <c r="V1152" s="111" t="n"/>
      <c r="W1152" s="111" t="n"/>
      <c r="X1152" s="111" t="n"/>
    </row>
    <row r="1153">
      <c r="A1153" s="34" t="n">
        <v>1151</v>
      </c>
      <c r="I1153" s="111" t="n"/>
      <c r="J1153" s="111" t="n"/>
      <c r="K1153" s="111" t="n"/>
      <c r="L1153" s="111" t="n"/>
      <c r="V1153" s="111" t="n"/>
      <c r="W1153" s="111" t="n"/>
      <c r="X1153" s="111" t="n"/>
    </row>
    <row r="1154">
      <c r="A1154" s="34" t="n">
        <v>1152</v>
      </c>
      <c r="I1154" s="111" t="n"/>
      <c r="J1154" s="111" t="n"/>
      <c r="K1154" s="111" t="n"/>
      <c r="L1154" s="111" t="n"/>
      <c r="V1154" s="111" t="n"/>
      <c r="W1154" s="111" t="n"/>
      <c r="X1154" s="111" t="n"/>
    </row>
    <row r="1155">
      <c r="A1155" s="34" t="n">
        <v>1153</v>
      </c>
      <c r="I1155" s="111" t="n"/>
      <c r="J1155" s="111" t="n"/>
      <c r="K1155" s="111" t="n"/>
      <c r="L1155" s="111" t="n"/>
      <c r="V1155" s="111" t="n"/>
      <c r="W1155" s="111" t="n"/>
      <c r="X1155" s="111" t="n"/>
    </row>
    <row r="1156">
      <c r="A1156" s="34" t="n">
        <v>1154</v>
      </c>
      <c r="I1156" s="111" t="n"/>
      <c r="J1156" s="111" t="n"/>
      <c r="K1156" s="111" t="n"/>
      <c r="L1156" s="111" t="n"/>
      <c r="V1156" s="111" t="n"/>
      <c r="W1156" s="111" t="n"/>
      <c r="X1156" s="111" t="n"/>
    </row>
    <row r="1157">
      <c r="A1157" s="34" t="n">
        <v>1155</v>
      </c>
      <c r="I1157" s="111" t="n"/>
      <c r="J1157" s="111" t="n"/>
      <c r="K1157" s="111" t="n"/>
      <c r="L1157" s="111" t="n"/>
      <c r="V1157" s="111" t="n"/>
      <c r="W1157" s="111" t="n"/>
      <c r="X1157" s="111" t="n"/>
    </row>
    <row r="1158">
      <c r="A1158" s="34" t="n">
        <v>1156</v>
      </c>
      <c r="I1158" s="111" t="n"/>
      <c r="J1158" s="111" t="n"/>
      <c r="K1158" s="111" t="n"/>
      <c r="L1158" s="111" t="n"/>
      <c r="V1158" s="111" t="n"/>
      <c r="W1158" s="111" t="n"/>
      <c r="X1158" s="111" t="n"/>
    </row>
    <row r="1159">
      <c r="A1159" s="34" t="n">
        <v>1157</v>
      </c>
      <c r="I1159" s="111" t="n"/>
      <c r="J1159" s="111" t="n"/>
      <c r="K1159" s="111" t="n"/>
      <c r="L1159" s="111" t="n"/>
      <c r="V1159" s="111" t="n"/>
      <c r="W1159" s="111" t="n"/>
      <c r="X1159" s="111" t="n"/>
    </row>
    <row r="1160">
      <c r="A1160" s="34" t="n">
        <v>1158</v>
      </c>
      <c r="I1160" s="111" t="n"/>
      <c r="J1160" s="111" t="n"/>
      <c r="K1160" s="111" t="n"/>
      <c r="L1160" s="111" t="n"/>
      <c r="V1160" s="111" t="n"/>
      <c r="W1160" s="111" t="n"/>
      <c r="X1160" s="111" t="n"/>
    </row>
    <row r="1161">
      <c r="A1161" s="34" t="n">
        <v>1159</v>
      </c>
      <c r="I1161" s="111" t="n"/>
      <c r="J1161" s="111" t="n"/>
      <c r="K1161" s="111" t="n"/>
      <c r="L1161" s="111" t="n"/>
      <c r="V1161" s="111" t="n"/>
      <c r="W1161" s="111" t="n"/>
      <c r="X1161" s="111" t="n"/>
    </row>
    <row r="1162">
      <c r="A1162" s="34" t="n">
        <v>1160</v>
      </c>
      <c r="I1162" s="111" t="n"/>
      <c r="J1162" s="111" t="n"/>
      <c r="K1162" s="111" t="n"/>
      <c r="L1162" s="111" t="n"/>
      <c r="V1162" s="111" t="n"/>
      <c r="W1162" s="111" t="n"/>
      <c r="X1162" s="111" t="n"/>
    </row>
    <row r="1163">
      <c r="A1163" s="34" t="n">
        <v>1161</v>
      </c>
      <c r="I1163" s="111" t="n"/>
      <c r="J1163" s="111" t="n"/>
      <c r="K1163" s="111" t="n"/>
      <c r="L1163" s="111" t="n"/>
      <c r="V1163" s="111" t="n"/>
      <c r="W1163" s="111" t="n"/>
      <c r="X1163" s="111" t="n"/>
    </row>
    <row r="1164">
      <c r="A1164" s="34" t="n">
        <v>1162</v>
      </c>
      <c r="I1164" s="111" t="n"/>
      <c r="J1164" s="111" t="n"/>
      <c r="K1164" s="111" t="n"/>
      <c r="L1164" s="111" t="n"/>
      <c r="V1164" s="111" t="n"/>
      <c r="W1164" s="111" t="n"/>
      <c r="X1164" s="111" t="n"/>
    </row>
    <row r="1165">
      <c r="A1165" s="34" t="n">
        <v>1163</v>
      </c>
      <c r="I1165" s="111" t="n"/>
      <c r="J1165" s="111" t="n"/>
      <c r="K1165" s="111" t="n"/>
      <c r="L1165" s="111" t="n"/>
      <c r="V1165" s="111" t="n"/>
      <c r="W1165" s="111" t="n"/>
      <c r="X1165" s="111" t="n"/>
    </row>
    <row r="1166">
      <c r="A1166" s="34" t="n">
        <v>1164</v>
      </c>
      <c r="I1166" s="111" t="n"/>
      <c r="J1166" s="111" t="n"/>
      <c r="K1166" s="111" t="n"/>
      <c r="L1166" s="111" t="n"/>
      <c r="V1166" s="111" t="n"/>
      <c r="W1166" s="111" t="n"/>
      <c r="X1166" s="111" t="n"/>
    </row>
    <row r="1167">
      <c r="A1167" s="34" t="n">
        <v>1165</v>
      </c>
      <c r="I1167" s="111" t="n"/>
      <c r="J1167" s="111" t="n"/>
      <c r="K1167" s="111" t="n"/>
      <c r="L1167" s="111" t="n"/>
      <c r="V1167" s="111" t="n"/>
      <c r="W1167" s="111" t="n"/>
      <c r="X1167" s="111" t="n"/>
    </row>
    <row r="1168">
      <c r="A1168" s="34" t="n">
        <v>1166</v>
      </c>
      <c r="I1168" s="111" t="n"/>
      <c r="J1168" s="111" t="n"/>
      <c r="K1168" s="111" t="n"/>
      <c r="L1168" s="111" t="n"/>
      <c r="V1168" s="111" t="n"/>
      <c r="W1168" s="111" t="n"/>
      <c r="X1168" s="111" t="n"/>
    </row>
    <row r="1169">
      <c r="A1169" s="34" t="n">
        <v>1167</v>
      </c>
      <c r="I1169" s="111" t="n"/>
      <c r="J1169" s="111" t="n"/>
      <c r="K1169" s="111" t="n"/>
      <c r="L1169" s="111" t="n"/>
      <c r="V1169" s="111" t="n"/>
      <c r="W1169" s="111" t="n"/>
      <c r="X1169" s="111" t="n"/>
    </row>
    <row r="1170">
      <c r="A1170" s="34" t="n">
        <v>1168</v>
      </c>
      <c r="I1170" s="111" t="n"/>
      <c r="J1170" s="111" t="n"/>
      <c r="K1170" s="111" t="n"/>
      <c r="L1170" s="111" t="n"/>
      <c r="V1170" s="111" t="n"/>
      <c r="W1170" s="111" t="n"/>
      <c r="X1170" s="111" t="n"/>
    </row>
    <row r="1171">
      <c r="A1171" s="34" t="n">
        <v>1169</v>
      </c>
      <c r="I1171" s="111" t="n"/>
      <c r="J1171" s="111" t="n"/>
      <c r="K1171" s="111" t="n"/>
      <c r="L1171" s="111" t="n"/>
      <c r="V1171" s="111" t="n"/>
      <c r="W1171" s="111" t="n"/>
      <c r="X1171" s="111" t="n"/>
    </row>
    <row r="1172">
      <c r="A1172" s="34" t="n">
        <v>1170</v>
      </c>
      <c r="I1172" s="111" t="n"/>
      <c r="J1172" s="111" t="n"/>
      <c r="K1172" s="111" t="n"/>
      <c r="L1172" s="111" t="n"/>
      <c r="V1172" s="111" t="n"/>
      <c r="W1172" s="111" t="n"/>
      <c r="X1172" s="111" t="n"/>
    </row>
    <row r="1173">
      <c r="A1173" s="34" t="n">
        <v>1171</v>
      </c>
      <c r="I1173" s="111" t="n"/>
      <c r="J1173" s="111" t="n"/>
      <c r="K1173" s="111" t="n"/>
      <c r="L1173" s="111" t="n"/>
      <c r="V1173" s="111" t="n"/>
      <c r="W1173" s="111" t="n"/>
      <c r="X1173" s="111" t="n"/>
    </row>
    <row r="1174">
      <c r="A1174" s="34" t="n">
        <v>1172</v>
      </c>
      <c r="I1174" s="111" t="n"/>
      <c r="J1174" s="111" t="n"/>
      <c r="K1174" s="111" t="n"/>
      <c r="L1174" s="111" t="n"/>
      <c r="V1174" s="111" t="n"/>
      <c r="W1174" s="111" t="n"/>
      <c r="X1174" s="111" t="n"/>
    </row>
    <row r="1175">
      <c r="A1175" s="34" t="n">
        <v>1173</v>
      </c>
      <c r="I1175" s="111" t="n"/>
      <c r="J1175" s="111" t="n"/>
      <c r="K1175" s="111" t="n"/>
      <c r="L1175" s="111" t="n"/>
      <c r="V1175" s="111" t="n"/>
      <c r="W1175" s="111" t="n"/>
      <c r="X1175" s="111" t="n"/>
    </row>
    <row r="1176">
      <c r="A1176" s="34" t="n">
        <v>1174</v>
      </c>
      <c r="I1176" s="111" t="n"/>
      <c r="J1176" s="111" t="n"/>
      <c r="K1176" s="111" t="n"/>
      <c r="L1176" s="111" t="n"/>
      <c r="V1176" s="111" t="n"/>
      <c r="W1176" s="111" t="n"/>
      <c r="X1176" s="111" t="n"/>
    </row>
    <row r="1177">
      <c r="A1177" s="34" t="n">
        <v>1175</v>
      </c>
      <c r="I1177" s="111" t="n"/>
      <c r="J1177" s="111" t="n"/>
      <c r="K1177" s="111" t="n"/>
      <c r="L1177" s="111" t="n"/>
      <c r="V1177" s="111" t="n"/>
      <c r="W1177" s="111" t="n"/>
      <c r="X1177" s="111" t="n"/>
    </row>
    <row r="1178">
      <c r="A1178" s="34" t="n">
        <v>1176</v>
      </c>
      <c r="I1178" s="111" t="n"/>
      <c r="J1178" s="111" t="n"/>
      <c r="K1178" s="111" t="n"/>
      <c r="L1178" s="111" t="n"/>
      <c r="V1178" s="111" t="n"/>
      <c r="W1178" s="111" t="n"/>
      <c r="X1178" s="111" t="n"/>
    </row>
    <row r="1179">
      <c r="A1179" s="34" t="n">
        <v>1177</v>
      </c>
      <c r="I1179" s="111" t="n"/>
      <c r="J1179" s="111" t="n"/>
      <c r="K1179" s="111" t="n"/>
      <c r="L1179" s="111" t="n"/>
      <c r="V1179" s="111" t="n"/>
      <c r="W1179" s="111" t="n"/>
      <c r="X1179" s="111" t="n"/>
    </row>
    <row r="1180">
      <c r="A1180" s="34" t="n">
        <v>1178</v>
      </c>
      <c r="I1180" s="111" t="n"/>
      <c r="J1180" s="111" t="n"/>
      <c r="K1180" s="111" t="n"/>
      <c r="L1180" s="111" t="n"/>
      <c r="V1180" s="111" t="n"/>
      <c r="W1180" s="111" t="n"/>
      <c r="X1180" s="111" t="n"/>
    </row>
    <row r="1181">
      <c r="A1181" s="34" t="n">
        <v>1179</v>
      </c>
      <c r="I1181" s="111" t="n"/>
      <c r="J1181" s="111" t="n"/>
      <c r="K1181" s="111" t="n"/>
      <c r="L1181" s="111" t="n"/>
      <c r="V1181" s="111" t="n"/>
      <c r="W1181" s="111" t="n"/>
      <c r="X1181" s="111" t="n"/>
    </row>
    <row r="1182">
      <c r="A1182" s="34" t="n">
        <v>1180</v>
      </c>
      <c r="I1182" s="111" t="n"/>
      <c r="J1182" s="111" t="n"/>
      <c r="K1182" s="111" t="n"/>
      <c r="L1182" s="111" t="n"/>
      <c r="V1182" s="111" t="n"/>
      <c r="W1182" s="111" t="n"/>
      <c r="X1182" s="111" t="n"/>
    </row>
    <row r="1183">
      <c r="A1183" s="34" t="n">
        <v>1181</v>
      </c>
      <c r="I1183" s="111" t="n"/>
      <c r="J1183" s="111" t="n"/>
      <c r="K1183" s="111" t="n"/>
      <c r="L1183" s="111" t="n"/>
      <c r="V1183" s="111" t="n"/>
      <c r="W1183" s="111" t="n"/>
      <c r="X1183" s="111" t="n"/>
    </row>
    <row r="1184">
      <c r="A1184" s="34" t="n">
        <v>1182</v>
      </c>
      <c r="I1184" s="111" t="n"/>
      <c r="J1184" s="111" t="n"/>
      <c r="K1184" s="111" t="n"/>
      <c r="L1184" s="111" t="n"/>
      <c r="V1184" s="111" t="n"/>
      <c r="W1184" s="111" t="n"/>
      <c r="X1184" s="111" t="n"/>
    </row>
    <row r="1185">
      <c r="A1185" s="34" t="n">
        <v>1183</v>
      </c>
      <c r="I1185" s="111" t="n"/>
      <c r="J1185" s="111" t="n"/>
      <c r="K1185" s="111" t="n"/>
      <c r="L1185" s="111" t="n"/>
      <c r="V1185" s="111" t="n"/>
      <c r="W1185" s="111" t="n"/>
      <c r="X1185" s="111" t="n"/>
    </row>
    <row r="1186">
      <c r="A1186" s="34" t="n">
        <v>1184</v>
      </c>
      <c r="I1186" s="111" t="n"/>
      <c r="J1186" s="111" t="n"/>
      <c r="K1186" s="111" t="n"/>
      <c r="L1186" s="111" t="n"/>
      <c r="V1186" s="111" t="n"/>
      <c r="W1186" s="111" t="n"/>
      <c r="X1186" s="111" t="n"/>
    </row>
    <row r="1187">
      <c r="A1187" s="34" t="n">
        <v>1185</v>
      </c>
      <c r="I1187" s="111" t="n"/>
      <c r="J1187" s="111" t="n"/>
      <c r="K1187" s="111" t="n"/>
      <c r="L1187" s="111" t="n"/>
      <c r="V1187" s="111" t="n"/>
      <c r="W1187" s="111" t="n"/>
      <c r="X1187" s="111" t="n"/>
    </row>
    <row r="1188">
      <c r="A1188" s="34" t="n">
        <v>1186</v>
      </c>
      <c r="I1188" s="111" t="n"/>
      <c r="J1188" s="111" t="n"/>
      <c r="K1188" s="111" t="n"/>
      <c r="L1188" s="111" t="n"/>
      <c r="V1188" s="111" t="n"/>
      <c r="W1188" s="111" t="n"/>
      <c r="X1188" s="111" t="n"/>
    </row>
    <row r="1189">
      <c r="A1189" s="34" t="n">
        <v>1187</v>
      </c>
      <c r="I1189" s="111" t="n"/>
      <c r="J1189" s="111" t="n"/>
      <c r="K1189" s="111" t="n"/>
      <c r="L1189" s="111" t="n"/>
      <c r="V1189" s="111" t="n"/>
      <c r="W1189" s="111" t="n"/>
      <c r="X1189" s="111" t="n"/>
    </row>
    <row r="1190">
      <c r="A1190" s="34" t="n">
        <v>1188</v>
      </c>
      <c r="I1190" s="111" t="n"/>
      <c r="J1190" s="111" t="n"/>
      <c r="K1190" s="111" t="n"/>
      <c r="L1190" s="111" t="n"/>
      <c r="V1190" s="111" t="n"/>
      <c r="W1190" s="111" t="n"/>
      <c r="X1190" s="111" t="n"/>
    </row>
    <row r="1191">
      <c r="A1191" s="34" t="n">
        <v>1189</v>
      </c>
      <c r="I1191" s="111" t="n"/>
      <c r="J1191" s="111" t="n"/>
      <c r="K1191" s="111" t="n"/>
      <c r="L1191" s="111" t="n"/>
      <c r="V1191" s="111" t="n"/>
      <c r="W1191" s="111" t="n"/>
      <c r="X1191" s="111" t="n"/>
    </row>
    <row r="1192">
      <c r="A1192" s="34" t="n">
        <v>1190</v>
      </c>
      <c r="I1192" s="111" t="n"/>
      <c r="J1192" s="111" t="n"/>
      <c r="K1192" s="111" t="n"/>
      <c r="L1192" s="111" t="n"/>
      <c r="V1192" s="111" t="n"/>
      <c r="W1192" s="111" t="n"/>
      <c r="X1192" s="111" t="n"/>
    </row>
    <row r="1193">
      <c r="A1193" s="34" t="n">
        <v>1191</v>
      </c>
      <c r="I1193" s="111" t="n"/>
      <c r="J1193" s="111" t="n"/>
      <c r="K1193" s="111" t="n"/>
      <c r="L1193" s="111" t="n"/>
      <c r="V1193" s="111" t="n"/>
      <c r="W1193" s="111" t="n"/>
      <c r="X1193" s="111" t="n"/>
    </row>
    <row r="1194">
      <c r="A1194" s="34" t="n">
        <v>1192</v>
      </c>
      <c r="I1194" s="111" t="n"/>
      <c r="J1194" s="111" t="n"/>
      <c r="K1194" s="111" t="n"/>
      <c r="L1194" s="111" t="n"/>
      <c r="V1194" s="111" t="n"/>
      <c r="W1194" s="111" t="n"/>
      <c r="X1194" s="111" t="n"/>
    </row>
    <row r="1195">
      <c r="A1195" s="34" t="n">
        <v>1193</v>
      </c>
      <c r="I1195" s="111" t="n"/>
      <c r="J1195" s="111" t="n"/>
      <c r="K1195" s="111" t="n"/>
      <c r="L1195" s="111" t="n"/>
      <c r="V1195" s="111" t="n"/>
      <c r="W1195" s="111" t="n"/>
      <c r="X1195" s="111" t="n"/>
    </row>
    <row r="1196">
      <c r="A1196" s="34" t="n">
        <v>1194</v>
      </c>
      <c r="I1196" s="111" t="n"/>
      <c r="J1196" s="111" t="n"/>
      <c r="K1196" s="111" t="n"/>
      <c r="L1196" s="111" t="n"/>
      <c r="V1196" s="111" t="n"/>
      <c r="W1196" s="111" t="n"/>
      <c r="X1196" s="111" t="n"/>
    </row>
    <row r="1197">
      <c r="A1197" s="34" t="n">
        <v>1195</v>
      </c>
      <c r="I1197" s="111" t="n"/>
      <c r="J1197" s="111" t="n"/>
      <c r="K1197" s="111" t="n"/>
      <c r="L1197" s="111" t="n"/>
      <c r="V1197" s="111" t="n"/>
      <c r="W1197" s="111" t="n"/>
      <c r="X1197" s="111" t="n"/>
    </row>
    <row r="1198">
      <c r="A1198" s="34" t="n">
        <v>1196</v>
      </c>
      <c r="I1198" s="111" t="n"/>
      <c r="J1198" s="111" t="n"/>
      <c r="K1198" s="111" t="n"/>
      <c r="L1198" s="111" t="n"/>
      <c r="V1198" s="111" t="n"/>
      <c r="W1198" s="111" t="n"/>
      <c r="X1198" s="111" t="n"/>
    </row>
    <row r="1199">
      <c r="A1199" s="34" t="n">
        <v>1197</v>
      </c>
      <c r="I1199" s="111" t="n"/>
      <c r="J1199" s="111" t="n"/>
      <c r="K1199" s="111" t="n"/>
      <c r="L1199" s="111" t="n"/>
      <c r="V1199" s="111" t="n"/>
      <c r="W1199" s="111" t="n"/>
      <c r="X1199" s="111" t="n"/>
    </row>
    <row r="1200">
      <c r="A1200" s="34" t="n">
        <v>1198</v>
      </c>
      <c r="I1200" s="111" t="n"/>
      <c r="J1200" s="111" t="n"/>
      <c r="K1200" s="111" t="n"/>
      <c r="L1200" s="111" t="n"/>
      <c r="V1200" s="111" t="n"/>
      <c r="W1200" s="111" t="n"/>
      <c r="X1200" s="111" t="n"/>
    </row>
    <row r="1201">
      <c r="A1201" s="34" t="n">
        <v>1199</v>
      </c>
      <c r="I1201" s="111" t="n"/>
      <c r="J1201" s="111" t="n"/>
      <c r="K1201" s="111" t="n"/>
      <c r="L1201" s="111" t="n"/>
      <c r="V1201" s="111" t="n"/>
      <c r="W1201" s="111" t="n"/>
      <c r="X1201" s="111" t="n"/>
    </row>
    <row r="1202">
      <c r="A1202" s="34" t="n">
        <v>1200</v>
      </c>
      <c r="I1202" s="111" t="n"/>
      <c r="J1202" s="111" t="n"/>
      <c r="K1202" s="111" t="n"/>
      <c r="L1202" s="111" t="n"/>
      <c r="V1202" s="111" t="n"/>
      <c r="W1202" s="111" t="n"/>
      <c r="X1202" s="111" t="n"/>
    </row>
    <row r="1203">
      <c r="A1203" s="34" t="n">
        <v>1201</v>
      </c>
      <c r="I1203" s="111" t="n"/>
      <c r="J1203" s="111" t="n"/>
      <c r="K1203" s="111" t="n"/>
      <c r="L1203" s="111" t="n"/>
      <c r="V1203" s="111" t="n"/>
      <c r="W1203" s="111" t="n"/>
      <c r="X1203" s="111" t="n"/>
    </row>
    <row r="1204">
      <c r="A1204" s="34" t="n">
        <v>1202</v>
      </c>
      <c r="I1204" s="111" t="n"/>
      <c r="J1204" s="111" t="n"/>
      <c r="K1204" s="111" t="n"/>
      <c r="L1204" s="111" t="n"/>
      <c r="V1204" s="111" t="n"/>
      <c r="W1204" s="111" t="n"/>
      <c r="X1204" s="111" t="n"/>
    </row>
    <row r="1205">
      <c r="A1205" s="34" t="n">
        <v>1203</v>
      </c>
      <c r="I1205" s="111" t="n"/>
      <c r="J1205" s="111" t="n"/>
      <c r="K1205" s="111" t="n"/>
      <c r="L1205" s="111" t="n"/>
      <c r="V1205" s="111" t="n"/>
      <c r="W1205" s="111" t="n"/>
      <c r="X1205" s="111" t="n"/>
    </row>
    <row r="1206">
      <c r="A1206" s="34" t="n">
        <v>1204</v>
      </c>
      <c r="I1206" s="111" t="n"/>
      <c r="J1206" s="111" t="n"/>
      <c r="K1206" s="111" t="n"/>
      <c r="L1206" s="111" t="n"/>
      <c r="V1206" s="111" t="n"/>
      <c r="W1206" s="111" t="n"/>
      <c r="X1206" s="111" t="n"/>
    </row>
    <row r="1207">
      <c r="A1207" s="34" t="n">
        <v>1205</v>
      </c>
      <c r="I1207" s="111" t="n"/>
      <c r="J1207" s="111" t="n"/>
      <c r="K1207" s="111" t="n"/>
      <c r="L1207" s="111" t="n"/>
      <c r="V1207" s="111" t="n"/>
      <c r="W1207" s="111" t="n"/>
      <c r="X1207" s="111" t="n"/>
    </row>
    <row r="1208">
      <c r="A1208" s="34" t="n">
        <v>1206</v>
      </c>
      <c r="I1208" s="111" t="n"/>
      <c r="J1208" s="111" t="n"/>
      <c r="K1208" s="111" t="n"/>
      <c r="L1208" s="111" t="n"/>
      <c r="V1208" s="111" t="n"/>
      <c r="W1208" s="111" t="n"/>
      <c r="X1208" s="111" t="n"/>
    </row>
    <row r="1209">
      <c r="A1209" s="34" t="n">
        <v>1207</v>
      </c>
      <c r="I1209" s="111" t="n"/>
      <c r="J1209" s="111" t="n"/>
      <c r="K1209" s="111" t="n"/>
      <c r="L1209" s="111" t="n"/>
      <c r="V1209" s="111" t="n"/>
      <c r="W1209" s="111" t="n"/>
      <c r="X1209" s="111" t="n"/>
    </row>
    <row r="1210">
      <c r="A1210" s="34" t="n">
        <v>1208</v>
      </c>
      <c r="I1210" s="111" t="n"/>
      <c r="J1210" s="111" t="n"/>
      <c r="K1210" s="111" t="n"/>
      <c r="L1210" s="111" t="n"/>
      <c r="V1210" s="111" t="n"/>
      <c r="W1210" s="111" t="n"/>
      <c r="X1210" s="111" t="n"/>
    </row>
    <row r="1211">
      <c r="A1211" s="34" t="n">
        <v>1209</v>
      </c>
      <c r="I1211" s="111" t="n"/>
      <c r="J1211" s="111" t="n"/>
      <c r="K1211" s="111" t="n"/>
      <c r="L1211" s="111" t="n"/>
      <c r="V1211" s="111" t="n"/>
      <c r="W1211" s="111" t="n"/>
      <c r="X1211" s="111" t="n"/>
    </row>
    <row r="1212">
      <c r="A1212" s="34" t="n">
        <v>1210</v>
      </c>
      <c r="I1212" s="111" t="n"/>
      <c r="J1212" s="111" t="n"/>
      <c r="K1212" s="111" t="n"/>
      <c r="L1212" s="111" t="n"/>
      <c r="V1212" s="111" t="n"/>
      <c r="W1212" s="111" t="n"/>
      <c r="X1212" s="111" t="n"/>
    </row>
    <row r="1213">
      <c r="A1213" s="34" t="n">
        <v>1211</v>
      </c>
      <c r="I1213" s="111" t="n"/>
      <c r="J1213" s="111" t="n"/>
      <c r="K1213" s="111" t="n"/>
      <c r="L1213" s="111" t="n"/>
      <c r="V1213" s="111" t="n"/>
      <c r="W1213" s="111" t="n"/>
      <c r="X1213" s="111" t="n"/>
    </row>
    <row r="1214">
      <c r="A1214" s="34" t="n">
        <v>1212</v>
      </c>
      <c r="I1214" s="111" t="n"/>
      <c r="J1214" s="111" t="n"/>
      <c r="K1214" s="111" t="n"/>
      <c r="L1214" s="111" t="n"/>
      <c r="V1214" s="111" t="n"/>
      <c r="W1214" s="111" t="n"/>
      <c r="X1214" s="111" t="n"/>
    </row>
    <row r="1215">
      <c r="A1215" s="34" t="n">
        <v>1213</v>
      </c>
      <c r="I1215" s="111" t="n"/>
      <c r="J1215" s="111" t="n"/>
      <c r="K1215" s="111" t="n"/>
      <c r="L1215" s="111" t="n"/>
      <c r="V1215" s="111" t="n"/>
      <c r="W1215" s="111" t="n"/>
      <c r="X1215" s="111" t="n"/>
    </row>
    <row r="1216">
      <c r="A1216" s="34" t="n"/>
      <c r="I1216" s="111" t="n"/>
      <c r="J1216" s="111" t="n"/>
      <c r="K1216" s="111" t="n"/>
      <c r="L1216" s="111" t="n"/>
      <c r="V1216" s="111" t="n"/>
      <c r="W1216" s="111" t="n"/>
      <c r="X1216" s="111" t="n"/>
    </row>
    <row r="1217">
      <c r="A1217" s="34" t="n"/>
      <c r="I1217" s="111" t="n"/>
      <c r="J1217" s="111" t="n"/>
      <c r="K1217" s="111" t="n"/>
      <c r="L1217" s="111" t="n"/>
      <c r="V1217" s="111" t="n"/>
      <c r="W1217" s="111" t="n"/>
      <c r="X1217" s="111" t="n"/>
    </row>
    <row r="1218">
      <c r="A1218" s="34" t="n"/>
      <c r="I1218" s="111" t="n"/>
      <c r="J1218" s="111" t="n"/>
      <c r="K1218" s="111" t="n"/>
      <c r="L1218" s="111" t="n"/>
      <c r="V1218" s="111" t="n"/>
      <c r="W1218" s="111" t="n"/>
      <c r="X1218" s="111" t="n"/>
    </row>
    <row r="1219">
      <c r="A1219" s="34" t="n"/>
      <c r="I1219" s="111" t="n"/>
      <c r="J1219" s="111" t="n"/>
      <c r="K1219" s="111" t="n"/>
      <c r="L1219" s="111" t="n"/>
      <c r="V1219" s="111" t="n"/>
      <c r="W1219" s="111" t="n"/>
      <c r="X1219" s="111" t="n"/>
    </row>
    <row r="1220">
      <c r="A1220" s="34" t="n"/>
      <c r="I1220" s="111" t="n"/>
      <c r="J1220" s="111" t="n"/>
      <c r="K1220" s="111" t="n"/>
      <c r="L1220" s="111" t="n"/>
      <c r="V1220" s="111" t="n"/>
      <c r="W1220" s="111" t="n"/>
      <c r="X1220" s="111" t="n"/>
    </row>
    <row r="1221">
      <c r="A1221" s="34" t="n"/>
      <c r="I1221" s="111" t="n"/>
      <c r="J1221" s="111" t="n"/>
      <c r="K1221" s="111" t="n"/>
      <c r="L1221" s="111" t="n"/>
      <c r="V1221" s="111" t="n"/>
      <c r="W1221" s="111" t="n"/>
      <c r="X1221" s="111" t="n"/>
    </row>
    <row r="1222">
      <c r="A1222" s="34" t="n"/>
      <c r="I1222" s="111" t="n"/>
      <c r="J1222" s="111" t="n"/>
      <c r="K1222" s="111" t="n"/>
      <c r="L1222" s="111" t="n"/>
      <c r="V1222" s="111" t="n"/>
      <c r="W1222" s="111" t="n"/>
      <c r="X1222" s="111" t="n"/>
    </row>
    <row r="1223">
      <c r="A1223" s="34" t="n"/>
      <c r="I1223" s="111" t="n"/>
      <c r="J1223" s="111" t="n"/>
      <c r="K1223" s="111" t="n"/>
      <c r="L1223" s="111" t="n"/>
      <c r="V1223" s="111" t="n"/>
      <c r="W1223" s="111" t="n"/>
      <c r="X1223" s="111" t="n"/>
    </row>
    <row r="1224">
      <c r="A1224" s="34" t="n"/>
      <c r="I1224" s="111" t="n"/>
      <c r="J1224" s="111" t="n"/>
      <c r="K1224" s="111" t="n"/>
      <c r="L1224" s="111" t="n"/>
      <c r="V1224" s="111" t="n"/>
      <c r="W1224" s="111" t="n"/>
      <c r="X1224" s="111" t="n"/>
    </row>
    <row r="1225">
      <c r="A1225" s="34" t="n"/>
      <c r="I1225" s="111" t="n"/>
      <c r="J1225" s="111" t="n"/>
      <c r="K1225" s="111" t="n"/>
      <c r="L1225" s="111" t="n"/>
      <c r="V1225" s="111" t="n"/>
      <c r="W1225" s="111" t="n"/>
      <c r="X1225" s="111" t="n"/>
    </row>
    <row r="1226">
      <c r="A1226" s="34" t="n"/>
      <c r="I1226" s="111" t="n"/>
      <c r="J1226" s="111" t="n"/>
      <c r="K1226" s="111" t="n"/>
      <c r="L1226" s="111" t="n"/>
      <c r="V1226" s="111" t="n"/>
      <c r="W1226" s="111" t="n"/>
      <c r="X1226" s="111" t="n"/>
    </row>
    <row r="1227">
      <c r="A1227" s="34" t="n"/>
      <c r="I1227" s="111" t="n"/>
      <c r="J1227" s="111" t="n"/>
      <c r="K1227" s="111" t="n"/>
      <c r="L1227" s="111" t="n"/>
      <c r="V1227" s="111" t="n"/>
      <c r="W1227" s="111" t="n"/>
      <c r="X1227" s="111" t="n"/>
    </row>
    <row r="1228">
      <c r="A1228" s="34" t="n"/>
      <c r="I1228" s="111" t="n"/>
      <c r="J1228" s="111" t="n"/>
      <c r="K1228" s="111" t="n"/>
      <c r="L1228" s="111" t="n"/>
      <c r="V1228" s="111" t="n"/>
      <c r="W1228" s="111" t="n"/>
      <c r="X1228" s="111" t="n"/>
    </row>
    <row r="1229">
      <c r="A1229" s="34" t="n"/>
      <c r="I1229" s="111" t="n"/>
      <c r="J1229" s="111" t="n"/>
      <c r="K1229" s="111" t="n"/>
      <c r="L1229" s="111" t="n"/>
      <c r="V1229" s="111" t="n"/>
      <c r="W1229" s="111" t="n"/>
      <c r="X1229" s="111" t="n"/>
    </row>
    <row r="1230">
      <c r="A1230" s="34" t="n"/>
      <c r="I1230" s="111" t="n"/>
      <c r="J1230" s="111" t="n"/>
      <c r="K1230" s="111" t="n"/>
      <c r="L1230" s="111" t="n"/>
      <c r="V1230" s="111" t="n"/>
      <c r="W1230" s="111" t="n"/>
      <c r="X1230" s="111" t="n"/>
    </row>
    <row r="1231">
      <c r="A1231" s="34" t="n"/>
      <c r="I1231" s="111" t="n"/>
      <c r="J1231" s="111" t="n"/>
      <c r="K1231" s="111" t="n"/>
      <c r="L1231" s="111" t="n"/>
      <c r="V1231" s="111" t="n"/>
      <c r="W1231" s="111" t="n"/>
      <c r="X1231" s="111" t="n"/>
    </row>
    <row r="1232">
      <c r="A1232" s="34" t="n"/>
      <c r="I1232" s="111" t="n"/>
      <c r="J1232" s="111" t="n"/>
      <c r="K1232" s="111" t="n"/>
      <c r="L1232" s="111" t="n"/>
      <c r="V1232" s="111" t="n"/>
      <c r="W1232" s="111" t="n"/>
      <c r="X1232" s="111" t="n"/>
    </row>
    <row r="1233">
      <c r="A1233" s="34" t="n"/>
      <c r="I1233" s="111" t="n"/>
      <c r="J1233" s="111" t="n"/>
      <c r="K1233" s="111" t="n"/>
      <c r="L1233" s="111" t="n"/>
      <c r="V1233" s="111" t="n"/>
      <c r="W1233" s="111" t="n"/>
      <c r="X1233" s="111" t="n"/>
    </row>
    <row r="1234">
      <c r="A1234" s="34" t="n"/>
      <c r="I1234" s="111" t="n"/>
      <c r="J1234" s="111" t="n"/>
      <c r="K1234" s="111" t="n"/>
      <c r="L1234" s="111" t="n"/>
      <c r="V1234" s="111" t="n"/>
      <c r="W1234" s="111" t="n"/>
      <c r="X1234" s="111" t="n"/>
    </row>
    <row r="1235">
      <c r="A1235" s="34" t="n"/>
      <c r="I1235" s="111" t="n"/>
      <c r="J1235" s="111" t="n"/>
      <c r="K1235" s="111" t="n"/>
      <c r="L1235" s="111" t="n"/>
      <c r="V1235" s="111" t="n"/>
      <c r="W1235" s="111" t="n"/>
      <c r="X1235" s="111" t="n"/>
    </row>
    <row r="1236">
      <c r="A1236" s="34" t="n"/>
      <c r="I1236" s="111" t="n"/>
      <c r="J1236" s="111" t="n"/>
      <c r="K1236" s="111" t="n"/>
      <c r="L1236" s="111" t="n"/>
      <c r="V1236" s="111" t="n"/>
      <c r="W1236" s="111" t="n"/>
      <c r="X1236" s="111" t="n"/>
    </row>
    <row r="1237">
      <c r="A1237" s="34" t="n"/>
      <c r="I1237" s="111" t="n"/>
      <c r="J1237" s="111" t="n"/>
      <c r="K1237" s="111" t="n"/>
      <c r="L1237" s="111" t="n"/>
      <c r="V1237" s="111" t="n"/>
      <c r="W1237" s="111" t="n"/>
      <c r="X1237" s="111" t="n"/>
    </row>
    <row r="1238">
      <c r="A1238" s="34" t="n"/>
      <c r="I1238" s="111" t="n"/>
      <c r="J1238" s="111" t="n"/>
      <c r="K1238" s="111" t="n"/>
      <c r="L1238" s="111" t="n"/>
      <c r="V1238" s="111" t="n"/>
      <c r="W1238" s="111" t="n"/>
      <c r="X1238" s="111" t="n"/>
    </row>
    <row r="1239">
      <c r="A1239" s="34" t="n"/>
      <c r="I1239" s="111" t="n"/>
      <c r="J1239" s="111" t="n"/>
      <c r="K1239" s="111" t="n"/>
      <c r="L1239" s="111" t="n"/>
      <c r="V1239" s="111" t="n"/>
      <c r="W1239" s="111" t="n"/>
      <c r="X1239" s="111" t="n"/>
    </row>
    <row r="1240">
      <c r="A1240" s="34" t="n"/>
      <c r="I1240" s="111" t="n"/>
      <c r="J1240" s="111" t="n"/>
      <c r="K1240" s="111" t="n"/>
      <c r="L1240" s="111" t="n"/>
      <c r="V1240" s="111" t="n"/>
      <c r="W1240" s="111" t="n"/>
      <c r="X1240" s="111" t="n"/>
    </row>
    <row r="1241">
      <c r="A1241" s="34" t="n"/>
      <c r="I1241" s="111" t="n"/>
      <c r="J1241" s="111" t="n"/>
      <c r="K1241" s="111" t="n"/>
      <c r="L1241" s="111" t="n"/>
      <c r="V1241" s="111" t="n"/>
      <c r="W1241" s="111" t="n"/>
      <c r="X1241" s="111" t="n"/>
    </row>
    <row r="1242">
      <c r="A1242" s="34" t="n"/>
      <c r="I1242" s="111" t="n"/>
      <c r="J1242" s="111" t="n"/>
      <c r="K1242" s="111" t="n"/>
      <c r="L1242" s="111" t="n"/>
      <c r="V1242" s="111" t="n"/>
      <c r="W1242" s="111" t="n"/>
      <c r="X1242" s="111" t="n"/>
    </row>
    <row r="1243">
      <c r="A1243" s="34" t="n"/>
      <c r="I1243" s="111" t="n"/>
      <c r="J1243" s="111" t="n"/>
      <c r="K1243" s="111" t="n"/>
      <c r="L1243" s="111" t="n"/>
      <c r="V1243" s="111" t="n"/>
      <c r="W1243" s="111" t="n"/>
      <c r="X1243" s="111" t="n"/>
    </row>
    <row r="1244">
      <c r="A1244" s="34" t="n"/>
      <c r="I1244" s="111" t="n"/>
      <c r="J1244" s="111" t="n"/>
      <c r="K1244" s="111" t="n"/>
      <c r="L1244" s="111" t="n"/>
      <c r="V1244" s="111" t="n"/>
      <c r="W1244" s="111" t="n"/>
      <c r="X1244" s="111" t="n"/>
    </row>
    <row r="1245">
      <c r="A1245" s="34" t="n"/>
      <c r="I1245" s="111" t="n"/>
      <c r="J1245" s="111" t="n"/>
      <c r="K1245" s="111" t="n"/>
      <c r="L1245" s="111" t="n"/>
      <c r="V1245" s="111" t="n"/>
      <c r="W1245" s="111" t="n"/>
      <c r="X1245" s="111" t="n"/>
    </row>
    <row r="1246">
      <c r="A1246" s="34" t="n"/>
      <c r="I1246" s="111" t="n"/>
      <c r="J1246" s="111" t="n"/>
      <c r="K1246" s="111" t="n"/>
      <c r="L1246" s="111" t="n"/>
      <c r="V1246" s="111" t="n"/>
      <c r="W1246" s="111" t="n"/>
      <c r="X1246" s="111" t="n"/>
    </row>
    <row r="1247">
      <c r="A1247" s="34" t="n"/>
      <c r="I1247" s="111" t="n"/>
      <c r="J1247" s="111" t="n"/>
      <c r="K1247" s="111" t="n"/>
      <c r="L1247" s="111" t="n"/>
      <c r="V1247" s="111" t="n"/>
      <c r="W1247" s="111" t="n"/>
      <c r="X1247" s="111" t="n"/>
    </row>
    <row r="1248">
      <c r="A1248" s="34" t="n"/>
      <c r="I1248" s="111" t="n"/>
      <c r="J1248" s="111" t="n"/>
      <c r="K1248" s="111" t="n"/>
      <c r="L1248" s="111" t="n"/>
      <c r="V1248" s="111" t="n"/>
      <c r="W1248" s="111" t="n"/>
      <c r="X1248" s="111" t="n"/>
    </row>
    <row r="1249">
      <c r="A1249" s="34" t="n"/>
      <c r="I1249" s="111" t="n"/>
      <c r="J1249" s="111" t="n"/>
      <c r="K1249" s="111" t="n"/>
      <c r="L1249" s="111" t="n"/>
      <c r="V1249" s="111" t="n"/>
      <c r="W1249" s="111" t="n"/>
      <c r="X1249" s="111" t="n"/>
    </row>
    <row r="1250">
      <c r="A1250" s="34" t="n"/>
      <c r="I1250" s="111" t="n"/>
      <c r="J1250" s="111" t="n"/>
      <c r="K1250" s="111" t="n"/>
      <c r="L1250" s="111" t="n"/>
      <c r="V1250" s="111" t="n"/>
      <c r="W1250" s="111" t="n"/>
      <c r="X1250" s="111" t="n"/>
    </row>
    <row r="1251">
      <c r="A1251" s="34" t="n"/>
      <c r="I1251" s="111" t="n"/>
      <c r="J1251" s="111" t="n"/>
      <c r="K1251" s="111" t="n"/>
      <c r="L1251" s="111" t="n"/>
      <c r="V1251" s="111" t="n"/>
      <c r="W1251" s="111" t="n"/>
      <c r="X1251" s="111" t="n"/>
    </row>
    <row r="1252">
      <c r="A1252" s="34" t="n"/>
      <c r="I1252" s="111" t="n"/>
      <c r="J1252" s="111" t="n"/>
      <c r="K1252" s="111" t="n"/>
      <c r="L1252" s="111" t="n"/>
      <c r="V1252" s="111" t="n"/>
      <c r="W1252" s="111" t="n"/>
      <c r="X1252" s="111" t="n"/>
    </row>
    <row r="1253">
      <c r="A1253" s="34" t="n"/>
      <c r="I1253" s="111" t="n"/>
      <c r="J1253" s="111" t="n"/>
      <c r="K1253" s="111" t="n"/>
      <c r="L1253" s="111" t="n"/>
      <c r="V1253" s="111" t="n"/>
      <c r="W1253" s="111" t="n"/>
      <c r="X1253" s="111" t="n"/>
    </row>
    <row r="1254">
      <c r="A1254" s="34" t="n"/>
      <c r="I1254" s="111" t="n"/>
      <c r="J1254" s="111" t="n"/>
      <c r="K1254" s="111" t="n"/>
      <c r="L1254" s="111" t="n"/>
      <c r="V1254" s="111" t="n"/>
      <c r="W1254" s="111" t="n"/>
      <c r="X1254" s="111" t="n"/>
    </row>
    <row r="1255">
      <c r="A1255" s="34" t="n"/>
      <c r="I1255" s="111" t="n"/>
      <c r="J1255" s="111" t="n"/>
      <c r="K1255" s="111" t="n"/>
      <c r="L1255" s="111" t="n"/>
      <c r="V1255" s="111" t="n"/>
      <c r="W1255" s="111" t="n"/>
      <c r="X1255" s="111" t="n"/>
    </row>
    <row r="1256">
      <c r="A1256" s="34" t="n"/>
      <c r="I1256" s="111" t="n"/>
      <c r="J1256" s="111" t="n"/>
      <c r="K1256" s="111" t="n"/>
      <c r="L1256" s="111" t="n"/>
      <c r="V1256" s="111" t="n"/>
      <c r="W1256" s="111" t="n"/>
      <c r="X1256" s="111" t="n"/>
    </row>
    <row r="1257">
      <c r="A1257" s="34" t="n"/>
      <c r="I1257" s="111" t="n"/>
      <c r="J1257" s="111" t="n"/>
      <c r="K1257" s="111" t="n"/>
      <c r="L1257" s="111" t="n"/>
      <c r="V1257" s="111" t="n"/>
      <c r="W1257" s="111" t="n"/>
      <c r="X1257" s="111" t="n"/>
    </row>
    <row r="1258">
      <c r="A1258" s="34" t="n"/>
      <c r="I1258" s="111" t="n"/>
      <c r="J1258" s="111" t="n"/>
      <c r="K1258" s="111" t="n"/>
      <c r="L1258" s="111" t="n"/>
      <c r="V1258" s="111" t="n"/>
      <c r="W1258" s="111" t="n"/>
      <c r="X1258" s="111" t="n"/>
    </row>
    <row r="1259">
      <c r="A1259" s="34" t="n"/>
      <c r="I1259" s="111" t="n"/>
      <c r="J1259" s="111" t="n"/>
      <c r="K1259" s="111" t="n"/>
      <c r="L1259" s="111" t="n"/>
      <c r="V1259" s="111" t="n"/>
      <c r="W1259" s="111" t="n"/>
      <c r="X1259" s="111" t="n"/>
    </row>
    <row r="1260">
      <c r="A1260" s="34" t="n"/>
      <c r="I1260" s="111" t="n"/>
      <c r="J1260" s="111" t="n"/>
      <c r="K1260" s="111" t="n"/>
      <c r="L1260" s="111" t="n"/>
      <c r="V1260" s="111" t="n"/>
      <c r="W1260" s="111" t="n"/>
      <c r="X1260" s="111" t="n"/>
    </row>
    <row r="1261">
      <c r="A1261" s="34" t="n"/>
      <c r="I1261" s="111" t="n"/>
      <c r="J1261" s="111" t="n"/>
      <c r="K1261" s="111" t="n"/>
      <c r="L1261" s="111" t="n"/>
      <c r="V1261" s="111" t="n"/>
      <c r="W1261" s="111" t="n"/>
      <c r="X1261" s="111" t="n"/>
    </row>
    <row r="1262">
      <c r="A1262" s="34" t="n"/>
      <c r="I1262" s="111" t="n"/>
      <c r="J1262" s="111" t="n"/>
      <c r="K1262" s="111" t="n"/>
      <c r="L1262" s="111" t="n"/>
      <c r="V1262" s="111" t="n"/>
      <c r="W1262" s="111" t="n"/>
      <c r="X1262" s="111" t="n"/>
    </row>
    <row r="1263">
      <c r="A1263" s="34" t="n"/>
      <c r="I1263" s="111" t="n"/>
      <c r="J1263" s="111" t="n"/>
      <c r="K1263" s="111" t="n"/>
      <c r="L1263" s="111" t="n"/>
      <c r="V1263" s="111" t="n"/>
      <c r="W1263" s="111" t="n"/>
      <c r="X1263" s="111" t="n"/>
    </row>
    <row r="1264">
      <c r="A1264" s="34" t="n"/>
      <c r="I1264" s="111" t="n"/>
      <c r="J1264" s="111" t="n"/>
      <c r="K1264" s="111" t="n"/>
      <c r="L1264" s="111" t="n"/>
      <c r="V1264" s="111" t="n"/>
      <c r="W1264" s="111" t="n"/>
      <c r="X1264" s="111" t="n"/>
    </row>
    <row r="1265">
      <c r="A1265" s="34" t="n"/>
      <c r="I1265" s="111" t="n"/>
      <c r="J1265" s="111" t="n"/>
      <c r="K1265" s="111" t="n"/>
      <c r="L1265" s="111" t="n"/>
      <c r="V1265" s="111" t="n"/>
      <c r="W1265" s="111" t="n"/>
      <c r="X1265" s="111" t="n"/>
    </row>
    <row r="1266">
      <c r="A1266" s="34" t="n"/>
      <c r="I1266" s="111" t="n"/>
      <c r="J1266" s="111" t="n"/>
      <c r="K1266" s="111" t="n"/>
      <c r="L1266" s="111" t="n"/>
      <c r="V1266" s="111" t="n"/>
      <c r="W1266" s="111" t="n"/>
      <c r="X1266" s="111" t="n"/>
    </row>
    <row r="1267">
      <c r="A1267" s="34" t="n"/>
      <c r="I1267" s="111" t="n"/>
      <c r="J1267" s="111" t="n"/>
      <c r="K1267" s="111" t="n"/>
      <c r="L1267" s="111" t="n"/>
      <c r="V1267" s="111" t="n"/>
      <c r="W1267" s="111" t="n"/>
      <c r="X1267" s="111" t="n"/>
    </row>
    <row r="1268">
      <c r="A1268" s="34" t="n"/>
      <c r="I1268" s="111" t="n"/>
      <c r="J1268" s="111" t="n"/>
      <c r="K1268" s="111" t="n"/>
      <c r="L1268" s="111" t="n"/>
      <c r="V1268" s="111" t="n"/>
      <c r="W1268" s="111" t="n"/>
      <c r="X1268" s="111" t="n"/>
    </row>
    <row r="1269">
      <c r="A1269" s="34" t="n"/>
      <c r="I1269" s="111" t="n"/>
      <c r="J1269" s="111" t="n"/>
      <c r="K1269" s="111" t="n"/>
      <c r="L1269" s="111" t="n"/>
      <c r="V1269" s="111" t="n"/>
      <c r="W1269" s="111" t="n"/>
      <c r="X1269" s="111" t="n"/>
    </row>
    <row r="1270">
      <c r="A1270" s="34" t="n"/>
      <c r="I1270" s="111" t="n"/>
      <c r="J1270" s="111" t="n"/>
      <c r="K1270" s="111" t="n"/>
      <c r="L1270" s="111" t="n"/>
      <c r="V1270" s="111" t="n"/>
      <c r="W1270" s="111" t="n"/>
      <c r="X1270" s="111" t="n"/>
    </row>
    <row r="1271">
      <c r="A1271" s="34" t="n"/>
      <c r="I1271" s="111" t="n"/>
      <c r="J1271" s="111" t="n"/>
      <c r="K1271" s="111" t="n"/>
      <c r="L1271" s="111" t="n"/>
      <c r="V1271" s="111" t="n"/>
      <c r="W1271" s="111" t="n"/>
      <c r="X1271" s="111" t="n"/>
    </row>
    <row r="1272">
      <c r="A1272" s="34" t="n"/>
      <c r="I1272" s="111" t="n"/>
      <c r="J1272" s="111" t="n"/>
      <c r="K1272" s="111" t="n"/>
      <c r="L1272" s="111" t="n"/>
      <c r="V1272" s="111" t="n"/>
      <c r="W1272" s="111" t="n"/>
      <c r="X1272" s="111" t="n"/>
    </row>
    <row r="1273">
      <c r="A1273" s="34" t="n"/>
      <c r="I1273" s="111" t="n"/>
      <c r="J1273" s="111" t="n"/>
      <c r="K1273" s="111" t="n"/>
      <c r="L1273" s="111" t="n"/>
      <c r="V1273" s="111" t="n"/>
      <c r="W1273" s="111" t="n"/>
      <c r="X1273" s="111" t="n"/>
    </row>
    <row r="1274">
      <c r="A1274" s="34" t="n"/>
      <c r="I1274" s="111" t="n"/>
      <c r="J1274" s="111" t="n"/>
      <c r="K1274" s="111" t="n"/>
      <c r="L1274" s="111" t="n"/>
      <c r="V1274" s="111" t="n"/>
      <c r="W1274" s="111" t="n"/>
      <c r="X1274" s="111" t="n"/>
    </row>
    <row r="1275">
      <c r="A1275" s="34" t="n"/>
      <c r="I1275" s="111" t="n"/>
      <c r="J1275" s="111" t="n"/>
      <c r="K1275" s="111" t="n"/>
      <c r="L1275" s="111" t="n"/>
      <c r="V1275" s="111" t="n"/>
      <c r="W1275" s="111" t="n"/>
      <c r="X1275" s="111" t="n"/>
    </row>
    <row r="1276">
      <c r="A1276" s="34" t="n"/>
      <c r="I1276" s="111" t="n"/>
      <c r="J1276" s="111" t="n"/>
      <c r="K1276" s="111" t="n"/>
      <c r="L1276" s="111" t="n"/>
      <c r="V1276" s="111" t="n"/>
      <c r="W1276" s="111" t="n"/>
      <c r="X1276" s="111" t="n"/>
    </row>
    <row r="1277">
      <c r="A1277" s="34" t="n"/>
      <c r="I1277" s="111" t="n"/>
      <c r="J1277" s="111" t="n"/>
      <c r="K1277" s="111" t="n"/>
      <c r="L1277" s="111" t="n"/>
      <c r="V1277" s="111" t="n"/>
      <c r="W1277" s="111" t="n"/>
      <c r="X1277" s="111" t="n"/>
    </row>
    <row r="1278">
      <c r="A1278" s="34" t="n"/>
      <c r="I1278" s="111" t="n"/>
      <c r="J1278" s="111" t="n"/>
      <c r="K1278" s="111" t="n"/>
      <c r="L1278" s="111" t="n"/>
      <c r="V1278" s="111" t="n"/>
      <c r="W1278" s="111" t="n"/>
      <c r="X1278" s="111" t="n"/>
    </row>
    <row r="1279">
      <c r="A1279" s="34" t="n"/>
      <c r="I1279" s="111" t="n"/>
      <c r="J1279" s="111" t="n"/>
      <c r="K1279" s="111" t="n"/>
      <c r="L1279" s="111" t="n"/>
      <c r="V1279" s="111" t="n"/>
      <c r="W1279" s="111" t="n"/>
      <c r="X1279" s="111" t="n"/>
    </row>
    <row r="1280">
      <c r="A1280" s="34" t="n"/>
      <c r="I1280" s="111" t="n"/>
      <c r="J1280" s="111" t="n"/>
      <c r="K1280" s="111" t="n"/>
      <c r="L1280" s="111" t="n"/>
      <c r="V1280" s="111" t="n"/>
      <c r="W1280" s="111" t="n"/>
      <c r="X1280" s="111" t="n"/>
    </row>
    <row r="1281">
      <c r="A1281" s="34" t="n"/>
      <c r="I1281" s="111" t="n"/>
      <c r="J1281" s="111" t="n"/>
      <c r="K1281" s="111" t="n"/>
      <c r="L1281" s="111" t="n"/>
      <c r="V1281" s="111" t="n"/>
      <c r="W1281" s="111" t="n"/>
      <c r="X1281" s="111" t="n"/>
    </row>
    <row r="1282">
      <c r="A1282" s="34" t="n"/>
      <c r="I1282" s="111" t="n"/>
      <c r="J1282" s="111" t="n"/>
      <c r="K1282" s="111" t="n"/>
      <c r="L1282" s="111" t="n"/>
      <c r="V1282" s="111" t="n"/>
      <c r="W1282" s="111" t="n"/>
      <c r="X1282" s="111" t="n"/>
    </row>
    <row r="1283">
      <c r="A1283" s="34" t="n"/>
      <c r="I1283" s="111" t="n"/>
      <c r="J1283" s="111" t="n"/>
      <c r="K1283" s="111" t="n"/>
      <c r="L1283" s="111" t="n"/>
      <c r="V1283" s="111" t="n"/>
      <c r="W1283" s="111" t="n"/>
      <c r="X1283" s="111" t="n"/>
    </row>
    <row r="1284">
      <c r="A1284" s="34" t="n"/>
      <c r="I1284" s="111" t="n"/>
      <c r="J1284" s="111" t="n"/>
      <c r="K1284" s="111" t="n"/>
      <c r="L1284" s="111" t="n"/>
      <c r="V1284" s="111" t="n"/>
      <c r="W1284" s="111" t="n"/>
      <c r="X1284" s="111" t="n"/>
    </row>
    <row r="1285">
      <c r="A1285" s="34" t="n"/>
      <c r="I1285" s="111" t="n"/>
      <c r="J1285" s="111" t="n"/>
      <c r="K1285" s="111" t="n"/>
      <c r="L1285" s="111" t="n"/>
      <c r="V1285" s="111" t="n"/>
      <c r="W1285" s="111" t="n"/>
      <c r="X1285" s="111" t="n"/>
    </row>
    <row r="1286">
      <c r="A1286" s="34" t="n"/>
      <c r="I1286" s="111" t="n"/>
      <c r="J1286" s="111" t="n"/>
      <c r="K1286" s="111" t="n"/>
      <c r="L1286" s="111" t="n"/>
      <c r="V1286" s="111" t="n"/>
      <c r="W1286" s="111" t="n"/>
      <c r="X1286" s="111" t="n"/>
    </row>
    <row r="1287">
      <c r="A1287" s="34" t="n"/>
      <c r="I1287" s="111" t="n"/>
      <c r="J1287" s="111" t="n"/>
      <c r="K1287" s="111" t="n"/>
      <c r="L1287" s="111" t="n"/>
      <c r="V1287" s="111" t="n"/>
      <c r="W1287" s="111" t="n"/>
      <c r="X1287" s="111" t="n"/>
    </row>
    <row r="1288">
      <c r="A1288" s="34" t="n"/>
      <c r="I1288" s="111" t="n"/>
      <c r="J1288" s="111" t="n"/>
      <c r="K1288" s="111" t="n"/>
      <c r="L1288" s="111" t="n"/>
      <c r="V1288" s="111" t="n"/>
      <c r="W1288" s="111" t="n"/>
      <c r="X1288" s="111" t="n"/>
    </row>
    <row r="1289">
      <c r="A1289" s="34" t="n"/>
      <c r="I1289" s="111" t="n"/>
      <c r="J1289" s="111" t="n"/>
      <c r="K1289" s="111" t="n"/>
      <c r="L1289" s="111" t="n"/>
      <c r="V1289" s="111" t="n"/>
      <c r="W1289" s="111" t="n"/>
      <c r="X1289" s="111" t="n"/>
    </row>
    <row r="1290">
      <c r="A1290" s="34" t="n"/>
      <c r="I1290" s="111" t="n"/>
      <c r="J1290" s="111" t="n"/>
      <c r="K1290" s="111" t="n"/>
      <c r="L1290" s="111" t="n"/>
      <c r="V1290" s="111" t="n"/>
      <c r="W1290" s="111" t="n"/>
      <c r="X1290" s="111" t="n"/>
    </row>
    <row r="1291">
      <c r="A1291" s="34" t="n"/>
      <c r="I1291" s="111" t="n"/>
      <c r="J1291" s="111" t="n"/>
      <c r="K1291" s="111" t="n"/>
      <c r="L1291" s="111" t="n"/>
      <c r="V1291" s="111" t="n"/>
      <c r="W1291" s="111" t="n"/>
      <c r="X1291" s="111" t="n"/>
    </row>
    <row r="1292">
      <c r="A1292" s="34" t="n"/>
      <c r="I1292" s="111" t="n"/>
      <c r="J1292" s="111" t="n"/>
      <c r="K1292" s="111" t="n"/>
      <c r="L1292" s="111" t="n"/>
      <c r="V1292" s="111" t="n"/>
      <c r="W1292" s="111" t="n"/>
      <c r="X1292" s="111" t="n"/>
    </row>
    <row r="1293">
      <c r="A1293" s="34" t="n"/>
      <c r="I1293" s="111" t="n"/>
      <c r="J1293" s="111" t="n"/>
      <c r="K1293" s="111" t="n"/>
      <c r="L1293" s="111" t="n"/>
      <c r="V1293" s="111" t="n"/>
      <c r="W1293" s="111" t="n"/>
      <c r="X1293" s="111" t="n"/>
    </row>
    <row r="1294">
      <c r="A1294" s="34" t="n"/>
      <c r="I1294" s="111" t="n"/>
      <c r="J1294" s="111" t="n"/>
      <c r="K1294" s="111" t="n"/>
      <c r="L1294" s="111" t="n"/>
      <c r="V1294" s="111" t="n"/>
      <c r="W1294" s="111" t="n"/>
      <c r="X1294" s="111" t="n"/>
    </row>
    <row r="1295">
      <c r="A1295" s="34" t="n"/>
      <c r="I1295" s="111" t="n"/>
      <c r="J1295" s="111" t="n"/>
      <c r="K1295" s="111" t="n"/>
      <c r="L1295" s="111" t="n"/>
      <c r="V1295" s="111" t="n"/>
      <c r="W1295" s="111" t="n"/>
      <c r="X1295" s="111" t="n"/>
    </row>
    <row r="1296">
      <c r="A1296" s="34" t="n"/>
      <c r="I1296" s="111" t="n"/>
      <c r="J1296" s="111" t="n"/>
      <c r="K1296" s="111" t="n"/>
      <c r="L1296" s="111" t="n"/>
      <c r="V1296" s="111" t="n"/>
      <c r="W1296" s="111" t="n"/>
      <c r="X1296" s="111" t="n"/>
    </row>
    <row r="1297">
      <c r="A1297" s="34" t="n"/>
      <c r="I1297" s="111" t="n"/>
      <c r="J1297" s="111" t="n"/>
      <c r="K1297" s="111" t="n"/>
      <c r="L1297" s="111" t="n"/>
      <c r="V1297" s="111" t="n"/>
      <c r="W1297" s="111" t="n"/>
      <c r="X1297" s="111" t="n"/>
    </row>
    <row r="1298">
      <c r="A1298" s="34" t="n"/>
      <c r="I1298" s="111" t="n"/>
      <c r="J1298" s="111" t="n"/>
      <c r="K1298" s="111" t="n"/>
      <c r="L1298" s="111" t="n"/>
      <c r="V1298" s="111" t="n"/>
      <c r="W1298" s="111" t="n"/>
      <c r="X1298" s="111" t="n"/>
    </row>
    <row r="1299">
      <c r="A1299" s="34" t="n"/>
      <c r="I1299" s="111" t="n"/>
      <c r="J1299" s="111" t="n"/>
      <c r="K1299" s="111" t="n"/>
      <c r="L1299" s="111" t="n"/>
      <c r="V1299" s="111" t="n"/>
      <c r="W1299" s="111" t="n"/>
      <c r="X1299" s="111" t="n"/>
    </row>
    <row r="1300">
      <c r="A1300" s="34" t="n"/>
      <c r="I1300" s="111" t="n"/>
      <c r="J1300" s="111" t="n"/>
      <c r="K1300" s="111" t="n"/>
      <c r="L1300" s="111" t="n"/>
      <c r="V1300" s="111" t="n"/>
      <c r="W1300" s="111" t="n"/>
      <c r="X1300" s="111" t="n"/>
    </row>
    <row r="1301">
      <c r="A1301" s="34" t="n"/>
      <c r="I1301" s="111" t="n"/>
      <c r="J1301" s="111" t="n"/>
      <c r="K1301" s="111" t="n"/>
      <c r="L1301" s="111" t="n"/>
      <c r="V1301" s="111" t="n"/>
      <c r="W1301" s="111" t="n"/>
      <c r="X1301" s="111" t="n"/>
    </row>
    <row r="1302">
      <c r="A1302" s="34" t="n"/>
      <c r="I1302" s="111" t="n"/>
      <c r="J1302" s="111" t="n"/>
      <c r="K1302" s="111" t="n"/>
      <c r="L1302" s="111" t="n"/>
      <c r="V1302" s="111" t="n"/>
      <c r="W1302" s="111" t="n"/>
      <c r="X1302" s="111" t="n"/>
    </row>
    <row r="1303">
      <c r="A1303" s="34" t="n"/>
      <c r="I1303" s="111" t="n"/>
      <c r="J1303" s="111" t="n"/>
      <c r="K1303" s="111" t="n"/>
      <c r="L1303" s="111" t="n"/>
      <c r="V1303" s="111" t="n"/>
      <c r="W1303" s="111" t="n"/>
      <c r="X1303" s="111" t="n"/>
    </row>
    <row r="1304">
      <c r="A1304" s="34" t="n"/>
      <c r="I1304" s="111" t="n"/>
      <c r="J1304" s="111" t="n"/>
      <c r="K1304" s="111" t="n"/>
      <c r="L1304" s="111" t="n"/>
      <c r="V1304" s="111" t="n"/>
      <c r="W1304" s="111" t="n"/>
      <c r="X1304" s="111" t="n"/>
    </row>
    <row r="1305">
      <c r="A1305" s="34" t="n"/>
      <c r="I1305" s="111" t="n"/>
      <c r="J1305" s="111" t="n"/>
      <c r="K1305" s="111" t="n"/>
      <c r="L1305" s="111" t="n"/>
      <c r="V1305" s="111" t="n"/>
      <c r="W1305" s="111" t="n"/>
      <c r="X1305" s="111" t="n"/>
    </row>
    <row r="1306">
      <c r="A1306" s="34" t="n"/>
      <c r="I1306" s="111" t="n"/>
      <c r="J1306" s="111" t="n"/>
      <c r="K1306" s="111" t="n"/>
      <c r="L1306" s="111" t="n"/>
      <c r="V1306" s="111" t="n"/>
      <c r="W1306" s="111" t="n"/>
      <c r="X1306" s="111" t="n"/>
    </row>
    <row r="1307">
      <c r="A1307" s="34" t="n"/>
      <c r="I1307" s="111" t="n"/>
      <c r="J1307" s="111" t="n"/>
      <c r="K1307" s="111" t="n"/>
      <c r="L1307" s="111" t="n"/>
      <c r="V1307" s="111" t="n"/>
      <c r="W1307" s="111" t="n"/>
      <c r="X1307" s="111" t="n"/>
    </row>
    <row r="1308">
      <c r="A1308" s="34" t="n"/>
      <c r="I1308" s="111" t="n"/>
      <c r="J1308" s="111" t="n"/>
      <c r="K1308" s="111" t="n"/>
      <c r="L1308" s="111" t="n"/>
      <c r="V1308" s="111" t="n"/>
      <c r="W1308" s="111" t="n"/>
      <c r="X1308" s="111" t="n"/>
    </row>
    <row r="1309">
      <c r="A1309" s="34" t="n"/>
      <c r="I1309" s="111" t="n"/>
      <c r="J1309" s="111" t="n"/>
      <c r="K1309" s="111" t="n"/>
      <c r="L1309" s="111" t="n"/>
      <c r="V1309" s="111" t="n"/>
      <c r="W1309" s="111" t="n"/>
      <c r="X1309" s="111" t="n"/>
    </row>
    <row r="1310">
      <c r="A1310" s="34" t="n"/>
      <c r="I1310" s="111" t="n"/>
      <c r="J1310" s="111" t="n"/>
      <c r="K1310" s="111" t="n"/>
      <c r="L1310" s="111" t="n"/>
      <c r="V1310" s="111" t="n"/>
      <c r="W1310" s="111" t="n"/>
      <c r="X1310" s="111" t="n"/>
    </row>
    <row r="1311">
      <c r="A1311" s="34" t="n"/>
      <c r="I1311" s="111" t="n"/>
      <c r="J1311" s="111" t="n"/>
      <c r="K1311" s="111" t="n"/>
      <c r="L1311" s="111" t="n"/>
      <c r="V1311" s="111" t="n"/>
      <c r="W1311" s="111" t="n"/>
      <c r="X1311" s="111" t="n"/>
    </row>
    <row r="1312">
      <c r="A1312" s="34" t="n"/>
      <c r="I1312" s="111" t="n"/>
      <c r="J1312" s="111" t="n"/>
      <c r="K1312" s="111" t="n"/>
      <c r="L1312" s="111" t="n"/>
      <c r="V1312" s="111" t="n"/>
      <c r="W1312" s="111" t="n"/>
      <c r="X1312" s="111" t="n"/>
    </row>
    <row r="1313">
      <c r="A1313" s="34" t="n"/>
      <c r="I1313" s="111" t="n"/>
      <c r="J1313" s="111" t="n"/>
      <c r="K1313" s="111" t="n"/>
      <c r="L1313" s="111" t="n"/>
      <c r="V1313" s="111" t="n"/>
      <c r="W1313" s="111" t="n"/>
      <c r="X1313" s="111" t="n"/>
    </row>
    <row r="1314">
      <c r="A1314" s="34" t="n"/>
      <c r="I1314" s="111" t="n"/>
      <c r="J1314" s="111" t="n"/>
      <c r="K1314" s="111" t="n"/>
      <c r="L1314" s="111" t="n"/>
      <c r="V1314" s="111" t="n"/>
      <c r="W1314" s="111" t="n"/>
      <c r="X1314" s="111" t="n"/>
    </row>
    <row r="1315">
      <c r="A1315" s="34" t="n"/>
      <c r="I1315" s="111" t="n"/>
      <c r="J1315" s="111" t="n"/>
      <c r="K1315" s="111" t="n"/>
      <c r="L1315" s="111" t="n"/>
      <c r="V1315" s="111" t="n"/>
      <c r="W1315" s="111" t="n"/>
      <c r="X1315" s="111" t="n"/>
    </row>
    <row r="1316">
      <c r="A1316" s="34" t="n"/>
      <c r="I1316" s="111" t="n"/>
      <c r="J1316" s="111" t="n"/>
      <c r="K1316" s="111" t="n"/>
      <c r="L1316" s="111" t="n"/>
      <c r="V1316" s="111" t="n"/>
      <c r="W1316" s="111" t="n"/>
      <c r="X1316" s="111" t="n"/>
    </row>
    <row r="1317">
      <c r="A1317" s="34" t="n"/>
      <c r="I1317" s="111" t="n"/>
      <c r="J1317" s="111" t="n"/>
      <c r="K1317" s="111" t="n"/>
      <c r="L1317" s="111" t="n"/>
      <c r="V1317" s="111" t="n"/>
      <c r="W1317" s="111" t="n"/>
      <c r="X1317" s="111" t="n"/>
    </row>
    <row r="1318">
      <c r="A1318" s="34" t="n"/>
      <c r="I1318" s="111" t="n"/>
      <c r="J1318" s="111" t="n"/>
      <c r="K1318" s="111" t="n"/>
      <c r="L1318" s="111" t="n"/>
      <c r="V1318" s="111" t="n"/>
      <c r="W1318" s="111" t="n"/>
      <c r="X1318" s="111" t="n"/>
    </row>
    <row r="1319">
      <c r="A1319" s="34" t="n"/>
      <c r="I1319" s="111" t="n"/>
      <c r="J1319" s="111" t="n"/>
      <c r="K1319" s="111" t="n"/>
      <c r="L1319" s="111" t="n"/>
      <c r="V1319" s="111" t="n"/>
      <c r="W1319" s="111" t="n"/>
      <c r="X1319" s="111" t="n"/>
    </row>
    <row r="1320">
      <c r="A1320" s="34" t="n"/>
      <c r="I1320" s="111" t="n"/>
      <c r="J1320" s="111" t="n"/>
      <c r="K1320" s="111" t="n"/>
      <c r="L1320" s="111" t="n"/>
      <c r="V1320" s="111" t="n"/>
      <c r="W1320" s="111" t="n"/>
      <c r="X1320" s="111" t="n"/>
    </row>
    <row r="1321">
      <c r="A1321" s="34" t="n"/>
      <c r="I1321" s="111" t="n"/>
      <c r="J1321" s="111" t="n"/>
      <c r="K1321" s="111" t="n"/>
      <c r="L1321" s="111" t="n"/>
      <c r="V1321" s="111" t="n"/>
      <c r="W1321" s="111" t="n"/>
      <c r="X1321" s="111" t="n"/>
    </row>
    <row r="1322">
      <c r="A1322" s="34" t="n"/>
      <c r="I1322" s="111" t="n"/>
      <c r="J1322" s="111" t="n"/>
      <c r="K1322" s="111" t="n"/>
      <c r="L1322" s="111" t="n"/>
      <c r="V1322" s="111" t="n"/>
      <c r="W1322" s="111" t="n"/>
      <c r="X1322" s="111" t="n"/>
    </row>
    <row r="1323">
      <c r="A1323" s="34" t="n"/>
      <c r="I1323" s="111" t="n"/>
      <c r="J1323" s="111" t="n"/>
      <c r="K1323" s="111" t="n"/>
      <c r="L1323" s="111" t="n"/>
      <c r="V1323" s="111" t="n"/>
      <c r="W1323" s="111" t="n"/>
      <c r="X1323" s="111" t="n"/>
    </row>
    <row r="1324">
      <c r="A1324" s="34" t="n"/>
      <c r="I1324" s="111" t="n"/>
      <c r="J1324" s="111" t="n"/>
      <c r="K1324" s="111" t="n"/>
      <c r="L1324" s="111" t="n"/>
      <c r="V1324" s="111" t="n"/>
      <c r="W1324" s="111" t="n"/>
      <c r="X1324" s="111" t="n"/>
    </row>
    <row r="1325">
      <c r="A1325" s="34" t="n"/>
      <c r="I1325" s="111" t="n"/>
      <c r="J1325" s="111" t="n"/>
      <c r="K1325" s="111" t="n"/>
      <c r="L1325" s="111" t="n"/>
      <c r="V1325" s="111" t="n"/>
      <c r="W1325" s="111" t="n"/>
      <c r="X1325" s="111" t="n"/>
    </row>
    <row r="1326">
      <c r="A1326" s="34" t="n"/>
      <c r="I1326" s="111" t="n"/>
      <c r="J1326" s="111" t="n"/>
      <c r="K1326" s="111" t="n"/>
      <c r="L1326" s="111" t="n"/>
      <c r="V1326" s="111" t="n"/>
      <c r="W1326" s="111" t="n"/>
      <c r="X1326" s="111" t="n"/>
    </row>
    <row r="1327">
      <c r="A1327" s="34" t="n"/>
      <c r="I1327" s="111" t="n"/>
      <c r="J1327" s="111" t="n"/>
      <c r="K1327" s="111" t="n"/>
      <c r="L1327" s="111" t="n"/>
      <c r="V1327" s="111" t="n"/>
      <c r="W1327" s="111" t="n"/>
      <c r="X1327" s="111" t="n"/>
    </row>
    <row r="1328">
      <c r="A1328" s="34" t="n"/>
      <c r="I1328" s="111" t="n"/>
      <c r="J1328" s="111" t="n"/>
      <c r="K1328" s="111" t="n"/>
      <c r="L1328" s="111" t="n"/>
      <c r="V1328" s="111" t="n"/>
      <c r="W1328" s="111" t="n"/>
      <c r="X1328" s="111" t="n"/>
    </row>
    <row r="1329">
      <c r="A1329" s="34" t="n"/>
      <c r="I1329" s="111" t="n"/>
      <c r="J1329" s="111" t="n"/>
      <c r="K1329" s="111" t="n"/>
      <c r="L1329" s="111" t="n"/>
      <c r="V1329" s="111" t="n"/>
      <c r="W1329" s="111" t="n"/>
      <c r="X1329" s="111" t="n"/>
    </row>
    <row r="1330">
      <c r="A1330" s="34" t="n"/>
      <c r="I1330" s="111" t="n"/>
      <c r="J1330" s="111" t="n"/>
      <c r="K1330" s="111" t="n"/>
      <c r="L1330" s="111" t="n"/>
      <c r="V1330" s="111" t="n"/>
      <c r="W1330" s="111" t="n"/>
      <c r="X1330" s="111" t="n"/>
    </row>
    <row r="1331">
      <c r="A1331" s="34" t="n"/>
      <c r="I1331" s="111" t="n"/>
      <c r="J1331" s="111" t="n"/>
      <c r="K1331" s="111" t="n"/>
      <c r="L1331" s="111" t="n"/>
      <c r="V1331" s="111" t="n"/>
      <c r="W1331" s="111" t="n"/>
      <c r="X1331" s="111" t="n"/>
    </row>
    <row r="1332">
      <c r="A1332" s="34" t="n"/>
      <c r="I1332" s="111" t="n"/>
      <c r="J1332" s="111" t="n"/>
      <c r="K1332" s="111" t="n"/>
      <c r="L1332" s="111" t="n"/>
      <c r="V1332" s="111" t="n"/>
      <c r="W1332" s="111" t="n"/>
      <c r="X1332" s="111" t="n"/>
    </row>
    <row r="1333">
      <c r="A1333" s="34" t="n"/>
      <c r="I1333" s="111" t="n"/>
      <c r="J1333" s="111" t="n"/>
      <c r="K1333" s="111" t="n"/>
      <c r="L1333" s="111" t="n"/>
      <c r="V1333" s="111" t="n"/>
      <c r="W1333" s="111" t="n"/>
      <c r="X1333" s="111" t="n"/>
    </row>
    <row r="1334">
      <c r="A1334" s="34" t="n"/>
      <c r="I1334" s="111" t="n"/>
      <c r="J1334" s="111" t="n"/>
      <c r="K1334" s="111" t="n"/>
      <c r="L1334" s="111" t="n"/>
      <c r="V1334" s="111" t="n"/>
      <c r="W1334" s="111" t="n"/>
      <c r="X1334" s="111" t="n"/>
    </row>
    <row r="1335">
      <c r="A1335" s="34" t="n"/>
      <c r="I1335" s="111" t="n"/>
      <c r="J1335" s="111" t="n"/>
      <c r="K1335" s="111" t="n"/>
      <c r="L1335" s="111" t="n"/>
      <c r="V1335" s="111" t="n"/>
      <c r="W1335" s="111" t="n"/>
      <c r="X1335" s="111" t="n"/>
    </row>
    <row r="1336">
      <c r="A1336" s="34" t="n"/>
      <c r="I1336" s="111" t="n"/>
      <c r="J1336" s="111" t="n"/>
      <c r="K1336" s="111" t="n"/>
      <c r="L1336" s="111" t="n"/>
      <c r="V1336" s="111" t="n"/>
      <c r="W1336" s="111" t="n"/>
      <c r="X1336" s="111" t="n"/>
    </row>
    <row r="1337">
      <c r="A1337" s="34" t="n"/>
      <c r="I1337" s="111" t="n"/>
      <c r="J1337" s="111" t="n"/>
      <c r="K1337" s="111" t="n"/>
      <c r="L1337" s="111" t="n"/>
      <c r="V1337" s="111" t="n"/>
      <c r="W1337" s="111" t="n"/>
      <c r="X1337" s="111" t="n"/>
    </row>
    <row r="1338">
      <c r="A1338" s="34" t="n"/>
      <c r="I1338" s="111" t="n"/>
      <c r="J1338" s="111" t="n"/>
      <c r="K1338" s="111" t="n"/>
      <c r="L1338" s="111" t="n"/>
      <c r="V1338" s="111" t="n"/>
      <c r="W1338" s="111" t="n"/>
      <c r="X1338" s="111" t="n"/>
    </row>
    <row r="1339">
      <c r="A1339" s="34" t="n"/>
      <c r="I1339" s="111" t="n"/>
      <c r="J1339" s="111" t="n"/>
      <c r="K1339" s="111" t="n"/>
      <c r="L1339" s="111" t="n"/>
      <c r="V1339" s="111" t="n"/>
      <c r="W1339" s="111" t="n"/>
      <c r="X1339" s="111" t="n"/>
    </row>
    <row r="1340">
      <c r="A1340" s="34" t="n"/>
      <c r="I1340" s="111" t="n"/>
      <c r="J1340" s="111" t="n"/>
      <c r="K1340" s="111" t="n"/>
      <c r="L1340" s="111" t="n"/>
      <c r="V1340" s="111" t="n"/>
      <c r="W1340" s="111" t="n"/>
      <c r="X1340" s="111" t="n"/>
    </row>
    <row r="1341">
      <c r="A1341" s="34" t="n"/>
      <c r="I1341" s="111" t="n"/>
      <c r="J1341" s="111" t="n"/>
      <c r="K1341" s="111" t="n"/>
      <c r="L1341" s="111" t="n"/>
      <c r="V1341" s="111" t="n"/>
      <c r="W1341" s="111" t="n"/>
      <c r="X1341" s="111" t="n"/>
    </row>
    <row r="1342">
      <c r="A1342" s="34" t="n"/>
      <c r="I1342" s="111" t="n"/>
      <c r="J1342" s="111" t="n"/>
      <c r="K1342" s="111" t="n"/>
      <c r="L1342" s="111" t="n"/>
      <c r="V1342" s="111" t="n"/>
      <c r="W1342" s="111" t="n"/>
      <c r="X1342" s="111" t="n"/>
    </row>
    <row r="1343">
      <c r="A1343" s="34" t="n"/>
      <c r="I1343" s="111" t="n"/>
      <c r="J1343" s="111" t="n"/>
      <c r="K1343" s="111" t="n"/>
      <c r="L1343" s="111" t="n"/>
      <c r="V1343" s="111" t="n"/>
      <c r="W1343" s="111" t="n"/>
      <c r="X1343" s="111" t="n"/>
    </row>
    <row r="1344">
      <c r="A1344" s="34" t="n"/>
      <c r="I1344" s="111" t="n"/>
      <c r="J1344" s="111" t="n"/>
      <c r="K1344" s="111" t="n"/>
      <c r="L1344" s="111" t="n"/>
      <c r="V1344" s="111" t="n"/>
      <c r="W1344" s="111" t="n"/>
      <c r="X1344" s="111" t="n"/>
    </row>
    <row r="1345">
      <c r="A1345" s="34" t="n"/>
      <c r="I1345" s="111" t="n"/>
      <c r="J1345" s="111" t="n"/>
      <c r="K1345" s="111" t="n"/>
      <c r="L1345" s="111" t="n"/>
      <c r="V1345" s="111" t="n"/>
      <c r="W1345" s="111" t="n"/>
      <c r="X1345" s="111" t="n"/>
    </row>
    <row r="1346">
      <c r="A1346" s="34" t="n"/>
      <c r="I1346" s="111" t="n"/>
      <c r="J1346" s="111" t="n"/>
      <c r="K1346" s="111" t="n"/>
      <c r="L1346" s="111" t="n"/>
      <c r="V1346" s="111" t="n"/>
      <c r="W1346" s="111" t="n"/>
      <c r="X1346" s="111" t="n"/>
    </row>
    <row r="1347">
      <c r="A1347" s="34" t="n"/>
      <c r="I1347" s="111" t="n"/>
      <c r="J1347" s="111" t="n"/>
      <c r="K1347" s="111" t="n"/>
      <c r="L1347" s="111" t="n"/>
      <c r="V1347" s="111" t="n"/>
      <c r="W1347" s="111" t="n"/>
      <c r="X1347" s="111" t="n"/>
    </row>
    <row r="1348">
      <c r="A1348" s="34" t="n"/>
      <c r="I1348" s="111" t="n"/>
      <c r="J1348" s="111" t="n"/>
      <c r="K1348" s="111" t="n"/>
      <c r="L1348" s="111" t="n"/>
      <c r="V1348" s="111" t="n"/>
      <c r="W1348" s="111" t="n"/>
      <c r="X1348" s="111" t="n"/>
    </row>
    <row r="1349">
      <c r="A1349" s="34" t="n"/>
      <c r="I1349" s="111" t="n"/>
      <c r="J1349" s="111" t="n"/>
      <c r="K1349" s="111" t="n"/>
      <c r="L1349" s="111" t="n"/>
      <c r="V1349" s="111" t="n"/>
      <c r="W1349" s="111" t="n"/>
      <c r="X1349" s="111" t="n"/>
    </row>
    <row r="1350">
      <c r="A1350" s="34" t="n"/>
      <c r="I1350" s="111" t="n"/>
      <c r="J1350" s="111" t="n"/>
      <c r="K1350" s="111" t="n"/>
      <c r="L1350" s="111" t="n"/>
      <c r="V1350" s="111" t="n"/>
      <c r="W1350" s="111" t="n"/>
      <c r="X1350" s="111" t="n"/>
    </row>
    <row r="1351">
      <c r="A1351" s="34" t="n"/>
      <c r="I1351" s="111" t="n"/>
      <c r="J1351" s="111" t="n"/>
      <c r="K1351" s="111" t="n"/>
      <c r="L1351" s="111" t="n"/>
      <c r="V1351" s="111" t="n"/>
      <c r="W1351" s="111" t="n"/>
      <c r="X1351" s="111" t="n"/>
    </row>
    <row r="1352">
      <c r="A1352" s="34" t="n"/>
      <c r="I1352" s="111" t="n"/>
      <c r="J1352" s="111" t="n"/>
      <c r="K1352" s="111" t="n"/>
      <c r="L1352" s="111" t="n"/>
      <c r="V1352" s="111" t="n"/>
      <c r="W1352" s="111" t="n"/>
      <c r="X1352" s="111" t="n"/>
    </row>
    <row r="1353">
      <c r="A1353" s="34" t="n"/>
      <c r="I1353" s="111" t="n"/>
      <c r="J1353" s="111" t="n"/>
      <c r="K1353" s="111" t="n"/>
      <c r="L1353" s="111" t="n"/>
      <c r="V1353" s="111" t="n"/>
      <c r="W1353" s="111" t="n"/>
      <c r="X1353" s="111" t="n"/>
    </row>
    <row r="1354">
      <c r="A1354" s="34" t="n"/>
      <c r="I1354" s="111" t="n"/>
      <c r="J1354" s="111" t="n"/>
      <c r="K1354" s="111" t="n"/>
      <c r="L1354" s="111" t="n"/>
      <c r="V1354" s="111" t="n"/>
      <c r="W1354" s="111" t="n"/>
      <c r="X1354" s="111" t="n"/>
    </row>
    <row r="1355">
      <c r="A1355" s="34" t="n"/>
      <c r="I1355" s="111" t="n"/>
      <c r="J1355" s="111" t="n"/>
      <c r="K1355" s="111" t="n"/>
      <c r="L1355" s="111" t="n"/>
      <c r="V1355" s="111" t="n"/>
      <c r="W1355" s="111" t="n"/>
      <c r="X1355" s="111" t="n"/>
    </row>
    <row r="1356">
      <c r="A1356" s="34" t="n"/>
      <c r="I1356" s="111" t="n"/>
      <c r="J1356" s="111" t="n"/>
      <c r="K1356" s="111" t="n"/>
      <c r="L1356" s="111" t="n"/>
      <c r="V1356" s="111" t="n"/>
      <c r="W1356" s="111" t="n"/>
      <c r="X1356" s="111" t="n"/>
    </row>
    <row r="1357">
      <c r="A1357" s="34" t="n"/>
      <c r="I1357" s="111" t="n"/>
      <c r="J1357" s="111" t="n"/>
      <c r="K1357" s="111" t="n"/>
      <c r="L1357" s="111" t="n"/>
      <c r="V1357" s="111" t="n"/>
      <c r="W1357" s="111" t="n"/>
      <c r="X1357" s="111" t="n"/>
    </row>
    <row r="1358">
      <c r="A1358" s="34" t="n"/>
      <c r="I1358" s="111" t="n"/>
      <c r="J1358" s="111" t="n"/>
      <c r="K1358" s="111" t="n"/>
      <c r="L1358" s="111" t="n"/>
      <c r="V1358" s="111" t="n"/>
      <c r="W1358" s="111" t="n"/>
      <c r="X1358" s="111" t="n"/>
    </row>
    <row r="1359">
      <c r="A1359" s="34" t="n"/>
      <c r="I1359" s="111" t="n"/>
      <c r="J1359" s="111" t="n"/>
      <c r="K1359" s="111" t="n"/>
      <c r="L1359" s="111" t="n"/>
      <c r="V1359" s="111" t="n"/>
      <c r="W1359" s="111" t="n"/>
      <c r="X1359" s="111" t="n"/>
    </row>
    <row r="1360">
      <c r="A1360" s="34" t="n"/>
      <c r="I1360" s="111" t="n"/>
      <c r="J1360" s="111" t="n"/>
      <c r="K1360" s="111" t="n"/>
      <c r="L1360" s="111" t="n"/>
      <c r="V1360" s="111" t="n"/>
      <c r="W1360" s="111" t="n"/>
      <c r="X1360" s="111" t="n"/>
    </row>
    <row r="1361">
      <c r="A1361" s="34" t="n"/>
      <c r="I1361" s="111" t="n"/>
      <c r="J1361" s="111" t="n"/>
      <c r="K1361" s="111" t="n"/>
      <c r="L1361" s="111" t="n"/>
      <c r="V1361" s="111" t="n"/>
      <c r="W1361" s="111" t="n"/>
      <c r="X1361" s="111" t="n"/>
    </row>
    <row r="1362">
      <c r="A1362" s="34" t="n"/>
      <c r="I1362" s="111" t="n"/>
      <c r="J1362" s="111" t="n"/>
      <c r="K1362" s="111" t="n"/>
      <c r="L1362" s="111" t="n"/>
      <c r="V1362" s="111" t="n"/>
      <c r="W1362" s="111" t="n"/>
      <c r="X1362" s="111" t="n"/>
    </row>
    <row r="1363">
      <c r="A1363" s="34" t="n"/>
      <c r="I1363" s="111" t="n"/>
      <c r="J1363" s="111" t="n"/>
      <c r="K1363" s="111" t="n"/>
      <c r="L1363" s="111" t="n"/>
      <c r="V1363" s="111" t="n"/>
      <c r="W1363" s="111" t="n"/>
      <c r="X1363" s="111" t="n"/>
    </row>
    <row r="1364">
      <c r="A1364" s="34" t="n"/>
      <c r="I1364" s="111" t="n"/>
      <c r="J1364" s="111" t="n"/>
      <c r="K1364" s="111" t="n"/>
      <c r="L1364" s="111" t="n"/>
      <c r="V1364" s="111" t="n"/>
      <c r="W1364" s="111" t="n"/>
      <c r="X1364" s="111" t="n"/>
    </row>
    <row r="1365">
      <c r="A1365" s="34" t="n"/>
      <c r="I1365" s="111" t="n"/>
      <c r="J1365" s="111" t="n"/>
      <c r="K1365" s="111" t="n"/>
      <c r="L1365" s="111" t="n"/>
      <c r="V1365" s="111" t="n"/>
      <c r="W1365" s="111" t="n"/>
      <c r="X1365" s="111" t="n"/>
    </row>
    <row r="1366">
      <c r="A1366" s="34" t="n"/>
      <c r="I1366" s="111" t="n"/>
      <c r="J1366" s="111" t="n"/>
      <c r="K1366" s="111" t="n"/>
      <c r="L1366" s="111" t="n"/>
      <c r="V1366" s="111" t="n"/>
      <c r="W1366" s="111" t="n"/>
      <c r="X1366" s="111" t="n"/>
    </row>
    <row r="1367">
      <c r="A1367" s="34" t="n"/>
      <c r="I1367" s="111" t="n"/>
      <c r="J1367" s="111" t="n"/>
      <c r="K1367" s="111" t="n"/>
      <c r="L1367" s="111" t="n"/>
      <c r="V1367" s="111" t="n"/>
      <c r="W1367" s="111" t="n"/>
      <c r="X1367" s="111" t="n"/>
    </row>
    <row r="1368">
      <c r="A1368" s="34" t="n"/>
      <c r="I1368" s="111" t="n"/>
      <c r="J1368" s="111" t="n"/>
      <c r="K1368" s="111" t="n"/>
      <c r="L1368" s="111" t="n"/>
      <c r="V1368" s="111" t="n"/>
      <c r="W1368" s="111" t="n"/>
      <c r="X1368" s="111" t="n"/>
    </row>
    <row r="1369">
      <c r="A1369" s="34" t="n"/>
      <c r="I1369" s="111" t="n"/>
      <c r="J1369" s="111" t="n"/>
      <c r="K1369" s="111" t="n"/>
      <c r="L1369" s="111" t="n"/>
      <c r="V1369" s="111" t="n"/>
      <c r="W1369" s="111" t="n"/>
      <c r="X1369" s="111" t="n"/>
    </row>
    <row r="1370">
      <c r="A1370" s="34" t="n"/>
      <c r="I1370" s="111" t="n"/>
      <c r="J1370" s="111" t="n"/>
      <c r="K1370" s="111" t="n"/>
      <c r="L1370" s="111" t="n"/>
      <c r="V1370" s="111" t="n"/>
      <c r="W1370" s="111" t="n"/>
      <c r="X1370" s="111" t="n"/>
    </row>
    <row r="1371">
      <c r="A1371" s="34" t="n"/>
      <c r="I1371" s="111" t="n"/>
      <c r="J1371" s="111" t="n"/>
      <c r="K1371" s="111" t="n"/>
      <c r="L1371" s="111" t="n"/>
      <c r="V1371" s="111" t="n"/>
      <c r="W1371" s="111" t="n"/>
      <c r="X1371" s="111" t="n"/>
    </row>
    <row r="1372">
      <c r="A1372" s="34" t="n"/>
      <c r="I1372" s="111" t="n"/>
      <c r="J1372" s="111" t="n"/>
      <c r="K1372" s="111" t="n"/>
      <c r="L1372" s="111" t="n"/>
      <c r="V1372" s="111" t="n"/>
      <c r="W1372" s="111" t="n"/>
      <c r="X1372" s="111" t="n"/>
    </row>
    <row r="1373">
      <c r="A1373" s="34" t="n"/>
      <c r="I1373" s="111" t="n"/>
      <c r="J1373" s="111" t="n"/>
      <c r="K1373" s="111" t="n"/>
      <c r="L1373" s="111" t="n"/>
      <c r="V1373" s="111" t="n"/>
      <c r="W1373" s="111" t="n"/>
      <c r="X1373" s="111" t="n"/>
    </row>
    <row r="1374">
      <c r="A1374" s="34" t="n"/>
      <c r="I1374" s="111" t="n"/>
      <c r="J1374" s="111" t="n"/>
      <c r="K1374" s="111" t="n"/>
      <c r="L1374" s="111" t="n"/>
      <c r="V1374" s="111" t="n"/>
      <c r="W1374" s="111" t="n"/>
      <c r="X1374" s="111" t="n"/>
    </row>
    <row r="1375">
      <c r="A1375" s="34" t="n"/>
      <c r="I1375" s="111" t="n"/>
      <c r="J1375" s="111" t="n"/>
      <c r="K1375" s="111" t="n"/>
      <c r="L1375" s="111" t="n"/>
      <c r="V1375" s="111" t="n"/>
      <c r="W1375" s="111" t="n"/>
      <c r="X1375" s="111" t="n"/>
    </row>
    <row r="1376">
      <c r="A1376" s="34" t="n"/>
      <c r="I1376" s="111" t="n"/>
      <c r="J1376" s="111" t="n"/>
      <c r="K1376" s="111" t="n"/>
      <c r="L1376" s="111" t="n"/>
      <c r="V1376" s="111" t="n"/>
      <c r="W1376" s="111" t="n"/>
      <c r="X1376" s="111" t="n"/>
    </row>
    <row r="1377">
      <c r="A1377" s="34" t="n"/>
      <c r="I1377" s="111" t="n"/>
      <c r="J1377" s="111" t="n"/>
      <c r="K1377" s="111" t="n"/>
      <c r="L1377" s="111" t="n"/>
      <c r="V1377" s="111" t="n"/>
      <c r="W1377" s="111" t="n"/>
      <c r="X1377" s="111" t="n"/>
    </row>
    <row r="1378">
      <c r="A1378" s="34" t="n"/>
      <c r="I1378" s="111" t="n"/>
      <c r="J1378" s="111" t="n"/>
      <c r="K1378" s="111" t="n"/>
      <c r="L1378" s="111" t="n"/>
      <c r="V1378" s="111" t="n"/>
      <c r="W1378" s="111" t="n"/>
      <c r="X1378" s="111" t="n"/>
    </row>
    <row r="1379">
      <c r="A1379" s="34" t="n"/>
      <c r="I1379" s="111" t="n"/>
      <c r="J1379" s="111" t="n"/>
      <c r="K1379" s="111" t="n"/>
      <c r="L1379" s="111" t="n"/>
      <c r="V1379" s="111" t="n"/>
      <c r="W1379" s="111" t="n"/>
      <c r="X1379" s="111" t="n"/>
    </row>
    <row r="1380">
      <c r="A1380" s="34" t="n"/>
      <c r="I1380" s="111" t="n"/>
      <c r="J1380" s="111" t="n"/>
      <c r="K1380" s="111" t="n"/>
      <c r="L1380" s="111" t="n"/>
      <c r="V1380" s="111" t="n"/>
      <c r="W1380" s="111" t="n"/>
      <c r="X1380" s="111" t="n"/>
    </row>
    <row r="1381">
      <c r="A1381" s="34" t="n"/>
      <c r="I1381" s="111" t="n"/>
      <c r="J1381" s="111" t="n"/>
      <c r="K1381" s="111" t="n"/>
      <c r="L1381" s="111" t="n"/>
      <c r="V1381" s="111" t="n"/>
      <c r="W1381" s="111" t="n"/>
      <c r="X1381" s="111" t="n"/>
    </row>
    <row r="1382">
      <c r="A1382" s="34" t="n"/>
      <c r="I1382" s="111" t="n"/>
      <c r="J1382" s="111" t="n"/>
      <c r="K1382" s="111" t="n"/>
      <c r="L1382" s="111" t="n"/>
      <c r="V1382" s="111" t="n"/>
      <c r="W1382" s="111" t="n"/>
      <c r="X1382" s="111" t="n"/>
    </row>
    <row r="1383">
      <c r="A1383" s="34" t="n"/>
      <c r="I1383" s="111" t="n"/>
      <c r="J1383" s="111" t="n"/>
      <c r="K1383" s="111" t="n"/>
      <c r="L1383" s="111" t="n"/>
      <c r="V1383" s="111" t="n"/>
      <c r="W1383" s="111" t="n"/>
      <c r="X1383" s="111" t="n"/>
    </row>
    <row r="1384">
      <c r="A1384" s="34" t="n"/>
      <c r="I1384" s="111" t="n"/>
      <c r="J1384" s="111" t="n"/>
      <c r="K1384" s="111" t="n"/>
      <c r="L1384" s="111" t="n"/>
      <c r="V1384" s="111" t="n"/>
      <c r="W1384" s="111" t="n"/>
      <c r="X1384" s="111" t="n"/>
    </row>
    <row r="1385">
      <c r="A1385" s="34" t="n"/>
      <c r="I1385" s="111" t="n"/>
      <c r="J1385" s="111" t="n"/>
      <c r="K1385" s="111" t="n"/>
      <c r="L1385" s="111" t="n"/>
      <c r="V1385" s="111" t="n"/>
      <c r="W1385" s="111" t="n"/>
      <c r="X1385" s="111" t="n"/>
    </row>
    <row r="1386">
      <c r="A1386" s="34" t="n"/>
      <c r="I1386" s="111" t="n"/>
      <c r="J1386" s="111" t="n"/>
      <c r="K1386" s="111" t="n"/>
      <c r="L1386" s="111" t="n"/>
      <c r="V1386" s="111" t="n"/>
      <c r="W1386" s="111" t="n"/>
      <c r="X1386" s="111" t="n"/>
    </row>
    <row r="1387">
      <c r="A1387" s="34" t="n"/>
      <c r="I1387" s="111" t="n"/>
      <c r="J1387" s="111" t="n"/>
      <c r="K1387" s="111" t="n"/>
      <c r="L1387" s="111" t="n"/>
      <c r="V1387" s="111" t="n"/>
      <c r="W1387" s="111" t="n"/>
      <c r="X1387" s="111" t="n"/>
    </row>
    <row r="1388">
      <c r="A1388" s="34" t="n"/>
      <c r="I1388" s="111" t="n"/>
      <c r="J1388" s="111" t="n"/>
      <c r="K1388" s="111" t="n"/>
      <c r="L1388" s="111" t="n"/>
      <c r="V1388" s="111" t="n"/>
      <c r="W1388" s="111" t="n"/>
      <c r="X1388" s="111" t="n"/>
    </row>
    <row r="1389">
      <c r="A1389" s="34" t="n"/>
      <c r="I1389" s="111" t="n"/>
      <c r="J1389" s="111" t="n"/>
      <c r="K1389" s="111" t="n"/>
      <c r="L1389" s="111" t="n"/>
      <c r="V1389" s="111" t="n"/>
      <c r="W1389" s="111" t="n"/>
      <c r="X1389" s="111" t="n"/>
    </row>
    <row r="1390">
      <c r="A1390" s="34" t="n"/>
      <c r="I1390" s="111" t="n"/>
      <c r="J1390" s="111" t="n"/>
      <c r="K1390" s="111" t="n"/>
      <c r="L1390" s="111" t="n"/>
      <c r="V1390" s="111" t="n"/>
      <c r="W1390" s="111" t="n"/>
      <c r="X1390" s="111" t="n"/>
    </row>
    <row r="1391">
      <c r="A1391" s="34" t="n"/>
      <c r="I1391" s="111" t="n"/>
      <c r="J1391" s="111" t="n"/>
      <c r="K1391" s="111" t="n"/>
      <c r="L1391" s="111" t="n"/>
      <c r="V1391" s="111" t="n"/>
      <c r="W1391" s="111" t="n"/>
      <c r="X1391" s="111" t="n"/>
    </row>
    <row r="1392">
      <c r="A1392" s="34" t="n"/>
      <c r="I1392" s="111" t="n"/>
      <c r="J1392" s="111" t="n"/>
      <c r="K1392" s="111" t="n"/>
      <c r="L1392" s="111" t="n"/>
      <c r="V1392" s="111" t="n"/>
      <c r="W1392" s="111" t="n"/>
      <c r="X1392" s="111" t="n"/>
    </row>
    <row r="1393">
      <c r="A1393" s="34" t="n"/>
      <c r="I1393" s="111" t="n"/>
      <c r="J1393" s="111" t="n"/>
      <c r="K1393" s="111" t="n"/>
      <c r="L1393" s="111" t="n"/>
      <c r="V1393" s="111" t="n"/>
      <c r="W1393" s="111" t="n"/>
      <c r="X1393" s="111" t="n"/>
    </row>
    <row r="1394">
      <c r="A1394" s="34" t="n"/>
      <c r="I1394" s="111" t="n"/>
      <c r="J1394" s="111" t="n"/>
      <c r="K1394" s="111" t="n"/>
      <c r="L1394" s="111" t="n"/>
      <c r="V1394" s="111" t="n"/>
      <c r="W1394" s="111" t="n"/>
      <c r="X1394" s="111" t="n"/>
    </row>
    <row r="1395">
      <c r="A1395" s="34" t="n"/>
      <c r="I1395" s="111" t="n"/>
      <c r="J1395" s="111" t="n"/>
      <c r="K1395" s="111" t="n"/>
      <c r="L1395" s="111" t="n"/>
      <c r="V1395" s="111" t="n"/>
      <c r="W1395" s="111" t="n"/>
      <c r="X1395" s="111" t="n"/>
    </row>
    <row r="1396">
      <c r="A1396" s="34" t="n"/>
      <c r="I1396" s="111" t="n"/>
      <c r="J1396" s="111" t="n"/>
      <c r="K1396" s="111" t="n"/>
      <c r="L1396" s="111" t="n"/>
      <c r="V1396" s="111" t="n"/>
      <c r="W1396" s="111" t="n"/>
      <c r="X1396" s="111" t="n"/>
    </row>
    <row r="1397">
      <c r="A1397" s="34" t="n"/>
      <c r="I1397" s="111" t="n"/>
      <c r="J1397" s="111" t="n"/>
      <c r="K1397" s="111" t="n"/>
      <c r="L1397" s="111" t="n"/>
      <c r="V1397" s="111" t="n"/>
      <c r="W1397" s="111" t="n"/>
      <c r="X1397" s="111" t="n"/>
    </row>
    <row r="1398">
      <c r="A1398" s="34" t="n"/>
      <c r="I1398" s="111" t="n"/>
      <c r="J1398" s="111" t="n"/>
      <c r="K1398" s="111" t="n"/>
      <c r="L1398" s="111" t="n"/>
      <c r="V1398" s="111" t="n"/>
      <c r="W1398" s="111" t="n"/>
      <c r="X1398" s="111" t="n"/>
    </row>
    <row r="1399">
      <c r="A1399" s="34" t="n"/>
      <c r="I1399" s="111" t="n"/>
      <c r="J1399" s="111" t="n"/>
      <c r="K1399" s="111" t="n"/>
      <c r="L1399" s="111" t="n"/>
      <c r="V1399" s="111" t="n"/>
      <c r="W1399" s="111" t="n"/>
      <c r="X1399" s="111" t="n"/>
    </row>
    <row r="1400">
      <c r="A1400" s="34" t="n"/>
      <c r="I1400" s="111" t="n"/>
      <c r="J1400" s="111" t="n"/>
      <c r="K1400" s="111" t="n"/>
      <c r="L1400" s="111" t="n"/>
      <c r="V1400" s="111" t="n"/>
      <c r="W1400" s="111" t="n"/>
      <c r="X1400" s="111" t="n"/>
    </row>
    <row r="1401">
      <c r="A1401" s="34" t="n"/>
      <c r="I1401" s="111" t="n"/>
      <c r="J1401" s="111" t="n"/>
      <c r="K1401" s="111" t="n"/>
      <c r="L1401" s="111" t="n"/>
      <c r="V1401" s="111" t="n"/>
      <c r="W1401" s="111" t="n"/>
      <c r="X1401" s="111" t="n"/>
    </row>
    <row r="1402">
      <c r="A1402" s="34" t="n"/>
      <c r="I1402" s="111" t="n"/>
      <c r="J1402" s="111" t="n"/>
      <c r="K1402" s="111" t="n"/>
      <c r="L1402" s="111" t="n"/>
      <c r="V1402" s="111" t="n"/>
      <c r="W1402" s="111" t="n"/>
      <c r="X1402" s="111" t="n"/>
    </row>
    <row r="1403">
      <c r="A1403" s="34" t="n"/>
      <c r="I1403" s="111" t="n"/>
      <c r="J1403" s="111" t="n"/>
      <c r="K1403" s="111" t="n"/>
      <c r="L1403" s="111" t="n"/>
      <c r="V1403" s="111" t="n"/>
      <c r="W1403" s="111" t="n"/>
      <c r="X1403" s="111" t="n"/>
    </row>
    <row r="1404">
      <c r="A1404" s="34" t="n"/>
      <c r="I1404" s="111" t="n"/>
      <c r="J1404" s="111" t="n"/>
      <c r="K1404" s="111" t="n"/>
      <c r="L1404" s="111" t="n"/>
      <c r="V1404" s="111" t="n"/>
      <c r="W1404" s="111" t="n"/>
      <c r="X1404" s="111" t="n"/>
    </row>
    <row r="1405">
      <c r="A1405" s="34" t="n"/>
      <c r="I1405" s="111" t="n"/>
      <c r="J1405" s="111" t="n"/>
      <c r="K1405" s="111" t="n"/>
      <c r="L1405" s="111" t="n"/>
      <c r="V1405" s="111" t="n"/>
      <c r="W1405" s="111" t="n"/>
      <c r="X1405" s="111" t="n"/>
    </row>
    <row r="1406">
      <c r="A1406" s="34" t="n"/>
      <c r="I1406" s="111" t="n"/>
      <c r="J1406" s="111" t="n"/>
      <c r="K1406" s="111" t="n"/>
      <c r="L1406" s="111" t="n"/>
      <c r="V1406" s="111" t="n"/>
      <c r="W1406" s="111" t="n"/>
      <c r="X1406" s="111" t="n"/>
    </row>
    <row r="1407">
      <c r="A1407" s="34" t="n"/>
      <c r="I1407" s="111" t="n"/>
      <c r="J1407" s="111" t="n"/>
      <c r="K1407" s="111" t="n"/>
      <c r="L1407" s="111" t="n"/>
      <c r="V1407" s="111" t="n"/>
      <c r="W1407" s="111" t="n"/>
      <c r="X1407" s="111" t="n"/>
    </row>
    <row r="1408">
      <c r="A1408" s="34" t="n"/>
      <c r="I1408" s="111" t="n"/>
      <c r="J1408" s="111" t="n"/>
      <c r="K1408" s="111" t="n"/>
      <c r="L1408" s="111" t="n"/>
      <c r="V1408" s="111" t="n"/>
      <c r="W1408" s="111" t="n"/>
      <c r="X1408" s="111" t="n"/>
    </row>
    <row r="1409">
      <c r="A1409" s="34" t="n"/>
      <c r="I1409" s="111" t="n"/>
      <c r="J1409" s="111" t="n"/>
      <c r="K1409" s="111" t="n"/>
      <c r="L1409" s="111" t="n"/>
      <c r="V1409" s="111" t="n"/>
      <c r="W1409" s="111" t="n"/>
      <c r="X1409" s="111" t="n"/>
    </row>
    <row r="1410">
      <c r="A1410" s="34" t="n"/>
      <c r="I1410" s="111" t="n"/>
      <c r="J1410" s="111" t="n"/>
      <c r="K1410" s="111" t="n"/>
      <c r="L1410" s="111" t="n"/>
      <c r="V1410" s="111" t="n"/>
      <c r="W1410" s="111" t="n"/>
      <c r="X1410" s="111" t="n"/>
    </row>
    <row r="1411">
      <c r="A1411" s="34" t="n"/>
      <c r="I1411" s="111" t="n"/>
      <c r="J1411" s="111" t="n"/>
      <c r="K1411" s="111" t="n"/>
      <c r="L1411" s="111" t="n"/>
      <c r="V1411" s="111" t="n"/>
      <c r="W1411" s="111" t="n"/>
      <c r="X1411" s="111" t="n"/>
    </row>
    <row r="1412">
      <c r="A1412" s="34" t="n"/>
      <c r="I1412" s="111" t="n"/>
      <c r="J1412" s="111" t="n"/>
      <c r="K1412" s="111" t="n"/>
      <c r="L1412" s="111" t="n"/>
      <c r="V1412" s="111" t="n"/>
      <c r="W1412" s="111" t="n"/>
      <c r="X1412" s="111" t="n"/>
    </row>
    <row r="1413">
      <c r="A1413" s="34" t="n"/>
      <c r="I1413" s="111" t="n"/>
      <c r="J1413" s="111" t="n"/>
      <c r="K1413" s="111" t="n"/>
      <c r="L1413" s="111" t="n"/>
      <c r="V1413" s="111" t="n"/>
      <c r="W1413" s="111" t="n"/>
      <c r="X1413" s="111" t="n"/>
    </row>
    <row r="1414">
      <c r="A1414" s="34" t="n"/>
      <c r="I1414" s="111" t="n"/>
      <c r="J1414" s="111" t="n"/>
      <c r="K1414" s="111" t="n"/>
      <c r="L1414" s="111" t="n"/>
      <c r="V1414" s="111" t="n"/>
      <c r="W1414" s="111" t="n"/>
      <c r="X1414" s="111" t="n"/>
    </row>
    <row r="1415">
      <c r="A1415" s="34" t="n"/>
      <c r="I1415" s="111" t="n"/>
      <c r="J1415" s="111" t="n"/>
      <c r="K1415" s="111" t="n"/>
      <c r="L1415" s="111" t="n"/>
      <c r="V1415" s="111" t="n"/>
      <c r="W1415" s="111" t="n"/>
      <c r="X1415" s="111" t="n"/>
    </row>
    <row r="1416">
      <c r="A1416" s="34" t="n"/>
      <c r="I1416" s="111" t="n"/>
      <c r="J1416" s="111" t="n"/>
      <c r="K1416" s="111" t="n"/>
      <c r="L1416" s="111" t="n"/>
      <c r="V1416" s="111" t="n"/>
      <c r="W1416" s="111" t="n"/>
      <c r="X1416" s="111" t="n"/>
    </row>
    <row r="1417">
      <c r="A1417" s="34" t="n"/>
      <c r="I1417" s="111" t="n"/>
      <c r="J1417" s="111" t="n"/>
      <c r="K1417" s="111" t="n"/>
      <c r="L1417" s="111" t="n"/>
      <c r="V1417" s="111" t="n"/>
      <c r="W1417" s="111" t="n"/>
      <c r="X1417" s="111" t="n"/>
    </row>
    <row r="1418">
      <c r="A1418" s="34" t="n"/>
      <c r="I1418" s="111" t="n"/>
      <c r="J1418" s="111" t="n"/>
      <c r="K1418" s="111" t="n"/>
      <c r="L1418" s="111" t="n"/>
      <c r="V1418" s="111" t="n"/>
      <c r="W1418" s="111" t="n"/>
      <c r="X1418" s="111" t="n"/>
    </row>
    <row r="1419">
      <c r="A1419" s="34" t="n"/>
      <c r="I1419" s="111" t="n"/>
      <c r="J1419" s="111" t="n"/>
      <c r="K1419" s="111" t="n"/>
      <c r="L1419" s="111" t="n"/>
      <c r="V1419" s="111" t="n"/>
      <c r="W1419" s="111" t="n"/>
      <c r="X1419" s="111" t="n"/>
    </row>
    <row r="1420">
      <c r="A1420" s="34" t="n"/>
      <c r="I1420" s="111" t="n"/>
      <c r="J1420" s="111" t="n"/>
      <c r="K1420" s="111" t="n"/>
      <c r="L1420" s="111" t="n"/>
      <c r="V1420" s="111" t="n"/>
      <c r="W1420" s="111" t="n"/>
      <c r="X1420" s="111" t="n"/>
    </row>
    <row r="1421">
      <c r="A1421" s="34" t="n"/>
      <c r="I1421" s="111" t="n"/>
      <c r="J1421" s="111" t="n"/>
      <c r="K1421" s="111" t="n"/>
      <c r="L1421" s="111" t="n"/>
      <c r="V1421" s="111" t="n"/>
      <c r="W1421" s="111" t="n"/>
      <c r="X1421" s="111" t="n"/>
    </row>
    <row r="1422">
      <c r="A1422" s="34" t="n"/>
      <c r="I1422" s="111" t="n"/>
      <c r="J1422" s="111" t="n"/>
      <c r="K1422" s="111" t="n"/>
      <c r="L1422" s="111" t="n"/>
      <c r="V1422" s="111" t="n"/>
      <c r="W1422" s="111" t="n"/>
      <c r="X1422" s="111" t="n"/>
    </row>
    <row r="1423">
      <c r="A1423" s="34" t="n"/>
      <c r="I1423" s="111" t="n"/>
      <c r="J1423" s="111" t="n"/>
      <c r="K1423" s="111" t="n"/>
      <c r="L1423" s="111" t="n"/>
      <c r="V1423" s="111" t="n"/>
      <c r="W1423" s="111" t="n"/>
      <c r="X1423" s="111" t="n"/>
    </row>
    <row r="1424">
      <c r="A1424" s="34" t="n"/>
      <c r="I1424" s="111" t="n"/>
      <c r="J1424" s="111" t="n"/>
      <c r="K1424" s="111" t="n"/>
      <c r="L1424" s="111" t="n"/>
      <c r="V1424" s="111" t="n"/>
      <c r="W1424" s="111" t="n"/>
      <c r="X1424" s="111" t="n"/>
    </row>
    <row r="1425">
      <c r="A1425" s="34" t="n"/>
      <c r="I1425" s="111" t="n"/>
      <c r="J1425" s="111" t="n"/>
      <c r="K1425" s="111" t="n"/>
      <c r="L1425" s="111" t="n"/>
      <c r="V1425" s="111" t="n"/>
      <c r="W1425" s="111" t="n"/>
      <c r="X1425" s="111" t="n"/>
    </row>
    <row r="1426">
      <c r="A1426" s="34" t="n"/>
      <c r="I1426" s="111" t="n"/>
      <c r="J1426" s="111" t="n"/>
      <c r="K1426" s="111" t="n"/>
      <c r="L1426" s="111" t="n"/>
      <c r="V1426" s="111" t="n"/>
      <c r="W1426" s="111" t="n"/>
      <c r="X1426" s="111" t="n"/>
    </row>
    <row r="1427">
      <c r="A1427" s="34" t="n"/>
      <c r="I1427" s="111" t="n"/>
      <c r="J1427" s="111" t="n"/>
      <c r="K1427" s="111" t="n"/>
      <c r="L1427" s="111" t="n"/>
      <c r="V1427" s="111" t="n"/>
      <c r="W1427" s="111" t="n"/>
      <c r="X1427" s="111" t="n"/>
    </row>
    <row r="1428">
      <c r="A1428" s="34" t="n"/>
      <c r="I1428" s="111" t="n"/>
      <c r="J1428" s="111" t="n"/>
      <c r="K1428" s="111" t="n"/>
      <c r="L1428" s="111" t="n"/>
      <c r="V1428" s="111" t="n"/>
      <c r="W1428" s="111" t="n"/>
      <c r="X1428" s="111" t="n"/>
    </row>
    <row r="1429">
      <c r="A1429" s="34" t="n"/>
      <c r="I1429" s="111" t="n"/>
      <c r="J1429" s="111" t="n"/>
      <c r="K1429" s="111" t="n"/>
      <c r="L1429" s="111" t="n"/>
      <c r="V1429" s="111" t="n"/>
      <c r="W1429" s="111" t="n"/>
      <c r="X1429" s="111" t="n"/>
    </row>
    <row r="1430">
      <c r="A1430" s="34" t="n"/>
      <c r="I1430" s="111" t="n"/>
      <c r="J1430" s="111" t="n"/>
      <c r="K1430" s="111" t="n"/>
      <c r="L1430" s="111" t="n"/>
      <c r="V1430" s="111" t="n"/>
      <c r="W1430" s="111" t="n"/>
      <c r="X1430" s="111" t="n"/>
    </row>
    <row r="1431">
      <c r="A1431" s="34" t="n"/>
      <c r="I1431" s="111" t="n"/>
      <c r="J1431" s="111" t="n"/>
      <c r="K1431" s="111" t="n"/>
      <c r="L1431" s="111" t="n"/>
      <c r="V1431" s="111" t="n"/>
      <c r="W1431" s="111" t="n"/>
      <c r="X1431" s="111" t="n"/>
    </row>
    <row r="1432">
      <c r="A1432" s="34" t="n"/>
      <c r="I1432" s="111" t="n"/>
      <c r="J1432" s="111" t="n"/>
      <c r="K1432" s="111" t="n"/>
      <c r="L1432" s="111" t="n"/>
      <c r="V1432" s="111" t="n"/>
      <c r="W1432" s="111" t="n"/>
      <c r="X1432" s="111" t="n"/>
    </row>
    <row r="1433">
      <c r="A1433" s="34" t="n"/>
      <c r="I1433" s="111" t="n"/>
      <c r="J1433" s="111" t="n"/>
      <c r="K1433" s="111" t="n"/>
      <c r="L1433" s="111" t="n"/>
      <c r="V1433" s="111" t="n"/>
      <c r="W1433" s="111" t="n"/>
      <c r="X1433" s="111" t="n"/>
    </row>
    <row r="1434">
      <c r="A1434" s="34" t="n"/>
      <c r="I1434" s="111" t="n"/>
      <c r="J1434" s="111" t="n"/>
      <c r="K1434" s="111" t="n"/>
      <c r="L1434" s="111" t="n"/>
      <c r="V1434" s="111" t="n"/>
      <c r="W1434" s="111" t="n"/>
      <c r="X1434" s="111" t="n"/>
    </row>
    <row r="1435">
      <c r="A1435" s="34" t="n"/>
      <c r="I1435" s="111" t="n"/>
      <c r="J1435" s="111" t="n"/>
      <c r="K1435" s="111" t="n"/>
      <c r="L1435" s="111" t="n"/>
      <c r="V1435" s="111" t="n"/>
      <c r="W1435" s="111" t="n"/>
      <c r="X1435" s="111" t="n"/>
    </row>
    <row r="1436">
      <c r="A1436" s="34" t="n"/>
      <c r="I1436" s="111" t="n"/>
      <c r="J1436" s="111" t="n"/>
      <c r="K1436" s="111" t="n"/>
      <c r="L1436" s="111" t="n"/>
      <c r="V1436" s="111" t="n"/>
      <c r="W1436" s="111" t="n"/>
      <c r="X1436" s="111" t="n"/>
    </row>
    <row r="1437">
      <c r="A1437" s="34" t="n"/>
      <c r="I1437" s="111" t="n"/>
      <c r="J1437" s="111" t="n"/>
      <c r="K1437" s="111" t="n"/>
      <c r="L1437" s="111" t="n"/>
      <c r="V1437" s="111" t="n"/>
      <c r="W1437" s="111" t="n"/>
      <c r="X1437" s="111" t="n"/>
    </row>
    <row r="1438">
      <c r="A1438" s="34" t="n"/>
      <c r="I1438" s="111" t="n"/>
      <c r="J1438" s="111" t="n"/>
      <c r="K1438" s="111" t="n"/>
      <c r="L1438" s="111" t="n"/>
      <c r="V1438" s="111" t="n"/>
      <c r="W1438" s="111" t="n"/>
      <c r="X1438" s="111" t="n"/>
    </row>
    <row r="1439">
      <c r="A1439" s="34" t="n"/>
      <c r="I1439" s="111" t="n"/>
      <c r="J1439" s="111" t="n"/>
      <c r="K1439" s="111" t="n"/>
      <c r="L1439" s="111" t="n"/>
      <c r="V1439" s="111" t="n"/>
      <c r="W1439" s="111" t="n"/>
      <c r="X1439" s="111" t="n"/>
    </row>
    <row r="1440">
      <c r="A1440" s="34" t="n"/>
      <c r="I1440" s="111" t="n"/>
      <c r="J1440" s="111" t="n"/>
      <c r="K1440" s="111" t="n"/>
      <c r="L1440" s="111" t="n"/>
      <c r="V1440" s="111" t="n"/>
      <c r="W1440" s="111" t="n"/>
      <c r="X1440" s="111" t="n"/>
    </row>
    <row r="1441">
      <c r="A1441" s="34" t="n"/>
      <c r="I1441" s="111" t="n"/>
      <c r="J1441" s="111" t="n"/>
      <c r="K1441" s="111" t="n"/>
      <c r="L1441" s="111" t="n"/>
      <c r="V1441" s="111" t="n"/>
      <c r="W1441" s="111" t="n"/>
      <c r="X1441" s="111" t="n"/>
    </row>
    <row r="1442">
      <c r="A1442" s="34" t="n"/>
      <c r="I1442" s="111" t="n"/>
      <c r="J1442" s="111" t="n"/>
      <c r="K1442" s="111" t="n"/>
      <c r="L1442" s="111" t="n"/>
      <c r="V1442" s="111" t="n"/>
      <c r="W1442" s="111" t="n"/>
      <c r="X1442" s="111" t="n"/>
    </row>
    <row r="1443">
      <c r="A1443" s="34" t="n"/>
      <c r="I1443" s="111" t="n"/>
      <c r="J1443" s="111" t="n"/>
      <c r="K1443" s="111" t="n"/>
      <c r="L1443" s="111" t="n"/>
      <c r="V1443" s="111" t="n"/>
      <c r="W1443" s="111" t="n"/>
      <c r="X1443" s="111" t="n"/>
    </row>
    <row r="1444">
      <c r="A1444" s="34" t="n"/>
      <c r="I1444" s="111" t="n"/>
      <c r="J1444" s="111" t="n"/>
      <c r="K1444" s="111" t="n"/>
      <c r="L1444" s="111" t="n"/>
      <c r="V1444" s="111" t="n"/>
      <c r="W1444" s="111" t="n"/>
      <c r="X1444" s="111" t="n"/>
    </row>
    <row r="1445">
      <c r="A1445" s="34" t="n"/>
      <c r="I1445" s="111" t="n"/>
      <c r="J1445" s="111" t="n"/>
      <c r="K1445" s="111" t="n"/>
      <c r="L1445" s="111" t="n"/>
      <c r="V1445" s="111" t="n"/>
      <c r="W1445" s="111" t="n"/>
      <c r="X1445" s="111" t="n"/>
    </row>
    <row r="1446">
      <c r="A1446" s="34" t="n"/>
      <c r="I1446" s="111" t="n"/>
      <c r="J1446" s="111" t="n"/>
      <c r="K1446" s="111" t="n"/>
      <c r="L1446" s="111" t="n"/>
      <c r="V1446" s="111" t="n"/>
      <c r="W1446" s="111" t="n"/>
      <c r="X1446" s="111" t="n"/>
    </row>
    <row r="1447">
      <c r="A1447" s="34" t="n"/>
      <c r="I1447" s="111" t="n"/>
      <c r="J1447" s="111" t="n"/>
      <c r="K1447" s="111" t="n"/>
      <c r="L1447" s="111" t="n"/>
      <c r="V1447" s="111" t="n"/>
      <c r="W1447" s="111" t="n"/>
      <c r="X1447" s="111" t="n"/>
    </row>
    <row r="1448">
      <c r="A1448" s="34" t="n"/>
      <c r="I1448" s="111" t="n"/>
      <c r="J1448" s="111" t="n"/>
      <c r="K1448" s="111" t="n"/>
      <c r="L1448" s="111" t="n"/>
      <c r="V1448" s="111" t="n"/>
      <c r="W1448" s="111" t="n"/>
      <c r="X1448" s="111" t="n"/>
    </row>
    <row r="1449">
      <c r="A1449" s="34" t="n"/>
      <c r="I1449" s="111" t="n"/>
      <c r="J1449" s="111" t="n"/>
      <c r="K1449" s="111" t="n"/>
      <c r="L1449" s="111" t="n"/>
      <c r="V1449" s="111" t="n"/>
      <c r="W1449" s="111" t="n"/>
      <c r="X1449" s="111" t="n"/>
    </row>
    <row r="1450">
      <c r="A1450" s="34" t="n"/>
      <c r="I1450" s="111" t="n"/>
      <c r="J1450" s="111" t="n"/>
      <c r="K1450" s="111" t="n"/>
      <c r="L1450" s="111" t="n"/>
      <c r="V1450" s="111" t="n"/>
      <c r="W1450" s="111" t="n"/>
      <c r="X1450" s="111" t="n"/>
    </row>
    <row r="1451">
      <c r="A1451" s="34" t="n"/>
      <c r="I1451" s="111" t="n"/>
      <c r="J1451" s="111" t="n"/>
      <c r="K1451" s="111" t="n"/>
      <c r="L1451" s="111" t="n"/>
      <c r="V1451" s="111" t="n"/>
      <c r="W1451" s="111" t="n"/>
      <c r="X1451" s="111" t="n"/>
    </row>
    <row r="1452">
      <c r="A1452" s="34" t="n"/>
      <c r="I1452" s="111" t="n"/>
      <c r="J1452" s="111" t="n"/>
      <c r="K1452" s="111" t="n"/>
      <c r="L1452" s="111" t="n"/>
      <c r="V1452" s="111" t="n"/>
      <c r="W1452" s="111" t="n"/>
      <c r="X1452" s="111" t="n"/>
    </row>
    <row r="1453">
      <c r="A1453" s="34" t="n"/>
      <c r="I1453" s="111" t="n"/>
      <c r="J1453" s="111" t="n"/>
      <c r="K1453" s="111" t="n"/>
      <c r="L1453" s="111" t="n"/>
      <c r="V1453" s="111" t="n"/>
      <c r="W1453" s="111" t="n"/>
      <c r="X1453" s="111" t="n"/>
    </row>
    <row r="1454">
      <c r="A1454" s="34" t="n"/>
      <c r="I1454" s="111" t="n"/>
      <c r="J1454" s="111" t="n"/>
      <c r="K1454" s="111" t="n"/>
      <c r="L1454" s="111" t="n"/>
      <c r="V1454" s="111" t="n"/>
      <c r="W1454" s="111" t="n"/>
      <c r="X1454" s="111" t="n"/>
    </row>
    <row r="1455">
      <c r="A1455" s="34" t="n"/>
      <c r="I1455" s="111" t="n"/>
      <c r="J1455" s="111" t="n"/>
      <c r="K1455" s="111" t="n"/>
      <c r="L1455" s="111" t="n"/>
      <c r="V1455" s="111" t="n"/>
      <c r="W1455" s="111" t="n"/>
      <c r="X1455" s="111" t="n"/>
    </row>
    <row r="1456">
      <c r="A1456" s="34" t="n"/>
      <c r="I1456" s="111" t="n"/>
      <c r="J1456" s="111" t="n"/>
      <c r="K1456" s="111" t="n"/>
      <c r="L1456" s="111" t="n"/>
      <c r="V1456" s="111" t="n"/>
      <c r="W1456" s="111" t="n"/>
      <c r="X1456" s="111" t="n"/>
    </row>
    <row r="1457">
      <c r="A1457" s="34" t="n"/>
      <c r="I1457" s="111" t="n"/>
      <c r="J1457" s="111" t="n"/>
      <c r="K1457" s="111" t="n"/>
      <c r="L1457" s="111" t="n"/>
      <c r="V1457" s="111" t="n"/>
      <c r="W1457" s="111" t="n"/>
      <c r="X1457" s="111" t="n"/>
    </row>
    <row r="1458">
      <c r="A1458" s="34" t="n"/>
      <c r="I1458" s="111" t="n"/>
      <c r="J1458" s="111" t="n"/>
      <c r="K1458" s="111" t="n"/>
      <c r="L1458" s="111" t="n"/>
      <c r="V1458" s="111" t="n"/>
      <c r="W1458" s="111" t="n"/>
      <c r="X1458" s="111" t="n"/>
    </row>
    <row r="1459">
      <c r="A1459" s="34" t="n"/>
      <c r="I1459" s="111" t="n"/>
      <c r="J1459" s="111" t="n"/>
      <c r="K1459" s="111" t="n"/>
      <c r="L1459" s="111" t="n"/>
      <c r="V1459" s="111" t="n"/>
      <c r="W1459" s="111" t="n"/>
      <c r="X1459" s="111" t="n"/>
    </row>
    <row r="1460">
      <c r="A1460" s="34" t="n"/>
      <c r="I1460" s="111" t="n"/>
      <c r="J1460" s="111" t="n"/>
      <c r="K1460" s="111" t="n"/>
      <c r="L1460" s="111" t="n"/>
      <c r="V1460" s="111" t="n"/>
      <c r="W1460" s="111" t="n"/>
      <c r="X1460" s="111" t="n"/>
    </row>
    <row r="1461">
      <c r="A1461" s="34" t="n"/>
      <c r="I1461" s="111" t="n"/>
      <c r="J1461" s="111" t="n"/>
      <c r="K1461" s="111" t="n"/>
      <c r="L1461" s="111" t="n"/>
      <c r="V1461" s="111" t="n"/>
      <c r="W1461" s="111" t="n"/>
      <c r="X1461" s="111" t="n"/>
    </row>
    <row r="1462">
      <c r="A1462" s="34" t="n"/>
      <c r="I1462" s="111" t="n"/>
      <c r="J1462" s="111" t="n"/>
      <c r="K1462" s="111" t="n"/>
      <c r="L1462" s="111" t="n"/>
      <c r="V1462" s="111" t="n"/>
      <c r="W1462" s="111" t="n"/>
      <c r="X1462" s="111" t="n"/>
    </row>
    <row r="1463">
      <c r="A1463" s="34" t="n"/>
      <c r="I1463" s="111" t="n"/>
      <c r="J1463" s="111" t="n"/>
      <c r="K1463" s="111" t="n"/>
      <c r="L1463" s="111" t="n"/>
      <c r="V1463" s="111" t="n"/>
      <c r="W1463" s="111" t="n"/>
      <c r="X1463" s="111" t="n"/>
    </row>
    <row r="1464">
      <c r="A1464" s="34" t="n"/>
      <c r="I1464" s="111" t="n"/>
      <c r="J1464" s="111" t="n"/>
      <c r="K1464" s="111" t="n"/>
      <c r="L1464" s="111" t="n"/>
      <c r="V1464" s="111" t="n"/>
      <c r="W1464" s="111" t="n"/>
      <c r="X1464" s="111" t="n"/>
    </row>
    <row r="1465">
      <c r="A1465" s="34" t="n"/>
      <c r="I1465" s="111" t="n"/>
      <c r="J1465" s="111" t="n"/>
      <c r="K1465" s="111" t="n"/>
      <c r="L1465" s="111" t="n"/>
      <c r="V1465" s="111" t="n"/>
      <c r="W1465" s="111" t="n"/>
      <c r="X1465" s="111" t="n"/>
    </row>
    <row r="1466">
      <c r="A1466" s="34" t="n"/>
      <c r="I1466" s="111" t="n"/>
      <c r="J1466" s="111" t="n"/>
      <c r="K1466" s="111" t="n"/>
      <c r="L1466" s="111" t="n"/>
      <c r="V1466" s="111" t="n"/>
      <c r="W1466" s="111" t="n"/>
      <c r="X1466" s="111" t="n"/>
    </row>
    <row r="1467">
      <c r="A1467" s="34" t="n"/>
      <c r="I1467" s="111" t="n"/>
      <c r="J1467" s="111" t="n"/>
      <c r="K1467" s="111" t="n"/>
      <c r="L1467" s="111" t="n"/>
      <c r="V1467" s="111" t="n"/>
      <c r="W1467" s="111" t="n"/>
      <c r="X1467" s="111" t="n"/>
    </row>
    <row r="1468">
      <c r="A1468" s="34" t="n"/>
      <c r="I1468" s="111" t="n"/>
      <c r="J1468" s="111" t="n"/>
      <c r="K1468" s="111" t="n"/>
      <c r="L1468" s="111" t="n"/>
      <c r="V1468" s="111" t="n"/>
      <c r="W1468" s="111" t="n"/>
      <c r="X1468" s="111" t="n"/>
    </row>
    <row r="1469">
      <c r="A1469" s="34" t="n"/>
      <c r="I1469" s="111" t="n"/>
      <c r="J1469" s="111" t="n"/>
      <c r="K1469" s="111" t="n"/>
      <c r="L1469" s="111" t="n"/>
      <c r="V1469" s="111" t="n"/>
      <c r="W1469" s="111" t="n"/>
      <c r="X1469" s="111" t="n"/>
    </row>
    <row r="1470">
      <c r="A1470" s="34" t="n"/>
      <c r="I1470" s="111" t="n"/>
      <c r="J1470" s="111" t="n"/>
      <c r="K1470" s="111" t="n"/>
      <c r="L1470" s="111" t="n"/>
      <c r="V1470" s="111" t="n"/>
      <c r="W1470" s="111" t="n"/>
      <c r="X1470" s="111" t="n"/>
    </row>
    <row r="1471">
      <c r="A1471" s="34" t="n"/>
      <c r="I1471" s="111" t="n"/>
      <c r="J1471" s="111" t="n"/>
      <c r="K1471" s="111" t="n"/>
      <c r="L1471" s="111" t="n"/>
      <c r="V1471" s="111" t="n"/>
      <c r="W1471" s="111" t="n"/>
      <c r="X1471" s="111" t="n"/>
    </row>
    <row r="1472">
      <c r="A1472" s="34" t="n"/>
      <c r="I1472" s="111" t="n"/>
      <c r="J1472" s="111" t="n"/>
      <c r="K1472" s="111" t="n"/>
      <c r="L1472" s="111" t="n"/>
      <c r="V1472" s="111" t="n"/>
      <c r="W1472" s="111" t="n"/>
      <c r="X1472" s="111" t="n"/>
    </row>
    <row r="1473">
      <c r="A1473" s="34" t="n"/>
      <c r="I1473" s="111" t="n"/>
      <c r="J1473" s="111" t="n"/>
      <c r="K1473" s="111" t="n"/>
      <c r="L1473" s="111" t="n"/>
      <c r="V1473" s="111" t="n"/>
      <c r="W1473" s="111" t="n"/>
      <c r="X1473" s="111" t="n"/>
    </row>
    <row r="1474">
      <c r="A1474" s="34" t="n"/>
      <c r="I1474" s="111" t="n"/>
      <c r="J1474" s="111" t="n"/>
      <c r="K1474" s="111" t="n"/>
      <c r="L1474" s="111" t="n"/>
      <c r="V1474" s="111" t="n"/>
      <c r="W1474" s="111" t="n"/>
      <c r="X1474" s="111" t="n"/>
    </row>
    <row r="1475">
      <c r="A1475" s="34" t="n"/>
      <c r="I1475" s="111" t="n"/>
      <c r="J1475" s="111" t="n"/>
      <c r="K1475" s="111" t="n"/>
      <c r="L1475" s="111" t="n"/>
      <c r="V1475" s="111" t="n"/>
      <c r="W1475" s="111" t="n"/>
      <c r="X1475" s="111" t="n"/>
    </row>
    <row r="1476">
      <c r="A1476" s="34" t="n"/>
      <c r="I1476" s="111" t="n"/>
      <c r="J1476" s="111" t="n"/>
      <c r="K1476" s="111" t="n"/>
      <c r="L1476" s="111" t="n"/>
      <c r="V1476" s="111" t="n"/>
      <c r="W1476" s="111" t="n"/>
      <c r="X1476" s="111" t="n"/>
    </row>
    <row r="1477">
      <c r="A1477" s="34" t="n"/>
      <c r="I1477" s="111" t="n"/>
      <c r="J1477" s="111" t="n"/>
      <c r="K1477" s="111" t="n"/>
      <c r="L1477" s="111" t="n"/>
      <c r="V1477" s="111" t="n"/>
      <c r="W1477" s="111" t="n"/>
      <c r="X1477" s="111" t="n"/>
    </row>
    <row r="1478">
      <c r="A1478" s="34" t="n"/>
      <c r="I1478" s="111" t="n"/>
      <c r="J1478" s="111" t="n"/>
      <c r="K1478" s="111" t="n"/>
      <c r="L1478" s="111" t="n"/>
      <c r="V1478" s="111" t="n"/>
      <c r="W1478" s="111" t="n"/>
      <c r="X1478" s="111" t="n"/>
    </row>
    <row r="1479">
      <c r="A1479" s="34" t="n"/>
      <c r="I1479" s="111" t="n"/>
      <c r="J1479" s="111" t="n"/>
      <c r="K1479" s="111" t="n"/>
      <c r="L1479" s="111" t="n"/>
      <c r="V1479" s="111" t="n"/>
      <c r="W1479" s="111" t="n"/>
      <c r="X1479" s="111" t="n"/>
    </row>
    <row r="1480">
      <c r="A1480" s="34" t="n"/>
      <c r="I1480" s="111" t="n"/>
      <c r="J1480" s="111" t="n"/>
      <c r="K1480" s="111" t="n"/>
      <c r="L1480" s="111" t="n"/>
      <c r="V1480" s="111" t="n"/>
      <c r="W1480" s="111" t="n"/>
      <c r="X1480" s="111" t="n"/>
    </row>
    <row r="1481">
      <c r="A1481" s="34" t="n"/>
      <c r="I1481" s="111" t="n"/>
      <c r="J1481" s="111" t="n"/>
      <c r="K1481" s="111" t="n"/>
      <c r="L1481" s="111" t="n"/>
      <c r="V1481" s="111" t="n"/>
      <c r="W1481" s="111" t="n"/>
      <c r="X1481" s="111" t="n"/>
    </row>
    <row r="1482">
      <c r="A1482" s="34" t="n"/>
      <c r="I1482" s="111" t="n"/>
      <c r="J1482" s="111" t="n"/>
      <c r="K1482" s="111" t="n"/>
      <c r="L1482" s="111" t="n"/>
      <c r="V1482" s="111" t="n"/>
      <c r="W1482" s="111" t="n"/>
      <c r="X1482" s="111" t="n"/>
    </row>
    <row r="1483">
      <c r="A1483" s="34" t="n"/>
      <c r="I1483" s="111" t="n"/>
      <c r="J1483" s="111" t="n"/>
      <c r="K1483" s="111" t="n"/>
      <c r="L1483" s="111" t="n"/>
      <c r="V1483" s="111" t="n"/>
      <c r="W1483" s="111" t="n"/>
      <c r="X1483" s="111" t="n"/>
    </row>
    <row r="1484">
      <c r="A1484" s="34" t="n"/>
      <c r="I1484" s="111" t="n"/>
      <c r="J1484" s="111" t="n"/>
      <c r="K1484" s="111" t="n"/>
      <c r="L1484" s="111" t="n"/>
      <c r="V1484" s="111" t="n"/>
      <c r="W1484" s="111" t="n"/>
      <c r="X1484" s="111" t="n"/>
    </row>
    <row r="1485">
      <c r="A1485" s="34" t="n"/>
      <c r="I1485" s="111" t="n"/>
      <c r="J1485" s="111" t="n"/>
      <c r="K1485" s="111" t="n"/>
      <c r="L1485" s="111" t="n"/>
      <c r="V1485" s="111" t="n"/>
      <c r="W1485" s="111" t="n"/>
      <c r="X1485" s="111" t="n"/>
    </row>
    <row r="1486">
      <c r="A1486" s="34" t="n"/>
      <c r="I1486" s="111" t="n"/>
      <c r="J1486" s="111" t="n"/>
      <c r="K1486" s="111" t="n"/>
      <c r="L1486" s="111" t="n"/>
      <c r="V1486" s="111" t="n"/>
      <c r="W1486" s="111" t="n"/>
      <c r="X1486" s="111" t="n"/>
    </row>
    <row r="1487">
      <c r="A1487" s="34" t="n"/>
      <c r="I1487" s="111" t="n"/>
      <c r="J1487" s="111" t="n"/>
      <c r="K1487" s="111" t="n"/>
      <c r="L1487" s="111" t="n"/>
      <c r="V1487" s="111" t="n"/>
      <c r="W1487" s="111" t="n"/>
      <c r="X1487" s="111" t="n"/>
    </row>
    <row r="1488">
      <c r="A1488" s="34" t="n"/>
      <c r="I1488" s="111" t="n"/>
      <c r="J1488" s="111" t="n"/>
      <c r="K1488" s="111" t="n"/>
      <c r="L1488" s="111" t="n"/>
      <c r="V1488" s="111" t="n"/>
      <c r="W1488" s="111" t="n"/>
      <c r="X1488" s="111" t="n"/>
    </row>
    <row r="1489">
      <c r="A1489" s="34" t="n"/>
      <c r="I1489" s="111" t="n"/>
      <c r="J1489" s="111" t="n"/>
      <c r="K1489" s="111" t="n"/>
      <c r="L1489" s="111" t="n"/>
      <c r="V1489" s="111" t="n"/>
      <c r="W1489" s="111" t="n"/>
      <c r="X1489" s="111" t="n"/>
    </row>
    <row r="1490">
      <c r="A1490" s="34" t="n"/>
      <c r="I1490" s="111" t="n"/>
      <c r="J1490" s="111" t="n"/>
      <c r="K1490" s="111" t="n"/>
      <c r="L1490" s="111" t="n"/>
      <c r="V1490" s="111" t="n"/>
      <c r="W1490" s="111" t="n"/>
      <c r="X1490" s="111" t="n"/>
    </row>
    <row r="1491">
      <c r="A1491" s="34" t="n"/>
      <c r="I1491" s="111" t="n"/>
      <c r="J1491" s="111" t="n"/>
      <c r="K1491" s="111" t="n"/>
      <c r="L1491" s="111" t="n"/>
      <c r="V1491" s="111" t="n"/>
      <c r="W1491" s="111" t="n"/>
      <c r="X1491" s="111" t="n"/>
    </row>
    <row r="1492">
      <c r="A1492" s="34" t="n"/>
      <c r="I1492" s="111" t="n"/>
      <c r="J1492" s="111" t="n"/>
      <c r="K1492" s="111" t="n"/>
      <c r="L1492" s="111" t="n"/>
      <c r="V1492" s="111" t="n"/>
      <c r="W1492" s="111" t="n"/>
      <c r="X1492" s="111" t="n"/>
    </row>
    <row r="1493">
      <c r="A1493" s="34" t="n"/>
      <c r="I1493" s="111" t="n"/>
      <c r="J1493" s="111" t="n"/>
      <c r="K1493" s="111" t="n"/>
      <c r="L1493" s="111" t="n"/>
      <c r="V1493" s="111" t="n"/>
      <c r="W1493" s="111" t="n"/>
      <c r="X1493" s="111" t="n"/>
    </row>
    <row r="1494">
      <c r="A1494" s="34" t="n"/>
      <c r="I1494" s="111" t="n"/>
      <c r="J1494" s="111" t="n"/>
      <c r="K1494" s="111" t="n"/>
      <c r="L1494" s="111" t="n"/>
      <c r="V1494" s="111" t="n"/>
      <c r="W1494" s="111" t="n"/>
      <c r="X1494" s="111" t="n"/>
    </row>
    <row r="1495">
      <c r="A1495" s="34" t="n"/>
      <c r="I1495" s="111" t="n"/>
      <c r="J1495" s="111" t="n"/>
      <c r="K1495" s="111" t="n"/>
      <c r="L1495" s="111" t="n"/>
      <c r="V1495" s="111" t="n"/>
      <c r="W1495" s="111" t="n"/>
      <c r="X1495" s="111" t="n"/>
    </row>
    <row r="1496">
      <c r="A1496" s="34" t="n"/>
      <c r="I1496" s="111" t="n"/>
      <c r="J1496" s="111" t="n"/>
      <c r="K1496" s="111" t="n"/>
      <c r="L1496" s="111" t="n"/>
      <c r="V1496" s="111" t="n"/>
      <c r="W1496" s="111" t="n"/>
      <c r="X1496" s="111" t="n"/>
    </row>
    <row r="1497">
      <c r="A1497" s="34" t="n"/>
      <c r="I1497" s="111" t="n"/>
      <c r="J1497" s="111" t="n"/>
      <c r="K1497" s="111" t="n"/>
      <c r="L1497" s="111" t="n"/>
      <c r="V1497" s="111" t="n"/>
      <c r="W1497" s="111" t="n"/>
      <c r="X1497" s="111" t="n"/>
    </row>
    <row r="1498">
      <c r="A1498" s="34" t="n"/>
      <c r="I1498" s="111" t="n"/>
      <c r="J1498" s="111" t="n"/>
      <c r="K1498" s="111" t="n"/>
      <c r="L1498" s="111" t="n"/>
      <c r="V1498" s="111" t="n"/>
      <c r="W1498" s="111" t="n"/>
      <c r="X1498" s="111" t="n"/>
    </row>
    <row r="1499">
      <c r="A1499" s="34" t="n"/>
      <c r="I1499" s="111" t="n"/>
      <c r="J1499" s="111" t="n"/>
      <c r="K1499" s="111" t="n"/>
      <c r="L1499" s="111" t="n"/>
      <c r="V1499" s="111" t="n"/>
      <c r="W1499" s="111" t="n"/>
      <c r="X1499" s="111" t="n"/>
    </row>
    <row r="1500">
      <c r="A1500" s="34" t="n"/>
      <c r="I1500" s="111" t="n"/>
      <c r="J1500" s="111" t="n"/>
      <c r="K1500" s="111" t="n"/>
      <c r="L1500" s="111" t="n"/>
      <c r="V1500" s="111" t="n"/>
      <c r="W1500" s="111" t="n"/>
      <c r="X1500" s="111" t="n"/>
    </row>
    <row r="1501">
      <c r="A1501" s="34" t="n"/>
      <c r="I1501" s="111" t="n"/>
      <c r="J1501" s="111" t="n"/>
      <c r="K1501" s="111" t="n"/>
      <c r="L1501" s="111" t="n"/>
      <c r="V1501" s="111" t="n"/>
      <c r="W1501" s="111" t="n"/>
      <c r="X1501" s="111" t="n"/>
    </row>
    <row r="1502">
      <c r="A1502" s="34" t="n"/>
      <c r="I1502" s="111" t="n"/>
      <c r="J1502" s="111" t="n"/>
      <c r="K1502" s="111" t="n"/>
      <c r="L1502" s="111" t="n"/>
      <c r="V1502" s="111" t="n"/>
      <c r="W1502" s="111" t="n"/>
      <c r="X1502" s="111" t="n"/>
    </row>
    <row r="1503">
      <c r="A1503" s="34" t="n"/>
      <c r="I1503" s="111" t="n"/>
      <c r="J1503" s="111" t="n"/>
      <c r="K1503" s="111" t="n"/>
      <c r="L1503" s="111" t="n"/>
      <c r="V1503" s="111" t="n"/>
      <c r="W1503" s="111" t="n"/>
      <c r="X1503" s="111" t="n"/>
    </row>
    <row r="1504">
      <c r="A1504" s="34" t="n"/>
      <c r="I1504" s="111" t="n"/>
      <c r="J1504" s="111" t="n"/>
      <c r="K1504" s="111" t="n"/>
      <c r="L1504" s="111" t="n"/>
      <c r="V1504" s="111" t="n"/>
      <c r="W1504" s="111" t="n"/>
      <c r="X1504" s="111" t="n"/>
    </row>
    <row r="1505">
      <c r="A1505" s="34" t="n"/>
      <c r="I1505" s="111" t="n"/>
      <c r="J1505" s="111" t="n"/>
      <c r="K1505" s="111" t="n"/>
      <c r="L1505" s="111" t="n"/>
      <c r="V1505" s="111" t="n"/>
      <c r="W1505" s="111" t="n"/>
      <c r="X1505" s="111" t="n"/>
    </row>
    <row r="1506">
      <c r="A1506" s="34" t="n"/>
      <c r="I1506" s="111" t="n"/>
      <c r="J1506" s="111" t="n"/>
      <c r="K1506" s="111" t="n"/>
      <c r="L1506" s="111" t="n"/>
      <c r="V1506" s="111" t="n"/>
      <c r="W1506" s="111" t="n"/>
      <c r="X1506" s="111" t="n"/>
    </row>
    <row r="1507">
      <c r="A1507" s="34" t="n"/>
      <c r="I1507" s="111" t="n"/>
      <c r="J1507" s="111" t="n"/>
      <c r="K1507" s="111" t="n"/>
      <c r="L1507" s="111" t="n"/>
      <c r="V1507" s="111" t="n"/>
      <c r="W1507" s="111" t="n"/>
      <c r="X1507" s="111" t="n"/>
    </row>
    <row r="1508">
      <c r="A1508" s="34" t="n"/>
      <c r="I1508" s="111" t="n"/>
      <c r="J1508" s="111" t="n"/>
      <c r="K1508" s="111" t="n"/>
      <c r="L1508" s="111" t="n"/>
      <c r="V1508" s="111" t="n"/>
      <c r="W1508" s="111" t="n"/>
      <c r="X1508" s="111" t="n"/>
    </row>
    <row r="1509">
      <c r="A1509" s="34" t="n"/>
      <c r="I1509" s="111" t="n"/>
      <c r="J1509" s="111" t="n"/>
      <c r="K1509" s="111" t="n"/>
      <c r="L1509" s="111" t="n"/>
      <c r="V1509" s="111" t="n"/>
      <c r="W1509" s="111" t="n"/>
      <c r="X1509" s="111" t="n"/>
    </row>
    <row r="1510">
      <c r="A1510" s="34" t="n"/>
      <c r="I1510" s="111" t="n"/>
      <c r="J1510" s="111" t="n"/>
      <c r="K1510" s="111" t="n"/>
      <c r="L1510" s="111" t="n"/>
      <c r="V1510" s="111" t="n"/>
      <c r="W1510" s="111" t="n"/>
      <c r="X1510" s="111" t="n"/>
    </row>
    <row r="1511">
      <c r="A1511" s="34" t="n"/>
      <c r="I1511" s="111" t="n"/>
      <c r="J1511" s="111" t="n"/>
      <c r="K1511" s="111" t="n"/>
      <c r="L1511" s="111" t="n"/>
      <c r="V1511" s="111" t="n"/>
      <c r="W1511" s="111" t="n"/>
      <c r="X1511" s="111" t="n"/>
    </row>
    <row r="1512">
      <c r="A1512" s="34" t="n"/>
      <c r="I1512" s="111" t="n"/>
      <c r="J1512" s="111" t="n"/>
      <c r="K1512" s="111" t="n"/>
      <c r="L1512" s="111" t="n"/>
      <c r="V1512" s="111" t="n"/>
      <c r="W1512" s="111" t="n"/>
      <c r="X1512" s="111" t="n"/>
    </row>
    <row r="1513">
      <c r="A1513" s="34" t="n"/>
      <c r="I1513" s="111" t="n"/>
      <c r="J1513" s="111" t="n"/>
      <c r="K1513" s="111" t="n"/>
      <c r="L1513" s="111" t="n"/>
      <c r="V1513" s="111" t="n"/>
      <c r="W1513" s="111" t="n"/>
      <c r="X1513" s="111" t="n"/>
    </row>
    <row r="1514">
      <c r="A1514" s="34" t="n"/>
      <c r="I1514" s="111" t="n"/>
      <c r="J1514" s="111" t="n"/>
      <c r="K1514" s="111" t="n"/>
      <c r="L1514" s="111" t="n"/>
      <c r="V1514" s="111" t="n"/>
      <c r="W1514" s="111" t="n"/>
      <c r="X1514" s="111" t="n"/>
    </row>
    <row r="1515">
      <c r="A1515" s="34" t="n"/>
      <c r="I1515" s="111" t="n"/>
      <c r="J1515" s="111" t="n"/>
      <c r="K1515" s="111" t="n"/>
      <c r="L1515" s="111" t="n"/>
      <c r="V1515" s="111" t="n"/>
      <c r="W1515" s="111" t="n"/>
      <c r="X1515" s="111" t="n"/>
    </row>
    <row r="1516">
      <c r="A1516" s="34" t="n"/>
      <c r="I1516" s="111" t="n"/>
      <c r="J1516" s="111" t="n"/>
      <c r="K1516" s="111" t="n"/>
      <c r="L1516" s="111" t="n"/>
      <c r="V1516" s="111" t="n"/>
      <c r="W1516" s="111" t="n"/>
      <c r="X1516" s="111" t="n"/>
    </row>
    <row r="1517">
      <c r="A1517" s="34" t="n"/>
      <c r="I1517" s="111" t="n"/>
      <c r="J1517" s="111" t="n"/>
      <c r="K1517" s="111" t="n"/>
      <c r="L1517" s="111" t="n"/>
      <c r="V1517" s="111" t="n"/>
      <c r="W1517" s="111" t="n"/>
      <c r="X1517" s="111" t="n"/>
    </row>
    <row r="1518">
      <c r="A1518" s="34" t="n"/>
      <c r="I1518" s="111" t="n"/>
      <c r="J1518" s="111" t="n"/>
      <c r="K1518" s="111" t="n"/>
      <c r="L1518" s="111" t="n"/>
      <c r="V1518" s="111" t="n"/>
      <c r="W1518" s="111" t="n"/>
      <c r="X1518" s="111" t="n"/>
    </row>
    <row r="1519">
      <c r="A1519" s="34" t="n"/>
      <c r="I1519" s="111" t="n"/>
      <c r="J1519" s="111" t="n"/>
      <c r="K1519" s="111" t="n"/>
      <c r="L1519" s="111" t="n"/>
      <c r="V1519" s="111" t="n"/>
      <c r="W1519" s="111" t="n"/>
      <c r="X1519" s="111" t="n"/>
    </row>
    <row r="1520">
      <c r="A1520" s="34" t="n"/>
      <c r="I1520" s="111" t="n"/>
      <c r="J1520" s="111" t="n"/>
      <c r="K1520" s="111" t="n"/>
      <c r="L1520" s="111" t="n"/>
      <c r="V1520" s="111" t="n"/>
      <c r="W1520" s="111" t="n"/>
      <c r="X1520" s="111" t="n"/>
    </row>
    <row r="1521">
      <c r="A1521" s="34" t="n"/>
      <c r="I1521" s="111" t="n"/>
      <c r="J1521" s="111" t="n"/>
      <c r="K1521" s="111" t="n"/>
      <c r="L1521" s="111" t="n"/>
      <c r="V1521" s="111" t="n"/>
      <c r="W1521" s="111" t="n"/>
      <c r="X1521" s="111" t="n"/>
    </row>
    <row r="1522">
      <c r="A1522" s="34" t="n"/>
      <c r="I1522" s="111" t="n"/>
      <c r="J1522" s="111" t="n"/>
      <c r="K1522" s="111" t="n"/>
      <c r="L1522" s="111" t="n"/>
      <c r="V1522" s="111" t="n"/>
      <c r="W1522" s="111" t="n"/>
      <c r="X1522" s="111" t="n"/>
    </row>
    <row r="1523">
      <c r="A1523" s="34" t="n"/>
      <c r="I1523" s="111" t="n"/>
      <c r="J1523" s="111" t="n"/>
      <c r="K1523" s="111" t="n"/>
      <c r="L1523" s="111" t="n"/>
      <c r="V1523" s="111" t="n"/>
      <c r="W1523" s="111" t="n"/>
      <c r="X1523" s="111" t="n"/>
    </row>
    <row r="1524">
      <c r="A1524" s="34" t="n"/>
      <c r="I1524" s="111" t="n"/>
      <c r="J1524" s="111" t="n"/>
      <c r="K1524" s="111" t="n"/>
      <c r="L1524" s="111" t="n"/>
      <c r="V1524" s="111" t="n"/>
      <c r="W1524" s="111" t="n"/>
      <c r="X1524" s="111" t="n"/>
    </row>
    <row r="1525">
      <c r="A1525" s="34" t="n"/>
      <c r="I1525" s="111" t="n"/>
      <c r="J1525" s="111" t="n"/>
      <c r="K1525" s="111" t="n"/>
      <c r="L1525" s="111" t="n"/>
      <c r="V1525" s="111" t="n"/>
      <c r="W1525" s="111" t="n"/>
      <c r="X1525" s="111" t="n"/>
    </row>
    <row r="1526">
      <c r="A1526" s="34" t="n"/>
      <c r="I1526" s="111" t="n"/>
      <c r="J1526" s="111" t="n"/>
      <c r="K1526" s="111" t="n"/>
      <c r="L1526" s="111" t="n"/>
      <c r="V1526" s="111" t="n"/>
      <c r="W1526" s="111" t="n"/>
      <c r="X1526" s="111" t="n"/>
    </row>
    <row r="1527">
      <c r="A1527" s="34" t="n"/>
      <c r="I1527" s="111" t="n"/>
      <c r="J1527" s="111" t="n"/>
      <c r="K1527" s="111" t="n"/>
      <c r="L1527" s="111" t="n"/>
      <c r="V1527" s="111" t="n"/>
      <c r="W1527" s="111" t="n"/>
      <c r="X1527" s="111" t="n"/>
    </row>
    <row r="1528">
      <c r="A1528" s="34" t="n"/>
      <c r="I1528" s="111" t="n"/>
      <c r="J1528" s="111" t="n"/>
      <c r="K1528" s="111" t="n"/>
      <c r="L1528" s="111" t="n"/>
      <c r="V1528" s="111" t="n"/>
      <c r="W1528" s="111" t="n"/>
      <c r="X1528" s="111" t="n"/>
    </row>
    <row r="1529">
      <c r="A1529" s="34" t="n"/>
      <c r="I1529" s="111" t="n"/>
      <c r="J1529" s="111" t="n"/>
      <c r="K1529" s="111" t="n"/>
      <c r="L1529" s="111" t="n"/>
      <c r="V1529" s="111" t="n"/>
      <c r="W1529" s="111" t="n"/>
      <c r="X1529" s="111" t="n"/>
    </row>
    <row r="1530">
      <c r="A1530" s="34" t="n"/>
      <c r="I1530" s="111" t="n"/>
      <c r="J1530" s="111" t="n"/>
      <c r="K1530" s="111" t="n"/>
      <c r="L1530" s="111" t="n"/>
      <c r="V1530" s="111" t="n"/>
      <c r="W1530" s="111" t="n"/>
      <c r="X1530" s="111" t="n"/>
    </row>
    <row r="1531">
      <c r="A1531" s="34" t="n"/>
      <c r="I1531" s="111" t="n"/>
      <c r="J1531" s="111" t="n"/>
      <c r="K1531" s="111" t="n"/>
      <c r="L1531" s="111" t="n"/>
      <c r="V1531" s="111" t="n"/>
      <c r="W1531" s="111" t="n"/>
      <c r="X1531" s="111" t="n"/>
    </row>
    <row r="1532">
      <c r="A1532" s="34" t="n"/>
      <c r="I1532" s="111" t="n"/>
      <c r="J1532" s="111" t="n"/>
      <c r="K1532" s="111" t="n"/>
      <c r="L1532" s="111" t="n"/>
      <c r="V1532" s="111" t="n"/>
      <c r="W1532" s="111" t="n"/>
      <c r="X1532" s="111" t="n"/>
    </row>
    <row r="1533">
      <c r="A1533" s="34" t="n"/>
      <c r="I1533" s="111" t="n"/>
      <c r="J1533" s="111" t="n"/>
      <c r="K1533" s="111" t="n"/>
      <c r="L1533" s="111" t="n"/>
      <c r="V1533" s="111" t="n"/>
      <c r="W1533" s="111" t="n"/>
      <c r="X1533" s="111" t="n"/>
    </row>
    <row r="1534">
      <c r="A1534" s="34" t="n"/>
      <c r="I1534" s="111" t="n"/>
      <c r="J1534" s="111" t="n"/>
      <c r="K1534" s="111" t="n"/>
      <c r="L1534" s="111" t="n"/>
      <c r="V1534" s="111" t="n"/>
      <c r="W1534" s="111" t="n"/>
      <c r="X1534" s="111" t="n"/>
    </row>
    <row r="1535">
      <c r="A1535" s="34" t="n"/>
      <c r="I1535" s="111" t="n"/>
      <c r="J1535" s="111" t="n"/>
      <c r="K1535" s="111" t="n"/>
      <c r="L1535" s="111" t="n"/>
      <c r="V1535" s="111" t="n"/>
      <c r="W1535" s="111" t="n"/>
      <c r="X1535" s="111" t="n"/>
    </row>
    <row r="1536">
      <c r="A1536" s="34" t="n"/>
      <c r="I1536" s="111" t="n"/>
      <c r="J1536" s="111" t="n"/>
      <c r="K1536" s="111" t="n"/>
      <c r="L1536" s="111" t="n"/>
      <c r="V1536" s="111" t="n"/>
      <c r="W1536" s="111" t="n"/>
      <c r="X1536" s="111" t="n"/>
    </row>
    <row r="1537">
      <c r="A1537" s="34" t="n"/>
      <c r="I1537" s="111" t="n"/>
      <c r="J1537" s="111" t="n"/>
      <c r="K1537" s="111" t="n"/>
      <c r="L1537" s="111" t="n"/>
      <c r="V1537" s="111" t="n"/>
      <c r="W1537" s="111" t="n"/>
      <c r="X1537" s="111" t="n"/>
    </row>
    <row r="1538">
      <c r="A1538" s="34" t="n"/>
      <c r="I1538" s="111" t="n"/>
      <c r="J1538" s="111" t="n"/>
      <c r="K1538" s="111" t="n"/>
      <c r="L1538" s="111" t="n"/>
      <c r="V1538" s="111" t="n"/>
      <c r="W1538" s="111" t="n"/>
      <c r="X1538" s="111" t="n"/>
    </row>
    <row r="1539">
      <c r="A1539" s="34" t="n"/>
      <c r="I1539" s="111" t="n"/>
      <c r="J1539" s="111" t="n"/>
      <c r="K1539" s="111" t="n"/>
      <c r="L1539" s="111" t="n"/>
      <c r="V1539" s="111" t="n"/>
      <c r="W1539" s="111" t="n"/>
      <c r="X1539" s="111" t="n"/>
    </row>
    <row r="1540">
      <c r="A1540" s="34" t="n"/>
      <c r="I1540" s="111" t="n"/>
      <c r="J1540" s="111" t="n"/>
      <c r="K1540" s="111" t="n"/>
      <c r="L1540" s="111" t="n"/>
      <c r="V1540" s="111" t="n"/>
      <c r="W1540" s="111" t="n"/>
      <c r="X1540" s="111" t="n"/>
    </row>
    <row r="1541">
      <c r="A1541" s="34" t="n"/>
      <c r="I1541" s="111" t="n"/>
      <c r="J1541" s="111" t="n"/>
      <c r="K1541" s="111" t="n"/>
      <c r="L1541" s="111" t="n"/>
      <c r="V1541" s="111" t="n"/>
      <c r="W1541" s="111" t="n"/>
      <c r="X1541" s="111" t="n"/>
    </row>
    <row r="1542">
      <c r="A1542" s="34" t="n"/>
      <c r="I1542" s="111" t="n"/>
      <c r="J1542" s="111" t="n"/>
      <c r="K1542" s="111" t="n"/>
      <c r="L1542" s="111" t="n"/>
      <c r="V1542" s="111" t="n"/>
      <c r="W1542" s="111" t="n"/>
      <c r="X1542" s="111" t="n"/>
    </row>
    <row r="1543">
      <c r="A1543" s="34" t="n"/>
      <c r="I1543" s="111" t="n"/>
      <c r="J1543" s="111" t="n"/>
      <c r="K1543" s="111" t="n"/>
      <c r="L1543" s="111" t="n"/>
      <c r="V1543" s="111" t="n"/>
      <c r="W1543" s="111" t="n"/>
      <c r="X1543" s="111" t="n"/>
    </row>
    <row r="1544">
      <c r="A1544" s="34" t="n"/>
      <c r="I1544" s="111" t="n"/>
      <c r="J1544" s="111" t="n"/>
      <c r="K1544" s="111" t="n"/>
      <c r="L1544" s="111" t="n"/>
      <c r="V1544" s="111" t="n"/>
      <c r="W1544" s="111" t="n"/>
      <c r="X1544" s="111" t="n"/>
    </row>
    <row r="1545">
      <c r="A1545" s="34" t="n"/>
      <c r="I1545" s="111" t="n"/>
      <c r="J1545" s="111" t="n"/>
      <c r="K1545" s="111" t="n"/>
      <c r="L1545" s="111" t="n"/>
      <c r="V1545" s="111" t="n"/>
      <c r="W1545" s="111" t="n"/>
      <c r="X1545" s="111" t="n"/>
    </row>
    <row r="1546">
      <c r="A1546" s="34" t="n"/>
      <c r="I1546" s="111" t="n"/>
      <c r="J1546" s="111" t="n"/>
      <c r="K1546" s="111" t="n"/>
      <c r="L1546" s="111" t="n"/>
      <c r="V1546" s="111" t="n"/>
      <c r="W1546" s="111" t="n"/>
      <c r="X1546" s="111" t="n"/>
    </row>
    <row r="1547">
      <c r="A1547" s="34" t="n"/>
      <c r="I1547" s="111" t="n"/>
      <c r="J1547" s="111" t="n"/>
      <c r="K1547" s="111" t="n"/>
      <c r="L1547" s="111" t="n"/>
      <c r="V1547" s="111" t="n"/>
      <c r="W1547" s="111" t="n"/>
      <c r="X1547" s="111" t="n"/>
    </row>
    <row r="1548">
      <c r="A1548" s="34" t="n"/>
      <c r="I1548" s="111" t="n"/>
      <c r="J1548" s="111" t="n"/>
      <c r="K1548" s="111" t="n"/>
      <c r="L1548" s="111" t="n"/>
      <c r="V1548" s="111" t="n"/>
      <c r="W1548" s="111" t="n"/>
      <c r="X1548" s="111" t="n"/>
    </row>
    <row r="1549">
      <c r="A1549" s="34" t="n"/>
      <c r="I1549" s="111" t="n"/>
      <c r="J1549" s="111" t="n"/>
      <c r="K1549" s="111" t="n"/>
      <c r="L1549" s="111" t="n"/>
      <c r="V1549" s="111" t="n"/>
      <c r="W1549" s="111" t="n"/>
      <c r="X1549" s="111" t="n"/>
    </row>
    <row r="1550">
      <c r="A1550" s="34" t="n"/>
      <c r="I1550" s="111" t="n"/>
      <c r="J1550" s="111" t="n"/>
      <c r="K1550" s="111" t="n"/>
      <c r="L1550" s="111" t="n"/>
      <c r="V1550" s="111" t="n"/>
      <c r="W1550" s="111" t="n"/>
      <c r="X1550" s="111" t="n"/>
    </row>
    <row r="1551">
      <c r="A1551" s="34" t="n"/>
      <c r="I1551" s="111" t="n"/>
      <c r="J1551" s="111" t="n"/>
      <c r="K1551" s="111" t="n"/>
      <c r="L1551" s="111" t="n"/>
      <c r="V1551" s="111" t="n"/>
      <c r="W1551" s="111" t="n"/>
      <c r="X1551" s="111" t="n"/>
    </row>
    <row r="1552">
      <c r="A1552" s="34" t="n"/>
      <c r="I1552" s="111" t="n"/>
      <c r="J1552" s="111" t="n"/>
      <c r="K1552" s="111" t="n"/>
      <c r="L1552" s="111" t="n"/>
      <c r="V1552" s="111" t="n"/>
      <c r="W1552" s="111" t="n"/>
      <c r="X1552" s="111" t="n"/>
    </row>
    <row r="1553">
      <c r="A1553" s="34" t="n"/>
      <c r="I1553" s="111" t="n"/>
      <c r="J1553" s="111" t="n"/>
      <c r="K1553" s="111" t="n"/>
      <c r="L1553" s="111" t="n"/>
      <c r="V1553" s="111" t="n"/>
      <c r="W1553" s="111" t="n"/>
      <c r="X1553" s="111" t="n"/>
    </row>
    <row r="1554">
      <c r="A1554" s="34" t="n"/>
      <c r="I1554" s="111" t="n"/>
      <c r="J1554" s="111" t="n"/>
      <c r="K1554" s="111" t="n"/>
      <c r="L1554" s="111" t="n"/>
      <c r="V1554" s="111" t="n"/>
      <c r="W1554" s="111" t="n"/>
      <c r="X1554" s="111" t="n"/>
    </row>
    <row r="1555">
      <c r="A1555" s="34" t="n"/>
      <c r="I1555" s="111" t="n"/>
      <c r="J1555" s="111" t="n"/>
      <c r="K1555" s="111" t="n"/>
      <c r="L1555" s="111" t="n"/>
      <c r="V1555" s="111" t="n"/>
      <c r="W1555" s="111" t="n"/>
      <c r="X1555" s="111" t="n"/>
    </row>
    <row r="1556">
      <c r="A1556" s="34" t="n"/>
      <c r="I1556" s="111" t="n"/>
      <c r="J1556" s="111" t="n"/>
      <c r="K1556" s="111" t="n"/>
      <c r="L1556" s="111" t="n"/>
      <c r="V1556" s="111" t="n"/>
      <c r="W1556" s="111" t="n"/>
      <c r="X1556" s="111" t="n"/>
    </row>
    <row r="1557">
      <c r="A1557" s="34" t="n"/>
      <c r="I1557" s="111" t="n"/>
      <c r="J1557" s="111" t="n"/>
      <c r="K1557" s="111" t="n"/>
      <c r="L1557" s="111" t="n"/>
      <c r="V1557" s="111" t="n"/>
      <c r="W1557" s="111" t="n"/>
      <c r="X1557" s="111" t="n"/>
    </row>
    <row r="1558">
      <c r="A1558" s="34" t="n"/>
      <c r="I1558" s="111" t="n"/>
      <c r="J1558" s="111" t="n"/>
      <c r="K1558" s="111" t="n"/>
      <c r="L1558" s="111" t="n"/>
      <c r="V1558" s="111" t="n"/>
      <c r="W1558" s="111" t="n"/>
      <c r="X1558" s="111" t="n"/>
    </row>
    <row r="1559">
      <c r="A1559" s="34" t="n"/>
      <c r="I1559" s="111" t="n"/>
      <c r="J1559" s="111" t="n"/>
      <c r="K1559" s="111" t="n"/>
      <c r="L1559" s="111" t="n"/>
      <c r="V1559" s="111" t="n"/>
      <c r="W1559" s="111" t="n"/>
      <c r="X1559" s="111" t="n"/>
    </row>
    <row r="1560">
      <c r="A1560" s="34" t="n"/>
      <c r="I1560" s="111" t="n"/>
      <c r="J1560" s="111" t="n"/>
      <c r="K1560" s="111" t="n"/>
      <c r="L1560" s="111" t="n"/>
      <c r="V1560" s="111" t="n"/>
      <c r="W1560" s="111" t="n"/>
      <c r="X1560" s="111" t="n"/>
    </row>
    <row r="1561">
      <c r="A1561" s="34" t="n"/>
      <c r="I1561" s="111" t="n"/>
      <c r="J1561" s="111" t="n"/>
      <c r="K1561" s="111" t="n"/>
      <c r="L1561" s="111" t="n"/>
      <c r="V1561" s="111" t="n"/>
      <c r="W1561" s="111" t="n"/>
      <c r="X1561" s="111" t="n"/>
    </row>
    <row r="1562">
      <c r="A1562" s="34" t="n"/>
      <c r="I1562" s="111" t="n"/>
      <c r="J1562" s="111" t="n"/>
      <c r="K1562" s="111" t="n"/>
      <c r="L1562" s="111" t="n"/>
      <c r="V1562" s="111" t="n"/>
      <c r="W1562" s="111" t="n"/>
      <c r="X1562" s="111" t="n"/>
    </row>
    <row r="1563">
      <c r="A1563" s="34" t="n"/>
      <c r="I1563" s="111" t="n"/>
      <c r="J1563" s="111" t="n"/>
      <c r="K1563" s="111" t="n"/>
      <c r="L1563" s="111" t="n"/>
      <c r="V1563" s="111" t="n"/>
      <c r="W1563" s="111" t="n"/>
      <c r="X1563" s="111" t="n"/>
    </row>
    <row r="1564">
      <c r="A1564" s="34" t="n"/>
      <c r="I1564" s="111" t="n"/>
      <c r="J1564" s="111" t="n"/>
      <c r="K1564" s="111" t="n"/>
      <c r="L1564" s="111" t="n"/>
      <c r="V1564" s="111" t="n"/>
      <c r="W1564" s="111" t="n"/>
      <c r="X1564" s="111" t="n"/>
    </row>
    <row r="1565">
      <c r="A1565" s="34" t="n"/>
      <c r="I1565" s="111" t="n"/>
      <c r="J1565" s="111" t="n"/>
      <c r="K1565" s="111" t="n"/>
      <c r="L1565" s="111" t="n"/>
      <c r="V1565" s="111" t="n"/>
      <c r="W1565" s="111" t="n"/>
      <c r="X1565" s="111" t="n"/>
    </row>
    <row r="1566">
      <c r="A1566" s="34" t="n"/>
      <c r="I1566" s="111" t="n"/>
      <c r="J1566" s="111" t="n"/>
      <c r="K1566" s="111" t="n"/>
      <c r="L1566" s="111" t="n"/>
      <c r="V1566" s="111" t="n"/>
      <c r="W1566" s="111" t="n"/>
      <c r="X1566" s="111" t="n"/>
    </row>
    <row r="1567">
      <c r="A1567" s="34" t="n"/>
      <c r="I1567" s="111" t="n"/>
      <c r="J1567" s="111" t="n"/>
      <c r="K1567" s="111" t="n"/>
      <c r="L1567" s="111" t="n"/>
      <c r="V1567" s="111" t="n"/>
      <c r="W1567" s="111" t="n"/>
      <c r="X1567" s="111" t="n"/>
    </row>
    <row r="1568">
      <c r="A1568" s="34" t="n"/>
      <c r="I1568" s="111" t="n"/>
      <c r="J1568" s="111" t="n"/>
      <c r="K1568" s="111" t="n"/>
      <c r="L1568" s="111" t="n"/>
      <c r="V1568" s="111" t="n"/>
      <c r="W1568" s="111" t="n"/>
      <c r="X1568" s="111" t="n"/>
    </row>
    <row r="1569">
      <c r="A1569" s="34" t="n"/>
      <c r="I1569" s="111" t="n"/>
      <c r="J1569" s="111" t="n"/>
      <c r="K1569" s="111" t="n"/>
      <c r="L1569" s="111" t="n"/>
      <c r="V1569" s="111" t="n"/>
      <c r="W1569" s="111" t="n"/>
      <c r="X1569" s="111" t="n"/>
    </row>
    <row r="1570">
      <c r="A1570" s="34" t="n"/>
      <c r="I1570" s="111" t="n"/>
      <c r="J1570" s="111" t="n"/>
      <c r="K1570" s="111" t="n"/>
      <c r="L1570" s="111" t="n"/>
      <c r="V1570" s="111" t="n"/>
      <c r="W1570" s="111" t="n"/>
      <c r="X1570" s="111" t="n"/>
    </row>
    <row r="1571">
      <c r="A1571" s="34" t="n"/>
      <c r="I1571" s="111" t="n"/>
      <c r="J1571" s="111" t="n"/>
      <c r="K1571" s="111" t="n"/>
      <c r="L1571" s="111" t="n"/>
      <c r="V1571" s="111" t="n"/>
      <c r="W1571" s="111" t="n"/>
      <c r="X1571" s="111" t="n"/>
    </row>
    <row r="1572">
      <c r="A1572" s="34" t="n"/>
      <c r="I1572" s="111" t="n"/>
      <c r="J1572" s="111" t="n"/>
      <c r="K1572" s="111" t="n"/>
      <c r="L1572" s="111" t="n"/>
      <c r="V1572" s="111" t="n"/>
      <c r="W1572" s="111" t="n"/>
      <c r="X1572" s="111" t="n"/>
    </row>
    <row r="1573">
      <c r="A1573" s="34" t="n"/>
      <c r="I1573" s="111" t="n"/>
      <c r="J1573" s="111" t="n"/>
      <c r="K1573" s="111" t="n"/>
      <c r="L1573" s="111" t="n"/>
      <c r="V1573" s="111" t="n"/>
      <c r="W1573" s="111" t="n"/>
      <c r="X1573" s="111" t="n"/>
    </row>
    <row r="1574">
      <c r="A1574" s="34" t="n"/>
      <c r="I1574" s="111" t="n"/>
      <c r="J1574" s="111" t="n"/>
      <c r="K1574" s="111" t="n"/>
      <c r="L1574" s="111" t="n"/>
      <c r="V1574" s="111" t="n"/>
      <c r="W1574" s="111" t="n"/>
      <c r="X1574" s="111" t="n"/>
    </row>
    <row r="1575">
      <c r="A1575" s="34" t="n"/>
      <c r="I1575" s="111" t="n"/>
      <c r="J1575" s="111" t="n"/>
      <c r="K1575" s="111" t="n"/>
      <c r="L1575" s="111" t="n"/>
      <c r="V1575" s="111" t="n"/>
      <c r="W1575" s="111" t="n"/>
      <c r="X1575" s="111" t="n"/>
    </row>
    <row r="1576">
      <c r="A1576" s="34" t="n"/>
      <c r="I1576" s="111" t="n"/>
      <c r="J1576" s="111" t="n"/>
      <c r="K1576" s="111" t="n"/>
      <c r="L1576" s="111" t="n"/>
      <c r="V1576" s="111" t="n"/>
      <c r="W1576" s="111" t="n"/>
      <c r="X1576" s="111" t="n"/>
    </row>
    <row r="1577">
      <c r="A1577" s="34" t="n"/>
      <c r="I1577" s="111" t="n"/>
      <c r="J1577" s="111" t="n"/>
      <c r="K1577" s="111" t="n"/>
      <c r="L1577" s="111" t="n"/>
      <c r="V1577" s="111" t="n"/>
      <c r="W1577" s="111" t="n"/>
      <c r="X1577" s="111" t="n"/>
    </row>
    <row r="1578">
      <c r="A1578" s="34" t="n"/>
      <c r="I1578" s="111" t="n"/>
      <c r="J1578" s="111" t="n"/>
      <c r="K1578" s="111" t="n"/>
      <c r="L1578" s="111" t="n"/>
      <c r="V1578" s="111" t="n"/>
      <c r="W1578" s="111" t="n"/>
      <c r="X1578" s="111" t="n"/>
    </row>
    <row r="1579">
      <c r="A1579" s="34" t="n"/>
      <c r="I1579" s="111" t="n"/>
      <c r="J1579" s="111" t="n"/>
      <c r="K1579" s="111" t="n"/>
      <c r="L1579" s="111" t="n"/>
      <c r="V1579" s="111" t="n"/>
      <c r="W1579" s="111" t="n"/>
      <c r="X1579" s="111" t="n"/>
    </row>
    <row r="1580">
      <c r="A1580" s="34" t="n"/>
      <c r="I1580" s="111" t="n"/>
      <c r="J1580" s="111" t="n"/>
      <c r="K1580" s="111" t="n"/>
      <c r="L1580" s="111" t="n"/>
      <c r="V1580" s="111" t="n"/>
      <c r="W1580" s="111" t="n"/>
      <c r="X1580" s="111" t="n"/>
    </row>
    <row r="1581">
      <c r="A1581" s="34" t="n"/>
      <c r="I1581" s="111" t="n"/>
      <c r="J1581" s="111" t="n"/>
      <c r="K1581" s="111" t="n"/>
      <c r="L1581" s="111" t="n"/>
      <c r="V1581" s="111" t="n"/>
      <c r="W1581" s="111" t="n"/>
      <c r="X1581" s="111" t="n"/>
    </row>
    <row r="1582">
      <c r="A1582" s="34" t="n"/>
      <c r="I1582" s="111" t="n"/>
      <c r="J1582" s="111" t="n"/>
      <c r="K1582" s="111" t="n"/>
      <c r="L1582" s="111" t="n"/>
      <c r="V1582" s="111" t="n"/>
      <c r="W1582" s="111" t="n"/>
      <c r="X1582" s="111" t="n"/>
    </row>
    <row r="1583">
      <c r="A1583" s="34" t="n"/>
      <c r="I1583" s="111" t="n"/>
      <c r="J1583" s="111" t="n"/>
      <c r="K1583" s="111" t="n"/>
      <c r="L1583" s="111" t="n"/>
      <c r="V1583" s="111" t="n"/>
      <c r="W1583" s="111" t="n"/>
      <c r="X1583" s="111" t="n"/>
    </row>
    <row r="1584">
      <c r="A1584" s="34" t="n"/>
      <c r="I1584" s="111" t="n"/>
      <c r="J1584" s="111" t="n"/>
      <c r="K1584" s="111" t="n"/>
      <c r="L1584" s="111" t="n"/>
      <c r="V1584" s="111" t="n"/>
      <c r="W1584" s="111" t="n"/>
      <c r="X1584" s="111" t="n"/>
    </row>
    <row r="1585">
      <c r="A1585" s="34" t="n"/>
      <c r="I1585" s="111" t="n"/>
      <c r="J1585" s="111" t="n"/>
      <c r="K1585" s="111" t="n"/>
      <c r="L1585" s="111" t="n"/>
      <c r="V1585" s="111" t="n"/>
      <c r="W1585" s="111" t="n"/>
      <c r="X1585" s="111" t="n"/>
    </row>
    <row r="1586">
      <c r="A1586" s="34" t="n"/>
      <c r="I1586" s="111" t="n"/>
      <c r="J1586" s="111" t="n"/>
      <c r="K1586" s="111" t="n"/>
      <c r="L1586" s="111" t="n"/>
      <c r="V1586" s="111" t="n"/>
      <c r="W1586" s="111" t="n"/>
      <c r="X1586" s="111" t="n"/>
    </row>
    <row r="1587">
      <c r="A1587" s="34" t="n"/>
      <c r="I1587" s="111" t="n"/>
      <c r="J1587" s="111" t="n"/>
      <c r="K1587" s="111" t="n"/>
      <c r="L1587" s="111" t="n"/>
      <c r="V1587" s="111" t="n"/>
      <c r="W1587" s="111" t="n"/>
      <c r="X1587" s="111" t="n"/>
    </row>
    <row r="1588">
      <c r="A1588" s="34" t="n"/>
      <c r="I1588" s="111" t="n"/>
      <c r="J1588" s="111" t="n"/>
      <c r="K1588" s="111" t="n"/>
      <c r="L1588" s="111" t="n"/>
      <c r="V1588" s="111" t="n"/>
      <c r="W1588" s="111" t="n"/>
      <c r="X1588" s="111" t="n"/>
    </row>
    <row r="1589">
      <c r="A1589" s="34" t="n"/>
      <c r="I1589" s="111" t="n"/>
      <c r="J1589" s="111" t="n"/>
      <c r="K1589" s="111" t="n"/>
      <c r="L1589" s="111" t="n"/>
      <c r="V1589" s="111" t="n"/>
      <c r="W1589" s="111" t="n"/>
      <c r="X1589" s="111" t="n"/>
    </row>
    <row r="1590">
      <c r="A1590" s="34" t="n"/>
      <c r="I1590" s="111" t="n"/>
      <c r="J1590" s="111" t="n"/>
      <c r="K1590" s="111" t="n"/>
      <c r="L1590" s="111" t="n"/>
      <c r="V1590" s="111" t="n"/>
      <c r="W1590" s="111" t="n"/>
      <c r="X1590" s="111" t="n"/>
    </row>
    <row r="1591">
      <c r="A1591" s="34" t="n"/>
      <c r="I1591" s="111" t="n"/>
      <c r="J1591" s="111" t="n"/>
      <c r="K1591" s="111" t="n"/>
      <c r="L1591" s="111" t="n"/>
      <c r="V1591" s="111" t="n"/>
      <c r="W1591" s="111" t="n"/>
      <c r="X1591" s="111" t="n"/>
    </row>
    <row r="1592">
      <c r="A1592" s="34" t="n"/>
      <c r="I1592" s="111" t="n"/>
      <c r="J1592" s="111" t="n"/>
      <c r="K1592" s="111" t="n"/>
      <c r="L1592" s="111" t="n"/>
      <c r="V1592" s="111" t="n"/>
      <c r="W1592" s="111" t="n"/>
      <c r="X1592" s="111" t="n"/>
    </row>
    <row r="1593">
      <c r="A1593" s="34" t="n"/>
      <c r="I1593" s="111" t="n"/>
      <c r="J1593" s="111" t="n"/>
      <c r="K1593" s="111" t="n"/>
      <c r="L1593" s="111" t="n"/>
      <c r="V1593" s="111" t="n"/>
      <c r="W1593" s="111" t="n"/>
      <c r="X1593" s="111" t="n"/>
    </row>
    <row r="1594">
      <c r="A1594" s="34" t="n"/>
      <c r="I1594" s="111" t="n"/>
      <c r="J1594" s="111" t="n"/>
      <c r="K1594" s="111" t="n"/>
      <c r="L1594" s="111" t="n"/>
      <c r="V1594" s="111" t="n"/>
      <c r="W1594" s="111" t="n"/>
      <c r="X1594" s="111" t="n"/>
    </row>
    <row r="1595">
      <c r="A1595" s="34" t="n"/>
      <c r="I1595" s="111" t="n"/>
      <c r="J1595" s="111" t="n"/>
      <c r="K1595" s="111" t="n"/>
      <c r="L1595" s="111" t="n"/>
      <c r="V1595" s="111" t="n"/>
      <c r="W1595" s="111" t="n"/>
      <c r="X1595" s="111" t="n"/>
    </row>
    <row r="1596">
      <c r="A1596" s="34" t="n"/>
      <c r="I1596" s="111" t="n"/>
      <c r="J1596" s="111" t="n"/>
      <c r="K1596" s="111" t="n"/>
      <c r="L1596" s="111" t="n"/>
      <c r="V1596" s="111" t="n"/>
      <c r="W1596" s="111" t="n"/>
      <c r="X1596" s="111" t="n"/>
    </row>
    <row r="1597">
      <c r="A1597" s="34" t="n"/>
      <c r="I1597" s="111" t="n"/>
      <c r="J1597" s="111" t="n"/>
      <c r="K1597" s="111" t="n"/>
      <c r="L1597" s="111" t="n"/>
      <c r="V1597" s="111" t="n"/>
      <c r="W1597" s="111" t="n"/>
      <c r="X1597" s="111" t="n"/>
    </row>
    <row r="1598">
      <c r="A1598" s="34" t="n"/>
      <c r="I1598" s="111" t="n"/>
      <c r="J1598" s="111" t="n"/>
      <c r="K1598" s="111" t="n"/>
      <c r="L1598" s="111" t="n"/>
      <c r="V1598" s="111" t="n"/>
      <c r="W1598" s="111" t="n"/>
      <c r="X1598" s="111" t="n"/>
    </row>
    <row r="1599">
      <c r="A1599" s="34" t="n"/>
      <c r="I1599" s="111" t="n"/>
      <c r="J1599" s="111" t="n"/>
      <c r="K1599" s="111" t="n"/>
      <c r="L1599" s="111" t="n"/>
      <c r="V1599" s="111" t="n"/>
      <c r="W1599" s="111" t="n"/>
      <c r="X1599" s="111" t="n"/>
    </row>
    <row r="1600">
      <c r="A1600" s="34" t="n"/>
      <c r="I1600" s="111" t="n"/>
      <c r="J1600" s="111" t="n"/>
      <c r="K1600" s="111" t="n"/>
      <c r="L1600" s="111" t="n"/>
      <c r="V1600" s="111" t="n"/>
      <c r="W1600" s="111" t="n"/>
      <c r="X1600" s="111" t="n"/>
    </row>
    <row r="1601">
      <c r="A1601" s="34" t="n"/>
      <c r="I1601" s="111" t="n"/>
      <c r="J1601" s="111" t="n"/>
      <c r="K1601" s="111" t="n"/>
      <c r="L1601" s="111" t="n"/>
      <c r="V1601" s="111" t="n"/>
      <c r="W1601" s="111" t="n"/>
      <c r="X1601" s="111" t="n"/>
    </row>
    <row r="1602">
      <c r="A1602" s="34" t="n"/>
      <c r="I1602" s="111" t="n"/>
      <c r="J1602" s="111" t="n"/>
      <c r="K1602" s="111" t="n"/>
      <c r="L1602" s="111" t="n"/>
      <c r="V1602" s="111" t="n"/>
      <c r="W1602" s="111" t="n"/>
      <c r="X1602" s="111" t="n"/>
    </row>
    <row r="1603">
      <c r="A1603" s="34" t="n"/>
      <c r="I1603" s="111" t="n"/>
      <c r="J1603" s="111" t="n"/>
      <c r="K1603" s="111" t="n"/>
      <c r="L1603" s="111" t="n"/>
      <c r="V1603" s="111" t="n"/>
      <c r="W1603" s="111" t="n"/>
      <c r="X1603" s="111" t="n"/>
    </row>
    <row r="1604">
      <c r="A1604" s="34" t="n"/>
      <c r="I1604" s="111" t="n"/>
      <c r="J1604" s="111" t="n"/>
      <c r="K1604" s="111" t="n"/>
      <c r="L1604" s="111" t="n"/>
      <c r="V1604" s="111" t="n"/>
      <c r="W1604" s="111" t="n"/>
      <c r="X1604" s="111" t="n"/>
    </row>
    <row r="1605">
      <c r="A1605" s="34" t="n"/>
      <c r="I1605" s="111" t="n"/>
      <c r="J1605" s="111" t="n"/>
      <c r="K1605" s="111" t="n"/>
      <c r="L1605" s="111" t="n"/>
      <c r="V1605" s="111" t="n"/>
      <c r="W1605" s="111" t="n"/>
      <c r="X1605" s="111" t="n"/>
    </row>
    <row r="1606">
      <c r="A1606" s="34" t="n"/>
      <c r="I1606" s="111" t="n"/>
      <c r="J1606" s="111" t="n"/>
      <c r="K1606" s="111" t="n"/>
      <c r="L1606" s="111" t="n"/>
      <c r="V1606" s="111" t="n"/>
      <c r="W1606" s="111" t="n"/>
      <c r="X1606" s="111" t="n"/>
    </row>
    <row r="1607">
      <c r="A1607" s="34" t="n"/>
      <c r="I1607" s="111" t="n"/>
      <c r="J1607" s="111" t="n"/>
      <c r="K1607" s="111" t="n"/>
      <c r="L1607" s="111" t="n"/>
      <c r="V1607" s="111" t="n"/>
      <c r="W1607" s="111" t="n"/>
      <c r="X1607" s="111" t="n"/>
    </row>
    <row r="1608">
      <c r="A1608" s="34" t="n"/>
      <c r="I1608" s="111" t="n"/>
      <c r="J1608" s="111" t="n"/>
      <c r="K1608" s="111" t="n"/>
      <c r="L1608" s="111" t="n"/>
      <c r="V1608" s="111" t="n"/>
      <c r="W1608" s="111" t="n"/>
      <c r="X1608" s="111" t="n"/>
    </row>
    <row r="1609">
      <c r="A1609" s="34" t="n"/>
      <c r="I1609" s="111" t="n"/>
      <c r="J1609" s="111" t="n"/>
      <c r="K1609" s="111" t="n"/>
      <c r="L1609" s="111" t="n"/>
      <c r="V1609" s="111" t="n"/>
      <c r="W1609" s="111" t="n"/>
      <c r="X1609" s="111" t="n"/>
    </row>
    <row r="1610">
      <c r="A1610" s="34" t="n"/>
      <c r="I1610" s="111" t="n"/>
      <c r="J1610" s="111" t="n"/>
      <c r="K1610" s="111" t="n"/>
      <c r="L1610" s="111" t="n"/>
      <c r="V1610" s="111" t="n"/>
      <c r="W1610" s="111" t="n"/>
      <c r="X1610" s="111" t="n"/>
    </row>
    <row r="1611">
      <c r="A1611" s="34" t="n"/>
      <c r="I1611" s="111" t="n"/>
      <c r="J1611" s="111" t="n"/>
      <c r="K1611" s="111" t="n"/>
      <c r="L1611" s="111" t="n"/>
      <c r="V1611" s="111" t="n"/>
      <c r="W1611" s="111" t="n"/>
      <c r="X1611" s="111" t="n"/>
    </row>
    <row r="1612">
      <c r="A1612" s="34" t="n"/>
      <c r="I1612" s="111" t="n"/>
      <c r="J1612" s="111" t="n"/>
      <c r="K1612" s="111" t="n"/>
      <c r="L1612" s="111" t="n"/>
      <c r="V1612" s="111" t="n"/>
      <c r="W1612" s="111" t="n"/>
      <c r="X1612" s="111" t="n"/>
    </row>
    <row r="1613">
      <c r="A1613" s="34" t="n"/>
      <c r="I1613" s="111" t="n"/>
      <c r="J1613" s="111" t="n"/>
      <c r="K1613" s="111" t="n"/>
      <c r="L1613" s="111" t="n"/>
      <c r="V1613" s="111" t="n"/>
      <c r="W1613" s="111" t="n"/>
      <c r="X1613" s="111" t="n"/>
    </row>
    <row r="1614">
      <c r="A1614" s="34" t="n"/>
      <c r="I1614" s="111" t="n"/>
      <c r="J1614" s="111" t="n"/>
      <c r="K1614" s="111" t="n"/>
      <c r="L1614" s="111" t="n"/>
      <c r="V1614" s="111" t="n"/>
      <c r="W1614" s="111" t="n"/>
      <c r="X1614" s="111" t="n"/>
    </row>
    <row r="1615">
      <c r="A1615" s="34" t="n"/>
      <c r="I1615" s="111" t="n"/>
      <c r="J1615" s="111" t="n"/>
      <c r="K1615" s="111" t="n"/>
      <c r="L1615" s="111" t="n"/>
      <c r="V1615" s="111" t="n"/>
      <c r="W1615" s="111" t="n"/>
      <c r="X1615" s="111" t="n"/>
    </row>
    <row r="1616">
      <c r="A1616" s="34" t="n"/>
      <c r="I1616" s="111" t="n"/>
      <c r="J1616" s="111" t="n"/>
      <c r="K1616" s="111" t="n"/>
      <c r="L1616" s="111" t="n"/>
      <c r="V1616" s="111" t="n"/>
      <c r="W1616" s="111" t="n"/>
      <c r="X1616" s="111" t="n"/>
    </row>
    <row r="1617">
      <c r="A1617" s="34" t="n"/>
      <c r="I1617" s="111" t="n"/>
      <c r="J1617" s="111" t="n"/>
      <c r="K1617" s="111" t="n"/>
      <c r="L1617" s="111" t="n"/>
      <c r="V1617" s="111" t="n"/>
      <c r="W1617" s="111" t="n"/>
      <c r="X1617" s="111" t="n"/>
    </row>
    <row r="1618">
      <c r="A1618" s="34" t="n"/>
      <c r="I1618" s="111" t="n"/>
      <c r="J1618" s="111" t="n"/>
      <c r="K1618" s="111" t="n"/>
      <c r="L1618" s="111" t="n"/>
      <c r="V1618" s="111" t="n"/>
      <c r="W1618" s="111" t="n"/>
      <c r="X1618" s="111" t="n"/>
    </row>
    <row r="1619">
      <c r="A1619" s="34" t="n"/>
      <c r="I1619" s="111" t="n"/>
      <c r="J1619" s="111" t="n"/>
      <c r="K1619" s="111" t="n"/>
      <c r="L1619" s="111" t="n"/>
      <c r="V1619" s="111" t="n"/>
      <c r="W1619" s="111" t="n"/>
      <c r="X1619" s="111" t="n"/>
    </row>
    <row r="1620">
      <c r="A1620" s="34" t="n"/>
      <c r="I1620" s="111" t="n"/>
      <c r="J1620" s="111" t="n"/>
      <c r="K1620" s="111" t="n"/>
      <c r="L1620" s="111" t="n"/>
      <c r="V1620" s="111" t="n"/>
      <c r="W1620" s="111" t="n"/>
      <c r="X1620" s="111" t="n"/>
    </row>
    <row r="1621">
      <c r="A1621" s="34" t="n"/>
      <c r="I1621" s="111" t="n"/>
      <c r="J1621" s="111" t="n"/>
      <c r="K1621" s="111" t="n"/>
      <c r="L1621" s="111" t="n"/>
      <c r="V1621" s="111" t="n"/>
      <c r="W1621" s="111" t="n"/>
      <c r="X1621" s="111" t="n"/>
    </row>
    <row r="1622">
      <c r="A1622" s="34" t="n"/>
      <c r="I1622" s="111" t="n"/>
      <c r="J1622" s="111" t="n"/>
      <c r="K1622" s="111" t="n"/>
      <c r="L1622" s="111" t="n"/>
      <c r="V1622" s="111" t="n"/>
      <c r="W1622" s="111" t="n"/>
      <c r="X1622" s="111" t="n"/>
    </row>
    <row r="1623">
      <c r="A1623" s="34" t="n"/>
      <c r="I1623" s="111" t="n"/>
      <c r="J1623" s="111" t="n"/>
      <c r="K1623" s="111" t="n"/>
      <c r="L1623" s="111" t="n"/>
      <c r="V1623" s="111" t="n"/>
      <c r="W1623" s="111" t="n"/>
      <c r="X1623" s="111" t="n"/>
    </row>
    <row r="1624">
      <c r="A1624" s="34" t="n"/>
      <c r="I1624" s="111" t="n"/>
      <c r="J1624" s="111" t="n"/>
      <c r="K1624" s="111" t="n"/>
      <c r="L1624" s="111" t="n"/>
      <c r="V1624" s="111" t="n"/>
      <c r="W1624" s="111" t="n"/>
      <c r="X1624" s="111" t="n"/>
    </row>
    <row r="1625">
      <c r="A1625" s="34" t="n"/>
      <c r="I1625" s="111" t="n"/>
      <c r="J1625" s="111" t="n"/>
      <c r="K1625" s="111" t="n"/>
      <c r="L1625" s="111" t="n"/>
      <c r="V1625" s="111" t="n"/>
      <c r="W1625" s="111" t="n"/>
      <c r="X1625" s="111" t="n"/>
    </row>
    <row r="1626">
      <c r="A1626" s="34" t="n"/>
      <c r="I1626" s="111" t="n"/>
      <c r="J1626" s="111" t="n"/>
      <c r="K1626" s="111" t="n"/>
      <c r="L1626" s="111" t="n"/>
      <c r="V1626" s="111" t="n"/>
      <c r="W1626" s="111" t="n"/>
      <c r="X1626" s="111" t="n"/>
    </row>
  </sheetData>
  <dataValidations count="1">
    <dataValidation sqref="J2:L402 V2:X402" showDropDown="0" showInputMessage="0" showErrorMessage="0" allowBlank="1" type="custom">
      <formula1>AND(ISNUMBER(J2),(NOT(OR(NOT(ISERROR(DATEVALUE(J2))), AND(ISNUMBER(J2), LEFT(CELL("format", J2))="D")))))</formula1>
    </dataValidation>
  </dataValidations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217"/>
  <sheetViews>
    <sheetView tabSelected="1" workbookViewId="0">
      <pane xSplit="1" ySplit="2" topLeftCell="K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8.433571199999999" customWidth="1" style="150" min="1" max="1"/>
    <col width="16.00499998" customWidth="1" style="150" min="12" max="12"/>
    <col width="17.00499998" customWidth="1" style="150" min="13" max="13"/>
    <col width="17.14785658" customWidth="1" style="150" min="14" max="15"/>
    <col width="15.57642828" customWidth="1" style="150" min="16" max="17"/>
    <col width="17.14785658" customWidth="1" style="150" min="18" max="20"/>
    <col hidden="1" width="23.29071508" customWidth="1" style="150" min="21" max="21"/>
    <col hidden="1" width="12.57642828" customWidth="1" style="150" min="22" max="22"/>
    <col hidden="1" width="27.00499998" customWidth="1" style="150" min="23" max="23"/>
    <col hidden="1" width="25.14785658" customWidth="1" style="150" min="24" max="24"/>
    <col hidden="1" width="19.29071508" customWidth="1" style="150" min="25" max="27"/>
    <col hidden="1" width="12.57642828" customWidth="1" style="150" min="28" max="36"/>
    <col width="17.14785658" customWidth="1" style="150" min="37" max="38"/>
  </cols>
  <sheetData>
    <row r="1" ht="26.4" customHeight="1" s="150">
      <c r="A1" s="32" t="inlineStr">
        <is>
          <t>Segment</t>
        </is>
      </c>
      <c r="B1" s="32" t="inlineStr">
        <is>
          <t>Start</t>
        </is>
      </c>
      <c r="C1" s="32" t="inlineStr">
        <is>
          <t>Complete</t>
        </is>
      </c>
      <c r="D1" s="33" t="inlineStr">
        <is>
          <t>Fail</t>
        </is>
      </c>
      <c r="E1" s="33" t="inlineStr">
        <is>
          <t>Try again</t>
        </is>
      </c>
      <c r="F1" s="33" t="n"/>
      <c r="G1" s="33" t="n"/>
      <c r="H1" s="33" t="n"/>
      <c r="I1" s="33" t="n"/>
      <c r="J1" s="33" t="n"/>
      <c r="K1" s="33" t="n"/>
      <c r="L1" s="34" t="inlineStr">
        <is>
          <t>Complete</t>
        </is>
      </c>
      <c r="M1" s="43" t="inlineStr">
        <is>
          <t>LevelType</t>
        </is>
      </c>
      <c r="N1" s="36">
        <f>SUM(N3:N302)</f>
        <v/>
      </c>
      <c r="O1" s="37">
        <f>(N1/C3)/300</f>
        <v/>
      </c>
      <c r="P1" s="34" t="n"/>
      <c r="Q1" s="38">
        <f>AVERAGE(Q3:Q402)</f>
        <v/>
      </c>
      <c r="R1" s="38">
        <f>AVERAGE(R3:R402)</f>
        <v/>
      </c>
      <c r="S1" s="38">
        <f>AVERAGE(S3:S402)</f>
        <v/>
      </c>
      <c r="T1" s="38">
        <f>AVERAGE(T13:T302)</f>
        <v/>
      </c>
      <c r="U1" s="38">
        <f>AVERAGE(U3:U402)</f>
        <v/>
      </c>
      <c r="V1" s="38">
        <f>AVERAGE(V3:V402)</f>
        <v/>
      </c>
      <c r="W1" s="38">
        <f>AVERAGE(W3:W402)</f>
        <v/>
      </c>
      <c r="X1" s="38">
        <f>AVERAGE(X3:X402)</f>
        <v/>
      </c>
      <c r="Y1" s="38">
        <f>AVERAGE(Y3:Y402)</f>
        <v/>
      </c>
      <c r="Z1" s="38">
        <f>AVERAGE(Z3:Z402)</f>
        <v/>
      </c>
      <c r="AA1" s="38">
        <f>AVERAGE(AA3:AA402)</f>
        <v/>
      </c>
      <c r="AB1" s="38">
        <f>AVERAGE(AB3:AB402)</f>
        <v/>
      </c>
      <c r="AC1" s="38">
        <f>AVERAGE(AC3:AC402)</f>
        <v/>
      </c>
      <c r="AD1" s="38">
        <f>AVERAGE(AD3:AD402)</f>
        <v/>
      </c>
      <c r="AE1" s="38">
        <f>AVERAGE(AE3:AE402)</f>
        <v/>
      </c>
      <c r="AF1" s="38">
        <f>AVERAGE(AF3:AF402)</f>
        <v/>
      </c>
      <c r="AG1" s="38">
        <f>AVERAGE(AG3:AG402)</f>
        <v/>
      </c>
      <c r="AH1" s="38">
        <f>AVERAGE(AH3:AH402)</f>
        <v/>
      </c>
      <c r="AI1" s="38">
        <f>AVERAGE(AI3:AI402)</f>
        <v/>
      </c>
      <c r="AJ1" s="38">
        <f>AVERAGE(AJ3:AJ402)</f>
        <v/>
      </c>
      <c r="AK1" s="38">
        <f>AVERAGE(AK3:AK402)</f>
        <v/>
      </c>
      <c r="AL1" s="38">
        <f>AVERAGE(AL3:AL402)</f>
        <v/>
      </c>
    </row>
    <row r="2" ht="22.5" customHeight="1" s="150">
      <c r="A2" s="40" t="inlineStr">
        <is>
          <t>Level</t>
        </is>
      </c>
      <c r="B2" s="40" t="inlineStr">
        <is>
          <t>Active users</t>
        </is>
      </c>
      <c r="C2" s="40" t="inlineStr">
        <is>
          <t>Active users</t>
        </is>
      </c>
      <c r="D2" s="40" t="inlineStr">
        <is>
          <t>Active users</t>
        </is>
      </c>
      <c r="E2" s="40" t="inlineStr">
        <is>
          <t>Active users</t>
        </is>
      </c>
      <c r="F2" s="41" t="inlineStr">
        <is>
          <t>Complete rate</t>
        </is>
      </c>
      <c r="G2" s="41" t="inlineStr">
        <is>
          <t>Fail Rate</t>
        </is>
      </c>
      <c r="H2" s="41" t="inlineStr">
        <is>
          <t>Drop 1</t>
        </is>
      </c>
      <c r="I2" s="41" t="inlineStr">
        <is>
          <t>Uncomplete</t>
        </is>
      </c>
      <c r="J2" s="41" t="inlineStr">
        <is>
          <t>Drop 2</t>
        </is>
      </c>
      <c r="K2" s="42" t="inlineStr">
        <is>
          <t>%</t>
        </is>
      </c>
      <c r="L2" s="40" t="inlineStr">
        <is>
          <t>avarage_attempt</t>
        </is>
      </c>
      <c r="M2" s="43" t="inlineStr">
        <is>
          <t>LevelType</t>
        </is>
      </c>
      <c r="N2" s="46" t="inlineStr">
        <is>
          <t>Total $</t>
        </is>
      </c>
      <c r="O2" s="116" t="inlineStr">
        <is>
          <t>ARPU</t>
        </is>
      </c>
      <c r="P2" s="46" t="inlineStr">
        <is>
          <t>%_used_booster</t>
        </is>
      </c>
      <c r="Q2" s="46" t="inlineStr">
        <is>
          <t>avg_used_booster</t>
        </is>
      </c>
      <c r="R2" s="46" t="inlineStr">
        <is>
          <t>avg_owned_booster</t>
        </is>
      </c>
      <c r="S2" s="46" t="inlineStr">
        <is>
          <t>Avg. Thinking Time</t>
        </is>
      </c>
      <c r="T2" s="46" t="inlineStr">
        <is>
          <t>Avg.Rewarded</t>
        </is>
      </c>
      <c r="U2" s="46" t="inlineStr">
        <is>
          <t>Playon</t>
        </is>
      </c>
      <c r="V2" s="117" t="inlineStr">
        <is>
          <t>Time</t>
        </is>
      </c>
      <c r="W2" s="117" t="inlineStr">
        <is>
          <t>timer_spent_with_playon</t>
        </is>
      </c>
      <c r="X2" s="117" t="inlineStr">
        <is>
          <t>time_spent_without_playon</t>
        </is>
      </c>
      <c r="Y2" s="117" t="inlineStr">
        <is>
          <t>Avg_thinktime</t>
        </is>
      </c>
      <c r="Z2" s="118" t="inlineStr">
        <is>
          <t>coin_owned</t>
        </is>
      </c>
      <c r="AA2" s="118" t="inlineStr">
        <is>
          <t>coin_spent</t>
        </is>
      </c>
      <c r="AB2" s="119" t="inlineStr">
        <is>
          <t>Total users</t>
        </is>
      </c>
      <c r="AC2" s="119" t="inlineStr">
        <is>
          <t>Total users</t>
        </is>
      </c>
      <c r="AD2" s="119" t="inlineStr">
        <is>
          <t>Total users</t>
        </is>
      </c>
      <c r="AE2" s="119" t="inlineStr">
        <is>
          <t>Total users</t>
        </is>
      </c>
      <c r="AF2" s="119" t="inlineStr">
        <is>
          <t>Total users</t>
        </is>
      </c>
      <c r="AG2" s="119" t="inlineStr">
        <is>
          <t>Total users</t>
        </is>
      </c>
      <c r="AH2" s="119" t="inlineStr">
        <is>
          <t>Total users</t>
        </is>
      </c>
      <c r="AI2" s="119" t="inlineStr">
        <is>
          <t>Total users</t>
        </is>
      </c>
      <c r="AJ2" s="49" t="inlineStr">
        <is>
          <t>Total</t>
        </is>
      </c>
      <c r="AK2" s="46" t="inlineStr">
        <is>
          <t>Avg,Coin</t>
        </is>
      </c>
      <c r="AL2" s="46" t="inlineStr">
        <is>
          <t>coin owned</t>
        </is>
      </c>
    </row>
    <row r="3" ht="22.5" customHeight="1" s="150">
      <c r="A3" s="49" t="n">
        <v>1</v>
      </c>
      <c r="B3" s="50" t="n">
        <v>4194</v>
      </c>
      <c r="C3" s="50" t="n">
        <v>4132</v>
      </c>
      <c r="D3" s="50" t="n">
        <v>75</v>
      </c>
      <c r="E3" s="50" t="n">
        <v>88</v>
      </c>
      <c r="F3" s="51">
        <f>(C3*100)/B3</f>
        <v/>
      </c>
      <c r="G3" s="51">
        <f>(D3*100)/B3</f>
        <v/>
      </c>
      <c r="H3" s="52">
        <f>((B3-B4)/B3)*100</f>
        <v/>
      </c>
      <c r="I3" s="53">
        <f>((B3-C3)/B3)*100</f>
        <v/>
      </c>
      <c r="J3" s="53">
        <f>((C3-B4)/C3)*100</f>
        <v/>
      </c>
      <c r="K3" s="54">
        <f>100-(((C3-C4)/C3)*100)</f>
        <v/>
      </c>
      <c r="L3" s="55" t="n">
        <v>1.00809968847352</v>
      </c>
      <c r="M3" s="120" t="inlineStr">
        <is>
          <t>Normal</t>
        </is>
      </c>
      <c r="N3" s="55" t="n">
        <v>20.61</v>
      </c>
      <c r="O3" s="57">
        <f>N3/C3</f>
        <v/>
      </c>
      <c r="P3" s="58">
        <f>(Boosters_IOS!B3*100)/Boosters_And!N3</f>
        <v/>
      </c>
      <c r="Q3" s="58">
        <f>Boosters_IOS!B3/(C3+D3)</f>
        <v/>
      </c>
      <c r="R3" s="58">
        <f>Boosters_IOS!N3/B3</f>
        <v/>
      </c>
      <c r="S3" s="55" t="n">
        <v>0.09470404984423671</v>
      </c>
      <c r="T3" s="55" t="n">
        <v>0</v>
      </c>
      <c r="U3" s="121" t="n">
        <v>957712.276545735</v>
      </c>
      <c r="V3" s="122" t="n">
        <v>0.003472222222222222</v>
      </c>
      <c r="W3" s="123" t="n">
        <v>4286.412867</v>
      </c>
      <c r="X3" s="123" t="n">
        <v>4286.412867</v>
      </c>
      <c r="Y3" s="123" t="n">
        <v>5.868965517</v>
      </c>
      <c r="Z3" s="123" t="n">
        <v>589920.8050000001</v>
      </c>
      <c r="AA3" s="123" t="n">
        <v>0</v>
      </c>
      <c r="AB3" s="124" t="n">
        <v>0</v>
      </c>
      <c r="AC3" s="124" t="n">
        <v>0</v>
      </c>
      <c r="AD3" s="124" t="n">
        <v>0</v>
      </c>
      <c r="AE3" s="124" t="n">
        <v>0</v>
      </c>
      <c r="AF3" s="124" t="n">
        <v>0</v>
      </c>
      <c r="AG3" s="124" t="n">
        <v>0</v>
      </c>
      <c r="AH3" s="124" t="n">
        <v>0</v>
      </c>
      <c r="AI3" s="124" t="n">
        <v>0</v>
      </c>
      <c r="AJ3" s="124">
        <f>AB3+AC3+AD3+AE3+AF3+AG3+AH3+AI3</f>
        <v/>
      </c>
      <c r="AK3" s="59">
        <f>AL3/C3</f>
        <v/>
      </c>
      <c r="AL3" s="55" t="n">
        <v>280300</v>
      </c>
    </row>
    <row r="4" ht="22.5" customHeight="1" s="150">
      <c r="A4" s="34" t="n">
        <v>2</v>
      </c>
      <c r="B4" s="50" t="n">
        <v>4117</v>
      </c>
      <c r="C4" s="50" t="n">
        <v>4065</v>
      </c>
      <c r="D4" s="50" t="n">
        <v>34</v>
      </c>
      <c r="E4" s="50" t="n">
        <v>49</v>
      </c>
      <c r="F4" s="51">
        <f>(C4*100)/B4</f>
        <v/>
      </c>
      <c r="G4" s="51">
        <f>(D4*100)/B4</f>
        <v/>
      </c>
      <c r="H4" s="53">
        <f>((B4-B5)/B4)*100</f>
        <v/>
      </c>
      <c r="I4" s="53">
        <f>((B4-C4)/B4)*100</f>
        <v/>
      </c>
      <c r="J4" s="53">
        <f>((C4-B5)/C4)*100</f>
        <v/>
      </c>
      <c r="K4" s="54">
        <f>100-(((C3-C5)/C3)*100)</f>
        <v/>
      </c>
      <c r="L4" s="55" t="n">
        <v>1.00379746835443</v>
      </c>
      <c r="M4" s="125" t="inlineStr">
        <is>
          <t>Normal</t>
        </is>
      </c>
      <c r="N4" s="55" t="n">
        <v>5.1</v>
      </c>
      <c r="O4" s="57">
        <f>N4/C4</f>
        <v/>
      </c>
      <c r="P4" s="58">
        <f>(Boosters_IOS!B4*100)/Boosters_And!N4</f>
        <v/>
      </c>
      <c r="Q4" s="58">
        <f>Boosters_IOS!B4/(C4+D4)</f>
        <v/>
      </c>
      <c r="R4" s="58">
        <f>Boosters_IOS!N4/B4</f>
        <v/>
      </c>
      <c r="S4" s="55" t="n">
        <v>0.00696202531645569</v>
      </c>
      <c r="T4" s="55" t="n">
        <v>0</v>
      </c>
      <c r="U4" s="121" t="n">
        <v>1060215.60504001</v>
      </c>
      <c r="V4" s="122" t="n">
        <v>0.003472222222222222</v>
      </c>
      <c r="W4" s="123" t="n">
        <v>10409.85982</v>
      </c>
      <c r="X4" s="123" t="n">
        <v>10409.85982</v>
      </c>
      <c r="Y4" s="123" t="n">
        <v>2.849315068</v>
      </c>
      <c r="Z4" s="123" t="n">
        <v>623039.166</v>
      </c>
      <c r="AA4" s="123" t="n">
        <v>0</v>
      </c>
      <c r="AB4" s="124" t="n">
        <v>0</v>
      </c>
      <c r="AC4" s="124" t="n">
        <v>0</v>
      </c>
      <c r="AD4" s="124" t="n">
        <v>0</v>
      </c>
      <c r="AE4" s="124" t="n">
        <v>0</v>
      </c>
      <c r="AF4" s="124" t="n">
        <v>0</v>
      </c>
      <c r="AG4" s="124" t="n">
        <v>0</v>
      </c>
      <c r="AH4" s="124" t="n">
        <v>0</v>
      </c>
      <c r="AI4" s="124" t="n">
        <v>0</v>
      </c>
      <c r="AJ4" s="124">
        <f>AB4+AC4+AD4+AE4+AF4+AG4+AH4+AI4</f>
        <v/>
      </c>
      <c r="AK4" s="59">
        <f>AL4/C4</f>
        <v/>
      </c>
      <c r="AL4" s="55" t="n">
        <v>295580</v>
      </c>
    </row>
    <row r="5" ht="22.5" customHeight="1" s="150">
      <c r="A5" s="34" t="n">
        <v>3</v>
      </c>
      <c r="B5" s="50" t="n">
        <v>4073</v>
      </c>
      <c r="C5" s="50" t="n">
        <v>4037</v>
      </c>
      <c r="D5" s="50" t="n">
        <v>44</v>
      </c>
      <c r="E5" s="50" t="n">
        <v>72</v>
      </c>
      <c r="F5" s="51">
        <f>(C5*100)/B5</f>
        <v/>
      </c>
      <c r="G5" s="51">
        <f>(D5*100)/B5</f>
        <v/>
      </c>
      <c r="H5" s="53">
        <f>((B5-B6)/B5)*100</f>
        <v/>
      </c>
      <c r="I5" s="53">
        <f>((B5-C5)/B5)*100</f>
        <v/>
      </c>
      <c r="J5" s="53">
        <f>((C5-B6)/C5)*100</f>
        <v/>
      </c>
      <c r="K5" s="54">
        <f>100-(((C3-C6)/C3)*100)</f>
        <v/>
      </c>
      <c r="L5" s="55" t="n">
        <v>1.00446428571428</v>
      </c>
      <c r="M5" s="126" t="inlineStr">
        <is>
          <t>Normal</t>
        </is>
      </c>
      <c r="N5" s="55" t="n">
        <v>34.09</v>
      </c>
      <c r="O5" s="57">
        <f>N5/C5</f>
        <v/>
      </c>
      <c r="P5" s="58">
        <f>(Boosters_IOS!B5*100)/Boosters_And!N5</f>
        <v/>
      </c>
      <c r="Q5" s="58">
        <f>Boosters_IOS!B5/(C5+D5)</f>
        <v/>
      </c>
      <c r="R5" s="58">
        <f>Boosters_IOS!N5/B5</f>
        <v/>
      </c>
      <c r="S5" s="55" t="n">
        <v>4.88392857142857</v>
      </c>
      <c r="T5" s="55" t="n">
        <v>0</v>
      </c>
      <c r="U5" s="121" t="n">
        <v>1163183.21635083</v>
      </c>
      <c r="V5" s="122" t="n">
        <v>0.003472222222222222</v>
      </c>
      <c r="W5" s="123" t="n">
        <v>14497.9075</v>
      </c>
      <c r="X5" s="123" t="n">
        <v>14497.9075</v>
      </c>
      <c r="Y5" s="123" t="n">
        <v>3.94</v>
      </c>
      <c r="Z5" s="123" t="n">
        <v>655640.0526000001</v>
      </c>
      <c r="AA5" s="123" t="n">
        <v>0</v>
      </c>
      <c r="AB5" s="124" t="n">
        <v>0</v>
      </c>
      <c r="AC5" s="124" t="n">
        <v>0</v>
      </c>
      <c r="AD5" s="124" t="n">
        <v>0</v>
      </c>
      <c r="AE5" s="124" t="n">
        <v>0</v>
      </c>
      <c r="AF5" s="124" t="n">
        <v>0</v>
      </c>
      <c r="AG5" s="124" t="n">
        <v>0</v>
      </c>
      <c r="AH5" s="124" t="n">
        <v>0</v>
      </c>
      <c r="AI5" s="124" t="n">
        <v>0</v>
      </c>
      <c r="AJ5" s="124">
        <f>AB5+AC5+AD5+AE5+AF5+AG5+AH5+AI5</f>
        <v/>
      </c>
      <c r="AK5" s="59">
        <f>AL5/C5</f>
        <v/>
      </c>
      <c r="AL5" s="55" t="n">
        <v>310880</v>
      </c>
    </row>
    <row r="6" ht="22.5" customHeight="1" s="150">
      <c r="A6" s="34" t="n">
        <v>4</v>
      </c>
      <c r="B6" s="50" t="n">
        <v>4032</v>
      </c>
      <c r="C6" s="50" t="n">
        <v>4001</v>
      </c>
      <c r="D6" s="50" t="n">
        <v>44</v>
      </c>
      <c r="E6" s="50" t="n">
        <v>49</v>
      </c>
      <c r="F6" s="51">
        <f>(C6*100)/B6</f>
        <v/>
      </c>
      <c r="G6" s="51">
        <f>(D6*100)/B6</f>
        <v/>
      </c>
      <c r="H6" s="53">
        <f>((B6-B7)/B6)*100</f>
        <v/>
      </c>
      <c r="I6" s="53">
        <f>((B6-C6)/B6)*100</f>
        <v/>
      </c>
      <c r="J6" s="53">
        <f>((C6-B7)/C6)*100</f>
        <v/>
      </c>
      <c r="K6" s="54">
        <f>100-(((C3-C7)/C3)*100)</f>
        <v/>
      </c>
      <c r="L6" s="55" t="n">
        <v>1.005148005148</v>
      </c>
      <c r="M6" s="125" t="inlineStr">
        <is>
          <t>Normal</t>
        </is>
      </c>
      <c r="N6" s="55" t="n">
        <v>16.77</v>
      </c>
      <c r="O6" s="57">
        <f>N6/C6</f>
        <v/>
      </c>
      <c r="P6" s="58">
        <f>(Boosters_IOS!B6*100)/Boosters_And!N6</f>
        <v/>
      </c>
      <c r="Q6" s="58">
        <f>Boosters_IOS!B6/(C6+D6)</f>
        <v/>
      </c>
      <c r="R6" s="58">
        <f>Boosters_IOS!N6/B6</f>
        <v/>
      </c>
      <c r="S6" s="55" t="n">
        <v>4.2072072072072</v>
      </c>
      <c r="T6" s="55" t="n">
        <v>0</v>
      </c>
      <c r="U6" s="121" t="n">
        <v>1260579.43386326</v>
      </c>
      <c r="V6" s="122" t="n">
        <v>0.003472222222222222</v>
      </c>
      <c r="W6" s="123" t="n">
        <v>26037.58641</v>
      </c>
      <c r="X6" s="123" t="n">
        <v>26037.58641</v>
      </c>
      <c r="Y6" s="123" t="n">
        <v>3.033557047</v>
      </c>
      <c r="Z6" s="123" t="n">
        <v>667886.9465</v>
      </c>
      <c r="AA6" s="123" t="n">
        <v>0</v>
      </c>
      <c r="AB6" s="124" t="n">
        <v>0</v>
      </c>
      <c r="AC6" s="124" t="n">
        <v>0</v>
      </c>
      <c r="AD6" s="124" t="n">
        <v>0</v>
      </c>
      <c r="AE6" s="124" t="n">
        <v>0</v>
      </c>
      <c r="AF6" s="124" t="n">
        <v>0</v>
      </c>
      <c r="AG6" s="124" t="n">
        <v>0</v>
      </c>
      <c r="AH6" s="124" t="n">
        <v>0</v>
      </c>
      <c r="AI6" s="124" t="n">
        <v>0</v>
      </c>
      <c r="AJ6" s="124">
        <f>AB6+AC6+AD6+AE6+AF6+AG6+AH6+AI6</f>
        <v/>
      </c>
      <c r="AK6" s="59">
        <f>AL6/C6</f>
        <v/>
      </c>
      <c r="AL6" s="55" t="n">
        <v>330980</v>
      </c>
    </row>
    <row r="7" ht="22.5" customHeight="1" s="150">
      <c r="A7" s="34" t="n">
        <v>5</v>
      </c>
      <c r="B7" s="50" t="n">
        <v>3995</v>
      </c>
      <c r="C7" s="50" t="n">
        <v>3964</v>
      </c>
      <c r="D7" s="50" t="n">
        <v>31</v>
      </c>
      <c r="E7" s="50" t="n">
        <v>46</v>
      </c>
      <c r="F7" s="51">
        <f>(C7*100)/B7</f>
        <v/>
      </c>
      <c r="G7" s="51">
        <f>(D7*100)/B7</f>
        <v/>
      </c>
      <c r="H7" s="53">
        <f>((B7-B8)/B7)*100</f>
        <v/>
      </c>
      <c r="I7" s="53">
        <f>((B7-C7)/B7)*100</f>
        <v/>
      </c>
      <c r="J7" s="53">
        <f>((C7-B8)/C7)*100</f>
        <v/>
      </c>
      <c r="K7" s="54">
        <f>100-(((C3-C8)/C3)*100)</f>
        <v/>
      </c>
      <c r="L7" s="55" t="n">
        <v>1.00519818063677</v>
      </c>
      <c r="M7" s="126" t="inlineStr">
        <is>
          <t>Normal</t>
        </is>
      </c>
      <c r="N7" s="55" t="n">
        <v>8.289999999999999</v>
      </c>
      <c r="O7" s="57">
        <f>N7/C7</f>
        <v/>
      </c>
      <c r="P7" s="58">
        <f>(Boosters_IOS!B7*100)/Boosters_And!N7</f>
        <v/>
      </c>
      <c r="Q7" s="58">
        <f>Boosters_IOS!B7/(C7+D7)</f>
        <v/>
      </c>
      <c r="R7" s="58">
        <f>Boosters_IOS!N7/B7</f>
        <v/>
      </c>
      <c r="S7" s="55" t="n">
        <v>3.59779077322937</v>
      </c>
      <c r="T7" s="55" t="n">
        <v>3</v>
      </c>
      <c r="U7" s="121" t="n">
        <v>1334838.89101853</v>
      </c>
      <c r="V7" s="122" t="n">
        <v>0.003472222222222222</v>
      </c>
      <c r="W7" s="123" t="n">
        <v>31307.20062</v>
      </c>
      <c r="X7" s="123" t="n">
        <v>31307.20062</v>
      </c>
      <c r="Y7" s="123" t="n">
        <v>2.506849315</v>
      </c>
      <c r="Z7" s="123" t="n">
        <v>680478.8233</v>
      </c>
      <c r="AA7" s="123" t="n">
        <v>0</v>
      </c>
      <c r="AB7" s="124" t="n">
        <v>0</v>
      </c>
      <c r="AC7" s="124" t="n">
        <v>0</v>
      </c>
      <c r="AD7" s="124" t="n">
        <v>0</v>
      </c>
      <c r="AE7" s="124" t="n">
        <v>0</v>
      </c>
      <c r="AF7" s="124" t="n">
        <v>0</v>
      </c>
      <c r="AG7" s="124" t="n">
        <v>0</v>
      </c>
      <c r="AH7" s="124" t="n">
        <v>0</v>
      </c>
      <c r="AI7" s="124" t="n">
        <v>0</v>
      </c>
      <c r="AJ7" s="124">
        <f>AB7+AC7+AD7+AE7+AF7+AG7+AH7+AI7</f>
        <v/>
      </c>
      <c r="AK7" s="59">
        <f>AL7/C7</f>
        <v/>
      </c>
      <c r="AL7" s="55" t="n">
        <v>344990</v>
      </c>
    </row>
    <row r="8" ht="22.5" customHeight="1" s="150">
      <c r="A8" s="34" t="n">
        <v>6</v>
      </c>
      <c r="B8" s="50" t="n">
        <v>3970</v>
      </c>
      <c r="C8" s="50" t="n">
        <v>3895</v>
      </c>
      <c r="D8" s="50" t="n">
        <v>103</v>
      </c>
      <c r="E8" s="50" t="n">
        <v>126</v>
      </c>
      <c r="F8" s="51">
        <f>(C8*100)/B8</f>
        <v/>
      </c>
      <c r="G8" s="64">
        <f>(D8*100)/B8</f>
        <v/>
      </c>
      <c r="H8" s="53">
        <f>((B8-B9)/B8)*100</f>
        <v/>
      </c>
      <c r="I8" s="53">
        <f>((B8-C8)/B8)*100</f>
        <v/>
      </c>
      <c r="J8" s="53">
        <f>((C8-B9)/C8)*100</f>
        <v/>
      </c>
      <c r="K8" s="54">
        <f>100-(((C3-C9)/C3)*100)</f>
        <v/>
      </c>
      <c r="L8" s="55" t="n">
        <v>1.01388888888888</v>
      </c>
      <c r="M8" s="125" t="inlineStr">
        <is>
          <t>Normal</t>
        </is>
      </c>
      <c r="N8" s="55" t="n">
        <v>15.92</v>
      </c>
      <c r="O8" s="57">
        <f>N8/C8</f>
        <v/>
      </c>
      <c r="P8" s="58">
        <f>(Boosters_IOS!B8*100)/Boosters_And!N8</f>
        <v/>
      </c>
      <c r="Q8" s="58">
        <f>Boosters_IOS!B8/(C8+D8)</f>
        <v/>
      </c>
      <c r="R8" s="58">
        <f>Boosters_IOS!N8/B8</f>
        <v/>
      </c>
      <c r="S8" s="55" t="n">
        <v>4.79497354497354</v>
      </c>
      <c r="T8" s="55" t="n">
        <v>10</v>
      </c>
      <c r="U8" s="121" t="n">
        <v>1411239.20782781</v>
      </c>
      <c r="V8" s="122" t="n">
        <v>0.003472222222222222</v>
      </c>
      <c r="W8" s="123" t="n">
        <v>65460.51038</v>
      </c>
      <c r="X8" s="123" t="n">
        <v>65460.51038</v>
      </c>
      <c r="Y8" s="123" t="n">
        <v>5.366906475</v>
      </c>
      <c r="Z8" s="123" t="n">
        <v>672371.7245</v>
      </c>
      <c r="AA8" s="123" t="n">
        <v>0</v>
      </c>
      <c r="AB8" s="124" t="n">
        <v>0</v>
      </c>
      <c r="AC8" s="124" t="n">
        <v>0</v>
      </c>
      <c r="AD8" s="124" t="n">
        <v>0</v>
      </c>
      <c r="AE8" s="124" t="n">
        <v>0</v>
      </c>
      <c r="AF8" s="124" t="n">
        <v>0</v>
      </c>
      <c r="AG8" s="124" t="n">
        <v>0</v>
      </c>
      <c r="AH8" s="124" t="n">
        <v>0</v>
      </c>
      <c r="AI8" s="124" t="n">
        <v>0</v>
      </c>
      <c r="AJ8" s="124">
        <f>AB8+AC8+AD8+AE8+AF8+AG8+AH8+AI8</f>
        <v/>
      </c>
      <c r="AK8" s="59">
        <f>AL8/C8</f>
        <v/>
      </c>
      <c r="AL8" s="55" t="n">
        <v>357210</v>
      </c>
    </row>
    <row r="9" ht="22.5" customHeight="1" s="150">
      <c r="A9" s="34" t="n">
        <v>7</v>
      </c>
      <c r="B9" s="50" t="n">
        <v>3892</v>
      </c>
      <c r="C9" s="50" t="n">
        <v>3843</v>
      </c>
      <c r="D9" s="50" t="n">
        <v>67</v>
      </c>
      <c r="E9" s="50" t="n">
        <v>98</v>
      </c>
      <c r="F9" s="51">
        <f>(C9*100)/B9</f>
        <v/>
      </c>
      <c r="G9" s="51">
        <f>(D9*100)/B9</f>
        <v/>
      </c>
      <c r="H9" s="53">
        <f>((B9-B10)/B9)*100</f>
        <v/>
      </c>
      <c r="I9" s="53">
        <f>((B9-C9)/B9)*100</f>
        <v/>
      </c>
      <c r="J9" s="53">
        <f>((C9-B10)/C9)*100</f>
        <v/>
      </c>
      <c r="K9" s="54">
        <f>100-(((C3-C10)/C3)*100)</f>
        <v/>
      </c>
      <c r="L9" s="55" t="n">
        <v>1.00535833891493</v>
      </c>
      <c r="M9" s="126" t="inlineStr">
        <is>
          <t>Normal</t>
        </is>
      </c>
      <c r="N9" s="55" t="n">
        <v>22.94</v>
      </c>
      <c r="O9" s="57">
        <f>N9/C9</f>
        <v/>
      </c>
      <c r="P9" s="58">
        <f>(Boosters_IOS!B9*100)/Boosters_And!N9</f>
        <v/>
      </c>
      <c r="Q9" s="58">
        <f>Boosters_IOS!B9/(C9+D9)</f>
        <v/>
      </c>
      <c r="R9" s="58">
        <f>Boosters_IOS!N9/B9</f>
        <v/>
      </c>
      <c r="S9" s="55" t="n">
        <v>4.35833891493636</v>
      </c>
      <c r="T9" s="55" t="n">
        <v>0</v>
      </c>
      <c r="U9" s="121" t="n">
        <v>1480623.6954095</v>
      </c>
      <c r="V9" s="122" t="n">
        <v>0.003472222222222222</v>
      </c>
      <c r="W9" s="123" t="n">
        <v>17447.51153</v>
      </c>
      <c r="X9" s="123" t="n">
        <v>17447.51153</v>
      </c>
      <c r="Y9" s="123" t="n">
        <v>6.021582734</v>
      </c>
      <c r="Z9" s="123" t="n">
        <v>700487.8331</v>
      </c>
      <c r="AA9" s="123" t="n">
        <v>0</v>
      </c>
      <c r="AB9" s="124" t="n">
        <v>0</v>
      </c>
      <c r="AC9" s="124" t="n">
        <v>0</v>
      </c>
      <c r="AD9" s="124" t="n">
        <v>0</v>
      </c>
      <c r="AE9" s="124" t="n">
        <v>0</v>
      </c>
      <c r="AF9" s="124" t="n">
        <v>0</v>
      </c>
      <c r="AG9" s="124" t="n">
        <v>0</v>
      </c>
      <c r="AH9" s="124" t="n">
        <v>0</v>
      </c>
      <c r="AI9" s="124" t="n">
        <v>0</v>
      </c>
      <c r="AJ9" s="124">
        <f>AB9+AC9+AD9+AE9+AF9+AG9+AH9+AI9</f>
        <v/>
      </c>
      <c r="AK9" s="59">
        <f>AL9/C9</f>
        <v/>
      </c>
      <c r="AL9" s="55" t="n">
        <v>369730</v>
      </c>
    </row>
    <row r="10" ht="22.5" customHeight="1" s="150">
      <c r="A10" s="34" t="n">
        <v>8</v>
      </c>
      <c r="B10" s="50" t="n">
        <v>3843</v>
      </c>
      <c r="C10" s="50" t="n">
        <v>3820</v>
      </c>
      <c r="D10" s="50" t="n">
        <v>54</v>
      </c>
      <c r="E10" s="50" t="n">
        <v>77</v>
      </c>
      <c r="F10" s="51">
        <f>(C10*100)/B10</f>
        <v/>
      </c>
      <c r="G10" s="51">
        <f>(D10*100)/B10</f>
        <v/>
      </c>
      <c r="H10" s="53">
        <f>((B10-B11)/B10)*100</f>
        <v/>
      </c>
      <c r="I10" s="53">
        <f>((B10-C10)/B10)*100</f>
        <v/>
      </c>
      <c r="J10" s="53">
        <f>((C10-B11)/C10)*100</f>
        <v/>
      </c>
      <c r="K10" s="54">
        <f>100-(((C3-C11)/C3)*100)</f>
        <v/>
      </c>
      <c r="L10" s="55" t="n">
        <v>1.00471698113207</v>
      </c>
      <c r="M10" s="125" t="inlineStr">
        <is>
          <t>Normal</t>
        </is>
      </c>
      <c r="N10" s="55" t="n">
        <v>0</v>
      </c>
      <c r="O10" s="57">
        <f>N10/C10</f>
        <v/>
      </c>
      <c r="P10" s="58">
        <f>(Boosters_IOS!B10*100)/Boosters_And!N10</f>
        <v/>
      </c>
      <c r="Q10" s="58">
        <f>Boosters_IOS!B10/(C10+D10)</f>
        <v/>
      </c>
      <c r="R10" s="58">
        <f>Boosters_IOS!N10/B10</f>
        <v/>
      </c>
      <c r="S10" s="55" t="n">
        <v>4.94541778975741</v>
      </c>
      <c r="T10" s="55" t="n">
        <v>0</v>
      </c>
      <c r="U10" s="121" t="n">
        <v>1552793.87989038</v>
      </c>
      <c r="V10" s="122" t="n">
        <v>0.003472222222222222</v>
      </c>
      <c r="W10" s="123" t="n">
        <v>31583.18696</v>
      </c>
      <c r="X10" s="123" t="n">
        <v>31583.18696</v>
      </c>
      <c r="Y10" s="123" t="n">
        <v>16.19565217</v>
      </c>
      <c r="Z10" s="123" t="n">
        <v>722566.7404</v>
      </c>
      <c r="AA10" s="123" t="n">
        <v>0</v>
      </c>
      <c r="AB10" s="124" t="n">
        <v>8</v>
      </c>
      <c r="AC10" s="124" t="n">
        <v>0</v>
      </c>
      <c r="AD10" s="124" t="n">
        <v>0</v>
      </c>
      <c r="AE10" s="124" t="n">
        <v>0</v>
      </c>
      <c r="AF10" s="124" t="n">
        <v>0</v>
      </c>
      <c r="AG10" s="124" t="n">
        <v>0</v>
      </c>
      <c r="AH10" s="124" t="n">
        <v>0</v>
      </c>
      <c r="AI10" s="124" t="n">
        <v>0</v>
      </c>
      <c r="AJ10" s="124">
        <f>AB10+AC10+AD10+AE10+AF10+AG10+AH10+AI10</f>
        <v/>
      </c>
      <c r="AK10" s="59">
        <f>AL10/C10</f>
        <v/>
      </c>
      <c r="AL10" s="55" t="n">
        <v>383010</v>
      </c>
    </row>
    <row r="11" ht="22.5" customHeight="1" s="150">
      <c r="A11" s="34" t="n">
        <v>9</v>
      </c>
      <c r="B11" s="50" t="n">
        <v>3820</v>
      </c>
      <c r="C11" s="50" t="n">
        <v>3792</v>
      </c>
      <c r="D11" s="50" t="n">
        <v>142</v>
      </c>
      <c r="E11" s="50" t="n">
        <v>162</v>
      </c>
      <c r="F11" s="51">
        <f>(C11*100)/B11</f>
        <v/>
      </c>
      <c r="G11" s="64">
        <f>(D11*100)/B11</f>
        <v/>
      </c>
      <c r="H11" s="53">
        <f>((B11-B12)/B11)*100</f>
        <v/>
      </c>
      <c r="I11" s="53">
        <f>((B11-C11)/B11)*100</f>
        <v/>
      </c>
      <c r="J11" s="53">
        <f>((C11-B12)/C11)*100</f>
        <v/>
      </c>
      <c r="K11" s="54">
        <f>100-(((C3-C12)/C3)*100)</f>
        <v/>
      </c>
      <c r="L11" s="55" t="n">
        <v>1.02513586956521</v>
      </c>
      <c r="M11" s="126" t="inlineStr">
        <is>
          <t>Normal</t>
        </is>
      </c>
      <c r="N11" s="55" t="n">
        <v>7.06</v>
      </c>
      <c r="O11" s="57">
        <f>N11/C11</f>
        <v/>
      </c>
      <c r="P11" s="58">
        <f>(Boosters_IOS!B11*100)/Boosters_And!N11</f>
        <v/>
      </c>
      <c r="Q11" s="58">
        <f>Boosters_IOS!B11/(C11+D11)</f>
        <v/>
      </c>
      <c r="R11" s="58">
        <f>Boosters_IOS!N11/B11</f>
        <v/>
      </c>
      <c r="S11" s="55" t="n">
        <v>4.54076086956521</v>
      </c>
      <c r="T11" s="55" t="n">
        <v>8</v>
      </c>
      <c r="U11" s="121" t="n">
        <v>1616581.18018387</v>
      </c>
      <c r="V11" s="122" t="n">
        <v>0.002083333333333333</v>
      </c>
      <c r="W11" s="123" t="n">
        <v>75568.51014</v>
      </c>
      <c r="X11" s="123" t="n">
        <v>75568.51014</v>
      </c>
      <c r="Y11" s="123" t="n">
        <v>8</v>
      </c>
      <c r="Z11" s="123" t="n">
        <v>672199.2331</v>
      </c>
      <c r="AA11" s="123" t="n">
        <v>0</v>
      </c>
      <c r="AB11" s="124" t="n">
        <v>0</v>
      </c>
      <c r="AC11" s="124" t="n">
        <v>0</v>
      </c>
      <c r="AD11" s="124" t="n">
        <v>0</v>
      </c>
      <c r="AE11" s="124" t="n">
        <v>0</v>
      </c>
      <c r="AF11" s="124" t="n">
        <v>0</v>
      </c>
      <c r="AG11" s="124" t="n">
        <v>0</v>
      </c>
      <c r="AH11" s="124" t="n">
        <v>0</v>
      </c>
      <c r="AI11" s="124" t="n">
        <v>0</v>
      </c>
      <c r="AJ11" s="124">
        <f>AB11+AC11+AD11+AE11+AF11+AG11+AH11+AI11</f>
        <v/>
      </c>
      <c r="AK11" s="59">
        <f>AL11/C11</f>
        <v/>
      </c>
      <c r="AL11" s="55" t="n">
        <v>397250</v>
      </c>
    </row>
    <row r="12" ht="22.5" customHeight="1" s="150">
      <c r="A12" s="34" t="n">
        <v>10</v>
      </c>
      <c r="B12" s="50" t="n">
        <v>3709</v>
      </c>
      <c r="C12" s="50" t="n">
        <v>3696</v>
      </c>
      <c r="D12" s="50" t="n">
        <v>34</v>
      </c>
      <c r="E12" s="50" t="n">
        <v>31</v>
      </c>
      <c r="F12" s="51">
        <f>(C12*100)/B12</f>
        <v/>
      </c>
      <c r="G12" s="64">
        <f>(D12*100)/B12</f>
        <v/>
      </c>
      <c r="H12" s="53">
        <f>((B12-B13)/B12)*100</f>
        <v/>
      </c>
      <c r="I12" s="53">
        <f>((B12-C12)/B12)*100</f>
        <v/>
      </c>
      <c r="J12" s="53">
        <f>((C12-B13)/C12)*100</f>
        <v/>
      </c>
      <c r="K12" s="54">
        <f>100-(((C3-C13)/C3)*100)</f>
        <v/>
      </c>
      <c r="L12" s="55" t="n">
        <v>1.0139470013947</v>
      </c>
      <c r="M12" s="125" t="inlineStr">
        <is>
          <t>Normal</t>
        </is>
      </c>
      <c r="N12" s="55" t="n">
        <v>12.45</v>
      </c>
      <c r="O12" s="57">
        <f>N12/C12</f>
        <v/>
      </c>
      <c r="P12" s="58">
        <f>(Boosters_IOS!B12*100)/Boosters_And!N12</f>
        <v/>
      </c>
      <c r="Q12" s="58">
        <f>Boosters_IOS!B12/(C12+D12)</f>
        <v/>
      </c>
      <c r="R12" s="58">
        <f>Boosters_IOS!N12/B12</f>
        <v/>
      </c>
      <c r="S12" s="55" t="n">
        <v>2.74058577405857</v>
      </c>
      <c r="T12" s="55" t="n">
        <v>15</v>
      </c>
      <c r="U12" s="121" t="n">
        <v>1664144.37538857</v>
      </c>
      <c r="V12" s="122" t="n">
        <v>0.000925925925925926</v>
      </c>
      <c r="W12" s="123" t="n">
        <v>32678.50775</v>
      </c>
      <c r="X12" s="123" t="n">
        <v>32652.63403</v>
      </c>
      <c r="Y12" s="123" t="n">
        <v>6.921568627</v>
      </c>
      <c r="Z12" s="123" t="n">
        <v>574914.0477</v>
      </c>
      <c r="AA12" s="123" t="n">
        <v>7762.115855</v>
      </c>
      <c r="AB12" s="124" t="n">
        <v>0</v>
      </c>
      <c r="AC12" s="124" t="n">
        <v>0</v>
      </c>
      <c r="AD12" s="124" t="n">
        <v>0</v>
      </c>
      <c r="AE12" s="124" t="n">
        <v>0</v>
      </c>
      <c r="AF12" s="124" t="n">
        <v>0</v>
      </c>
      <c r="AG12" s="124" t="n">
        <v>0</v>
      </c>
      <c r="AH12" s="124" t="n">
        <v>0</v>
      </c>
      <c r="AI12" s="124" t="n">
        <v>0</v>
      </c>
      <c r="AJ12" s="124">
        <f>AB12+AC12+AD12+AE12+AF12+AG12+AH12+AI12</f>
        <v/>
      </c>
      <c r="AK12" s="59">
        <f>AL12/C12</f>
        <v/>
      </c>
      <c r="AL12" s="55" t="n">
        <v>411960</v>
      </c>
    </row>
    <row r="13" ht="22.5" customHeight="1" s="150">
      <c r="A13" s="65" t="n">
        <v>11</v>
      </c>
      <c r="B13" s="50" t="n">
        <v>3562</v>
      </c>
      <c r="C13" s="50" t="n">
        <v>3464</v>
      </c>
      <c r="D13" s="50" t="n">
        <v>720</v>
      </c>
      <c r="E13" s="50" t="n">
        <v>642</v>
      </c>
      <c r="F13" s="51">
        <f>(C13*100)/B13</f>
        <v/>
      </c>
      <c r="G13" s="66">
        <f>(D13*100)/B13</f>
        <v/>
      </c>
      <c r="H13" s="52">
        <f>((B13-B14)/B13)*100</f>
        <v/>
      </c>
      <c r="I13" s="53">
        <f>((B13-C13)/B13)*100</f>
        <v/>
      </c>
      <c r="J13" s="53">
        <f>((C13-B14)/C13)*100</f>
        <v/>
      </c>
      <c r="K13" s="54">
        <f>100-(((C3-C14)/C3)*100)</f>
        <v/>
      </c>
      <c r="L13" s="55" t="n">
        <v>1.14892032762472</v>
      </c>
      <c r="M13" s="126" t="inlineStr">
        <is>
          <t>Normal</t>
        </is>
      </c>
      <c r="N13" s="55" t="n">
        <v>47.04</v>
      </c>
      <c r="O13" s="57">
        <f>N13/C13</f>
        <v/>
      </c>
      <c r="P13" s="58">
        <f>(Boosters_IOS!B13*100)/Boosters_And!N13</f>
        <v/>
      </c>
      <c r="Q13" s="58">
        <f>Boosters_IOS!B13/(C13+D13)</f>
        <v/>
      </c>
      <c r="R13" s="58">
        <f>Boosters_IOS!N13/B13</f>
        <v/>
      </c>
      <c r="S13" s="55" t="n">
        <v>2.93819806403574</v>
      </c>
      <c r="T13" s="55" t="n">
        <v>591</v>
      </c>
      <c r="U13" s="121" t="n">
        <v>2821214.53465507</v>
      </c>
      <c r="V13" s="122" t="n">
        <v>0.001157407407407407</v>
      </c>
      <c r="W13" s="123" t="n">
        <v>42812.38123</v>
      </c>
      <c r="X13" s="123" t="n">
        <v>42579.51775</v>
      </c>
      <c r="Y13" s="123" t="n">
        <v>6.068965517</v>
      </c>
      <c r="Z13" s="123" t="n">
        <v>725412.8496</v>
      </c>
      <c r="AA13" s="123" t="n">
        <v>23286.34757</v>
      </c>
      <c r="AB13" s="124" t="n">
        <v>0</v>
      </c>
      <c r="AC13" s="124" t="n">
        <v>0</v>
      </c>
      <c r="AD13" s="124" t="n">
        <v>0</v>
      </c>
      <c r="AE13" s="124" t="n">
        <v>0</v>
      </c>
      <c r="AF13" s="124" t="n">
        <v>0</v>
      </c>
      <c r="AG13" s="124" t="n">
        <v>0</v>
      </c>
      <c r="AH13" s="124" t="n">
        <v>0</v>
      </c>
      <c r="AI13" s="124" t="n">
        <v>0</v>
      </c>
      <c r="AJ13" s="124">
        <f>AB13+AC13+AD13+AE13+AF13+AG13+AH13+AI13</f>
        <v/>
      </c>
      <c r="AK13" s="59">
        <f>AL13/C13</f>
        <v/>
      </c>
      <c r="AL13" s="55" t="n">
        <v>620340</v>
      </c>
    </row>
    <row r="14" ht="22.5" customHeight="1" s="150">
      <c r="A14" s="34" t="n">
        <v>12</v>
      </c>
      <c r="B14" s="50" t="n">
        <v>3320</v>
      </c>
      <c r="C14" s="50" t="n">
        <v>3304</v>
      </c>
      <c r="D14" s="50" t="n">
        <v>18</v>
      </c>
      <c r="E14" s="50" t="n">
        <v>26</v>
      </c>
      <c r="F14" s="51">
        <f>(C14*100)/B14</f>
        <v/>
      </c>
      <c r="G14" s="51">
        <f>(D14*100)/B14</f>
        <v/>
      </c>
      <c r="H14" s="53">
        <f>((B14-B15)/B14)*100</f>
        <v/>
      </c>
      <c r="I14" s="53">
        <f>((B14-C14)/B14)*100</f>
        <v/>
      </c>
      <c r="J14" s="53">
        <f>((C14-B15)/C14)*100</f>
        <v/>
      </c>
      <c r="K14" s="54">
        <f>100-(((C3-C15)/C3)*100)</f>
        <v/>
      </c>
      <c r="L14" s="55" t="n">
        <v>1.00546448087431</v>
      </c>
      <c r="M14" s="125" t="inlineStr">
        <is>
          <t>Normal</t>
        </is>
      </c>
      <c r="N14" s="55" t="n">
        <v>96.33</v>
      </c>
      <c r="O14" s="57">
        <f>N14/C14</f>
        <v/>
      </c>
      <c r="P14" s="58">
        <f>(Boosters_IOS!B14*100)/Boosters_And!N14</f>
        <v/>
      </c>
      <c r="Q14" s="58">
        <f>Boosters_IOS!B14/(C14+D14)</f>
        <v/>
      </c>
      <c r="R14" s="58">
        <f>Boosters_IOS!N14/B14</f>
        <v/>
      </c>
      <c r="S14" s="55" t="n">
        <v>0.00546448087431694</v>
      </c>
      <c r="T14" s="55" t="n">
        <v>340</v>
      </c>
      <c r="U14" s="121" t="n">
        <v>3081548.22728034</v>
      </c>
      <c r="V14" s="122" t="n">
        <v>0.001736111111111111</v>
      </c>
      <c r="W14" s="123" t="n">
        <v>41579.06727</v>
      </c>
      <c r="X14" s="123" t="n">
        <v>41579.06727</v>
      </c>
      <c r="Y14" s="123" t="n">
        <v>2.134146341</v>
      </c>
      <c r="Z14" s="123" t="n">
        <v>723601.6892</v>
      </c>
      <c r="AA14" s="123" t="n">
        <v>0</v>
      </c>
      <c r="AB14" s="124" t="n">
        <v>0</v>
      </c>
      <c r="AC14" s="124" t="n">
        <v>0</v>
      </c>
      <c r="AD14" s="124" t="n">
        <v>0</v>
      </c>
      <c r="AE14" s="124" t="n">
        <v>0</v>
      </c>
      <c r="AF14" s="124" t="n">
        <v>0</v>
      </c>
      <c r="AG14" s="124" t="n">
        <v>0</v>
      </c>
      <c r="AH14" s="124" t="n">
        <v>0</v>
      </c>
      <c r="AI14" s="124" t="n">
        <v>0</v>
      </c>
      <c r="AJ14" s="124">
        <f>AB14+AC14+AD14+AE14+AF14+AG14+AH14+AI14</f>
        <v/>
      </c>
      <c r="AK14" s="59">
        <f>AL14/C14</f>
        <v/>
      </c>
      <c r="AL14" s="55" t="n">
        <v>666200</v>
      </c>
    </row>
    <row r="15" ht="22.5" customHeight="1" s="150">
      <c r="A15" s="34" t="n">
        <v>13</v>
      </c>
      <c r="B15" s="50" t="n">
        <v>3255</v>
      </c>
      <c r="C15" s="50" t="n">
        <v>3247</v>
      </c>
      <c r="D15" s="50" t="n">
        <v>10</v>
      </c>
      <c r="E15" s="50" t="n">
        <v>10</v>
      </c>
      <c r="F15" s="51">
        <f>(C15*100)/B15</f>
        <v/>
      </c>
      <c r="G15" s="51">
        <f>(D15*100)/B15</f>
        <v/>
      </c>
      <c r="H15" s="53">
        <f>((B15-B16)/B15)*100</f>
        <v/>
      </c>
      <c r="I15" s="53">
        <f>((B15-C15)/B15)*100</f>
        <v/>
      </c>
      <c r="J15" s="53">
        <f>((C15-B16)/C15)*100</f>
        <v/>
      </c>
      <c r="K15" s="54">
        <f>100-(((C3-C16)/C3)*100)</f>
        <v/>
      </c>
      <c r="L15" s="55" t="n">
        <v>1.00397140587768</v>
      </c>
      <c r="M15" s="126" t="inlineStr">
        <is>
          <t>Normal</t>
        </is>
      </c>
      <c r="N15" s="55" t="n">
        <v>38.09</v>
      </c>
      <c r="O15" s="57">
        <f>N15/C15</f>
        <v/>
      </c>
      <c r="P15" s="58">
        <f>(Boosters_IOS!B15*100)/Boosters_And!N15</f>
        <v/>
      </c>
      <c r="Q15" s="58">
        <f>Boosters_IOS!B15/(C15+D15)</f>
        <v/>
      </c>
      <c r="R15" s="58">
        <f>Boosters_IOS!N15/B15</f>
        <v/>
      </c>
      <c r="S15" s="55" t="n">
        <v>4.67513899920571</v>
      </c>
      <c r="T15" s="55" t="n">
        <v>320</v>
      </c>
      <c r="U15" s="121" t="n">
        <v>3206208.16351911</v>
      </c>
      <c r="V15" s="122" t="n">
        <v>0.000925925925925926</v>
      </c>
      <c r="W15" s="123" t="n">
        <v>36870.05031</v>
      </c>
      <c r="X15" s="123" t="n">
        <v>36775.18001</v>
      </c>
      <c r="Y15" s="123" t="n">
        <v>6.794871795</v>
      </c>
      <c r="Z15" s="123" t="n">
        <v>705403.8398</v>
      </c>
      <c r="AA15" s="123" t="n">
        <v>15524.23171</v>
      </c>
      <c r="AB15" s="124" t="n">
        <v>0</v>
      </c>
      <c r="AC15" s="124" t="n">
        <v>0</v>
      </c>
      <c r="AD15" s="124" t="n">
        <v>0</v>
      </c>
      <c r="AE15" s="124" t="n">
        <v>0</v>
      </c>
      <c r="AF15" s="124" t="n">
        <v>0</v>
      </c>
      <c r="AG15" s="124" t="n">
        <v>0</v>
      </c>
      <c r="AH15" s="124" t="n">
        <v>0</v>
      </c>
      <c r="AI15" s="124" t="n">
        <v>0</v>
      </c>
      <c r="AJ15" s="124">
        <f>AB15+AC15+AD15+AE15+AF15+AG15+AH15+AI15</f>
        <v/>
      </c>
      <c r="AK15" s="59">
        <f>AL15/C15</f>
        <v/>
      </c>
      <c r="AL15" s="55" t="n">
        <v>685950</v>
      </c>
    </row>
    <row r="16" ht="22.5" customHeight="1" s="150">
      <c r="A16" s="68" t="n">
        <v>14</v>
      </c>
      <c r="B16" s="50" t="n">
        <v>3224</v>
      </c>
      <c r="C16" s="50" t="n">
        <v>3167</v>
      </c>
      <c r="D16" s="50" t="n">
        <v>684</v>
      </c>
      <c r="E16" s="50" t="n">
        <v>573</v>
      </c>
      <c r="F16" s="51">
        <f>(C16*100)/B16</f>
        <v/>
      </c>
      <c r="G16" s="66">
        <f>(D16*100)/B16</f>
        <v/>
      </c>
      <c r="H16" s="52">
        <f>((B16-B17)/B16)*100</f>
        <v/>
      </c>
      <c r="I16" s="53">
        <f>((B16-C16)/B16)*100</f>
        <v/>
      </c>
      <c r="J16" s="53">
        <f>((C16-B17)/C16)*100</f>
        <v/>
      </c>
      <c r="K16" s="54">
        <f>100-(((C3-C17)/C3)*100)</f>
        <v/>
      </c>
      <c r="L16" s="55" t="n">
        <v>1.19625407166123</v>
      </c>
      <c r="M16" s="127" t="inlineStr">
        <is>
          <t>Hard</t>
        </is>
      </c>
      <c r="N16" s="55" t="n">
        <v>40.43</v>
      </c>
      <c r="O16" s="57">
        <f>N16/C16</f>
        <v/>
      </c>
      <c r="P16" s="58">
        <f>(Boosters_IOS!B16*100)/Boosters_And!N16</f>
        <v/>
      </c>
      <c r="Q16" s="58">
        <f>Boosters_IOS!B16/(C16+D16)</f>
        <v/>
      </c>
      <c r="R16" s="58">
        <f>Boosters_IOS!N16/B16</f>
        <v/>
      </c>
      <c r="S16" s="55" t="n">
        <v>3.27280130293159</v>
      </c>
      <c r="T16" s="55" t="n">
        <v>408</v>
      </c>
      <c r="U16" s="121" t="n">
        <v>3079768.47648363</v>
      </c>
      <c r="V16" s="122" t="n">
        <v>0.001388888888888889</v>
      </c>
      <c r="W16" s="123" t="n">
        <v>40785.60653</v>
      </c>
      <c r="X16" s="123" t="n">
        <v>40785.60653</v>
      </c>
      <c r="Y16" s="123" t="n">
        <v>3.679487179</v>
      </c>
      <c r="Z16" s="123" t="n">
        <v>740764.5898</v>
      </c>
      <c r="AA16" s="123" t="n">
        <v>7762.115855</v>
      </c>
      <c r="AB16" s="124" t="n">
        <v>0</v>
      </c>
      <c r="AC16" s="124" t="n">
        <v>0</v>
      </c>
      <c r="AD16" s="124" t="n">
        <v>0</v>
      </c>
      <c r="AE16" s="124" t="n">
        <v>0</v>
      </c>
      <c r="AF16" s="124" t="n">
        <v>0</v>
      </c>
      <c r="AG16" s="124" t="n">
        <v>0</v>
      </c>
      <c r="AH16" s="124" t="n">
        <v>0</v>
      </c>
      <c r="AI16" s="124" t="n">
        <v>0</v>
      </c>
      <c r="AJ16" s="124">
        <f>AB16+AC16+AD16+AE16+AF16+AG16+AH16+AI16</f>
        <v/>
      </c>
      <c r="AK16" s="59">
        <f>AL16/C16</f>
        <v/>
      </c>
      <c r="AL16" s="55" t="n">
        <v>646560</v>
      </c>
    </row>
    <row r="17" ht="22.5" customHeight="1" s="150">
      <c r="A17" s="34" t="n">
        <v>15</v>
      </c>
      <c r="B17" s="50" t="n">
        <v>3147</v>
      </c>
      <c r="C17" s="50" t="n">
        <v>3139</v>
      </c>
      <c r="D17" s="50" t="n">
        <v>80</v>
      </c>
      <c r="E17" s="50" t="n">
        <v>72</v>
      </c>
      <c r="F17" s="51">
        <f>(C17*100)/B17</f>
        <v/>
      </c>
      <c r="G17" s="51">
        <f>(D17*100)/B17</f>
        <v/>
      </c>
      <c r="H17" s="53">
        <f>((B17-B18)/B17)*100</f>
        <v/>
      </c>
      <c r="I17" s="53">
        <f>((B17-C17)/B17)*100</f>
        <v/>
      </c>
      <c r="J17" s="53">
        <f>((C17-B18)/C17)*100</f>
        <v/>
      </c>
      <c r="K17" s="54">
        <f>100-(((C3-C18)/C3)*100)</f>
        <v/>
      </c>
      <c r="L17" s="55" t="n">
        <v>1.02300739523418</v>
      </c>
      <c r="M17" s="120" t="inlineStr">
        <is>
          <t>Normal</t>
        </is>
      </c>
      <c r="N17" s="55" t="n">
        <v>0</v>
      </c>
      <c r="O17" s="57">
        <f>N17/C17</f>
        <v/>
      </c>
      <c r="P17" s="58">
        <f>(Boosters_IOS!B17*100)/Boosters_And!N17</f>
        <v/>
      </c>
      <c r="Q17" s="58">
        <f>Boosters_IOS!B17/(C17+D17)</f>
        <v/>
      </c>
      <c r="R17" s="58">
        <f>Boosters_IOS!N17/B17</f>
        <v/>
      </c>
      <c r="S17" s="55" t="n">
        <v>3.27115858668857</v>
      </c>
      <c r="T17" s="55" t="n">
        <v>291</v>
      </c>
      <c r="U17" s="121" t="n">
        <v>3159650.9144169</v>
      </c>
      <c r="V17" s="122" t="n">
        <v>0.001157407407407407</v>
      </c>
      <c r="W17" s="123" t="n">
        <v>34567.28928</v>
      </c>
      <c r="X17" s="123" t="n">
        <v>34567.28928</v>
      </c>
      <c r="Y17" s="123" t="n">
        <v>5.813333333</v>
      </c>
      <c r="Z17" s="123" t="n">
        <v>743869.4362</v>
      </c>
      <c r="AA17" s="123" t="n">
        <v>0</v>
      </c>
      <c r="AB17" s="124" t="n">
        <v>0</v>
      </c>
      <c r="AC17" s="124" t="n">
        <v>0</v>
      </c>
      <c r="AD17" s="124" t="n">
        <v>0</v>
      </c>
      <c r="AE17" s="124" t="n">
        <v>0</v>
      </c>
      <c r="AF17" s="124" t="n">
        <v>0</v>
      </c>
      <c r="AG17" s="124" t="n">
        <v>0</v>
      </c>
      <c r="AH17" s="124" t="n">
        <v>0</v>
      </c>
      <c r="AI17" s="124" t="n">
        <v>0</v>
      </c>
      <c r="AJ17" s="124">
        <f>AB17+AC17+AD17+AE17+AF17+AG17+AH17+AI17</f>
        <v/>
      </c>
      <c r="AK17" s="59">
        <f>AL17/C17</f>
        <v/>
      </c>
      <c r="AL17" s="55" t="n">
        <v>651180</v>
      </c>
    </row>
    <row r="18" ht="22.5" customHeight="1" s="150">
      <c r="A18" s="34" t="n">
        <v>16</v>
      </c>
      <c r="B18" s="50" t="n">
        <v>3087</v>
      </c>
      <c r="C18" s="50" t="n">
        <v>3062</v>
      </c>
      <c r="D18" s="50" t="n">
        <v>160</v>
      </c>
      <c r="E18" s="50" t="n">
        <v>152</v>
      </c>
      <c r="F18" s="51">
        <f>(C18*100)/B18</f>
        <v/>
      </c>
      <c r="G18" s="64">
        <f>(D18*100)/B18</f>
        <v/>
      </c>
      <c r="H18" s="53">
        <f>((B18-B19)/B18)*100</f>
        <v/>
      </c>
      <c r="I18" s="53">
        <f>((B18-C18)/B18)*100</f>
        <v/>
      </c>
      <c r="J18" s="53">
        <f>((C18-B19)/C18)*100</f>
        <v/>
      </c>
      <c r="K18" s="54">
        <f>100-(((C3-C19)/C3)*100)</f>
        <v/>
      </c>
      <c r="L18" s="55" t="n">
        <v>1.00589721988205</v>
      </c>
      <c r="M18" s="128" t="inlineStr">
        <is>
          <t>Normal</t>
        </is>
      </c>
      <c r="N18" s="55" t="n">
        <v>3.98</v>
      </c>
      <c r="O18" s="57">
        <f>N18/C18</f>
        <v/>
      </c>
      <c r="P18" s="58">
        <f>(Boosters_IOS!B18*100)/Boosters_And!N18</f>
        <v/>
      </c>
      <c r="Q18" s="58">
        <f>Boosters_IOS!B18/(C18+D18)</f>
        <v/>
      </c>
      <c r="R18" s="58">
        <f>Boosters_IOS!N18/B18</f>
        <v/>
      </c>
      <c r="S18" s="55" t="n">
        <v>0.342038753159224</v>
      </c>
      <c r="T18" s="55" t="n">
        <v>317</v>
      </c>
      <c r="U18" s="121" t="n">
        <v>3165402.86264393</v>
      </c>
      <c r="V18" s="122" t="n">
        <v>0.000925925925925926</v>
      </c>
      <c r="W18" s="123" t="n">
        <v>13833.81537</v>
      </c>
      <c r="X18" s="123" t="n">
        <v>13833.81537</v>
      </c>
      <c r="Y18" s="123" t="n">
        <v>1.657894737</v>
      </c>
      <c r="Z18" s="123" t="n">
        <v>825544.1441</v>
      </c>
      <c r="AA18" s="123" t="n">
        <v>0</v>
      </c>
      <c r="AB18" s="124" t="n">
        <v>0</v>
      </c>
      <c r="AC18" s="124" t="n">
        <v>0</v>
      </c>
      <c r="AD18" s="124" t="n">
        <v>0</v>
      </c>
      <c r="AE18" s="124" t="n">
        <v>0</v>
      </c>
      <c r="AF18" s="124" t="n">
        <v>0</v>
      </c>
      <c r="AG18" s="124" t="n">
        <v>0</v>
      </c>
      <c r="AH18" s="124" t="n">
        <v>0</v>
      </c>
      <c r="AI18" s="124" t="n">
        <v>0</v>
      </c>
      <c r="AJ18" s="124">
        <f>AB18+AC18+AD18+AE18+AF18+AG18+AH18+AI18</f>
        <v/>
      </c>
      <c r="AK18" s="59">
        <f>AL18/C18</f>
        <v/>
      </c>
      <c r="AL18" s="55" t="n">
        <v>656630</v>
      </c>
    </row>
    <row r="19" ht="22.5" customHeight="1" s="150">
      <c r="A19" s="34" t="n">
        <v>17</v>
      </c>
      <c r="B19" s="50" t="n">
        <v>3002</v>
      </c>
      <c r="C19" s="50" t="n">
        <v>2989</v>
      </c>
      <c r="D19" s="50" t="n">
        <v>106</v>
      </c>
      <c r="E19" s="50" t="n">
        <v>59</v>
      </c>
      <c r="F19" s="51">
        <f>(C19*100)/B19</f>
        <v/>
      </c>
      <c r="G19" s="64">
        <f>(D19*100)/B19</f>
        <v/>
      </c>
      <c r="H19" s="53">
        <f>((B19-B20)/B19)*100</f>
        <v/>
      </c>
      <c r="I19" s="53">
        <f>((B19-C19)/B19)*100</f>
        <v/>
      </c>
      <c r="J19" s="53">
        <f>((C19-B20)/C19)*100</f>
        <v/>
      </c>
      <c r="K19" s="54">
        <f>100-(((C3-C20)/C3)*100)</f>
        <v/>
      </c>
      <c r="L19" s="55" t="n">
        <v>1.01639344262295</v>
      </c>
      <c r="M19" s="120" t="inlineStr">
        <is>
          <t>Normal</t>
        </is>
      </c>
      <c r="N19" s="55" t="n">
        <v>9.970000000000001</v>
      </c>
      <c r="O19" s="57">
        <f>N19/C19</f>
        <v/>
      </c>
      <c r="P19" s="58">
        <f>(Boosters_IOS!B19*100)/Boosters_And!N19</f>
        <v/>
      </c>
      <c r="Q19" s="58">
        <f>Boosters_IOS!B19/(C19+D19)</f>
        <v/>
      </c>
      <c r="R19" s="58">
        <f>Boosters_IOS!N19/B19</f>
        <v/>
      </c>
      <c r="S19" s="55" t="n">
        <v>4.19413287316652</v>
      </c>
      <c r="T19" s="55" t="n">
        <v>271</v>
      </c>
      <c r="U19" s="121" t="n">
        <v>3166099.28686873</v>
      </c>
      <c r="V19" s="122" t="n">
        <v>0.001736111111111111</v>
      </c>
      <c r="W19" s="123" t="n">
        <v>36801.05373</v>
      </c>
      <c r="X19" s="123" t="n">
        <v>36801.05373</v>
      </c>
      <c r="Y19" s="123" t="n">
        <v>6.594594595</v>
      </c>
      <c r="Z19" s="123" t="n">
        <v>834427.4545</v>
      </c>
      <c r="AA19" s="123" t="n">
        <v>0</v>
      </c>
      <c r="AB19" s="124" t="n">
        <v>0</v>
      </c>
      <c r="AC19" s="124" t="n">
        <v>0</v>
      </c>
      <c r="AD19" s="124" t="n">
        <v>0</v>
      </c>
      <c r="AE19" s="124" t="n">
        <v>0</v>
      </c>
      <c r="AF19" s="124" t="n">
        <v>0</v>
      </c>
      <c r="AG19" s="124" t="n">
        <v>0</v>
      </c>
      <c r="AH19" s="124" t="n">
        <v>0</v>
      </c>
      <c r="AI19" s="124" t="n">
        <v>0</v>
      </c>
      <c r="AJ19" s="124">
        <f>AB19+AC19+AD19+AE19+AF19+AG19+AH19+AI19</f>
        <v/>
      </c>
      <c r="AK19" s="59">
        <f>AL19/C19</f>
        <v/>
      </c>
      <c r="AL19" s="55" t="n">
        <v>668830</v>
      </c>
    </row>
    <row r="20" ht="22.5" customHeight="1" s="150">
      <c r="A20" s="34" t="n">
        <v>18</v>
      </c>
      <c r="B20" s="50" t="n">
        <v>2969</v>
      </c>
      <c r="C20" s="50" t="n">
        <v>2964</v>
      </c>
      <c r="D20" s="50" t="n">
        <v>13</v>
      </c>
      <c r="E20" s="50" t="n">
        <v>13</v>
      </c>
      <c r="F20" s="51">
        <f>(C20*100)/B20</f>
        <v/>
      </c>
      <c r="G20" s="51">
        <f>(D20*100)/B20</f>
        <v/>
      </c>
      <c r="H20" s="53">
        <f>((B20-B21)/B20)*100</f>
        <v/>
      </c>
      <c r="I20" s="53">
        <f>((B20-C20)/B20)*100</f>
        <v/>
      </c>
      <c r="J20" s="53">
        <f>((C20-B21)/C20)*100</f>
        <v/>
      </c>
      <c r="K20" s="54">
        <f>100-(((C3-C21)/C3)*100)</f>
        <v/>
      </c>
      <c r="L20" s="55" t="n">
        <v>1.00609225413402</v>
      </c>
      <c r="M20" s="128" t="inlineStr">
        <is>
          <t>Normal</t>
        </is>
      </c>
      <c r="N20" s="55" t="n">
        <v>18.45</v>
      </c>
      <c r="O20" s="57">
        <f>N20/C20</f>
        <v/>
      </c>
      <c r="P20" s="58">
        <f>(Boosters_IOS!B20*100)/Boosters_And!N20</f>
        <v/>
      </c>
      <c r="Q20" s="58">
        <f>Boosters_IOS!B20/(C20+D20)</f>
        <v/>
      </c>
      <c r="R20" s="58">
        <f>Boosters_IOS!N20/B20</f>
        <v/>
      </c>
      <c r="S20" s="55" t="n">
        <v>3.22715404699738</v>
      </c>
      <c r="T20" s="55" t="n">
        <v>281</v>
      </c>
      <c r="U20" s="121" t="n">
        <v>3257356.65380702</v>
      </c>
      <c r="V20" s="122" t="n">
        <v>0.001388888888888889</v>
      </c>
      <c r="W20" s="123" t="n">
        <v>28995.81501</v>
      </c>
      <c r="X20" s="123" t="n">
        <v>28995.81501</v>
      </c>
      <c r="Y20" s="123" t="n">
        <v>5.074626866</v>
      </c>
      <c r="Z20" s="123" t="n">
        <v>777677.763</v>
      </c>
      <c r="AA20" s="123" t="n">
        <v>0</v>
      </c>
      <c r="AB20" s="124" t="n">
        <v>0</v>
      </c>
      <c r="AC20" s="124" t="n">
        <v>0</v>
      </c>
      <c r="AD20" s="124" t="n">
        <v>0</v>
      </c>
      <c r="AE20" s="124" t="n">
        <v>0</v>
      </c>
      <c r="AF20" s="124" t="n">
        <v>0</v>
      </c>
      <c r="AG20" s="124" t="n">
        <v>0</v>
      </c>
      <c r="AH20" s="124" t="n">
        <v>0</v>
      </c>
      <c r="AI20" s="124" t="n">
        <v>0</v>
      </c>
      <c r="AJ20" s="124">
        <f>AB20+AC20+AD20+AE20+AF20+AG20+AH20+AI20</f>
        <v/>
      </c>
      <c r="AK20" s="59">
        <f>AL20/C20</f>
        <v/>
      </c>
      <c r="AL20" s="55" t="n">
        <v>681970</v>
      </c>
    </row>
    <row r="21" ht="22.5" customHeight="1" s="150">
      <c r="A21" s="34" t="n">
        <v>19</v>
      </c>
      <c r="B21" s="50" t="n">
        <v>2938</v>
      </c>
      <c r="C21" s="50" t="n">
        <v>2933</v>
      </c>
      <c r="D21" s="50" t="n">
        <v>13</v>
      </c>
      <c r="E21" s="50" t="n">
        <v>18</v>
      </c>
      <c r="F21" s="51">
        <f>(C21*100)/B21</f>
        <v/>
      </c>
      <c r="G21" s="51">
        <f>(D21*100)/B21</f>
        <v/>
      </c>
      <c r="H21" s="52">
        <f>((B21-B22)/B21)*100</f>
        <v/>
      </c>
      <c r="I21" s="53">
        <f>((B21-C21)/B21)*100</f>
        <v/>
      </c>
      <c r="J21" s="53">
        <f>((C21-B22)/C21)*100</f>
        <v/>
      </c>
      <c r="K21" s="53">
        <f>100-(((C3-C22)/C3)*100)</f>
        <v/>
      </c>
      <c r="L21" s="55" t="n">
        <v>1.00527704485488</v>
      </c>
      <c r="M21" s="120" t="inlineStr">
        <is>
          <t>Normal</t>
        </is>
      </c>
      <c r="N21" s="55" t="n">
        <v>22.59</v>
      </c>
      <c r="O21" s="57">
        <f>N21/C21</f>
        <v/>
      </c>
      <c r="P21" s="58">
        <f>(Boosters_IOS!B21*100)/Boosters_And!N21</f>
        <v/>
      </c>
      <c r="Q21" s="58">
        <f>Boosters_IOS!B21/(C21+D21)</f>
        <v/>
      </c>
      <c r="R21" s="58">
        <f>Boosters_IOS!N21/B21</f>
        <v/>
      </c>
      <c r="S21" s="55" t="n">
        <v>3.54265611257695</v>
      </c>
      <c r="T21" s="55" t="n">
        <v>578</v>
      </c>
      <c r="U21" s="121" t="n">
        <v>3388284.40806897</v>
      </c>
      <c r="V21" s="122" t="n">
        <v>0.001157407407407407</v>
      </c>
      <c r="W21" s="123" t="n">
        <v>33722.08111</v>
      </c>
      <c r="X21" s="123" t="n">
        <v>33722.08111</v>
      </c>
      <c r="Y21" s="123" t="n">
        <v>3.546875</v>
      </c>
      <c r="Z21" s="123" t="n">
        <v>768880.6984</v>
      </c>
      <c r="AA21" s="123" t="n">
        <v>0</v>
      </c>
      <c r="AB21" s="124" t="n">
        <v>0</v>
      </c>
      <c r="AC21" s="124" t="n">
        <v>0</v>
      </c>
      <c r="AD21" s="124" t="n">
        <v>0</v>
      </c>
      <c r="AE21" s="124" t="n">
        <v>0</v>
      </c>
      <c r="AF21" s="124" t="n">
        <v>0</v>
      </c>
      <c r="AG21" s="124" t="n">
        <v>0</v>
      </c>
      <c r="AH21" s="124" t="n">
        <v>0</v>
      </c>
      <c r="AI21" s="124" t="n">
        <v>0</v>
      </c>
      <c r="AJ21" s="124">
        <f>AB21+AC21+AD21+AE21+AF21+AG21+AH21+AI21</f>
        <v/>
      </c>
      <c r="AK21" s="59">
        <f>AL21/C21</f>
        <v/>
      </c>
      <c r="AL21" s="55" t="n">
        <v>713850</v>
      </c>
    </row>
    <row r="22" ht="22.5" customHeight="1" s="150">
      <c r="A22" s="34" t="n">
        <v>20</v>
      </c>
      <c r="B22" s="50" t="n">
        <v>2912</v>
      </c>
      <c r="C22" s="50" t="n">
        <v>2904</v>
      </c>
      <c r="D22" s="50" t="n">
        <v>162</v>
      </c>
      <c r="E22" s="50" t="n">
        <v>106</v>
      </c>
      <c r="F22" s="51">
        <f>(C22*100)/B22</f>
        <v/>
      </c>
      <c r="G22" s="64">
        <f>(D22*100)/B22</f>
        <v/>
      </c>
      <c r="H22" s="52">
        <f>((B22-B23)/B22)*100</f>
        <v/>
      </c>
      <c r="I22" s="53">
        <f>((B22-C22)/B22)*100</f>
        <v/>
      </c>
      <c r="J22" s="53">
        <f>((C22-B23)/C22)*100</f>
        <v/>
      </c>
      <c r="K22" s="52">
        <f>100-(((C3-C23)/C3)*100)</f>
        <v/>
      </c>
      <c r="L22" s="55" t="n">
        <v>1.02131438721136</v>
      </c>
      <c r="M22" s="128" t="inlineStr">
        <is>
          <t>Normal</t>
        </is>
      </c>
      <c r="N22" s="55" t="n">
        <v>3.93</v>
      </c>
      <c r="O22" s="57">
        <f>N22/C22</f>
        <v/>
      </c>
      <c r="P22" s="58">
        <f>(Boosters_IOS!B22*100)/Boosters_And!N22</f>
        <v/>
      </c>
      <c r="Q22" s="58">
        <f>Boosters_IOS!B22/(C22+D22)</f>
        <v/>
      </c>
      <c r="R22" s="58">
        <f>Boosters_IOS!N22/B22</f>
        <v/>
      </c>
      <c r="S22" s="55" t="n">
        <v>3.89076376554174</v>
      </c>
      <c r="T22" s="55" t="n">
        <v>369</v>
      </c>
      <c r="U22" s="121" t="n">
        <v>3382248.73145406</v>
      </c>
      <c r="V22" s="122" t="n">
        <v>0.000925925925925926</v>
      </c>
      <c r="W22" s="123" t="n">
        <v>30203.25525</v>
      </c>
      <c r="X22" s="123" t="n">
        <v>30142.88324</v>
      </c>
      <c r="Y22" s="123" t="n">
        <v>5.563636364</v>
      </c>
      <c r="Z22" s="123" t="n">
        <v>673734.4071</v>
      </c>
      <c r="AA22" s="123" t="n">
        <v>15524.23171</v>
      </c>
      <c r="AB22" s="124" t="n">
        <v>0</v>
      </c>
      <c r="AC22" s="124" t="n">
        <v>0</v>
      </c>
      <c r="AD22" s="124" t="n">
        <v>0</v>
      </c>
      <c r="AE22" s="124" t="n">
        <v>0</v>
      </c>
      <c r="AF22" s="124" t="n">
        <v>0</v>
      </c>
      <c r="AG22" s="124" t="n">
        <v>0</v>
      </c>
      <c r="AH22" s="124" t="n">
        <v>0</v>
      </c>
      <c r="AI22" s="124" t="n">
        <v>0</v>
      </c>
      <c r="AJ22" s="124">
        <f>AB22+AC22+AD22+AE22+AF22+AG22+AH22+AI22</f>
        <v/>
      </c>
      <c r="AK22" s="59">
        <f>AL22/C22</f>
        <v/>
      </c>
      <c r="AL22" s="55" t="n">
        <v>712820</v>
      </c>
    </row>
    <row r="23" ht="22.5" customHeight="1" s="150">
      <c r="A23" s="34" t="n">
        <v>21</v>
      </c>
      <c r="B23" s="50" t="n">
        <v>2822</v>
      </c>
      <c r="C23" s="50" t="n">
        <v>2814</v>
      </c>
      <c r="D23" s="50" t="n">
        <v>15</v>
      </c>
      <c r="E23" s="50" t="n">
        <v>26</v>
      </c>
      <c r="F23" s="51">
        <f>(C23*100)/B23</f>
        <v/>
      </c>
      <c r="G23" s="51">
        <f>(D23*100)/B23</f>
        <v/>
      </c>
      <c r="H23" s="53">
        <f>((B23-B24)/B23)*100</f>
        <v/>
      </c>
      <c r="I23" s="53">
        <f>((B23-C23)/B23)*100</f>
        <v/>
      </c>
      <c r="J23" s="53">
        <f>((C23-B24)/C23)*100</f>
        <v/>
      </c>
      <c r="K23" s="54">
        <f>100-(((C3-C24)/C3)*100)</f>
        <v/>
      </c>
      <c r="L23" s="55" t="n">
        <v>1.00458295142071</v>
      </c>
      <c r="M23" s="120" t="inlineStr">
        <is>
          <t>Normal</t>
        </is>
      </c>
      <c r="N23" s="55" t="n">
        <v>31.08</v>
      </c>
      <c r="O23" s="57">
        <f>N23/C23</f>
        <v/>
      </c>
      <c r="P23" s="58">
        <f>(Boosters_IOS!B23*100)/Boosters_And!N23</f>
        <v/>
      </c>
      <c r="Q23" s="58">
        <f>Boosters_IOS!B23/(C23+D23)</f>
        <v/>
      </c>
      <c r="R23" s="58">
        <f>Boosters_IOS!N23/B23</f>
        <v/>
      </c>
      <c r="S23" s="55" t="n">
        <v>3.00549954170485</v>
      </c>
      <c r="T23" s="55" t="n">
        <v>681</v>
      </c>
      <c r="U23" s="121" t="n">
        <v>3666505.88587561</v>
      </c>
      <c r="V23" s="122" t="n">
        <v>0.001388888888888889</v>
      </c>
      <c r="W23" s="123" t="n">
        <v>33316.72617</v>
      </c>
      <c r="X23" s="123" t="n">
        <v>33264.97873</v>
      </c>
      <c r="Y23" s="123" t="n">
        <v>5.944444444</v>
      </c>
      <c r="Z23" s="123" t="n">
        <v>679685.3626</v>
      </c>
      <c r="AA23" s="123" t="n">
        <v>7762.115855</v>
      </c>
      <c r="AB23" s="124" t="n">
        <v>0</v>
      </c>
      <c r="AC23" s="124" t="n">
        <v>0</v>
      </c>
      <c r="AD23" s="124" t="n">
        <v>0</v>
      </c>
      <c r="AE23" s="124" t="n">
        <v>8</v>
      </c>
      <c r="AF23" s="124" t="n">
        <v>0</v>
      </c>
      <c r="AG23" s="124" t="n">
        <v>0</v>
      </c>
      <c r="AH23" s="124" t="n">
        <v>0</v>
      </c>
      <c r="AI23" s="124" t="n">
        <v>0</v>
      </c>
      <c r="AJ23" s="124">
        <f>AB23+AC23+AD23+AE23+AF23+AG23+AH23+AI23</f>
        <v/>
      </c>
      <c r="AK23" s="59">
        <f>AL23/C23</f>
        <v/>
      </c>
      <c r="AL23" s="55" t="n">
        <v>761350</v>
      </c>
    </row>
    <row r="24" ht="22.5" customHeight="1" s="150">
      <c r="A24" s="34" t="n">
        <v>22</v>
      </c>
      <c r="B24" s="50" t="n">
        <v>2757</v>
      </c>
      <c r="C24" s="50" t="n">
        <v>2755</v>
      </c>
      <c r="D24" s="50" t="n">
        <v>31</v>
      </c>
      <c r="E24" s="50" t="n">
        <v>28</v>
      </c>
      <c r="F24" s="51">
        <f>(C24*100)/B24</f>
        <v/>
      </c>
      <c r="G24" s="51">
        <f>(D24*100)/B24</f>
        <v/>
      </c>
      <c r="H24" s="53">
        <f>((B24-B25)/B24)*100</f>
        <v/>
      </c>
      <c r="I24" s="53">
        <f>((B24-C24)/B24)*100</f>
        <v/>
      </c>
      <c r="J24" s="53">
        <f>((C24-B25)/C24)*100</f>
        <v/>
      </c>
      <c r="K24" s="54">
        <f>100-(((C3-C25)/C3)*100)</f>
        <v/>
      </c>
      <c r="L24" s="55" t="n">
        <v>1.00561797752808</v>
      </c>
      <c r="M24" s="128" t="inlineStr">
        <is>
          <t>Normal</t>
        </is>
      </c>
      <c r="N24" s="55" t="n">
        <v>19.57</v>
      </c>
      <c r="O24" s="57">
        <f>N24/C24</f>
        <v/>
      </c>
      <c r="P24" s="58">
        <f>(Boosters_IOS!B24*100)/Boosters_And!N24</f>
        <v/>
      </c>
      <c r="Q24" s="58">
        <f>Boosters_IOS!B24/(C24+D24)</f>
        <v/>
      </c>
      <c r="R24" s="58">
        <f>Boosters_IOS!N24/B24</f>
        <v/>
      </c>
      <c r="S24" s="55" t="n">
        <v>4.36423220973782</v>
      </c>
      <c r="T24" s="55" t="n">
        <v>340</v>
      </c>
      <c r="U24" s="121" t="n">
        <v>3733027.29608868</v>
      </c>
      <c r="V24" s="122" t="n">
        <v>0.001157407407407407</v>
      </c>
      <c r="W24" s="123" t="n">
        <v>42251.78397</v>
      </c>
      <c r="X24" s="123" t="n">
        <v>42036.16964</v>
      </c>
      <c r="Y24" s="123" t="n">
        <v>4.454545455</v>
      </c>
      <c r="Z24" s="123" t="n">
        <v>706162.8022</v>
      </c>
      <c r="AA24" s="123" t="n">
        <v>15524.23171</v>
      </c>
      <c r="AB24" s="124" t="n">
        <v>0</v>
      </c>
      <c r="AC24" s="124" t="n">
        <v>8</v>
      </c>
      <c r="AD24" s="124" t="n">
        <v>0</v>
      </c>
      <c r="AE24" s="124" t="n">
        <v>0</v>
      </c>
      <c r="AF24" s="124" t="n">
        <v>0</v>
      </c>
      <c r="AG24" s="124" t="n">
        <v>0</v>
      </c>
      <c r="AH24" s="124" t="n">
        <v>0</v>
      </c>
      <c r="AI24" s="124" t="n">
        <v>0</v>
      </c>
      <c r="AJ24" s="124">
        <f>AB24+AC24+AD24+AE24+AF24+AG24+AH24+AI24</f>
        <v/>
      </c>
      <c r="AK24" s="59">
        <f>AL24/C24</f>
        <v/>
      </c>
      <c r="AL24" s="55" t="n">
        <v>770940</v>
      </c>
    </row>
    <row r="25" ht="22.5" customHeight="1" s="150">
      <c r="A25" s="34" t="n">
        <v>23</v>
      </c>
      <c r="B25" s="50" t="n">
        <v>2744</v>
      </c>
      <c r="C25" s="50" t="n">
        <v>2690</v>
      </c>
      <c r="D25" s="50" t="n">
        <v>405</v>
      </c>
      <c r="E25" s="50" t="n">
        <v>240</v>
      </c>
      <c r="F25" s="51">
        <f>(C25*100)/B25</f>
        <v/>
      </c>
      <c r="G25" s="66">
        <f>(D25*100)/B25</f>
        <v/>
      </c>
      <c r="H25" s="53">
        <f>((B25-B26)/B25)*100</f>
        <v/>
      </c>
      <c r="I25" s="53">
        <f>((B25-C25)/B25)*100</f>
        <v/>
      </c>
      <c r="J25" s="53">
        <f>((C25-B26)/C25)*100</f>
        <v/>
      </c>
      <c r="K25" s="54">
        <f>100-(((C3-C26)/C3)*100)</f>
        <v/>
      </c>
      <c r="L25" s="55" t="n">
        <v>1.08437200383509</v>
      </c>
      <c r="M25" s="129" t="inlineStr">
        <is>
          <t>Hard</t>
        </is>
      </c>
      <c r="N25" s="55" t="n">
        <v>31.99</v>
      </c>
      <c r="O25" s="57">
        <f>N25/C25</f>
        <v/>
      </c>
      <c r="P25" s="58">
        <f>(Boosters_IOS!B25*100)/Boosters_And!N25</f>
        <v/>
      </c>
      <c r="Q25" s="58">
        <f>Boosters_IOS!B25/(C25+D25)</f>
        <v/>
      </c>
      <c r="R25" s="58">
        <f>Boosters_IOS!N25/B25</f>
        <v/>
      </c>
      <c r="S25" s="55" t="n">
        <v>5.46116970278044</v>
      </c>
      <c r="T25" s="55" t="n">
        <v>374</v>
      </c>
      <c r="U25" s="121" t="n">
        <v>3521727.02758713</v>
      </c>
      <c r="V25" s="122" t="n">
        <v>0.00162037037037037</v>
      </c>
      <c r="W25" s="123" t="n">
        <v>25019.88677</v>
      </c>
      <c r="X25" s="123" t="n">
        <v>24795.64787</v>
      </c>
      <c r="Y25" s="123" t="n">
        <v>6.203703704</v>
      </c>
      <c r="Z25" s="123" t="n">
        <v>723929.423</v>
      </c>
      <c r="AA25" s="123" t="n">
        <v>15524.23171</v>
      </c>
      <c r="AB25" s="124" t="n">
        <v>0</v>
      </c>
      <c r="AC25" s="124" t="n">
        <v>0</v>
      </c>
      <c r="AD25" s="124" t="n">
        <v>0</v>
      </c>
      <c r="AE25" s="124" t="n">
        <v>0</v>
      </c>
      <c r="AF25" s="124" t="n">
        <v>0</v>
      </c>
      <c r="AG25" s="124" t="n">
        <v>0</v>
      </c>
      <c r="AH25" s="124" t="n">
        <v>0</v>
      </c>
      <c r="AI25" s="124" t="n">
        <v>0</v>
      </c>
      <c r="AJ25" s="124">
        <f>AB25+AC25+AD25+AE25+AF25+AG25+AH25+AI25</f>
        <v/>
      </c>
      <c r="AK25" s="59">
        <f>AL25/C25</f>
        <v/>
      </c>
      <c r="AL25" s="55" t="n">
        <v>744710</v>
      </c>
    </row>
    <row r="26" ht="22.5" customHeight="1" s="150">
      <c r="A26" s="65" t="n">
        <v>24</v>
      </c>
      <c r="B26" s="50" t="n">
        <v>2664</v>
      </c>
      <c r="C26" s="50" t="n">
        <v>2646</v>
      </c>
      <c r="D26" s="50" t="n">
        <v>204</v>
      </c>
      <c r="E26" s="50" t="n">
        <v>155</v>
      </c>
      <c r="F26" s="51">
        <f>(C26*100)/B26</f>
        <v/>
      </c>
      <c r="G26" s="51">
        <f>(D26*100)/B26</f>
        <v/>
      </c>
      <c r="H26" s="72">
        <f>((B26-B27)/B26)*100</f>
        <v/>
      </c>
      <c r="I26" s="53">
        <f>((B26-C26)/B26)*100</f>
        <v/>
      </c>
      <c r="J26" s="53">
        <f>((C26-B27)/C26)*100</f>
        <v/>
      </c>
      <c r="K26" s="54">
        <f>100-(((C3-C27)/C3)*100)</f>
        <v/>
      </c>
      <c r="L26" s="55" t="n">
        <v>1.04284323271665</v>
      </c>
      <c r="M26" s="128" t="inlineStr">
        <is>
          <t>Normal</t>
        </is>
      </c>
      <c r="N26" s="55" t="n">
        <v>6.98</v>
      </c>
      <c r="O26" s="57">
        <f>N26/C26</f>
        <v/>
      </c>
      <c r="P26" s="58">
        <f>(Boosters_IOS!B26*100)/Boosters_And!N26</f>
        <v/>
      </c>
      <c r="Q26" s="58">
        <f>Boosters_IOS!B26/(C26+D26)</f>
        <v/>
      </c>
      <c r="R26" s="58">
        <f>Boosters_IOS!N26/B26</f>
        <v/>
      </c>
      <c r="S26" s="55" t="n">
        <v>3.30282375851996</v>
      </c>
      <c r="T26" s="55" t="n">
        <v>302</v>
      </c>
      <c r="U26" s="121" t="n">
        <v>3682123.84395394</v>
      </c>
      <c r="V26" s="122" t="n">
        <v>0.001736111111111111</v>
      </c>
      <c r="W26" s="123" t="n">
        <v>38362.10147</v>
      </c>
      <c r="X26" s="123" t="n">
        <v>38362.10147</v>
      </c>
      <c r="Y26" s="123" t="n">
        <v>7.224489796</v>
      </c>
      <c r="Z26" s="123" t="n">
        <v>663212.4277999999</v>
      </c>
      <c r="AA26" s="123" t="n">
        <v>0</v>
      </c>
      <c r="AB26" s="124" t="n">
        <v>0</v>
      </c>
      <c r="AC26" s="124" t="n">
        <v>0</v>
      </c>
      <c r="AD26" s="124" t="n">
        <v>0</v>
      </c>
      <c r="AE26" s="124" t="n">
        <v>0</v>
      </c>
      <c r="AF26" s="124" t="n">
        <v>0</v>
      </c>
      <c r="AG26" s="124" t="n">
        <v>0</v>
      </c>
      <c r="AH26" s="124" t="n">
        <v>0</v>
      </c>
      <c r="AI26" s="124" t="n">
        <v>0</v>
      </c>
      <c r="AJ26" s="124">
        <f>AB26+AC26+AD26+AE26+AF26+AG26+AH26+AI26</f>
        <v/>
      </c>
      <c r="AK26" s="59">
        <f>AL26/C26</f>
        <v/>
      </c>
      <c r="AL26" s="55" t="n">
        <v>764700</v>
      </c>
    </row>
    <row r="27" ht="22.5" customHeight="1" s="150">
      <c r="A27" s="34" t="n">
        <v>25</v>
      </c>
      <c r="B27" s="50" t="n">
        <v>2621</v>
      </c>
      <c r="C27" s="50" t="n">
        <v>2621</v>
      </c>
      <c r="D27" s="50" t="n">
        <v>3</v>
      </c>
      <c r="E27" s="50" t="n">
        <v>5</v>
      </c>
      <c r="F27" s="51">
        <f>(C27*100)/B27</f>
        <v/>
      </c>
      <c r="G27" s="51">
        <f>(D27*100)/B27</f>
        <v/>
      </c>
      <c r="H27" s="53">
        <f>((B27-B28)/B27)*100</f>
        <v/>
      </c>
      <c r="I27" s="53">
        <f>((B27-C27)/B27)*100</f>
        <v/>
      </c>
      <c r="J27" s="53">
        <f>((C27-B28)/C27)*100</f>
        <v/>
      </c>
      <c r="K27" s="54">
        <f>100-(((C3-C28)/C3)*100)</f>
        <v/>
      </c>
      <c r="L27" s="55" t="n">
        <v>1.00492125984251</v>
      </c>
      <c r="M27" s="120" t="inlineStr">
        <is>
          <t>Normal</t>
        </is>
      </c>
      <c r="N27" s="55" t="n">
        <v>1.99</v>
      </c>
      <c r="O27" s="57">
        <f>N27/C27</f>
        <v/>
      </c>
      <c r="P27" s="58">
        <f>(Boosters_IOS!B27*100)/Boosters_And!N27</f>
        <v/>
      </c>
      <c r="Q27" s="58">
        <f>Boosters_IOS!B27/(C27+D27)</f>
        <v/>
      </c>
      <c r="R27" s="58">
        <f>Boosters_IOS!N27/B27</f>
        <v/>
      </c>
      <c r="S27" s="55" t="n">
        <v>6.63385826771653</v>
      </c>
      <c r="T27" s="55" t="n">
        <v>261</v>
      </c>
      <c r="U27" s="121" t="n">
        <v>3744698.85022649</v>
      </c>
      <c r="V27" s="122" t="n">
        <v>0.0009837962962962962</v>
      </c>
      <c r="W27" s="123" t="n">
        <v>4217.416281</v>
      </c>
      <c r="X27" s="123" t="n">
        <v>4217.416281</v>
      </c>
      <c r="Y27" s="123" t="n">
        <v>5.404255319</v>
      </c>
      <c r="Z27" s="123" t="n">
        <v>648895.6364</v>
      </c>
      <c r="AA27" s="123" t="n">
        <v>0</v>
      </c>
      <c r="AB27" s="124" t="n">
        <v>0</v>
      </c>
      <c r="AC27" s="124" t="n">
        <v>0</v>
      </c>
      <c r="AD27" s="124" t="n">
        <v>0</v>
      </c>
      <c r="AE27" s="124" t="n">
        <v>0</v>
      </c>
      <c r="AF27" s="124" t="n">
        <v>0</v>
      </c>
      <c r="AG27" s="124" t="n">
        <v>0</v>
      </c>
      <c r="AH27" s="124" t="n">
        <v>0</v>
      </c>
      <c r="AI27" s="124" t="n">
        <v>0</v>
      </c>
      <c r="AJ27" s="124">
        <f>AB27+AC27+AD27+AE27+AF27+AG27+AH27+AI27</f>
        <v/>
      </c>
      <c r="AK27" s="59">
        <f>AL27/C27</f>
        <v/>
      </c>
      <c r="AL27" s="55" t="n">
        <v>773730</v>
      </c>
    </row>
    <row r="28" ht="22.5" customHeight="1" s="150">
      <c r="A28" s="34" t="n">
        <v>26</v>
      </c>
      <c r="B28" s="50" t="n">
        <v>2592</v>
      </c>
      <c r="C28" s="50" t="n">
        <v>2590</v>
      </c>
      <c r="D28" s="50" t="n">
        <v>0</v>
      </c>
      <c r="E28" s="50" t="n">
        <v>0</v>
      </c>
      <c r="F28" s="51">
        <f>(C28*100)/B28</f>
        <v/>
      </c>
      <c r="G28" s="51">
        <f>(D28*100)/B28</f>
        <v/>
      </c>
      <c r="H28" s="53">
        <f>((B28-B29)/B28)*100</f>
        <v/>
      </c>
      <c r="I28" s="53">
        <f>((B28-C28)/B28)*100</f>
        <v/>
      </c>
      <c r="J28" s="53">
        <f>((C28-B29)/C28)*100</f>
        <v/>
      </c>
      <c r="K28" s="54">
        <f>100-(((C3-C29)/C3)*100)</f>
        <v/>
      </c>
      <c r="L28" s="55" t="n">
        <v>1.00796812749003</v>
      </c>
      <c r="M28" s="128" t="inlineStr">
        <is>
          <t>Normal</t>
        </is>
      </c>
      <c r="N28" s="55" t="n">
        <v>1.99</v>
      </c>
      <c r="O28" s="57">
        <f>N28/C28</f>
        <v/>
      </c>
      <c r="P28" s="58">
        <f>(Boosters_IOS!B28*100)/Boosters_And!N28</f>
        <v/>
      </c>
      <c r="Q28" s="58">
        <f>Boosters_IOS!B28/(C28+D28)</f>
        <v/>
      </c>
      <c r="R28" s="58">
        <f>Boosters_IOS!N28/B28</f>
        <v/>
      </c>
      <c r="S28" s="55" t="n">
        <v>1.99402390438247</v>
      </c>
      <c r="T28" s="55" t="n">
        <v>253</v>
      </c>
      <c r="U28" s="121" t="n">
        <v>3804088.36050785</v>
      </c>
      <c r="V28" s="122" t="n">
        <v>0.001041666666666667</v>
      </c>
      <c r="W28" s="123" t="n">
        <v>19422.53879</v>
      </c>
      <c r="X28" s="123" t="n">
        <v>19258.67189</v>
      </c>
      <c r="Y28" s="123" t="n">
        <v>5.130434783</v>
      </c>
      <c r="Z28" s="123" t="n">
        <v>662522.4620000001</v>
      </c>
      <c r="AA28" s="123" t="n">
        <v>7762.115855</v>
      </c>
      <c r="AB28" s="124" t="n">
        <v>8</v>
      </c>
      <c r="AC28" s="124" t="n">
        <v>0</v>
      </c>
      <c r="AD28" s="124" t="n">
        <v>8</v>
      </c>
      <c r="AE28" s="124" t="n">
        <v>0</v>
      </c>
      <c r="AF28" s="124" t="n">
        <v>0</v>
      </c>
      <c r="AG28" s="124" t="n">
        <v>0</v>
      </c>
      <c r="AH28" s="124" t="n">
        <v>0</v>
      </c>
      <c r="AI28" s="124" t="n">
        <v>0</v>
      </c>
      <c r="AJ28" s="124">
        <f>AB28+AC28+AD28+AE28+AF28+AG28+AH28+AI28</f>
        <v/>
      </c>
      <c r="AK28" s="59">
        <f>AL28/C28</f>
        <v/>
      </c>
      <c r="AL28" s="55" t="n">
        <v>786390</v>
      </c>
    </row>
    <row r="29" ht="22.5" customHeight="1" s="150">
      <c r="A29" s="65" t="n">
        <v>27</v>
      </c>
      <c r="B29" s="50" t="n">
        <v>2574</v>
      </c>
      <c r="C29" s="50" t="n">
        <v>2559</v>
      </c>
      <c r="D29" s="50" t="n">
        <v>487</v>
      </c>
      <c r="E29" s="50" t="n">
        <v>273</v>
      </c>
      <c r="F29" s="51">
        <f>(C29*100)/B29</f>
        <v/>
      </c>
      <c r="G29" s="66">
        <f>(D29*100)/B29</f>
        <v/>
      </c>
      <c r="H29" s="53">
        <f>((B29-B30)/B29)*100</f>
        <v/>
      </c>
      <c r="I29" s="53">
        <f>((B29-C29)/B29)*100</f>
        <v/>
      </c>
      <c r="J29" s="53">
        <f>((C29-B30)/C29)*100</f>
        <v/>
      </c>
      <c r="K29" s="54">
        <f>100-(((C3-C30)/C3)*100)</f>
        <v/>
      </c>
      <c r="L29" s="55" t="n">
        <v>1.14199395770392</v>
      </c>
      <c r="M29" s="120" t="inlineStr">
        <is>
          <t>Normal</t>
        </is>
      </c>
      <c r="N29" s="55" t="n">
        <v>10.23</v>
      </c>
      <c r="O29" s="57">
        <f>N29/C29</f>
        <v/>
      </c>
      <c r="P29" s="58">
        <f>(Boosters_IOS!B29*100)/Boosters_And!N29</f>
        <v/>
      </c>
      <c r="Q29" s="58">
        <f>Boosters_IOS!B29/(C29+D29)</f>
        <v/>
      </c>
      <c r="R29" s="58">
        <f>Boosters_IOS!N29/B29</f>
        <v/>
      </c>
      <c r="S29" s="55" t="n">
        <v>2.98590130916414</v>
      </c>
      <c r="T29" s="55" t="n">
        <v>307</v>
      </c>
      <c r="U29" s="121" t="n">
        <v>3545405.45123025</v>
      </c>
      <c r="V29" s="122" t="n">
        <v>0.001157407407407407</v>
      </c>
      <c r="W29" s="123" t="n">
        <v>32230.02995</v>
      </c>
      <c r="X29" s="123" t="n">
        <v>31936.79446</v>
      </c>
      <c r="Y29" s="123" t="n">
        <v>7.555555556</v>
      </c>
      <c r="Z29" s="123" t="n">
        <v>645514.8037</v>
      </c>
      <c r="AA29" s="123" t="n">
        <v>31048.46342</v>
      </c>
      <c r="AB29" s="124" t="n">
        <v>8</v>
      </c>
      <c r="AC29" s="124" t="n">
        <v>0</v>
      </c>
      <c r="AD29" s="124" t="n">
        <v>0</v>
      </c>
      <c r="AE29" s="124" t="n">
        <v>0</v>
      </c>
      <c r="AF29" s="124" t="n">
        <v>0</v>
      </c>
      <c r="AG29" s="124" t="n">
        <v>8</v>
      </c>
      <c r="AH29" s="124" t="n">
        <v>0</v>
      </c>
      <c r="AI29" s="124" t="n">
        <v>0</v>
      </c>
      <c r="AJ29" s="124">
        <f>AB29+AC29+AD29+AE29+AF29+AG29+AH29+AI29</f>
        <v/>
      </c>
      <c r="AK29" s="59">
        <f>AL29/C29</f>
        <v/>
      </c>
      <c r="AL29" s="55" t="n">
        <v>734560</v>
      </c>
    </row>
    <row r="30" ht="22.5" customHeight="1" s="150">
      <c r="A30" s="65" t="n">
        <v>28</v>
      </c>
      <c r="B30" s="50" t="n">
        <v>2533</v>
      </c>
      <c r="C30" s="50" t="n">
        <v>2528</v>
      </c>
      <c r="D30" s="50" t="n">
        <v>5</v>
      </c>
      <c r="E30" s="50" t="n">
        <v>5</v>
      </c>
      <c r="F30" s="51">
        <f>(C30*100)/B30</f>
        <v/>
      </c>
      <c r="G30" s="51">
        <f>(D30*100)/B30</f>
        <v/>
      </c>
      <c r="H30" s="53">
        <f>((B30-B31)/B30)*100</f>
        <v/>
      </c>
      <c r="I30" s="53">
        <f>((B30-C30)/B30)*100</f>
        <v/>
      </c>
      <c r="J30" s="53">
        <f>((C30-B31)/C30)*100</f>
        <v/>
      </c>
      <c r="K30" s="54">
        <f>100-(((C3-C31)/C3)*100)</f>
        <v/>
      </c>
      <c r="L30" s="55" t="n">
        <v>1.00815494393476</v>
      </c>
      <c r="M30" s="128" t="inlineStr">
        <is>
          <t>Normal</t>
        </is>
      </c>
      <c r="N30" s="55" t="n">
        <v>10.9</v>
      </c>
      <c r="O30" s="57">
        <f>N30/C30</f>
        <v/>
      </c>
      <c r="P30" s="58">
        <f>(Boosters_IOS!B30*100)/Boosters_And!N30</f>
        <v/>
      </c>
      <c r="Q30" s="58">
        <f>Boosters_IOS!B30/(C30+D30)</f>
        <v/>
      </c>
      <c r="R30" s="58">
        <f>Boosters_IOS!N30/B30</f>
        <v/>
      </c>
      <c r="S30" s="55" t="n">
        <v>2.84709480122324</v>
      </c>
      <c r="T30" s="55" t="n">
        <v>253</v>
      </c>
      <c r="U30" s="121" t="n">
        <v>3676591.14039027</v>
      </c>
      <c r="V30" s="122" t="n">
        <v>0.001736111111111111</v>
      </c>
      <c r="W30" s="123" t="n">
        <v>33670.33367</v>
      </c>
      <c r="X30" s="123" t="n">
        <v>33670.33367</v>
      </c>
      <c r="Y30" s="123" t="n">
        <v>7.477272727</v>
      </c>
      <c r="Z30" s="123" t="n">
        <v>601615.7262</v>
      </c>
      <c r="AA30" s="123" t="n">
        <v>24148.80488</v>
      </c>
      <c r="AB30" s="124" t="n">
        <v>0</v>
      </c>
      <c r="AC30" s="124" t="n">
        <v>0</v>
      </c>
      <c r="AD30" s="124" t="n">
        <v>0</v>
      </c>
      <c r="AE30" s="124" t="n">
        <v>8</v>
      </c>
      <c r="AF30" s="124" t="n">
        <v>0</v>
      </c>
      <c r="AG30" s="124" t="n">
        <v>0</v>
      </c>
      <c r="AH30" s="124" t="n">
        <v>0</v>
      </c>
      <c r="AI30" s="124" t="n">
        <v>0</v>
      </c>
      <c r="AJ30" s="124">
        <f>AB30+AC30+AD30+AE30+AF30+AG30+AH30+AI30</f>
        <v/>
      </c>
      <c r="AK30" s="59">
        <f>AL30/C30</f>
        <v/>
      </c>
      <c r="AL30" s="55" t="n">
        <v>745250</v>
      </c>
    </row>
    <row r="31" ht="22.5" customHeight="1" s="150">
      <c r="A31" s="65" t="n">
        <v>29</v>
      </c>
      <c r="B31" s="50" t="n">
        <v>2515</v>
      </c>
      <c r="C31" s="50" t="n">
        <v>2510</v>
      </c>
      <c r="D31" s="50" t="n">
        <v>70</v>
      </c>
      <c r="E31" s="50" t="n">
        <v>46</v>
      </c>
      <c r="F31" s="51">
        <f>(C31*100)/B31</f>
        <v/>
      </c>
      <c r="G31" s="51">
        <f>(D31*100)/B31</f>
        <v/>
      </c>
      <c r="H31" s="53">
        <f>((B31-B32)/B31)*100</f>
        <v/>
      </c>
      <c r="I31" s="53">
        <f>((B31-C31)/B31)*100</f>
        <v/>
      </c>
      <c r="J31" s="53">
        <f>((C31-B32)/C31)*100</f>
        <v/>
      </c>
      <c r="K31" s="54">
        <f>100-(((C3-C32)/C3)*100)</f>
        <v/>
      </c>
      <c r="L31" s="55" t="n">
        <v>1.01747173689619</v>
      </c>
      <c r="M31" s="120" t="inlineStr">
        <is>
          <t>Normal</t>
        </is>
      </c>
      <c r="N31" s="55" t="n">
        <v>19.46</v>
      </c>
      <c r="O31" s="57">
        <f>N31/C31</f>
        <v/>
      </c>
      <c r="P31" s="58">
        <f>(Boosters_IOS!B31*100)/Boosters_And!N31</f>
        <v/>
      </c>
      <c r="Q31" s="58">
        <f>Boosters_IOS!B31/(C31+D31)</f>
        <v/>
      </c>
      <c r="R31" s="58">
        <f>Boosters_IOS!N31/B31</f>
        <v/>
      </c>
      <c r="S31" s="55" t="n">
        <v>3.54367934224049</v>
      </c>
      <c r="T31" s="55" t="n">
        <v>219</v>
      </c>
      <c r="U31" s="121" t="n">
        <v>3701894.55389125</v>
      </c>
      <c r="V31" s="122" t="n">
        <v>0.001157407407407407</v>
      </c>
      <c r="W31" s="123" t="n">
        <v>28116.10854</v>
      </c>
      <c r="X31" s="123" t="n">
        <v>27684.87988</v>
      </c>
      <c r="Y31" s="123" t="n">
        <v>2.175</v>
      </c>
      <c r="Z31" s="123" t="n">
        <v>491773.1623</v>
      </c>
      <c r="AA31" s="123" t="n">
        <v>55197.26831</v>
      </c>
      <c r="AB31" s="124" t="n">
        <v>0</v>
      </c>
      <c r="AC31" s="124" t="n">
        <v>0</v>
      </c>
      <c r="AD31" s="124" t="n">
        <v>0</v>
      </c>
      <c r="AE31" s="124" t="n">
        <v>0</v>
      </c>
      <c r="AF31" s="124" t="n">
        <v>0</v>
      </c>
      <c r="AG31" s="124" t="n">
        <v>0</v>
      </c>
      <c r="AH31" s="124" t="n">
        <v>0</v>
      </c>
      <c r="AI31" s="124" t="n">
        <v>0</v>
      </c>
      <c r="AJ31" s="124">
        <f>AB31+AC31+AD31+AE31+AF31+AG31+AH31+AI31</f>
        <v/>
      </c>
      <c r="AK31" s="59">
        <f>AL31/C31</f>
        <v/>
      </c>
      <c r="AL31" s="55" t="n">
        <v>746090</v>
      </c>
    </row>
    <row r="32" ht="22.5" customHeight="1" s="150">
      <c r="A32" s="34" t="n">
        <v>30</v>
      </c>
      <c r="B32" s="50" t="n">
        <v>2481</v>
      </c>
      <c r="C32" s="50" t="n">
        <v>2471</v>
      </c>
      <c r="D32" s="50" t="n">
        <v>90</v>
      </c>
      <c r="E32" s="50" t="n">
        <v>77</v>
      </c>
      <c r="F32" s="51">
        <f>(C32*100)/B32</f>
        <v/>
      </c>
      <c r="G32" s="51">
        <f>(D32*100)/B32</f>
        <v/>
      </c>
      <c r="H32" s="53">
        <f>((B32-B33)/B32)*100</f>
        <v/>
      </c>
      <c r="I32" s="53">
        <f>((B32-C32)/B32)*100</f>
        <v/>
      </c>
      <c r="J32" s="53">
        <f>((C32-B33)/C32)*100</f>
        <v/>
      </c>
      <c r="K32" s="52">
        <f>100-(((C3-C33)/C3)*100)</f>
        <v/>
      </c>
      <c r="L32" s="55" t="n">
        <v>1.02922755741127</v>
      </c>
      <c r="M32" s="128" t="inlineStr">
        <is>
          <t>Normal</t>
        </is>
      </c>
      <c r="N32" s="55" t="n">
        <v>0.99</v>
      </c>
      <c r="O32" s="57">
        <f>N32/C32</f>
        <v/>
      </c>
      <c r="P32" s="58">
        <f>(Boosters_IOS!B32*100)/Boosters_And!N32</f>
        <v/>
      </c>
      <c r="Q32" s="58">
        <f>Boosters_IOS!B32/(C32+D32)</f>
        <v/>
      </c>
      <c r="R32" s="58">
        <f>Boosters_IOS!N32/B32</f>
        <v/>
      </c>
      <c r="S32" s="55" t="n">
        <v>3.0062630480167</v>
      </c>
      <c r="T32" s="55" t="n">
        <v>258</v>
      </c>
      <c r="U32" s="121" t="n">
        <v>3704912.39219871</v>
      </c>
      <c r="V32" s="122" t="n">
        <v>0.001157407407407407</v>
      </c>
      <c r="W32" s="123" t="n">
        <v>25856.47037</v>
      </c>
      <c r="X32" s="123" t="n">
        <v>25597.73318</v>
      </c>
      <c r="Y32" s="123" t="n">
        <v>4.684210526</v>
      </c>
      <c r="Z32" s="123" t="n">
        <v>464416.0162</v>
      </c>
      <c r="AA32" s="123" t="n">
        <v>15524.23171</v>
      </c>
      <c r="AB32" s="124" t="n">
        <v>0</v>
      </c>
      <c r="AC32" s="124" t="n">
        <v>0</v>
      </c>
      <c r="AD32" s="124" t="n">
        <v>0</v>
      </c>
      <c r="AE32" s="124" t="n">
        <v>0</v>
      </c>
      <c r="AF32" s="124" t="n">
        <v>0</v>
      </c>
      <c r="AG32" s="124" t="n">
        <v>0</v>
      </c>
      <c r="AH32" s="124" t="n">
        <v>8</v>
      </c>
      <c r="AI32" s="124" t="n">
        <v>0</v>
      </c>
      <c r="AJ32" s="124">
        <f>AB32+AC32+AD32+AE32+AF32+AG32+AH32+AI32</f>
        <v/>
      </c>
      <c r="AK32" s="59">
        <f>AL32/C32</f>
        <v/>
      </c>
      <c r="AL32" s="55" t="n">
        <v>753300</v>
      </c>
    </row>
    <row r="33" ht="22.5" customHeight="1" s="150">
      <c r="A33" s="34" t="n">
        <v>31</v>
      </c>
      <c r="B33" s="50" t="n">
        <v>2484</v>
      </c>
      <c r="C33" s="50" t="n">
        <v>2435</v>
      </c>
      <c r="D33" s="50" t="n">
        <v>753</v>
      </c>
      <c r="E33" s="50" t="n">
        <v>420</v>
      </c>
      <c r="F33" s="51">
        <f>(C33*100)/B33</f>
        <v/>
      </c>
      <c r="G33" s="66">
        <f>(D33*100)/B33</f>
        <v/>
      </c>
      <c r="H33" s="52">
        <f>((B33-B34)/B33)*100</f>
        <v/>
      </c>
      <c r="I33" s="53">
        <f>((B33-C33)/B33)*100</f>
        <v/>
      </c>
      <c r="J33" s="53">
        <f>((C33-B34)/C33)*100</f>
        <v/>
      </c>
      <c r="K33" s="54" t="n"/>
      <c r="L33" s="55" t="n">
        <v>1.18306878306878</v>
      </c>
      <c r="M33" s="120" t="inlineStr">
        <is>
          <t>Normal</t>
        </is>
      </c>
      <c r="N33" s="55" t="n">
        <v>21.9</v>
      </c>
      <c r="O33" s="57">
        <f>N33/C33</f>
        <v/>
      </c>
      <c r="P33" s="58">
        <f>(Boosters_IOS!B33*100)/Boosters_And!N33</f>
        <v/>
      </c>
      <c r="Q33" s="58">
        <f>Boosters_IOS!B33/(C33+D33)</f>
        <v/>
      </c>
      <c r="R33" s="58">
        <f>Boosters_IOS!N33/B33</f>
        <v/>
      </c>
      <c r="S33" s="55" t="n">
        <v>3.49629629629629</v>
      </c>
      <c r="T33" s="55" t="n">
        <v>312</v>
      </c>
      <c r="U33" s="121" t="n">
        <v>3312967.4178316</v>
      </c>
      <c r="V33" s="122" t="n">
        <v>0.00150462962962963</v>
      </c>
      <c r="W33" s="123" t="n">
        <v>12272.76762</v>
      </c>
      <c r="X33" s="123" t="n">
        <v>12272.76762</v>
      </c>
      <c r="Y33" s="123" t="n">
        <v>4.105263158</v>
      </c>
      <c r="Z33" s="123" t="n">
        <v>505727.7217</v>
      </c>
      <c r="AA33" s="123" t="n">
        <v>0</v>
      </c>
      <c r="AB33" s="124" t="n">
        <v>0</v>
      </c>
      <c r="AC33" s="124" t="n">
        <v>0</v>
      </c>
      <c r="AD33" s="124" t="n">
        <v>0</v>
      </c>
      <c r="AE33" s="124" t="n">
        <v>0</v>
      </c>
      <c r="AF33" s="124" t="n">
        <v>0</v>
      </c>
      <c r="AG33" s="124" t="n">
        <v>0</v>
      </c>
      <c r="AH33" s="124" t="n">
        <v>0</v>
      </c>
      <c r="AI33" s="124" t="n">
        <v>0</v>
      </c>
      <c r="AJ33" s="124">
        <f>AB33+AC33+AD33+AE33+AF33+AG33+AH33+AI33</f>
        <v/>
      </c>
      <c r="AK33" s="59">
        <f>AL33/C33</f>
        <v/>
      </c>
      <c r="AL33" s="55" t="n">
        <v>665840</v>
      </c>
    </row>
    <row r="34" ht="22.5" customHeight="1" s="150">
      <c r="A34" s="34" t="n">
        <v>32</v>
      </c>
      <c r="B34" s="50" t="n">
        <v>2430</v>
      </c>
      <c r="C34" s="50" t="n">
        <v>2414</v>
      </c>
      <c r="D34" s="50" t="n">
        <v>258</v>
      </c>
      <c r="E34" s="50" t="n">
        <v>178</v>
      </c>
      <c r="F34" s="51">
        <f>(C34*100)/B34</f>
        <v/>
      </c>
      <c r="G34" s="66">
        <f>(D34*100)/B34</f>
        <v/>
      </c>
      <c r="H34" s="53">
        <f>((B34-B35)/B34)*100</f>
        <v/>
      </c>
      <c r="I34" s="53">
        <f>((B34-C34)/B34)*100</f>
        <v/>
      </c>
      <c r="J34" s="53">
        <f>((C34-B35)/C34)*100</f>
        <v/>
      </c>
      <c r="K34" s="54" t="n"/>
      <c r="L34" s="55" t="n">
        <v>1.05122732123799</v>
      </c>
      <c r="M34" s="128" t="inlineStr">
        <is>
          <t>Normal</t>
        </is>
      </c>
      <c r="N34" s="55" t="n">
        <v>4.430000000000001</v>
      </c>
      <c r="O34" s="57">
        <f>N34/C34</f>
        <v/>
      </c>
      <c r="P34" s="58">
        <f>(Boosters_IOS!B34*100)/Boosters_And!N34</f>
        <v/>
      </c>
      <c r="Q34" s="58">
        <f>Boosters_IOS!B34/(C34+D34)</f>
        <v/>
      </c>
      <c r="R34" s="58">
        <f>Boosters_IOS!N34/B34</f>
        <v/>
      </c>
      <c r="S34" s="55" t="n">
        <v>4.52294557097118</v>
      </c>
      <c r="T34" s="55" t="n">
        <v>286</v>
      </c>
      <c r="U34" s="121" t="n">
        <v>3317842.38740518</v>
      </c>
      <c r="V34" s="122" t="n">
        <v>0.001388888888888889</v>
      </c>
      <c r="W34" s="123" t="n">
        <v>26313.57275</v>
      </c>
      <c r="X34" s="123" t="n">
        <v>26313.57275</v>
      </c>
      <c r="Y34" s="123" t="n">
        <v>5.447368421</v>
      </c>
      <c r="Z34" s="123" t="n">
        <v>506262.4452</v>
      </c>
      <c r="AA34" s="123" t="n">
        <v>0</v>
      </c>
      <c r="AB34" s="124" t="n">
        <v>0</v>
      </c>
      <c r="AC34" s="124" t="n">
        <v>0</v>
      </c>
      <c r="AD34" s="124" t="n">
        <v>0</v>
      </c>
      <c r="AE34" s="124" t="n">
        <v>0</v>
      </c>
      <c r="AF34" s="124" t="n">
        <v>8</v>
      </c>
      <c r="AG34" s="124" t="n">
        <v>0</v>
      </c>
      <c r="AH34" s="124" t="n">
        <v>0</v>
      </c>
      <c r="AI34" s="124" t="n">
        <v>0</v>
      </c>
      <c r="AJ34" s="124">
        <f>AB34+AC34+AD34+AE34+AF34+AG34+AH34+AI34</f>
        <v/>
      </c>
      <c r="AK34" s="59">
        <f>AL34/C34</f>
        <v/>
      </c>
      <c r="AL34" s="55" t="n">
        <v>653035</v>
      </c>
    </row>
    <row r="35" ht="22.5" customHeight="1" s="150">
      <c r="A35" s="65" t="n">
        <v>33</v>
      </c>
      <c r="B35" s="50" t="n">
        <v>2391</v>
      </c>
      <c r="C35" s="50" t="n">
        <v>2388</v>
      </c>
      <c r="D35" s="50" t="n">
        <v>248</v>
      </c>
      <c r="E35" s="50" t="n">
        <v>147</v>
      </c>
      <c r="F35" s="51">
        <f>(C35*100)/B35</f>
        <v/>
      </c>
      <c r="G35" s="51">
        <f>(D35*100)/B35</f>
        <v/>
      </c>
      <c r="H35" s="52">
        <f>((B35-B36)/B35)*100</f>
        <v/>
      </c>
      <c r="I35" s="53">
        <f>((B35-C35)/B35)*100</f>
        <v/>
      </c>
      <c r="J35" s="53">
        <f>((C35-B36)/C35)*100</f>
        <v/>
      </c>
      <c r="K35" s="54" t="n"/>
      <c r="L35" s="55" t="n">
        <v>1.06256742179072</v>
      </c>
      <c r="M35" s="120" t="inlineStr">
        <is>
          <t>Normal</t>
        </is>
      </c>
      <c r="N35" s="55" t="n">
        <v>2.98</v>
      </c>
      <c r="O35" s="57">
        <f>N35/C35</f>
        <v/>
      </c>
      <c r="P35" s="58">
        <f>(Boosters_IOS!B35*100)/Boosters_And!N35</f>
        <v/>
      </c>
      <c r="Q35" s="58">
        <f>Boosters_IOS!B35/(C35+D35)</f>
        <v/>
      </c>
      <c r="R35" s="58">
        <f>Boosters_IOS!N35/B35</f>
        <v/>
      </c>
      <c r="S35" s="55" t="n">
        <v>3.1445523193096</v>
      </c>
      <c r="T35" s="55" t="n">
        <v>294</v>
      </c>
      <c r="U35" s="121" t="n">
        <v>3241983.73388186</v>
      </c>
      <c r="V35" s="122" t="n">
        <v>0.001967592592592592</v>
      </c>
      <c r="W35" s="123" t="n">
        <v>39629.91373</v>
      </c>
      <c r="X35" s="123" t="n">
        <v>39517.79428</v>
      </c>
      <c r="Y35" s="123" t="n">
        <v>11.27777778</v>
      </c>
      <c r="Z35" s="123" t="n">
        <v>479267.5312</v>
      </c>
      <c r="AA35" s="123" t="n">
        <v>15524.23171</v>
      </c>
      <c r="AB35" s="124" t="n">
        <v>8</v>
      </c>
      <c r="AC35" s="124" t="n">
        <v>0</v>
      </c>
      <c r="AD35" s="124" t="n">
        <v>8</v>
      </c>
      <c r="AE35" s="124" t="n">
        <v>0</v>
      </c>
      <c r="AF35" s="124" t="n">
        <v>8</v>
      </c>
      <c r="AG35" s="124" t="n">
        <v>0</v>
      </c>
      <c r="AH35" s="124" t="n">
        <v>0</v>
      </c>
      <c r="AI35" s="124" t="n">
        <v>8</v>
      </c>
      <c r="AJ35" s="124">
        <f>AB35+AC35+AD35+AE35+AF35+AG35+AH35+AI35</f>
        <v/>
      </c>
      <c r="AK35" s="59">
        <f>AL35/C35</f>
        <v/>
      </c>
      <c r="AL35" s="55" t="n">
        <v>639730</v>
      </c>
    </row>
    <row r="36" ht="22.5" customHeight="1" s="150">
      <c r="A36" s="65" t="n">
        <v>34</v>
      </c>
      <c r="B36" s="50" t="n">
        <v>2365</v>
      </c>
      <c r="C36" s="50" t="n">
        <v>2355</v>
      </c>
      <c r="D36" s="50" t="n">
        <v>72</v>
      </c>
      <c r="E36" s="50" t="n">
        <v>52</v>
      </c>
      <c r="F36" s="51">
        <f>(C36*100)/B36</f>
        <v/>
      </c>
      <c r="G36" s="51">
        <f>(D36*100)/B36</f>
        <v/>
      </c>
      <c r="H36" s="53">
        <f>((B36-B37)/B36)*100</f>
        <v/>
      </c>
      <c r="I36" s="53">
        <f>((B36-C36)/B36)*100</f>
        <v/>
      </c>
      <c r="J36" s="53">
        <f>((C36-B37)/C36)*100</f>
        <v/>
      </c>
      <c r="K36" s="54" t="n"/>
      <c r="L36" s="55" t="n">
        <v>1.0207650273224</v>
      </c>
      <c r="M36" s="128" t="inlineStr">
        <is>
          <t>Normal</t>
        </is>
      </c>
      <c r="N36" s="55" t="n">
        <v>10.98</v>
      </c>
      <c r="O36" s="57">
        <f>N36/C36</f>
        <v/>
      </c>
      <c r="P36" s="58">
        <f>(Boosters_IOS!B36*100)/Boosters_And!N36</f>
        <v/>
      </c>
      <c r="Q36" s="58">
        <f>Boosters_IOS!B36/(C36+D36)</f>
        <v/>
      </c>
      <c r="R36" s="58">
        <f>Boosters_IOS!N36/B36</f>
        <v/>
      </c>
      <c r="S36" s="55" t="n">
        <v>3.35081967213114</v>
      </c>
      <c r="T36" s="55" t="n">
        <v>240</v>
      </c>
      <c r="U36" s="121" t="n">
        <v>3363006.7880578</v>
      </c>
      <c r="V36" s="122" t="n">
        <v>0.002314814814814815</v>
      </c>
      <c r="W36" s="123" t="n">
        <v>50384.75648</v>
      </c>
      <c r="X36" s="123" t="n">
        <v>49867.28208</v>
      </c>
      <c r="Y36" s="123" t="n">
        <v>7.757575758</v>
      </c>
      <c r="Z36" s="123" t="n">
        <v>415997.6624</v>
      </c>
      <c r="AA36" s="123" t="n">
        <v>31048.46342</v>
      </c>
      <c r="AB36" s="124" t="n">
        <v>0</v>
      </c>
      <c r="AC36" s="124" t="n">
        <v>0</v>
      </c>
      <c r="AD36" s="124" t="n">
        <v>0</v>
      </c>
      <c r="AE36" s="124" t="n">
        <v>0</v>
      </c>
      <c r="AF36" s="124" t="n">
        <v>0</v>
      </c>
      <c r="AG36" s="124" t="n">
        <v>0</v>
      </c>
      <c r="AH36" s="124" t="n">
        <v>0</v>
      </c>
      <c r="AI36" s="124" t="n">
        <v>0</v>
      </c>
      <c r="AJ36" s="124">
        <f>AB36+AC36+AD36+AE36+AF36+AG36+AH36+AI36</f>
        <v/>
      </c>
      <c r="AK36" s="59">
        <f>AL36/C36</f>
        <v/>
      </c>
      <c r="AL36" s="55" t="n">
        <v>645380</v>
      </c>
    </row>
    <row r="37" ht="22.5" customHeight="1" s="150">
      <c r="A37" s="34" t="n">
        <v>35</v>
      </c>
      <c r="B37" s="50" t="n">
        <v>2329</v>
      </c>
      <c r="C37" s="50" t="n">
        <v>2309</v>
      </c>
      <c r="D37" s="50" t="n">
        <v>340</v>
      </c>
      <c r="E37" s="50" t="n">
        <v>222</v>
      </c>
      <c r="F37" s="51">
        <f>(C37*100)/B37</f>
        <v/>
      </c>
      <c r="G37" s="51">
        <f>(D37*100)/B37</f>
        <v/>
      </c>
      <c r="H37" s="53">
        <f>((B37-B38)/B37)*100</f>
        <v/>
      </c>
      <c r="I37" s="53">
        <f>((B37-C37)/B37)*100</f>
        <v/>
      </c>
      <c r="J37" s="53">
        <f>((C37-B38)/C37)*100</f>
        <v/>
      </c>
      <c r="K37" s="54" t="n"/>
      <c r="L37" s="55" t="n">
        <v>1.11135857461024</v>
      </c>
      <c r="M37" s="120" t="inlineStr">
        <is>
          <t>Normal</t>
        </is>
      </c>
      <c r="N37" s="55" t="n">
        <v>0</v>
      </c>
      <c r="O37" s="57">
        <f>N37/C37</f>
        <v/>
      </c>
      <c r="P37" s="58">
        <f>(Boosters_IOS!B37*100)/Boosters_And!N37</f>
        <v/>
      </c>
      <c r="Q37" s="58">
        <f>Boosters_IOS!B37/(C37+D37)</f>
        <v/>
      </c>
      <c r="R37" s="58">
        <f>Boosters_IOS!N37/B37</f>
        <v/>
      </c>
      <c r="S37" s="55" t="n">
        <v>3.52227171492204</v>
      </c>
      <c r="T37" s="55" t="n">
        <v>291</v>
      </c>
      <c r="U37" s="121" t="n">
        <v>3214242.83559409</v>
      </c>
      <c r="V37" s="122" t="n">
        <v>0.0006944444444444445</v>
      </c>
      <c r="W37" s="123" t="n">
        <v>2751.238842</v>
      </c>
      <c r="X37" s="123" t="n">
        <v>2751.238842</v>
      </c>
      <c r="Y37" s="123" t="n">
        <v>5.1875</v>
      </c>
      <c r="Z37" s="123" t="n">
        <v>414790.2222</v>
      </c>
      <c r="AA37" s="123" t="n">
        <v>0</v>
      </c>
      <c r="AB37" s="124" t="n">
        <v>0</v>
      </c>
      <c r="AC37" s="124" t="n">
        <v>0</v>
      </c>
      <c r="AD37" s="124" t="n">
        <v>0</v>
      </c>
      <c r="AE37" s="124" t="n">
        <v>0</v>
      </c>
      <c r="AF37" s="124" t="n">
        <v>0</v>
      </c>
      <c r="AG37" s="124" t="n">
        <v>0</v>
      </c>
      <c r="AH37" s="124" t="n">
        <v>0</v>
      </c>
      <c r="AI37" s="124" t="n">
        <v>0</v>
      </c>
      <c r="AJ37" s="124">
        <f>AB37+AC37+AD37+AE37+AF37+AG37+AH37+AI37</f>
        <v/>
      </c>
      <c r="AK37" s="59">
        <f>AL37/C37</f>
        <v/>
      </c>
      <c r="AL37" s="55" t="n">
        <v>614495</v>
      </c>
    </row>
    <row r="38" ht="22.5" customHeight="1" s="150">
      <c r="A38" s="34" t="n">
        <v>36</v>
      </c>
      <c r="B38" s="50" t="n">
        <v>2298</v>
      </c>
      <c r="C38" s="50" t="n">
        <v>2296</v>
      </c>
      <c r="D38" s="50" t="n">
        <v>5</v>
      </c>
      <c r="E38" s="50" t="n">
        <v>13</v>
      </c>
      <c r="F38" s="51">
        <f>(C38*100)/B38</f>
        <v/>
      </c>
      <c r="G38" s="51">
        <f>(D38*100)/B38</f>
        <v/>
      </c>
      <c r="H38" s="53">
        <f>((B38-B39)/B38)*100</f>
        <v/>
      </c>
      <c r="I38" s="53">
        <f>((B38-C38)/B38)*100</f>
        <v/>
      </c>
      <c r="J38" s="53">
        <f>((C38-B39)/C38)*100</f>
        <v/>
      </c>
      <c r="K38" s="54" t="n"/>
      <c r="L38" s="55" t="n">
        <v>1.0067264573991</v>
      </c>
      <c r="M38" s="128" t="inlineStr">
        <is>
          <t>Normal</t>
        </is>
      </c>
      <c r="N38" s="55" t="n">
        <v>2.98</v>
      </c>
      <c r="O38" s="57">
        <f>N38/C38</f>
        <v/>
      </c>
      <c r="P38" s="58">
        <f>(Boosters_IOS!B38*100)/Boosters_And!N38</f>
        <v/>
      </c>
      <c r="Q38" s="58">
        <f>Boosters_IOS!B38/(C38+D38)</f>
        <v/>
      </c>
      <c r="R38" s="58">
        <f>Boosters_IOS!N38/B38</f>
        <v/>
      </c>
      <c r="S38" s="55" t="n">
        <v>6.3609865470852</v>
      </c>
      <c r="T38" s="55" t="n">
        <v>217</v>
      </c>
      <c r="U38" s="121" t="n">
        <v>3290165.97284193</v>
      </c>
      <c r="V38" s="122" t="n">
        <v>0.001041666666666667</v>
      </c>
      <c r="W38" s="123" t="n">
        <v>19655.40226</v>
      </c>
      <c r="X38" s="123" t="n">
        <v>19569.15653</v>
      </c>
      <c r="Y38" s="123" t="n">
        <v>6.5</v>
      </c>
      <c r="Z38" s="123" t="n">
        <v>420223.7033</v>
      </c>
      <c r="AA38" s="123" t="n">
        <v>7762.115855</v>
      </c>
      <c r="AB38" s="124" t="n">
        <v>0</v>
      </c>
      <c r="AC38" s="124" t="n">
        <v>0</v>
      </c>
      <c r="AD38" s="124" t="n">
        <v>0</v>
      </c>
      <c r="AE38" s="124" t="n">
        <v>0</v>
      </c>
      <c r="AF38" s="124" t="n">
        <v>0</v>
      </c>
      <c r="AG38" s="124" t="n">
        <v>0</v>
      </c>
      <c r="AH38" s="124" t="n">
        <v>0</v>
      </c>
      <c r="AI38" s="124" t="n">
        <v>0</v>
      </c>
      <c r="AJ38" s="124">
        <f>AB38+AC38+AD38+AE38+AF38+AG38+AH38+AI38</f>
        <v/>
      </c>
      <c r="AK38" s="59">
        <f>AL38/C38</f>
        <v/>
      </c>
      <c r="AL38" s="55" t="n">
        <v>633570</v>
      </c>
    </row>
    <row r="39" ht="22.5" customHeight="1" s="150">
      <c r="A39" s="34" t="n">
        <v>37</v>
      </c>
      <c r="B39" s="50" t="n">
        <v>2288</v>
      </c>
      <c r="C39" s="50" t="n">
        <v>2288</v>
      </c>
      <c r="D39" s="50" t="n">
        <v>5</v>
      </c>
      <c r="E39" s="50" t="n">
        <v>8</v>
      </c>
      <c r="F39" s="51">
        <f>(C39*100)/B39</f>
        <v/>
      </c>
      <c r="G39" s="51">
        <f>(D39*100)/B39</f>
        <v/>
      </c>
      <c r="H39" s="53">
        <f>((B39-B40)/B39)*100</f>
        <v/>
      </c>
      <c r="I39" s="53">
        <f>((B39-C39)/B39)*100</f>
        <v/>
      </c>
      <c r="J39" s="53">
        <f>((C39-B40)/C39)*100</f>
        <v/>
      </c>
      <c r="K39" s="54" t="n"/>
      <c r="L39" s="55" t="n">
        <v>1.01349831271091</v>
      </c>
      <c r="M39" s="120" t="inlineStr">
        <is>
          <t>Normal</t>
        </is>
      </c>
      <c r="N39" s="55" t="n">
        <v>3.98</v>
      </c>
      <c r="O39" s="57">
        <f>N39/C39</f>
        <v/>
      </c>
      <c r="P39" s="58">
        <f>(Boosters_IOS!B39*100)/Boosters_And!N39</f>
        <v/>
      </c>
      <c r="Q39" s="58">
        <f>Boosters_IOS!B39/(C39+D39)</f>
        <v/>
      </c>
      <c r="R39" s="58">
        <f>Boosters_IOS!N39/B39</f>
        <v/>
      </c>
      <c r="S39" s="55" t="n">
        <v>2.37007874015748</v>
      </c>
      <c r="T39" s="55" t="n">
        <v>201</v>
      </c>
      <c r="U39" s="121" t="n">
        <v>3384157.4496998</v>
      </c>
      <c r="V39" s="122" t="n">
        <v>0.000925925925925926</v>
      </c>
      <c r="W39" s="123" t="n">
        <v>11332.68915</v>
      </c>
      <c r="X39" s="123" t="n">
        <v>11332.68915</v>
      </c>
      <c r="Y39" s="123" t="n">
        <v>6.28125</v>
      </c>
      <c r="Z39" s="123" t="n">
        <v>430918.174</v>
      </c>
      <c r="AA39" s="123" t="n">
        <v>0</v>
      </c>
      <c r="AB39" s="124" t="n">
        <v>0</v>
      </c>
      <c r="AC39" s="124" t="n">
        <v>8</v>
      </c>
      <c r="AD39" s="124" t="n">
        <v>8</v>
      </c>
      <c r="AE39" s="124" t="n">
        <v>0</v>
      </c>
      <c r="AF39" s="124" t="n">
        <v>0</v>
      </c>
      <c r="AG39" s="124" t="n">
        <v>0</v>
      </c>
      <c r="AH39" s="124" t="n">
        <v>0</v>
      </c>
      <c r="AI39" s="124" t="n">
        <v>0</v>
      </c>
      <c r="AJ39" s="124">
        <f>AB39+AC39+AD39+AE39+AF39+AG39+AH39+AI39</f>
        <v/>
      </c>
      <c r="AK39" s="59">
        <f>AL39/C39</f>
        <v/>
      </c>
      <c r="AL39" s="55" t="n">
        <v>640875</v>
      </c>
    </row>
    <row r="40" ht="22.5" customHeight="1" s="150">
      <c r="A40" s="65" t="n">
        <v>38</v>
      </c>
      <c r="B40" s="50" t="n">
        <v>2272</v>
      </c>
      <c r="C40" s="50" t="n">
        <v>2272</v>
      </c>
      <c r="D40" s="50" t="n">
        <v>5</v>
      </c>
      <c r="E40" s="50" t="n">
        <v>10</v>
      </c>
      <c r="F40" s="51">
        <f>(C40*100)/B40</f>
        <v/>
      </c>
      <c r="G40" s="51">
        <f>(D40*100)/B40</f>
        <v/>
      </c>
      <c r="H40" s="53">
        <f>((B40-B41)/B40)*100</f>
        <v/>
      </c>
      <c r="I40" s="53">
        <f>((B40-C40)/B40)*100</f>
        <v/>
      </c>
      <c r="J40" s="53">
        <f>((C40-B41)/C40)*100</f>
        <v/>
      </c>
      <c r="K40" s="54" t="n"/>
      <c r="L40" s="55" t="n">
        <v>1.01132502831257</v>
      </c>
      <c r="M40" s="128" t="inlineStr">
        <is>
          <t>Normal</t>
        </is>
      </c>
      <c r="N40" s="55" t="n">
        <v>25.94</v>
      </c>
      <c r="O40" s="57">
        <f>N40/C40</f>
        <v/>
      </c>
      <c r="P40" s="58">
        <f>(Boosters_IOS!B40*100)/Boosters_And!N40</f>
        <v/>
      </c>
      <c r="Q40" s="58">
        <f>Boosters_IOS!B40/(C40+D40)</f>
        <v/>
      </c>
      <c r="R40" s="58">
        <f>Boosters_IOS!N40/B40</f>
        <v/>
      </c>
      <c r="S40" s="55" t="n">
        <v>2.70328425821064</v>
      </c>
      <c r="T40" s="55" t="n">
        <v>237</v>
      </c>
      <c r="U40" s="121" t="n">
        <v>3462763.1098876</v>
      </c>
      <c r="V40" s="122" t="n">
        <v>0.001388888888888889</v>
      </c>
      <c r="W40" s="123" t="n">
        <v>25338.99598</v>
      </c>
      <c r="X40" s="123" t="n">
        <v>25140.6308</v>
      </c>
      <c r="Y40" s="123" t="n">
        <v>7.103448276</v>
      </c>
      <c r="Z40" s="123" t="n">
        <v>359489.459</v>
      </c>
      <c r="AA40" s="123" t="n">
        <v>48297.60977</v>
      </c>
      <c r="AB40" s="124" t="n">
        <v>0</v>
      </c>
      <c r="AC40" s="124" t="n">
        <v>0</v>
      </c>
      <c r="AD40" s="124" t="n">
        <v>0</v>
      </c>
      <c r="AE40" s="124" t="n">
        <v>0</v>
      </c>
      <c r="AF40" s="124" t="n">
        <v>0</v>
      </c>
      <c r="AG40" s="124" t="n">
        <v>0</v>
      </c>
      <c r="AH40" s="124" t="n">
        <v>0</v>
      </c>
      <c r="AI40" s="124" t="n">
        <v>0</v>
      </c>
      <c r="AJ40" s="124">
        <f>AB40+AC40+AD40+AE40+AF40+AG40+AH40+AI40</f>
        <v/>
      </c>
      <c r="AK40" s="59">
        <f>AL40/C40</f>
        <v/>
      </c>
      <c r="AL40" s="55" t="n">
        <v>656415</v>
      </c>
    </row>
    <row r="41" ht="22.5" customHeight="1" s="150">
      <c r="A41" s="34" t="n">
        <v>39</v>
      </c>
      <c r="B41" s="50" t="n">
        <v>2285</v>
      </c>
      <c r="C41" s="50" t="n">
        <v>2149</v>
      </c>
      <c r="D41" s="50" t="n">
        <v>934</v>
      </c>
      <c r="E41" s="50" t="n">
        <v>797</v>
      </c>
      <c r="F41" s="51">
        <f>(C41*100)/B41</f>
        <v/>
      </c>
      <c r="G41" s="66">
        <f>(D41*100)/B41</f>
        <v/>
      </c>
      <c r="H41" s="52">
        <f>((B41-B42)/B41)*100</f>
        <v/>
      </c>
      <c r="I41" s="53">
        <f>((B41-C41)/B41)*100</f>
        <v/>
      </c>
      <c r="J41" s="53">
        <f>((C41-B42)/C41)*100</f>
        <v/>
      </c>
      <c r="K41" s="54" t="n"/>
      <c r="L41" s="55" t="n">
        <v>1.60885167464114</v>
      </c>
      <c r="M41" s="130" t="inlineStr">
        <is>
          <t>Very Hard</t>
        </is>
      </c>
      <c r="N41" s="55" t="n">
        <v>76.83</v>
      </c>
      <c r="O41" s="57">
        <f>N41/C41</f>
        <v/>
      </c>
      <c r="P41" s="58">
        <f>(Boosters_IOS!B41*100)/Boosters_And!N41</f>
        <v/>
      </c>
      <c r="Q41" s="58">
        <f>Boosters_IOS!B41/(C41+D41)</f>
        <v/>
      </c>
      <c r="R41" s="58">
        <f>Boosters_IOS!N41/B41</f>
        <v/>
      </c>
      <c r="S41" s="55" t="n">
        <v>3.83014354066985</v>
      </c>
      <c r="T41" s="55" t="n">
        <v>464</v>
      </c>
      <c r="U41" s="121" t="n">
        <v>2755750.6575241</v>
      </c>
      <c r="V41" s="122" t="n">
        <v>0.001157407407407407</v>
      </c>
      <c r="W41" s="123" t="n">
        <v>17533.75726</v>
      </c>
      <c r="X41" s="123" t="n">
        <v>17188.77433</v>
      </c>
      <c r="Y41" s="123" t="n">
        <v>10.28571429</v>
      </c>
      <c r="Z41" s="123" t="n">
        <v>346121.3706</v>
      </c>
      <c r="AA41" s="123" t="n">
        <v>31910.92074</v>
      </c>
      <c r="AB41" s="124" t="n">
        <v>0</v>
      </c>
      <c r="AC41" s="124" t="n">
        <v>8</v>
      </c>
      <c r="AD41" s="124" t="n">
        <v>0</v>
      </c>
      <c r="AE41" s="124" t="n">
        <v>0</v>
      </c>
      <c r="AF41" s="124" t="n">
        <v>0</v>
      </c>
      <c r="AG41" s="124" t="n">
        <v>0</v>
      </c>
      <c r="AH41" s="124" t="n">
        <v>0</v>
      </c>
      <c r="AI41" s="124" t="n">
        <v>0</v>
      </c>
      <c r="AJ41" s="124">
        <f>AB41+AC41+AD41+AE41+AF41+AG41+AH41+AI41</f>
        <v/>
      </c>
      <c r="AK41" s="59">
        <f>AL41/C41</f>
        <v/>
      </c>
      <c r="AL41" s="55" t="n">
        <v>552250</v>
      </c>
    </row>
    <row r="42" ht="22.5" customHeight="1" s="150">
      <c r="A42" s="34" t="n">
        <v>40</v>
      </c>
      <c r="B42" s="50" t="n">
        <v>2172</v>
      </c>
      <c r="C42" s="50" t="n">
        <v>1996</v>
      </c>
      <c r="D42" s="50" t="n">
        <v>1323</v>
      </c>
      <c r="E42" s="50" t="n">
        <v>1070</v>
      </c>
      <c r="F42" s="51">
        <f>(C42*100)/B42</f>
        <v/>
      </c>
      <c r="G42" s="66">
        <f>(D42*100)/B42</f>
        <v/>
      </c>
      <c r="H42" s="52">
        <f>((B42-B43)/B42)*100</f>
        <v/>
      </c>
      <c r="I42" s="53">
        <f>((B42-C42)/B42)*100</f>
        <v/>
      </c>
      <c r="J42" s="53">
        <f>((C42-B43)/C42)*100</f>
        <v/>
      </c>
      <c r="K42" s="54" t="n"/>
      <c r="L42" s="55" t="n">
        <v>1.74355670103092</v>
      </c>
      <c r="M42" s="127" t="inlineStr">
        <is>
          <t>Hard</t>
        </is>
      </c>
      <c r="N42" s="55" t="n">
        <v>141.49</v>
      </c>
      <c r="O42" s="57">
        <f>N42/C42</f>
        <v/>
      </c>
      <c r="P42" s="58">
        <f>(Boosters_IOS!B42*100)/Boosters_And!N42</f>
        <v/>
      </c>
      <c r="Q42" s="58">
        <f>Boosters_IOS!B42/(C42+D42)</f>
        <v/>
      </c>
      <c r="R42" s="58">
        <f>Boosters_IOS!N42/B42</f>
        <v/>
      </c>
      <c r="S42" s="55" t="n">
        <v>4.48067010309278</v>
      </c>
      <c r="T42" s="55" t="n">
        <v>714</v>
      </c>
      <c r="U42" s="121" t="n">
        <v>1880977.34745379</v>
      </c>
      <c r="V42" s="122" t="n">
        <v>0.001273148148148148</v>
      </c>
      <c r="W42" s="123" t="n">
        <v>10168.37177</v>
      </c>
      <c r="X42" s="123" t="n">
        <v>10168.37177</v>
      </c>
      <c r="Y42" s="123" t="n">
        <v>6.071428571</v>
      </c>
      <c r="Z42" s="123" t="n">
        <v>361473.1108</v>
      </c>
      <c r="AA42" s="123" t="n">
        <v>0</v>
      </c>
      <c r="AB42" s="124" t="n">
        <v>0</v>
      </c>
      <c r="AC42" s="124" t="n">
        <v>0</v>
      </c>
      <c r="AD42" s="124" t="n">
        <v>0</v>
      </c>
      <c r="AE42" s="124" t="n">
        <v>0</v>
      </c>
      <c r="AF42" s="124" t="n">
        <v>0</v>
      </c>
      <c r="AG42" s="124" t="n">
        <v>0</v>
      </c>
      <c r="AH42" s="124" t="n">
        <v>0</v>
      </c>
      <c r="AI42" s="124" t="n">
        <v>0</v>
      </c>
      <c r="AJ42" s="124">
        <f>AB42+AC42+AD42+AE42+AF42+AG42+AH42+AI42</f>
        <v/>
      </c>
      <c r="AK42" s="59">
        <f>AL42/C42</f>
        <v/>
      </c>
      <c r="AL42" s="55" t="n">
        <v>377915</v>
      </c>
    </row>
    <row r="43" ht="22.5" customHeight="1" s="150">
      <c r="A43" s="34" t="n">
        <v>41</v>
      </c>
      <c r="B43" s="50" t="n">
        <v>1965</v>
      </c>
      <c r="C43" s="50" t="n">
        <v>1963</v>
      </c>
      <c r="D43" s="50" t="n">
        <v>15</v>
      </c>
      <c r="E43" s="50" t="n">
        <v>28</v>
      </c>
      <c r="F43" s="51">
        <f>(C43*100)/B43</f>
        <v/>
      </c>
      <c r="G43" s="51">
        <f>(D43*100)/B43</f>
        <v/>
      </c>
      <c r="H43" s="53">
        <f>((B43-B44)/B43)*100</f>
        <v/>
      </c>
      <c r="I43" s="53">
        <f>((B43-C43)/B43)*100</f>
        <v/>
      </c>
      <c r="J43" s="53">
        <f>((C43-B44)/C43)*100</f>
        <v/>
      </c>
      <c r="K43" s="54" t="n"/>
      <c r="L43" s="55" t="n">
        <v>1.00916230366492</v>
      </c>
      <c r="M43" s="120" t="inlineStr">
        <is>
          <t>Normal</t>
        </is>
      </c>
      <c r="N43" s="55" t="n">
        <v>7.970000000000001</v>
      </c>
      <c r="O43" s="57">
        <f>N43/C43</f>
        <v/>
      </c>
      <c r="P43" s="58">
        <f>(Boosters_IOS!B43*100)/Boosters_And!N43</f>
        <v/>
      </c>
      <c r="Q43" s="58">
        <f>Boosters_IOS!B43/(C43+D43)</f>
        <v/>
      </c>
      <c r="R43" s="58">
        <f>Boosters_IOS!N43/B43</f>
        <v/>
      </c>
      <c r="S43" s="55" t="n">
        <v>3.65052356020942</v>
      </c>
      <c r="T43" s="55" t="n">
        <v>279</v>
      </c>
      <c r="U43" s="121" t="n">
        <v>1973821.01401524</v>
      </c>
      <c r="V43" s="122" t="n">
        <v>0.001331018518518518</v>
      </c>
      <c r="W43" s="123" t="n">
        <v>19112.05415</v>
      </c>
      <c r="X43" s="123" t="n">
        <v>19112.05415</v>
      </c>
      <c r="Y43" s="123" t="n">
        <v>4.285714286</v>
      </c>
      <c r="Z43" s="123" t="n">
        <v>338445.5004</v>
      </c>
      <c r="AA43" s="123" t="n">
        <v>24148.80488</v>
      </c>
      <c r="AB43" s="124" t="n">
        <v>0</v>
      </c>
      <c r="AC43" s="124" t="n">
        <v>0</v>
      </c>
      <c r="AD43" s="124" t="n">
        <v>0</v>
      </c>
      <c r="AE43" s="124" t="n">
        <v>0</v>
      </c>
      <c r="AF43" s="124" t="n">
        <v>0</v>
      </c>
      <c r="AG43" s="124" t="n">
        <v>0</v>
      </c>
      <c r="AH43" s="124" t="n">
        <v>0</v>
      </c>
      <c r="AI43" s="124" t="n">
        <v>0</v>
      </c>
      <c r="AJ43" s="124">
        <f>AB43+AC43+AD43+AE43+AF43+AG43+AH43+AI43</f>
        <v/>
      </c>
      <c r="AK43" s="59">
        <f>AL43/C43</f>
        <v/>
      </c>
      <c r="AL43" s="55" t="n">
        <v>404540</v>
      </c>
    </row>
    <row r="44" ht="22.5" customHeight="1" s="150">
      <c r="A44" s="34" t="n">
        <v>42</v>
      </c>
      <c r="B44" s="50" t="n">
        <v>1991</v>
      </c>
      <c r="C44" s="50" t="n">
        <v>1880</v>
      </c>
      <c r="D44" s="50" t="n">
        <v>1052</v>
      </c>
      <c r="E44" s="50" t="n">
        <v>978</v>
      </c>
      <c r="F44" s="51">
        <f>(C44*100)/B44</f>
        <v/>
      </c>
      <c r="G44" s="51">
        <f>(D44*100)/B44</f>
        <v/>
      </c>
      <c r="H44" s="52">
        <f>((B44-B45)/B44)*100</f>
        <v/>
      </c>
      <c r="I44" s="53">
        <f>((B44-C44)/B44)*100</f>
        <v/>
      </c>
      <c r="J44" s="53">
        <f>((C44-B45)/C44)*100</f>
        <v/>
      </c>
      <c r="K44" s="54" t="n"/>
      <c r="L44" s="55" t="n">
        <v>1.96990424076607</v>
      </c>
      <c r="M44" s="131" t="inlineStr">
        <is>
          <t>Very Hard</t>
        </is>
      </c>
      <c r="N44" s="55" t="n">
        <v>79.95</v>
      </c>
      <c r="O44" s="57">
        <f>N44/C44</f>
        <v/>
      </c>
      <c r="P44" s="58">
        <f>(Boosters_IOS!B44*100)/Boosters_And!N44</f>
        <v/>
      </c>
      <c r="Q44" s="58">
        <f>Boosters_IOS!B44/(C44+D44)</f>
        <v/>
      </c>
      <c r="R44" s="58">
        <f>Boosters_IOS!N44/B44</f>
        <v/>
      </c>
      <c r="S44" s="55" t="n">
        <v>5.26402188782489</v>
      </c>
      <c r="T44" s="55" t="n">
        <v>544</v>
      </c>
      <c r="U44" s="121" t="n">
        <v>1665962.81641999</v>
      </c>
      <c r="V44" s="122" t="n">
        <v>0.001967592592592592</v>
      </c>
      <c r="W44" s="123" t="n">
        <v>23113.8561</v>
      </c>
      <c r="X44" s="123" t="n">
        <v>23036.23494</v>
      </c>
      <c r="Y44" s="123" t="n">
        <v>7.44</v>
      </c>
      <c r="Z44" s="123" t="n">
        <v>276348.5736</v>
      </c>
      <c r="AA44" s="123" t="n">
        <v>36223.20733</v>
      </c>
      <c r="AB44" s="124" t="n">
        <v>0</v>
      </c>
      <c r="AC44" s="124" t="n">
        <v>0</v>
      </c>
      <c r="AD44" s="124" t="n">
        <v>0</v>
      </c>
      <c r="AE44" s="124" t="n">
        <v>0</v>
      </c>
      <c r="AF44" s="124" t="n">
        <v>0</v>
      </c>
      <c r="AG44" s="124" t="n">
        <v>0</v>
      </c>
      <c r="AH44" s="124" t="n">
        <v>0</v>
      </c>
      <c r="AI44" s="124" t="n">
        <v>0</v>
      </c>
      <c r="AJ44" s="124">
        <f>AB44+AC44+AD44+AE44+AF44+AG44+AH44+AI44</f>
        <v/>
      </c>
      <c r="AK44" s="59">
        <f>AL44/C44</f>
        <v/>
      </c>
      <c r="AL44" s="55" t="n">
        <v>314385</v>
      </c>
    </row>
    <row r="45" ht="22.5" customHeight="1" s="150">
      <c r="A45" s="65" t="n">
        <v>43</v>
      </c>
      <c r="B45" s="50" t="n">
        <v>1865</v>
      </c>
      <c r="C45" s="50" t="n">
        <v>1857</v>
      </c>
      <c r="D45" s="50" t="n">
        <v>121</v>
      </c>
      <c r="E45" s="50" t="n">
        <v>126</v>
      </c>
      <c r="F45" s="51">
        <f>(C45*100)/B45</f>
        <v/>
      </c>
      <c r="G45" s="51">
        <f>(D45*100)/B45</f>
        <v/>
      </c>
      <c r="H45" s="53">
        <f>((B45-B46)/B45)*100</f>
        <v/>
      </c>
      <c r="I45" s="53">
        <f>((B45-C45)/B45)*100</f>
        <v/>
      </c>
      <c r="J45" s="53">
        <f>((C45-B46)/C45)*100</f>
        <v/>
      </c>
      <c r="K45" s="54" t="n"/>
      <c r="L45" s="55" t="n">
        <v>1.04155124653739</v>
      </c>
      <c r="M45" s="120" t="inlineStr">
        <is>
          <t>Normal</t>
        </is>
      </c>
      <c r="N45" s="55" t="n">
        <v>8.949999999999999</v>
      </c>
      <c r="O45" s="57">
        <f>N45/C45</f>
        <v/>
      </c>
      <c r="P45" s="58">
        <f>(Boosters_IOS!B45*100)/Boosters_And!N45</f>
        <v/>
      </c>
      <c r="Q45" s="58">
        <f>Boosters_IOS!B45/(C45+D45)</f>
        <v/>
      </c>
      <c r="R45" s="58">
        <f>Boosters_IOS!N45/B45</f>
        <v/>
      </c>
      <c r="S45" s="55" t="n">
        <v>3.91274238227146</v>
      </c>
      <c r="T45" s="55" t="n">
        <v>261</v>
      </c>
      <c r="U45" s="121" t="n">
        <v>1761205.27753351</v>
      </c>
      <c r="V45" s="122" t="n">
        <v>0.002430555555555556</v>
      </c>
      <c r="W45" s="123" t="n">
        <v>29539.16312</v>
      </c>
      <c r="X45" s="123" t="n">
        <v>29392.54537</v>
      </c>
      <c r="Y45" s="123" t="n">
        <v>5.35</v>
      </c>
      <c r="Z45" s="123" t="n">
        <v>201452.7802</v>
      </c>
      <c r="AA45" s="123" t="n">
        <v>31910.92074</v>
      </c>
      <c r="AB45" s="124" t="n">
        <v>0</v>
      </c>
      <c r="AC45" s="124" t="n">
        <v>0</v>
      </c>
      <c r="AD45" s="124" t="n">
        <v>0</v>
      </c>
      <c r="AE45" s="124" t="n">
        <v>0</v>
      </c>
      <c r="AF45" s="124" t="n">
        <v>0</v>
      </c>
      <c r="AG45" s="124" t="n">
        <v>0</v>
      </c>
      <c r="AH45" s="124" t="n">
        <v>0</v>
      </c>
      <c r="AI45" s="124" t="n">
        <v>0</v>
      </c>
      <c r="AJ45" s="124">
        <f>AB45+AC45+AD45+AE45+AF45+AG45+AH45+AI45</f>
        <v/>
      </c>
      <c r="AK45" s="59">
        <f>AL45/C45</f>
        <v/>
      </c>
      <c r="AL45" s="55" t="n">
        <v>318580</v>
      </c>
    </row>
    <row r="46" ht="22.5" customHeight="1" s="150">
      <c r="A46" s="34" t="n">
        <v>44</v>
      </c>
      <c r="B46" s="50" t="n">
        <v>1839</v>
      </c>
      <c r="C46" s="50" t="n">
        <v>1839</v>
      </c>
      <c r="D46" s="50" t="n">
        <v>8</v>
      </c>
      <c r="E46" s="50" t="n">
        <v>8</v>
      </c>
      <c r="F46" s="51">
        <f>(C46*100)/B46</f>
        <v/>
      </c>
      <c r="G46" s="51">
        <f>(D46*100)/B46</f>
        <v/>
      </c>
      <c r="H46" s="53">
        <f>((B46-B47)/B46)*100</f>
        <v/>
      </c>
      <c r="I46" s="53">
        <f>((B46-C46)/B46)*100</f>
        <v/>
      </c>
      <c r="J46" s="53">
        <f>((C46-B47)/C46)*100</f>
        <v/>
      </c>
      <c r="K46" s="54" t="n"/>
      <c r="L46" s="55" t="n">
        <v>1.0027972027972</v>
      </c>
      <c r="M46" s="127" t="inlineStr">
        <is>
          <t>Hard</t>
        </is>
      </c>
      <c r="N46" s="55" t="n">
        <v>0.99</v>
      </c>
      <c r="O46" s="57">
        <f>N46/C46</f>
        <v/>
      </c>
      <c r="P46" s="58">
        <f>(Boosters_IOS!B46*100)/Boosters_And!N46</f>
        <v/>
      </c>
      <c r="Q46" s="58">
        <f>Boosters_IOS!B46/(C46+D46)</f>
        <v/>
      </c>
      <c r="R46" s="58">
        <f>Boosters_IOS!N46/B46</f>
        <v/>
      </c>
      <c r="S46" s="55" t="n">
        <v>3.86573426573426</v>
      </c>
      <c r="T46" s="55" t="n">
        <v>242</v>
      </c>
      <c r="U46" s="121" t="n">
        <v>1829596.71575761</v>
      </c>
      <c r="V46" s="122" t="n">
        <v>0.001851851851851852</v>
      </c>
      <c r="W46" s="123" t="n">
        <v>15472.48427</v>
      </c>
      <c r="X46" s="123" t="n">
        <v>15472.48427</v>
      </c>
      <c r="Y46" s="123" t="n">
        <v>7.25</v>
      </c>
      <c r="Z46" s="123" t="n">
        <v>212319.7424</v>
      </c>
      <c r="AA46" s="123" t="n">
        <v>0</v>
      </c>
      <c r="AB46" s="124" t="n">
        <v>0</v>
      </c>
      <c r="AC46" s="124" t="n">
        <v>0</v>
      </c>
      <c r="AD46" s="124" t="n">
        <v>0</v>
      </c>
      <c r="AE46" s="124" t="n">
        <v>0</v>
      </c>
      <c r="AF46" s="124" t="n">
        <v>0</v>
      </c>
      <c r="AG46" s="124" t="n">
        <v>0</v>
      </c>
      <c r="AH46" s="124" t="n">
        <v>0</v>
      </c>
      <c r="AI46" s="124" t="n">
        <v>0</v>
      </c>
      <c r="AJ46" s="124">
        <f>AB46+AC46+AD46+AE46+AF46+AG46+AH46+AI46</f>
        <v/>
      </c>
      <c r="AK46" s="59">
        <f>AL46/C46</f>
        <v/>
      </c>
      <c r="AL46" s="55" t="n">
        <v>337750</v>
      </c>
    </row>
    <row r="47" ht="22.5" customHeight="1" s="150">
      <c r="A47" s="65" t="n">
        <v>45</v>
      </c>
      <c r="B47" s="50" t="n">
        <v>1831</v>
      </c>
      <c r="C47" s="50" t="n">
        <v>1831</v>
      </c>
      <c r="D47" s="50" t="n">
        <v>5</v>
      </c>
      <c r="E47" s="50" t="n">
        <v>8</v>
      </c>
      <c r="F47" s="51">
        <f>(C47*100)/B47</f>
        <v/>
      </c>
      <c r="G47" s="51">
        <f>(D47*100)/B47</f>
        <v/>
      </c>
      <c r="H47" s="53">
        <f>((B47-B48)/B47)*100</f>
        <v/>
      </c>
      <c r="I47" s="53">
        <f>((B47-C47)/B47)*100</f>
        <v/>
      </c>
      <c r="J47" s="53">
        <f>((C47-B48)/C47)*100</f>
        <v/>
      </c>
      <c r="K47" s="54" t="n"/>
      <c r="L47" s="55" t="n">
        <v>1.00561797752809</v>
      </c>
      <c r="M47" s="120" t="inlineStr">
        <is>
          <t>Normal</t>
        </is>
      </c>
      <c r="N47" s="55" t="n">
        <v>0</v>
      </c>
      <c r="O47" s="57">
        <f>N47/C47</f>
        <v/>
      </c>
      <c r="P47" s="58">
        <f>(Boosters_IOS!B47*100)/Boosters_And!N47</f>
        <v/>
      </c>
      <c r="Q47" s="58">
        <f>Boosters_IOS!B47/(C47+D47)</f>
        <v/>
      </c>
      <c r="R47" s="58">
        <f>Boosters_IOS!N47/B47</f>
        <v/>
      </c>
      <c r="S47" s="55" t="n">
        <v>4.50842696629213</v>
      </c>
      <c r="T47" s="55" t="n">
        <v>237</v>
      </c>
      <c r="U47" s="121" t="n">
        <v>1913722.18276418</v>
      </c>
      <c r="V47" s="122" t="n">
        <v>0.00150462962962963</v>
      </c>
      <c r="W47" s="123" t="n">
        <v>19871.01659</v>
      </c>
      <c r="X47" s="123" t="n">
        <v>19776.14629</v>
      </c>
      <c r="Y47" s="123" t="n">
        <v>4.333333333</v>
      </c>
      <c r="Z47" s="123" t="n">
        <v>204385.135</v>
      </c>
      <c r="AA47" s="123" t="n">
        <v>15524.23171</v>
      </c>
      <c r="AB47" s="124" t="n">
        <v>0</v>
      </c>
      <c r="AC47" s="124" t="n">
        <v>0</v>
      </c>
      <c r="AD47" s="124" t="n">
        <v>0</v>
      </c>
      <c r="AE47" s="124" t="n">
        <v>0</v>
      </c>
      <c r="AF47" s="124" t="n">
        <v>0</v>
      </c>
      <c r="AG47" s="124" t="n">
        <v>0</v>
      </c>
      <c r="AH47" s="124" t="n">
        <v>8</v>
      </c>
      <c r="AI47" s="124" t="n">
        <v>0</v>
      </c>
      <c r="AJ47" s="124">
        <f>AB47+AC47+AD47+AE47+AF47+AG47+AH47+AI47</f>
        <v/>
      </c>
      <c r="AK47" s="59">
        <f>AL47/C47</f>
        <v/>
      </c>
      <c r="AL47" s="55" t="n">
        <v>350810</v>
      </c>
    </row>
    <row r="48" ht="22.5" customHeight="1" s="150">
      <c r="A48" s="34" t="n">
        <v>46</v>
      </c>
      <c r="B48" s="50" t="n">
        <v>1824</v>
      </c>
      <c r="C48" s="50" t="n">
        <v>1824</v>
      </c>
      <c r="D48" s="50" t="n">
        <v>5</v>
      </c>
      <c r="E48" s="50" t="n">
        <v>5</v>
      </c>
      <c r="F48" s="51">
        <f>(C48*100)/B48</f>
        <v/>
      </c>
      <c r="G48" s="51">
        <f>(D48*100)/B48</f>
        <v/>
      </c>
      <c r="H48" s="53">
        <f>((B48-B49)/B48)*100</f>
        <v/>
      </c>
      <c r="I48" s="53">
        <f>((B48-C48)/B48)*100</f>
        <v/>
      </c>
      <c r="J48" s="53">
        <f>((C48-B49)/C48)*100</f>
        <v/>
      </c>
      <c r="K48" s="54" t="n"/>
      <c r="L48" s="55" t="n">
        <v>1.00706214689265</v>
      </c>
      <c r="M48" s="128" t="inlineStr">
        <is>
          <t>Normal</t>
        </is>
      </c>
      <c r="N48" s="55" t="n">
        <v>5.48</v>
      </c>
      <c r="O48" s="57">
        <f>N48/C48</f>
        <v/>
      </c>
      <c r="P48" s="58">
        <f>(Boosters_IOS!B48*100)/Boosters_And!N48</f>
        <v/>
      </c>
      <c r="Q48" s="58">
        <f>Boosters_IOS!B48/(C48+D48)</f>
        <v/>
      </c>
      <c r="R48" s="58">
        <f>Boosters_IOS!N48/B48</f>
        <v/>
      </c>
      <c r="S48" s="55" t="n">
        <v>4.80225988700564</v>
      </c>
      <c r="T48" s="55" t="n">
        <v>219</v>
      </c>
      <c r="U48" s="121" t="n">
        <v>2007636.27915263</v>
      </c>
      <c r="V48" s="122" t="n">
        <v>0.001736111111111111</v>
      </c>
      <c r="W48" s="123" t="n">
        <v>16541.93135</v>
      </c>
      <c r="X48" s="123" t="n">
        <v>16541.93135</v>
      </c>
      <c r="Y48" s="123" t="n">
        <v>5.095238095</v>
      </c>
      <c r="Z48" s="123" t="n">
        <v>211457.285</v>
      </c>
      <c r="AA48" s="123" t="n">
        <v>0</v>
      </c>
      <c r="AB48" s="124" t="n">
        <v>0</v>
      </c>
      <c r="AC48" s="124" t="n">
        <v>0</v>
      </c>
      <c r="AD48" s="124" t="n">
        <v>0</v>
      </c>
      <c r="AE48" s="124" t="n">
        <v>0</v>
      </c>
      <c r="AF48" s="124" t="n">
        <v>0</v>
      </c>
      <c r="AG48" s="124" t="n">
        <v>0</v>
      </c>
      <c r="AH48" s="124" t="n">
        <v>0</v>
      </c>
      <c r="AI48" s="124" t="n">
        <v>0</v>
      </c>
      <c r="AJ48" s="124">
        <f>AB48+AC48+AD48+AE48+AF48+AG48+AH48+AI48</f>
        <v/>
      </c>
      <c r="AK48" s="59">
        <f>AL48/C48</f>
        <v/>
      </c>
      <c r="AL48" s="55" t="n">
        <v>361995</v>
      </c>
    </row>
    <row r="49" ht="22.5" customHeight="1" s="150">
      <c r="A49" s="34" t="n">
        <v>47</v>
      </c>
      <c r="B49" s="50" t="n">
        <v>1808</v>
      </c>
      <c r="C49" s="50" t="n">
        <v>1808</v>
      </c>
      <c r="D49" s="50" t="n">
        <v>3</v>
      </c>
      <c r="E49" s="50" t="n">
        <v>3</v>
      </c>
      <c r="F49" s="51">
        <f>(C49*100)/B49</f>
        <v/>
      </c>
      <c r="G49" s="51">
        <f>(D49*100)/B49</f>
        <v/>
      </c>
      <c r="H49" s="53">
        <f>((B49-B50)/B49)*100</f>
        <v/>
      </c>
      <c r="I49" s="53">
        <f>((B49-C49)/B49)*100</f>
        <v/>
      </c>
      <c r="J49" s="53">
        <f>((C49-B50)/C49)*100</f>
        <v/>
      </c>
      <c r="K49" s="54" t="n"/>
      <c r="L49" s="55" t="n">
        <v>1.0042735042735</v>
      </c>
      <c r="M49" s="120" t="inlineStr">
        <is>
          <t>Normal</t>
        </is>
      </c>
      <c r="N49" s="55" t="n">
        <v>3.98</v>
      </c>
      <c r="O49" s="57">
        <f>N49/C49</f>
        <v/>
      </c>
      <c r="P49" s="58">
        <f>(Boosters_IOS!B49*100)/Boosters_And!N49</f>
        <v/>
      </c>
      <c r="Q49" s="58">
        <f>Boosters_IOS!B49/(C49+D49)</f>
        <v/>
      </c>
      <c r="R49" s="58">
        <f>Boosters_IOS!N49/B49</f>
        <v/>
      </c>
      <c r="S49" s="55" t="n">
        <v>2.69658119658119</v>
      </c>
      <c r="T49" s="55" t="n">
        <v>206</v>
      </c>
      <c r="U49" s="121" t="n">
        <v>2071681.5143442</v>
      </c>
      <c r="V49" s="122" t="n">
        <v>0.001388888888888889</v>
      </c>
      <c r="W49" s="123" t="n">
        <v>17887.36476</v>
      </c>
      <c r="X49" s="123" t="n">
        <v>17473.38525</v>
      </c>
      <c r="Y49" s="123" t="n">
        <v>4.578947368</v>
      </c>
      <c r="Z49" s="123" t="n">
        <v>170145.5796</v>
      </c>
      <c r="AA49" s="123" t="n">
        <v>31048.46342</v>
      </c>
      <c r="AB49" s="124" t="n">
        <v>0</v>
      </c>
      <c r="AC49" s="124" t="n">
        <v>0</v>
      </c>
      <c r="AD49" s="124" t="n">
        <v>0</v>
      </c>
      <c r="AE49" s="124" t="n">
        <v>0</v>
      </c>
      <c r="AF49" s="124" t="n">
        <v>0</v>
      </c>
      <c r="AG49" s="124" t="n">
        <v>0</v>
      </c>
      <c r="AH49" s="124" t="n">
        <v>0</v>
      </c>
      <c r="AI49" s="124" t="n">
        <v>0</v>
      </c>
      <c r="AJ49" s="124">
        <f>AB49+AC49+AD49+AE49+AF49+AG49+AH49+AI49</f>
        <v/>
      </c>
      <c r="AK49" s="59">
        <f>AL49/C49</f>
        <v/>
      </c>
      <c r="AL49" s="55" t="n">
        <v>376540</v>
      </c>
    </row>
    <row r="50" ht="22.5" customHeight="1" s="150">
      <c r="A50" s="65" t="n">
        <v>48</v>
      </c>
      <c r="B50" s="50" t="n">
        <v>1811</v>
      </c>
      <c r="C50" s="50" t="n">
        <v>1798</v>
      </c>
      <c r="D50" s="50" t="n">
        <v>322</v>
      </c>
      <c r="E50" s="50" t="n">
        <v>253</v>
      </c>
      <c r="F50" s="51">
        <f>(C50*100)/B50</f>
        <v/>
      </c>
      <c r="G50" s="51">
        <f>(D50*100)/B50</f>
        <v/>
      </c>
      <c r="H50" s="53">
        <f>((B50-B51)/B50)*100</f>
        <v/>
      </c>
      <c r="I50" s="53">
        <f>((B50-C50)/B50)*100</f>
        <v/>
      </c>
      <c r="J50" s="53">
        <f>((C50-B51)/C50)*100</f>
        <v/>
      </c>
      <c r="K50" s="54" t="n"/>
      <c r="L50" s="55" t="n">
        <v>1.11031518624641</v>
      </c>
      <c r="M50" s="128" t="inlineStr">
        <is>
          <t>Normal</t>
        </is>
      </c>
      <c r="N50" s="55" t="n">
        <v>9.470000000000001</v>
      </c>
      <c r="O50" s="57">
        <f>N50/C50</f>
        <v/>
      </c>
      <c r="P50" s="58">
        <f>(Boosters_IOS!B50*100)/Boosters_And!N50</f>
        <v/>
      </c>
      <c r="Q50" s="58">
        <f>Boosters_IOS!B50/(C50+D50)</f>
        <v/>
      </c>
      <c r="R50" s="58">
        <f>Boosters_IOS!N50/B50</f>
        <v/>
      </c>
      <c r="S50" s="55" t="n">
        <v>4.97421203438395</v>
      </c>
      <c r="T50" s="55" t="n">
        <v>276</v>
      </c>
      <c r="U50" s="121" t="n">
        <v>2041954.51734127</v>
      </c>
      <c r="V50" s="122" t="n">
        <v>0.002777777777777778</v>
      </c>
      <c r="W50" s="123" t="n">
        <v>26762.05056</v>
      </c>
      <c r="X50" s="123" t="n">
        <v>26762.05056</v>
      </c>
      <c r="Y50" s="123" t="n">
        <v>14.52941176</v>
      </c>
      <c r="Z50" s="123" t="n">
        <v>169024.385</v>
      </c>
      <c r="AA50" s="123" t="n">
        <v>12074.40244</v>
      </c>
      <c r="AB50" s="124" t="n">
        <v>0</v>
      </c>
      <c r="AC50" s="124" t="n">
        <v>0</v>
      </c>
      <c r="AD50" s="124" t="n">
        <v>0</v>
      </c>
      <c r="AE50" s="124" t="n">
        <v>0</v>
      </c>
      <c r="AF50" s="124" t="n">
        <v>0</v>
      </c>
      <c r="AG50" s="124" t="n">
        <v>0</v>
      </c>
      <c r="AH50" s="124" t="n">
        <v>0</v>
      </c>
      <c r="AI50" s="124" t="n">
        <v>0</v>
      </c>
      <c r="AJ50" s="124">
        <f>AB50+AC50+AD50+AE50+AF50+AG50+AH50+AI50</f>
        <v/>
      </c>
      <c r="AK50" s="59">
        <f>AL50/C50</f>
        <v/>
      </c>
      <c r="AL50" s="55" t="n">
        <v>366680</v>
      </c>
    </row>
    <row r="51" ht="22.5" customHeight="1" s="150">
      <c r="A51" s="34" t="n">
        <v>49</v>
      </c>
      <c r="B51" s="50" t="n">
        <v>1811</v>
      </c>
      <c r="C51" s="50" t="n">
        <v>1744</v>
      </c>
      <c r="D51" s="50" t="n">
        <v>900</v>
      </c>
      <c r="E51" s="50" t="n">
        <v>665</v>
      </c>
      <c r="F51" s="51">
        <f>(C51*100)/B51</f>
        <v/>
      </c>
      <c r="G51" s="51">
        <f>(D51*100)/B51</f>
        <v/>
      </c>
      <c r="H51" s="53">
        <f>((B51-B52)/B51)*100</f>
        <v/>
      </c>
      <c r="I51" s="53">
        <f>((B51-C51)/B51)*100</f>
        <v/>
      </c>
      <c r="J51" s="53">
        <f>((C51-B52)/C51)*100</f>
        <v/>
      </c>
      <c r="K51" s="54" t="n"/>
      <c r="L51" s="55" t="n">
        <v>1.47485207100591</v>
      </c>
      <c r="M51" s="129" t="inlineStr">
        <is>
          <t>Hard</t>
        </is>
      </c>
      <c r="N51" s="55" t="n">
        <v>79.77</v>
      </c>
      <c r="O51" s="57">
        <f>N51/C51</f>
        <v/>
      </c>
      <c r="P51" s="58">
        <f>(Boosters_IOS!B51*100)/Boosters_And!N51</f>
        <v/>
      </c>
      <c r="Q51" s="58">
        <f>Boosters_IOS!B51/(C51+D51)</f>
        <v/>
      </c>
      <c r="R51" s="58">
        <f>Boosters_IOS!N51/B51</f>
        <v/>
      </c>
      <c r="S51" s="55" t="n">
        <v>4.57692307692307</v>
      </c>
      <c r="T51" s="55" t="n">
        <v>438</v>
      </c>
      <c r="U51" s="121" t="n">
        <v>1613782.58653978</v>
      </c>
      <c r="V51" s="122" t="n">
        <v>0.002083333333333333</v>
      </c>
      <c r="W51" s="123" t="n">
        <v>18051.23165</v>
      </c>
      <c r="X51" s="123" t="n">
        <v>18051.23165</v>
      </c>
      <c r="Y51" s="123" t="n">
        <v>8.5625</v>
      </c>
      <c r="Z51" s="123" t="n">
        <v>170404.3167</v>
      </c>
      <c r="AA51" s="123" t="n">
        <v>0</v>
      </c>
      <c r="AB51" s="124" t="n">
        <v>0</v>
      </c>
      <c r="AC51" s="124" t="n">
        <v>0</v>
      </c>
      <c r="AD51" s="124" t="n">
        <v>0</v>
      </c>
      <c r="AE51" s="124" t="n">
        <v>8</v>
      </c>
      <c r="AF51" s="124" t="n">
        <v>0</v>
      </c>
      <c r="AG51" s="124" t="n">
        <v>0</v>
      </c>
      <c r="AH51" s="124" t="n">
        <v>0</v>
      </c>
      <c r="AI51" s="124" t="n">
        <v>0</v>
      </c>
      <c r="AJ51" s="124">
        <f>AB51+AC51+AD51+AE51+AF51+AG51+AH51+AI51</f>
        <v/>
      </c>
      <c r="AK51" s="59">
        <f>AL51/C51</f>
        <v/>
      </c>
      <c r="AL51" s="55" t="n">
        <v>284975</v>
      </c>
    </row>
    <row r="52" ht="22.5" customHeight="1" s="150">
      <c r="A52" s="65" t="n">
        <v>50</v>
      </c>
      <c r="B52" s="50" t="n">
        <v>1764</v>
      </c>
      <c r="C52" s="50" t="n">
        <v>1689</v>
      </c>
      <c r="D52" s="50" t="n">
        <v>709</v>
      </c>
      <c r="E52" s="50" t="n">
        <v>663</v>
      </c>
      <c r="F52" s="51">
        <f>(C52*100)/B52</f>
        <v/>
      </c>
      <c r="G52" s="51">
        <f>(D52*100)/B52</f>
        <v/>
      </c>
      <c r="H52" s="52">
        <f>((B52-B53)/B52)*100</f>
        <v/>
      </c>
      <c r="I52" s="53">
        <f>((B52-C52)/B52)*100</f>
        <v/>
      </c>
      <c r="J52" s="53">
        <f>((C52-B53)/C52)*100</f>
        <v/>
      </c>
      <c r="K52" s="52">
        <f>100-(((C3-C53)/C3)*100)</f>
        <v/>
      </c>
      <c r="L52" s="55" t="n">
        <v>1.39847328244274</v>
      </c>
      <c r="M52" s="128" t="inlineStr">
        <is>
          <t>Normal</t>
        </is>
      </c>
      <c r="N52" s="55" t="n">
        <v>39.39</v>
      </c>
      <c r="O52" s="57">
        <f>N52/C52</f>
        <v/>
      </c>
      <c r="P52" s="58">
        <f>(Boosters_IOS!B52*100)/Boosters_And!N52</f>
        <v/>
      </c>
      <c r="Q52" s="58">
        <f>Boosters_IOS!B52/(C52+D52)</f>
        <v/>
      </c>
      <c r="R52" s="58">
        <f>Boosters_IOS!N52/B52</f>
        <v/>
      </c>
      <c r="S52" s="55" t="n">
        <v>5.04580152671755</v>
      </c>
      <c r="T52" s="55" t="n">
        <v>428</v>
      </c>
      <c r="U52" s="121" t="n">
        <v>1411445.55574627</v>
      </c>
      <c r="V52" s="122" t="n">
        <v>0.001388888888888889</v>
      </c>
      <c r="W52" s="123" t="n">
        <v>15550.10543</v>
      </c>
      <c r="X52" s="123" t="n">
        <v>15317.24195</v>
      </c>
      <c r="Y52" s="123" t="n">
        <v>7.1875</v>
      </c>
      <c r="Z52" s="123" t="n">
        <v>164712.0985</v>
      </c>
      <c r="AA52" s="123" t="n">
        <v>15524.23171</v>
      </c>
      <c r="AB52" s="124" t="n">
        <v>0</v>
      </c>
      <c r="AC52" s="124" t="n">
        <v>0</v>
      </c>
      <c r="AD52" s="124" t="n">
        <v>0</v>
      </c>
      <c r="AE52" s="124" t="n">
        <v>0</v>
      </c>
      <c r="AF52" s="124" t="n">
        <v>0</v>
      </c>
      <c r="AG52" s="124" t="n">
        <v>0</v>
      </c>
      <c r="AH52" s="124" t="n">
        <v>0</v>
      </c>
      <c r="AI52" s="124" t="n">
        <v>0</v>
      </c>
      <c r="AJ52" s="124">
        <f>AB52+AC52+AD52+AE52+AF52+AG52+AH52+AI52</f>
        <v/>
      </c>
      <c r="AK52" s="59">
        <f>AL52/C52</f>
        <v/>
      </c>
      <c r="AL52" s="55" t="n">
        <v>245610</v>
      </c>
    </row>
    <row r="53" ht="22.5" customHeight="1" s="150">
      <c r="A53" s="34" t="n">
        <v>51</v>
      </c>
      <c r="B53" s="50" t="n">
        <v>1689</v>
      </c>
      <c r="C53" s="50" t="n">
        <v>1610</v>
      </c>
      <c r="D53" s="50" t="n">
        <v>694</v>
      </c>
      <c r="E53" s="50" t="n">
        <v>745</v>
      </c>
      <c r="F53" s="51">
        <f>(C53*100)/B53</f>
        <v/>
      </c>
      <c r="G53" s="51">
        <f>(D53*100)/B53</f>
        <v/>
      </c>
      <c r="H53" s="52">
        <f>((B53-B54)/B53)*100</f>
        <v/>
      </c>
      <c r="I53" s="53">
        <f>((B53-C53)/B53)*100</f>
        <v/>
      </c>
      <c r="J53" s="53">
        <f>((C53-B54)/C53)*100</f>
        <v/>
      </c>
      <c r="K53" s="54" t="n"/>
      <c r="L53" s="55" t="n">
        <v>1.52564102564102</v>
      </c>
      <c r="M53" s="130" t="inlineStr">
        <is>
          <t>Very Hard</t>
        </is>
      </c>
      <c r="N53" s="55" t="n">
        <v>95.12</v>
      </c>
      <c r="O53" s="57">
        <f>N53/C53</f>
        <v/>
      </c>
      <c r="P53" s="58">
        <f>(Boosters_IOS!B53*100)/Boosters_And!N53</f>
        <v/>
      </c>
      <c r="Q53" s="58">
        <f>Boosters_IOS!B53/(C53+D53)</f>
        <v/>
      </c>
      <c r="R53" s="58">
        <f>Boosters_IOS!N53/B53</f>
        <v/>
      </c>
      <c r="S53" s="55" t="n">
        <v>4.81891025641025</v>
      </c>
      <c r="T53" s="55" t="n">
        <v>469</v>
      </c>
      <c r="U53" s="121" t="n">
        <v>1358968.70073328</v>
      </c>
      <c r="V53" s="122" t="n">
        <v>0.001388888888888889</v>
      </c>
      <c r="W53" s="123" t="n">
        <v>10470.23183</v>
      </c>
      <c r="X53" s="123" t="n">
        <v>10470.23183</v>
      </c>
      <c r="Y53" s="123" t="n">
        <v>7</v>
      </c>
      <c r="Z53" s="123" t="n">
        <v>168679.4021</v>
      </c>
      <c r="AA53" s="123" t="n">
        <v>24148.80488</v>
      </c>
      <c r="AB53" s="124" t="n">
        <v>0</v>
      </c>
      <c r="AC53" s="124" t="n">
        <v>0</v>
      </c>
      <c r="AD53" s="124" t="n">
        <v>0</v>
      </c>
      <c r="AE53" s="124" t="n">
        <v>0</v>
      </c>
      <c r="AF53" s="124" t="n">
        <v>0</v>
      </c>
      <c r="AG53" s="124" t="n">
        <v>0</v>
      </c>
      <c r="AH53" s="124" t="n">
        <v>0</v>
      </c>
      <c r="AI53" s="124" t="n">
        <v>0</v>
      </c>
      <c r="AJ53" s="124">
        <f>AB53+AC53+AD53+AE53+AF53+AG53+AH53+AI53</f>
        <v/>
      </c>
      <c r="AK53" s="59">
        <f>AL53/C53</f>
        <v/>
      </c>
      <c r="AL53" s="55" t="n">
        <v>226625</v>
      </c>
    </row>
    <row r="54" ht="22.5" customHeight="1" s="150">
      <c r="A54" s="34" t="n">
        <v>52</v>
      </c>
      <c r="B54" s="50" t="n">
        <v>1599</v>
      </c>
      <c r="C54" s="50" t="n">
        <v>1584</v>
      </c>
      <c r="D54" s="50" t="n">
        <v>263</v>
      </c>
      <c r="E54" s="50" t="n">
        <v>302</v>
      </c>
      <c r="F54" s="51">
        <f>(C54*100)/B54</f>
        <v/>
      </c>
      <c r="G54" s="51">
        <f>(D54*100)/B54</f>
        <v/>
      </c>
      <c r="H54" s="53">
        <f>((B54-B55)/B54)*100</f>
        <v/>
      </c>
      <c r="I54" s="53">
        <f>((B54-C54)/B54)*100</f>
        <v/>
      </c>
      <c r="J54" s="53">
        <f>((C54-B55)/C54)*100</f>
        <v/>
      </c>
      <c r="K54" s="54" t="n"/>
      <c r="L54" s="55" t="n">
        <v>1.14983713355048</v>
      </c>
      <c r="M54" s="128" t="inlineStr">
        <is>
          <t>Normal</t>
        </is>
      </c>
      <c r="N54" s="55" t="n">
        <v>17.44</v>
      </c>
      <c r="O54" s="57">
        <f>N54/C54</f>
        <v/>
      </c>
      <c r="P54" s="58">
        <f>(Boosters_IOS!B54*100)/Boosters_And!N54</f>
        <v/>
      </c>
      <c r="Q54" s="58">
        <f>Boosters_IOS!B54/(C54+D54)</f>
        <v/>
      </c>
      <c r="R54" s="58">
        <f>Boosters_IOS!N54/B54</f>
        <v/>
      </c>
      <c r="S54" s="55" t="n">
        <v>7.13192182410423</v>
      </c>
      <c r="T54" s="55" t="n">
        <v>320</v>
      </c>
      <c r="U54" s="121" t="n">
        <v>1426315.50262019</v>
      </c>
      <c r="V54" s="122" t="n">
        <v>0.001388888888888889</v>
      </c>
      <c r="W54" s="123" t="n">
        <v>4484.77805</v>
      </c>
      <c r="X54" s="123" t="n">
        <v>4484.77805</v>
      </c>
      <c r="Y54" s="123" t="n">
        <v>6.75</v>
      </c>
      <c r="Z54" s="123" t="n">
        <v>163677.1497</v>
      </c>
      <c r="AA54" s="123" t="n">
        <v>0</v>
      </c>
      <c r="AB54" s="124" t="n">
        <v>0</v>
      </c>
      <c r="AC54" s="124" t="n">
        <v>0</v>
      </c>
      <c r="AD54" s="124" t="n">
        <v>0</v>
      </c>
      <c r="AE54" s="124" t="n">
        <v>0</v>
      </c>
      <c r="AF54" s="124" t="n">
        <v>0</v>
      </c>
      <c r="AG54" s="124" t="n">
        <v>0</v>
      </c>
      <c r="AH54" s="124" t="n">
        <v>0</v>
      </c>
      <c r="AI54" s="124" t="n">
        <v>0</v>
      </c>
      <c r="AJ54" s="124">
        <f>AB54+AC54+AD54+AE54+AF54+AG54+AH54+AI54</f>
        <v/>
      </c>
      <c r="AK54" s="59">
        <f>AL54/C54</f>
        <v/>
      </c>
      <c r="AL54" s="55" t="n">
        <v>232085</v>
      </c>
    </row>
    <row r="55" ht="22.5" customHeight="1" s="150">
      <c r="A55" s="34" t="n">
        <v>53</v>
      </c>
      <c r="B55" s="50" t="n">
        <v>1563</v>
      </c>
      <c r="C55" s="50" t="n">
        <v>1563</v>
      </c>
      <c r="D55" s="50" t="n">
        <v>13</v>
      </c>
      <c r="E55" s="50" t="n">
        <v>15</v>
      </c>
      <c r="F55" s="51">
        <f>(C55*100)/B55</f>
        <v/>
      </c>
      <c r="G55" s="51">
        <f>(D55*100)/B55</f>
        <v/>
      </c>
      <c r="H55" s="53">
        <f>((B55-B56)/B55)*100</f>
        <v/>
      </c>
      <c r="I55" s="53">
        <f>((B55-C55)/B55)*100</f>
        <v/>
      </c>
      <c r="J55" s="53">
        <f>((C55-B56)/C55)*100</f>
        <v/>
      </c>
      <c r="K55" s="54" t="n"/>
      <c r="L55" s="55" t="n">
        <v>1.00990099009901</v>
      </c>
      <c r="M55" s="120" t="inlineStr">
        <is>
          <t>Normal</t>
        </is>
      </c>
      <c r="N55" s="55" t="n">
        <v>8.48</v>
      </c>
      <c r="O55" s="57">
        <f>N55/C55</f>
        <v/>
      </c>
      <c r="P55" s="58">
        <f>(Boosters_IOS!B55*100)/Boosters_And!N55</f>
        <v/>
      </c>
      <c r="Q55" s="58">
        <f>Boosters_IOS!B55/(C55+D55)</f>
        <v/>
      </c>
      <c r="R55" s="58">
        <f>Boosters_IOS!N55/B55</f>
        <v/>
      </c>
      <c r="S55" s="55" t="n">
        <v>3.5016501650165</v>
      </c>
      <c r="T55" s="55" t="n">
        <v>235</v>
      </c>
      <c r="U55" s="121" t="n">
        <v>1505269.37492039</v>
      </c>
      <c r="V55" s="122" t="n">
        <v>0.002314814814814815</v>
      </c>
      <c r="W55" s="123" t="n">
        <v>19827.89372</v>
      </c>
      <c r="X55" s="123" t="n">
        <v>19689.90055</v>
      </c>
      <c r="Y55" s="123" t="n">
        <v>9.933333333</v>
      </c>
      <c r="Z55" s="123" t="n">
        <v>157208.7198</v>
      </c>
      <c r="AA55" s="123" t="n">
        <v>7762.115855</v>
      </c>
      <c r="AB55" s="124" t="n">
        <v>0</v>
      </c>
      <c r="AC55" s="124" t="n">
        <v>0</v>
      </c>
      <c r="AD55" s="124" t="n">
        <v>0</v>
      </c>
      <c r="AE55" s="124" t="n">
        <v>0</v>
      </c>
      <c r="AF55" s="124" t="n">
        <v>0</v>
      </c>
      <c r="AG55" s="124" t="n">
        <v>0</v>
      </c>
      <c r="AH55" s="124" t="n">
        <v>0</v>
      </c>
      <c r="AI55" s="124" t="n">
        <v>0</v>
      </c>
      <c r="AJ55" s="124">
        <f>AB55+AC55+AD55+AE55+AF55+AG55+AH55+AI55</f>
        <v/>
      </c>
      <c r="AK55" s="59">
        <f>AL55/C55</f>
        <v/>
      </c>
      <c r="AL55" s="55" t="n">
        <v>249180</v>
      </c>
    </row>
    <row r="56" ht="22.5" customHeight="1" s="150">
      <c r="A56" s="34" t="n">
        <v>54</v>
      </c>
      <c r="B56" s="50" t="n">
        <v>1561</v>
      </c>
      <c r="C56" s="50" t="n">
        <v>1561</v>
      </c>
      <c r="D56" s="50" t="n">
        <v>3</v>
      </c>
      <c r="E56" s="50" t="n">
        <v>5</v>
      </c>
      <c r="F56" s="51">
        <f>(C56*100)/B56</f>
        <v/>
      </c>
      <c r="G56" s="51">
        <f>(D56*100)/B56</f>
        <v/>
      </c>
      <c r="H56" s="53">
        <f>((B56-B57)/B56)*100</f>
        <v/>
      </c>
      <c r="I56" s="53">
        <f>((B56-C56)/B56)*100</f>
        <v/>
      </c>
      <c r="J56" s="53">
        <f>((C56-B57)/C56)*100</f>
        <v/>
      </c>
      <c r="K56" s="54" t="n"/>
      <c r="L56" s="55" t="n">
        <v>1.01487603305785</v>
      </c>
      <c r="M56" s="128" t="inlineStr">
        <is>
          <t>Normal</t>
        </is>
      </c>
      <c r="N56" s="55" t="n">
        <v>8.380000000000001</v>
      </c>
      <c r="O56" s="57">
        <f>N56/C56</f>
        <v/>
      </c>
      <c r="P56" s="58">
        <f>(Boosters_IOS!B56*100)/Boosters_And!N56</f>
        <v/>
      </c>
      <c r="Q56" s="58">
        <f>Boosters_IOS!B56/(C56+D56)</f>
        <v/>
      </c>
      <c r="R56" s="58">
        <f>Boosters_IOS!N56/B56</f>
        <v/>
      </c>
      <c r="S56" s="55" t="n">
        <v>3.40330578512396</v>
      </c>
      <c r="T56" s="55" t="n">
        <v>212</v>
      </c>
      <c r="U56" s="121" t="n">
        <v>1604329.2725254</v>
      </c>
      <c r="V56" s="122" t="n">
        <v>0.002314814814814815</v>
      </c>
      <c r="W56" s="123" t="n">
        <v>17542.38183</v>
      </c>
      <c r="X56" s="123" t="n">
        <v>17542.38183</v>
      </c>
      <c r="Y56" s="123" t="n">
        <v>6.071428571</v>
      </c>
      <c r="Z56" s="123" t="n">
        <v>160399.8119</v>
      </c>
      <c r="AA56" s="123" t="n">
        <v>0</v>
      </c>
      <c r="AB56" s="124" t="n">
        <v>0</v>
      </c>
      <c r="AC56" s="124" t="n">
        <v>0</v>
      </c>
      <c r="AD56" s="124" t="n">
        <v>0</v>
      </c>
      <c r="AE56" s="124" t="n">
        <v>0</v>
      </c>
      <c r="AF56" s="124" t="n">
        <v>0</v>
      </c>
      <c r="AG56" s="124" t="n">
        <v>0</v>
      </c>
      <c r="AH56" s="124" t="n">
        <v>0</v>
      </c>
      <c r="AI56" s="124" t="n">
        <v>0</v>
      </c>
      <c r="AJ56" s="124">
        <f>AB56+AC56+AD56+AE56+AF56+AG56+AH56+AI56</f>
        <v/>
      </c>
      <c r="AK56" s="59">
        <f>AL56/C56</f>
        <v/>
      </c>
      <c r="AL56" s="55" t="n">
        <v>264615</v>
      </c>
    </row>
    <row r="57" ht="22.5" customHeight="1" s="150">
      <c r="A57" s="77" t="n">
        <v>55</v>
      </c>
      <c r="B57" s="50" t="n">
        <v>1558</v>
      </c>
      <c r="C57" s="50" t="n">
        <v>1398</v>
      </c>
      <c r="D57" s="50" t="n">
        <v>1034</v>
      </c>
      <c r="E57" s="50" t="n">
        <v>849</v>
      </c>
      <c r="F57" s="51">
        <f>(C57*100)/B57</f>
        <v/>
      </c>
      <c r="G57" s="51">
        <f>(D57*100)/B57</f>
        <v/>
      </c>
      <c r="H57" s="53">
        <f>((B57-B58)/B57)*100</f>
        <v/>
      </c>
      <c r="I57" s="53">
        <f>((B57-C57)/B57)*100</f>
        <v/>
      </c>
      <c r="J57" s="53">
        <f>((C57-B58)/C57)*100</f>
        <v/>
      </c>
      <c r="K57" s="54" t="n"/>
      <c r="L57" s="55" t="n">
        <v>2.12361623616236</v>
      </c>
      <c r="M57" s="120" t="inlineStr">
        <is>
          <t>Normal</t>
        </is>
      </c>
      <c r="N57" s="55" t="n">
        <v>120.26</v>
      </c>
      <c r="O57" s="57">
        <f>N57/C57</f>
        <v/>
      </c>
      <c r="P57" s="58">
        <f>(Boosters_IOS!B57*100)/Boosters_And!N57</f>
        <v/>
      </c>
      <c r="Q57" s="58">
        <f>Boosters_IOS!B57/(C57+D57)</f>
        <v/>
      </c>
      <c r="R57" s="58">
        <f>Boosters_IOS!N57/B57</f>
        <v/>
      </c>
      <c r="S57" s="55" t="n">
        <v>11.8634686346863</v>
      </c>
      <c r="T57" s="55" t="n">
        <v>542</v>
      </c>
      <c r="U57" s="121" t="n">
        <v>1147462.08431327</v>
      </c>
      <c r="V57" s="122" t="n">
        <v>0.002314814814814815</v>
      </c>
      <c r="W57" s="123" t="n">
        <v>13583.70275</v>
      </c>
      <c r="X57" s="123" t="n">
        <v>13583.70275</v>
      </c>
      <c r="Y57" s="123" t="n">
        <v>8.285714285999999</v>
      </c>
      <c r="Z57" s="123" t="n">
        <v>167903.1905</v>
      </c>
      <c r="AA57" s="123" t="n">
        <v>0</v>
      </c>
      <c r="AB57" s="124" t="n">
        <v>0</v>
      </c>
      <c r="AC57" s="124" t="n">
        <v>0</v>
      </c>
      <c r="AD57" s="124" t="n">
        <v>0</v>
      </c>
      <c r="AE57" s="124" t="n">
        <v>0</v>
      </c>
      <c r="AF57" s="124" t="n">
        <v>0</v>
      </c>
      <c r="AG57" s="124" t="n">
        <v>0</v>
      </c>
      <c r="AH57" s="124" t="n">
        <v>0</v>
      </c>
      <c r="AI57" s="124" t="n">
        <v>0</v>
      </c>
      <c r="AJ57" s="124">
        <f>AB57+AC57+AD57+AE57+AF57+AG57+AH57+AI57</f>
        <v/>
      </c>
      <c r="AK57" s="59">
        <f>AL57/C57</f>
        <v/>
      </c>
      <c r="AL57" s="55" t="n">
        <v>224890</v>
      </c>
    </row>
    <row r="58" ht="22.5" customHeight="1" s="150">
      <c r="A58" s="34" t="n">
        <v>56</v>
      </c>
      <c r="B58" s="50" t="n">
        <v>1398</v>
      </c>
      <c r="C58" s="50" t="n">
        <v>1398</v>
      </c>
      <c r="D58" s="50" t="n">
        <v>3</v>
      </c>
      <c r="E58" s="50" t="n">
        <v>3</v>
      </c>
      <c r="F58" s="51">
        <f>(C58*100)/B58</f>
        <v/>
      </c>
      <c r="G58" s="51">
        <f>(D58*100)/B58</f>
        <v/>
      </c>
      <c r="H58" s="53">
        <f>((B58-B59)/B58)*100</f>
        <v/>
      </c>
      <c r="I58" s="53">
        <f>((B58-C58)/B58)*100</f>
        <v/>
      </c>
      <c r="J58" s="53">
        <f>((C58-B59)/C58)*100</f>
        <v/>
      </c>
      <c r="K58" s="54" t="n"/>
      <c r="L58" s="55" t="n">
        <v>1.01476014760147</v>
      </c>
      <c r="M58" s="128" t="inlineStr">
        <is>
          <t>Normal</t>
        </is>
      </c>
      <c r="N58" s="55" t="n">
        <v>10.46</v>
      </c>
      <c r="O58" s="57">
        <f>N58/C58</f>
        <v/>
      </c>
      <c r="P58" s="58">
        <f>(Boosters_IOS!B58*100)/Boosters_And!N58</f>
        <v/>
      </c>
      <c r="Q58" s="58">
        <f>Boosters_IOS!B58/(C58+D58)</f>
        <v/>
      </c>
      <c r="R58" s="58">
        <f>Boosters_IOS!N58/B58</f>
        <v/>
      </c>
      <c r="S58" s="55" t="n">
        <v>5.39298892988929</v>
      </c>
      <c r="T58" s="55" t="n">
        <v>206</v>
      </c>
      <c r="U58" s="121" t="n">
        <v>1219632.26879415</v>
      </c>
      <c r="V58" s="122" t="n">
        <v>0.002893518518518518</v>
      </c>
      <c r="W58" s="123" t="n">
        <v>23717.57623</v>
      </c>
      <c r="X58" s="123" t="n">
        <v>23717.57623</v>
      </c>
      <c r="Y58" s="123" t="n">
        <v>6.857142857</v>
      </c>
      <c r="Z58" s="123" t="n">
        <v>160141.0747</v>
      </c>
      <c r="AA58" s="123" t="n">
        <v>0</v>
      </c>
      <c r="AB58" s="124" t="n">
        <v>0</v>
      </c>
      <c r="AC58" s="124" t="n">
        <v>0</v>
      </c>
      <c r="AD58" s="124" t="n">
        <v>0</v>
      </c>
      <c r="AE58" s="124" t="n">
        <v>0</v>
      </c>
      <c r="AF58" s="124" t="n">
        <v>0</v>
      </c>
      <c r="AG58" s="124" t="n">
        <v>0</v>
      </c>
      <c r="AH58" s="124" t="n">
        <v>0</v>
      </c>
      <c r="AI58" s="124" t="n">
        <v>0</v>
      </c>
      <c r="AJ58" s="124">
        <f>AB58+AC58+AD58+AE58+AF58+AG58+AH58+AI58</f>
        <v/>
      </c>
      <c r="AK58" s="59">
        <f>AL58/C58</f>
        <v/>
      </c>
      <c r="AL58" s="55" t="n">
        <v>237935</v>
      </c>
    </row>
    <row r="59" ht="22.5" customHeight="1" s="150">
      <c r="A59" s="34" t="n">
        <v>57</v>
      </c>
      <c r="B59" s="50" t="n">
        <v>1401</v>
      </c>
      <c r="C59" s="50" t="n">
        <v>1401</v>
      </c>
      <c r="D59" s="50" t="n">
        <v>3</v>
      </c>
      <c r="E59" s="50" t="n">
        <v>3</v>
      </c>
      <c r="F59" s="51">
        <f>(C59*100)/B59</f>
        <v/>
      </c>
      <c r="G59" s="51">
        <f>(D59*100)/B59</f>
        <v/>
      </c>
      <c r="H59" s="53">
        <f>((B59-B60)/B59)*100</f>
        <v/>
      </c>
      <c r="I59" s="53">
        <f>((B59-C59)/B59)*100</f>
        <v/>
      </c>
      <c r="J59" s="53">
        <f>((C59-B60)/C59)*100</f>
        <v/>
      </c>
      <c r="K59" s="54" t="n"/>
      <c r="L59" s="55" t="n">
        <v>1.00919117647058</v>
      </c>
      <c r="M59" s="120" t="inlineStr">
        <is>
          <t>Normal</t>
        </is>
      </c>
      <c r="N59" s="55" t="n">
        <v>1.99</v>
      </c>
      <c r="O59" s="57">
        <f>N59/C59</f>
        <v/>
      </c>
      <c r="P59" s="58">
        <f>(Boosters_IOS!B59*100)/Boosters_And!N59</f>
        <v/>
      </c>
      <c r="Q59" s="58">
        <f>Boosters_IOS!B59/(C59+D59)</f>
        <v/>
      </c>
      <c r="R59" s="58">
        <f>Boosters_IOS!N59/B59</f>
        <v/>
      </c>
      <c r="S59" s="55" t="n">
        <v>4.73345588235294</v>
      </c>
      <c r="T59" s="55" t="n">
        <v>222</v>
      </c>
      <c r="U59" s="121" t="n">
        <v>1292318.32307117</v>
      </c>
      <c r="V59" s="122" t="n">
        <v>0.001388888888888889</v>
      </c>
      <c r="W59" s="123" t="n">
        <v>6675.419636</v>
      </c>
      <c r="X59" s="123" t="n">
        <v>6675.419636</v>
      </c>
      <c r="Y59" s="123" t="n">
        <v>4</v>
      </c>
      <c r="Z59" s="123" t="n">
        <v>159623.6003</v>
      </c>
      <c r="AA59" s="123" t="n">
        <v>0</v>
      </c>
      <c r="AB59" s="124" t="n">
        <v>0</v>
      </c>
      <c r="AC59" s="124" t="n">
        <v>0</v>
      </c>
      <c r="AD59" s="124" t="n">
        <v>0</v>
      </c>
      <c r="AE59" s="124" t="n">
        <v>0</v>
      </c>
      <c r="AF59" s="124" t="n">
        <v>0</v>
      </c>
      <c r="AG59" s="124" t="n">
        <v>8</v>
      </c>
      <c r="AH59" s="124" t="n">
        <v>0</v>
      </c>
      <c r="AI59" s="124" t="n">
        <v>0</v>
      </c>
      <c r="AJ59" s="124">
        <f>AB59+AC59+AD59+AE59+AF59+AG59+AH59+AI59</f>
        <v/>
      </c>
      <c r="AK59" s="59">
        <f>AL59/C59</f>
        <v/>
      </c>
      <c r="AL59" s="55" t="n">
        <v>253420</v>
      </c>
    </row>
    <row r="60" ht="22.5" customHeight="1" s="150">
      <c r="A60" s="34" t="n">
        <v>58</v>
      </c>
      <c r="B60" s="50" t="n">
        <v>1398</v>
      </c>
      <c r="C60" s="50" t="n">
        <v>1393</v>
      </c>
      <c r="D60" s="50" t="n">
        <v>90</v>
      </c>
      <c r="E60" s="50" t="n">
        <v>93</v>
      </c>
      <c r="F60" s="51">
        <f>(C60*100)/B60</f>
        <v/>
      </c>
      <c r="G60" s="51">
        <f>(D60*100)/B60</f>
        <v/>
      </c>
      <c r="H60" s="53">
        <f>((B60-B61)/B60)*100</f>
        <v/>
      </c>
      <c r="I60" s="53">
        <f>((B60-C60)/B60)*100</f>
        <v/>
      </c>
      <c r="J60" s="53">
        <f>((C60-B61)/C60)*100</f>
        <v/>
      </c>
      <c r="K60" s="54" t="n"/>
      <c r="L60" s="55" t="n">
        <v>1.07024029574861</v>
      </c>
      <c r="M60" s="128" t="inlineStr">
        <is>
          <t>Normal</t>
        </is>
      </c>
      <c r="N60" s="55" t="n">
        <v>6.98</v>
      </c>
      <c r="O60" s="57">
        <f>N60/C60</f>
        <v/>
      </c>
      <c r="P60" s="58">
        <f>(Boosters_IOS!B60*100)/Boosters_And!N60</f>
        <v/>
      </c>
      <c r="Q60" s="58">
        <f>Boosters_IOS!B60/(C60+D60)</f>
        <v/>
      </c>
      <c r="R60" s="58">
        <f>Boosters_IOS!N60/B60</f>
        <v/>
      </c>
      <c r="S60" s="55" t="n">
        <v>3.86136783733826</v>
      </c>
      <c r="T60" s="55" t="n">
        <v>219</v>
      </c>
      <c r="U60" s="121" t="n">
        <v>1310425.35291591</v>
      </c>
      <c r="V60" s="122" t="n">
        <v>0.001388888888888889</v>
      </c>
      <c r="W60" s="123" t="n">
        <v>9349.037318999999</v>
      </c>
      <c r="X60" s="123" t="n">
        <v>9349.037318999999</v>
      </c>
      <c r="Y60" s="123" t="n">
        <v>11.46153846</v>
      </c>
      <c r="Z60" s="123" t="n">
        <v>158588.6515</v>
      </c>
      <c r="AA60" s="123" t="n">
        <v>0</v>
      </c>
      <c r="AB60" s="124" t="n">
        <v>0</v>
      </c>
      <c r="AC60" s="124" t="n">
        <v>0</v>
      </c>
      <c r="AD60" s="124" t="n">
        <v>0</v>
      </c>
      <c r="AE60" s="124" t="n">
        <v>0</v>
      </c>
      <c r="AF60" s="124" t="n">
        <v>0</v>
      </c>
      <c r="AG60" s="124" t="n">
        <v>0</v>
      </c>
      <c r="AH60" s="124" t="n">
        <v>0</v>
      </c>
      <c r="AI60" s="124" t="n">
        <v>0</v>
      </c>
      <c r="AJ60" s="124">
        <f>AB60+AC60+AD60+AE60+AF60+AG60+AH60+AI60</f>
        <v/>
      </c>
      <c r="AK60" s="59">
        <f>AL60/C60</f>
        <v/>
      </c>
      <c r="AL60" s="55" t="n">
        <v>260280</v>
      </c>
    </row>
    <row r="61" ht="22.5" customHeight="1" s="150">
      <c r="A61" s="34" t="n">
        <v>59</v>
      </c>
      <c r="B61" s="50" t="n">
        <v>1390</v>
      </c>
      <c r="C61" s="50" t="n">
        <v>1364</v>
      </c>
      <c r="D61" s="50" t="n">
        <v>493</v>
      </c>
      <c r="E61" s="50" t="n">
        <v>475</v>
      </c>
      <c r="F61" s="51">
        <f>(C61*100)/B61</f>
        <v/>
      </c>
      <c r="G61" s="51">
        <f>(D61*100)/B61</f>
        <v/>
      </c>
      <c r="H61" s="53">
        <f>((B61-B62)/B61)*100</f>
        <v/>
      </c>
      <c r="I61" s="53">
        <f>((B61-C61)/B61)*100</f>
        <v/>
      </c>
      <c r="J61" s="53">
        <f>((C61-B62)/C61)*100</f>
        <v/>
      </c>
      <c r="K61" s="54" t="n"/>
      <c r="L61" s="55" t="n">
        <v>1.41698113207547</v>
      </c>
      <c r="M61" s="120" t="inlineStr">
        <is>
          <t>Normal</t>
        </is>
      </c>
      <c r="N61" s="55" t="n">
        <v>26.23</v>
      </c>
      <c r="O61" s="57">
        <f>N61/C61</f>
        <v/>
      </c>
      <c r="P61" s="58">
        <f>(Boosters_IOS!B61*100)/Boosters_And!N61</f>
        <v/>
      </c>
      <c r="Q61" s="58">
        <f>Boosters_IOS!B61/(C61+D61)</f>
        <v/>
      </c>
      <c r="R61" s="58">
        <f>Boosters_IOS!N61/B61</f>
        <v/>
      </c>
      <c r="S61" s="55" t="n">
        <v>4.9754716981132</v>
      </c>
      <c r="T61" s="55" t="n">
        <v>320</v>
      </c>
      <c r="U61" s="121" t="n">
        <v>1176324.99940766</v>
      </c>
      <c r="V61" s="122" t="n">
        <v>0.001736111111111111</v>
      </c>
      <c r="W61" s="123" t="n">
        <v>12022.655</v>
      </c>
      <c r="X61" s="123" t="n">
        <v>11962.28299</v>
      </c>
      <c r="Y61" s="123" t="n">
        <v>8.538461538</v>
      </c>
      <c r="Z61" s="123" t="n">
        <v>136854.7271</v>
      </c>
      <c r="AA61" s="123" t="n">
        <v>24148.80488</v>
      </c>
      <c r="AB61" s="124" t="n">
        <v>0</v>
      </c>
      <c r="AC61" s="124" t="n">
        <v>0</v>
      </c>
      <c r="AD61" s="124" t="n">
        <v>0</v>
      </c>
      <c r="AE61" s="124" t="n">
        <v>0</v>
      </c>
      <c r="AF61" s="124" t="n">
        <v>0</v>
      </c>
      <c r="AG61" s="124" t="n">
        <v>0</v>
      </c>
      <c r="AH61" s="124" t="n">
        <v>0</v>
      </c>
      <c r="AI61" s="124" t="n">
        <v>0</v>
      </c>
      <c r="AJ61" s="124">
        <f>AB61+AC61+AD61+AE61+AF61+AG61+AH61+AI61</f>
        <v/>
      </c>
      <c r="AK61" s="59">
        <f>AL61/C61</f>
        <v/>
      </c>
      <c r="AL61" s="55" t="n">
        <v>227150</v>
      </c>
    </row>
    <row r="62" ht="22.5" customHeight="1" s="150">
      <c r="A62" s="34" t="n">
        <v>60</v>
      </c>
      <c r="B62" s="50" t="n">
        <v>1359</v>
      </c>
      <c r="C62" s="50" t="n">
        <v>1352</v>
      </c>
      <c r="D62" s="50" t="n">
        <v>126</v>
      </c>
      <c r="E62" s="50" t="n">
        <v>111</v>
      </c>
      <c r="F62" s="51">
        <f>(C62*100)/B62</f>
        <v/>
      </c>
      <c r="G62" s="51">
        <f>(D62*100)/B62</f>
        <v/>
      </c>
      <c r="H62" s="53">
        <f>((B62-B63)/B62)*100</f>
        <v/>
      </c>
      <c r="I62" s="53">
        <f>((B62-C62)/B62)*100</f>
        <v/>
      </c>
      <c r="J62" s="53">
        <f>((C62-B63)/C62)*100</f>
        <v/>
      </c>
      <c r="K62" s="54" t="n"/>
      <c r="L62" s="55" t="n">
        <v>1.08380952380952</v>
      </c>
      <c r="M62" s="128" t="inlineStr">
        <is>
          <t>Normal</t>
        </is>
      </c>
      <c r="N62" s="55" t="n">
        <v>4.48</v>
      </c>
      <c r="O62" s="57">
        <f>N62/C62</f>
        <v/>
      </c>
      <c r="P62" s="58">
        <f>(Boosters_IOS!B62*100)/Boosters_And!N62</f>
        <v/>
      </c>
      <c r="Q62" s="58">
        <f>Boosters_IOS!B62/(C62+D62)</f>
        <v/>
      </c>
      <c r="R62" s="58">
        <f>Boosters_IOS!N62/B62</f>
        <v/>
      </c>
      <c r="S62" s="55" t="n">
        <v>9.076190476190471</v>
      </c>
      <c r="T62" s="55" t="n">
        <v>230</v>
      </c>
      <c r="U62" s="121" t="n">
        <v>1200501.23740406</v>
      </c>
      <c r="V62" s="122" t="n">
        <v>0.001388888888888889</v>
      </c>
      <c r="W62" s="123" t="n">
        <v>10047.62775</v>
      </c>
      <c r="X62" s="123" t="n">
        <v>10047.62775</v>
      </c>
      <c r="Y62" s="123" t="n">
        <v>3</v>
      </c>
      <c r="Z62" s="123" t="n">
        <v>140304.5564</v>
      </c>
      <c r="AA62" s="123" t="n">
        <v>0</v>
      </c>
      <c r="AB62" s="124" t="n">
        <v>0</v>
      </c>
      <c r="AC62" s="124" t="n">
        <v>0</v>
      </c>
      <c r="AD62" s="124" t="n">
        <v>0</v>
      </c>
      <c r="AE62" s="124" t="n">
        <v>0</v>
      </c>
      <c r="AF62" s="124" t="n">
        <v>0</v>
      </c>
      <c r="AG62" s="124" t="n">
        <v>0</v>
      </c>
      <c r="AH62" s="124" t="n">
        <v>0</v>
      </c>
      <c r="AI62" s="124" t="n">
        <v>0</v>
      </c>
      <c r="AJ62" s="124">
        <f>AB62+AC62+AD62+AE62+AF62+AG62+AH62+AI62</f>
        <v/>
      </c>
      <c r="AK62" s="59">
        <f>AL62/C62</f>
        <v/>
      </c>
      <c r="AL62" s="55" t="n">
        <v>237170</v>
      </c>
    </row>
    <row r="63" ht="22.5" customHeight="1" s="150">
      <c r="A63" s="34" t="n">
        <v>61</v>
      </c>
      <c r="B63" s="50" t="n">
        <v>1352</v>
      </c>
      <c r="C63" s="50" t="n">
        <v>1326</v>
      </c>
      <c r="D63" s="50" t="n">
        <v>482</v>
      </c>
      <c r="E63" s="50" t="n">
        <v>482</v>
      </c>
      <c r="F63" s="51">
        <f>(C63*100)/B63</f>
        <v/>
      </c>
      <c r="G63" s="51">
        <f>(D63*100)/B63</f>
        <v/>
      </c>
      <c r="H63" s="53">
        <f>((B63-B64)/B63)*100</f>
        <v/>
      </c>
      <c r="I63" s="53">
        <f>((B63-C63)/B63)*100</f>
        <v/>
      </c>
      <c r="J63" s="53">
        <f>((C63-B64)/C63)*100</f>
        <v/>
      </c>
      <c r="K63" s="54" t="n"/>
      <c r="L63" s="55" t="n">
        <v>1.47868217054263</v>
      </c>
      <c r="M63" s="129" t="inlineStr">
        <is>
          <t>Hard</t>
        </is>
      </c>
      <c r="N63" s="55" t="n">
        <v>29.29</v>
      </c>
      <c r="O63" s="57">
        <f>N63/C63</f>
        <v/>
      </c>
      <c r="P63" s="58">
        <f>(Boosters_IOS!B63*100)/Boosters_And!N63</f>
        <v/>
      </c>
      <c r="Q63" s="58">
        <f>Boosters_IOS!B63/(C63+D63)</f>
        <v/>
      </c>
      <c r="R63" s="58">
        <f>Boosters_IOS!N63/B63</f>
        <v/>
      </c>
      <c r="S63" s="55" t="n">
        <v>5.12984496124031</v>
      </c>
      <c r="T63" s="55" t="n">
        <v>302</v>
      </c>
      <c r="U63" s="121" t="n">
        <v>1191104.66906725</v>
      </c>
      <c r="V63" s="122" t="n">
        <v>0.001041666666666667</v>
      </c>
      <c r="W63" s="123" t="n">
        <v>4579.648355</v>
      </c>
      <c r="X63" s="123" t="n">
        <v>4579.648355</v>
      </c>
      <c r="Y63" s="123" t="n">
        <v>7.615384615</v>
      </c>
      <c r="Z63" s="123" t="n">
        <v>145479.3003</v>
      </c>
      <c r="AA63" s="123" t="n">
        <v>0</v>
      </c>
      <c r="AB63" s="124" t="n">
        <v>0</v>
      </c>
      <c r="AC63" s="124" t="n">
        <v>0</v>
      </c>
      <c r="AD63" s="124" t="n">
        <v>0</v>
      </c>
      <c r="AE63" s="124" t="n">
        <v>0</v>
      </c>
      <c r="AF63" s="124" t="n">
        <v>0</v>
      </c>
      <c r="AG63" s="124" t="n">
        <v>0</v>
      </c>
      <c r="AH63" s="124" t="n">
        <v>0</v>
      </c>
      <c r="AI63" s="124" t="n">
        <v>0</v>
      </c>
      <c r="AJ63" s="124">
        <f>AB63+AC63+AD63+AE63+AF63+AG63+AH63+AI63</f>
        <v/>
      </c>
      <c r="AK63" s="59">
        <f>AL63/C63</f>
        <v/>
      </c>
      <c r="AL63" s="55" t="n">
        <v>221700</v>
      </c>
    </row>
    <row r="64" ht="22.5" customHeight="1" s="150">
      <c r="A64" s="34" t="n">
        <v>62</v>
      </c>
      <c r="B64" s="50" t="n">
        <v>1321</v>
      </c>
      <c r="C64" s="50" t="n">
        <v>1282</v>
      </c>
      <c r="D64" s="50" t="n">
        <v>379</v>
      </c>
      <c r="E64" s="50" t="n">
        <v>351</v>
      </c>
      <c r="F64" s="51">
        <f>(C64*100)/B64</f>
        <v/>
      </c>
      <c r="G64" s="51">
        <f>(D64*100)/B64</f>
        <v/>
      </c>
      <c r="H64" s="53">
        <f>((B64-B65)/B64)*100</f>
        <v/>
      </c>
      <c r="I64" s="53">
        <f>((B64-C64)/B64)*100</f>
        <v/>
      </c>
      <c r="J64" s="53">
        <f>((C64-B65)/C64)*100</f>
        <v/>
      </c>
      <c r="K64" s="54" t="n"/>
      <c r="L64" s="55" t="n">
        <v>1.23046092184368</v>
      </c>
      <c r="M64" s="131" t="inlineStr">
        <is>
          <t>Very Hard</t>
        </is>
      </c>
      <c r="N64" s="55" t="n">
        <v>18.42</v>
      </c>
      <c r="O64" s="57">
        <f>N64/C64</f>
        <v/>
      </c>
      <c r="P64" s="58">
        <f>(Boosters_IOS!B64*100)/Boosters_And!N64</f>
        <v/>
      </c>
      <c r="Q64" s="58">
        <f>Boosters_IOS!B64/(C64+D64)</f>
        <v/>
      </c>
      <c r="R64" s="58">
        <f>Boosters_IOS!N64/B64</f>
        <v/>
      </c>
      <c r="S64" s="55" t="n">
        <v>3.61523046092184</v>
      </c>
      <c r="T64" s="55" t="n">
        <v>294</v>
      </c>
      <c r="U64" s="121" t="n">
        <v>1168690.12642469</v>
      </c>
      <c r="V64" s="122" t="n">
        <v>0.001041666666666667</v>
      </c>
      <c r="W64" s="123" t="n">
        <v>7106.648294</v>
      </c>
      <c r="X64" s="123" t="n">
        <v>7106.648294</v>
      </c>
      <c r="Y64" s="123" t="n">
        <v>5.923076923</v>
      </c>
      <c r="Z64" s="123" t="n">
        <v>149015.3753</v>
      </c>
      <c r="AA64" s="123" t="n">
        <v>0</v>
      </c>
      <c r="AB64" s="124" t="n">
        <v>0</v>
      </c>
      <c r="AC64" s="124" t="n">
        <v>0</v>
      </c>
      <c r="AD64" s="124" t="n">
        <v>0</v>
      </c>
      <c r="AE64" s="124" t="n">
        <v>0</v>
      </c>
      <c r="AF64" s="124" t="n">
        <v>0</v>
      </c>
      <c r="AG64" s="124" t="n">
        <v>0</v>
      </c>
      <c r="AH64" s="124" t="n">
        <v>0</v>
      </c>
      <c r="AI64" s="124" t="n">
        <v>0</v>
      </c>
      <c r="AJ64" s="124">
        <f>AB64+AC64+AD64+AE64+AF64+AG64+AH64+AI64</f>
        <v/>
      </c>
      <c r="AK64" s="59">
        <f>AL64/C64</f>
        <v/>
      </c>
      <c r="AL64" s="55" t="n">
        <v>211503</v>
      </c>
    </row>
    <row r="65" ht="22.5" customHeight="1" s="150">
      <c r="A65" s="65" t="n">
        <v>63</v>
      </c>
      <c r="B65" s="50" t="n">
        <v>1272</v>
      </c>
      <c r="C65" s="50" t="n">
        <v>1269</v>
      </c>
      <c r="D65" s="50" t="n">
        <v>8</v>
      </c>
      <c r="E65" s="50" t="n">
        <v>5</v>
      </c>
      <c r="F65" s="51">
        <f>(C65*100)/B65</f>
        <v/>
      </c>
      <c r="G65" s="51">
        <f>(D65*100)/B65</f>
        <v/>
      </c>
      <c r="H65" s="53">
        <f>((B65-B66)/B65)*100</f>
        <v/>
      </c>
      <c r="I65" s="53">
        <f>((B65-C65)/B65)*100</f>
        <v/>
      </c>
      <c r="J65" s="53">
        <f>((C65-B66)/C65)*100</f>
        <v/>
      </c>
      <c r="K65" s="54" t="n"/>
      <c r="L65" s="55" t="n">
        <v>1.01622718052738</v>
      </c>
      <c r="M65" s="120" t="inlineStr">
        <is>
          <t>Normal</t>
        </is>
      </c>
      <c r="N65" s="55" t="n">
        <v>0</v>
      </c>
      <c r="O65" s="57">
        <f>N65/C65</f>
        <v/>
      </c>
      <c r="P65" s="58">
        <f>(Boosters_IOS!B65*100)/Boosters_And!N65</f>
        <v/>
      </c>
      <c r="Q65" s="58">
        <f>Boosters_IOS!B65/(C65+D65)</f>
        <v/>
      </c>
      <c r="R65" s="58">
        <f>Boosters_IOS!N65/B65</f>
        <v/>
      </c>
      <c r="S65" s="55" t="n">
        <v>4.43204868154158</v>
      </c>
      <c r="T65" s="55" t="n">
        <v>206</v>
      </c>
      <c r="U65" s="121" t="n">
        <v>1249926.72257284</v>
      </c>
      <c r="V65" s="122" t="n">
        <v>0.002662037037037037</v>
      </c>
      <c r="W65" s="123" t="n">
        <v>16274.56958</v>
      </c>
      <c r="X65" s="123" t="n">
        <v>16084.82897</v>
      </c>
      <c r="Y65" s="123" t="n">
        <v>6.6</v>
      </c>
      <c r="Z65" s="123" t="n">
        <v>122037.7104</v>
      </c>
      <c r="AA65" s="123" t="n">
        <v>7762.115855</v>
      </c>
      <c r="AB65" s="124" t="n">
        <v>0</v>
      </c>
      <c r="AC65" s="124" t="n">
        <v>0</v>
      </c>
      <c r="AD65" s="124" t="n">
        <v>0</v>
      </c>
      <c r="AE65" s="124" t="n">
        <v>0</v>
      </c>
      <c r="AF65" s="124" t="n">
        <v>0</v>
      </c>
      <c r="AG65" s="124" t="n">
        <v>0</v>
      </c>
      <c r="AH65" s="124" t="n">
        <v>0</v>
      </c>
      <c r="AI65" s="124" t="n">
        <v>0</v>
      </c>
      <c r="AJ65" s="124">
        <f>AB65+AC65+AD65+AE65+AF65+AG65+AH65+AI65</f>
        <v/>
      </c>
      <c r="AK65" s="59">
        <f>AL65/C65</f>
        <v/>
      </c>
      <c r="AL65" s="55" t="n">
        <v>227038</v>
      </c>
    </row>
    <row r="66" ht="22.5" customHeight="1" s="150">
      <c r="A66" s="65" t="n">
        <v>64</v>
      </c>
      <c r="B66" s="50" t="n">
        <v>1259</v>
      </c>
      <c r="C66" s="50" t="n">
        <v>1251</v>
      </c>
      <c r="D66" s="50" t="n">
        <v>242</v>
      </c>
      <c r="E66" s="50" t="n">
        <v>227</v>
      </c>
      <c r="F66" s="51">
        <f>(C66*100)/B66</f>
        <v/>
      </c>
      <c r="G66" s="51">
        <f>(D66*100)/B66</f>
        <v/>
      </c>
      <c r="H66" s="53">
        <f>((B66-B67)/B66)*100</f>
        <v/>
      </c>
      <c r="I66" s="53">
        <f>((B66-C66)/B66)*100</f>
        <v/>
      </c>
      <c r="J66" s="53">
        <f>((C66-B67)/C66)*100</f>
        <v/>
      </c>
      <c r="K66" s="54" t="n"/>
      <c r="L66" s="55" t="n">
        <v>1.18685831622176</v>
      </c>
      <c r="M66" s="128" t="inlineStr">
        <is>
          <t>Normal</t>
        </is>
      </c>
      <c r="N66" s="55" t="n">
        <v>11.47</v>
      </c>
      <c r="O66" s="57">
        <f>N66/C66</f>
        <v/>
      </c>
      <c r="P66" s="58">
        <f>(Boosters_IOS!B66*100)/Boosters_And!N66</f>
        <v/>
      </c>
      <c r="Q66" s="58">
        <f>Boosters_IOS!B66/(C66+D66)</f>
        <v/>
      </c>
      <c r="R66" s="58">
        <f>Boosters_IOS!N66/B66</f>
        <v/>
      </c>
      <c r="S66" s="55" t="n">
        <v>4.79055441478439</v>
      </c>
      <c r="T66" s="55" t="n">
        <v>237</v>
      </c>
      <c r="U66" s="121" t="n">
        <v>1203356.57672573</v>
      </c>
      <c r="V66" s="122" t="n">
        <v>0.001388888888888889</v>
      </c>
      <c r="W66" s="123" t="n">
        <v>8538.327440999999</v>
      </c>
      <c r="X66" s="123" t="n">
        <v>8538.327440999999</v>
      </c>
      <c r="Y66" s="123" t="n">
        <v>2.1</v>
      </c>
      <c r="Z66" s="123" t="n">
        <v>127384.9458</v>
      </c>
      <c r="AA66" s="123" t="n">
        <v>0</v>
      </c>
      <c r="AB66" s="124" t="n">
        <v>0</v>
      </c>
      <c r="AC66" s="124" t="n">
        <v>0</v>
      </c>
      <c r="AD66" s="124" t="n">
        <v>0</v>
      </c>
      <c r="AE66" s="124" t="n">
        <v>0</v>
      </c>
      <c r="AF66" s="124" t="n">
        <v>0</v>
      </c>
      <c r="AG66" s="124" t="n">
        <v>0</v>
      </c>
      <c r="AH66" s="124" t="n">
        <v>0</v>
      </c>
      <c r="AI66" s="124" t="n">
        <v>0</v>
      </c>
      <c r="AJ66" s="124">
        <f>AB66+AC66+AD66+AE66+AF66+AG66+AH66+AI66</f>
        <v/>
      </c>
      <c r="AK66" s="59">
        <f>AL66/C66</f>
        <v/>
      </c>
      <c r="AL66" s="55" t="n">
        <v>229978</v>
      </c>
    </row>
    <row r="67" ht="22.5" customHeight="1" s="150">
      <c r="A67" s="77" t="n">
        <v>65</v>
      </c>
      <c r="B67" s="50" t="n">
        <v>1254</v>
      </c>
      <c r="C67" s="50" t="n">
        <v>975</v>
      </c>
      <c r="D67" s="50" t="n">
        <v>846</v>
      </c>
      <c r="E67" s="50" t="n">
        <v>722</v>
      </c>
      <c r="F67" s="51">
        <f>(C67*100)/B67</f>
        <v/>
      </c>
      <c r="G67" s="51">
        <f>(D67*100)/B67</f>
        <v/>
      </c>
      <c r="H67" s="53">
        <f>((B67-B68)/B67)*100</f>
        <v/>
      </c>
      <c r="I67" s="53">
        <f>((B67-C67)/B67)*100</f>
        <v/>
      </c>
      <c r="J67" s="53">
        <f>((C67-B68)/C67)*100</f>
        <v/>
      </c>
      <c r="K67" s="54" t="n"/>
      <c r="L67" s="55" t="n">
        <v>2.66137566137566</v>
      </c>
      <c r="M67" s="120" t="inlineStr">
        <is>
          <t>Normal</t>
        </is>
      </c>
      <c r="N67" s="55" t="n">
        <v>327.48</v>
      </c>
      <c r="O67" s="57">
        <f>N67/C67</f>
        <v/>
      </c>
      <c r="P67" s="58">
        <f>(Boosters_IOS!B67*100)/Boosters_And!N67</f>
        <v/>
      </c>
      <c r="Q67" s="58">
        <f>Boosters_IOS!B67/(C67+D67)</f>
        <v/>
      </c>
      <c r="R67" s="58">
        <f>Boosters_IOS!N67/B67</f>
        <v/>
      </c>
      <c r="S67" s="55" t="n">
        <v>7.08994708994709</v>
      </c>
      <c r="T67" s="55" t="n">
        <v>655</v>
      </c>
      <c r="U67" s="121" t="n">
        <v>838288.418737851</v>
      </c>
      <c r="V67" s="122" t="n">
        <v>0.001157407407407407</v>
      </c>
      <c r="W67" s="123" t="n">
        <v>3794.812196</v>
      </c>
      <c r="X67" s="123" t="n">
        <v>3794.812196</v>
      </c>
      <c r="Y67" s="123" t="n">
        <v>6.8</v>
      </c>
      <c r="Z67" s="123" t="n">
        <v>130144.8092</v>
      </c>
      <c r="AA67" s="123" t="n">
        <v>0</v>
      </c>
      <c r="AB67" s="124" t="n">
        <v>0</v>
      </c>
      <c r="AC67" s="124" t="n">
        <v>0</v>
      </c>
      <c r="AD67" s="124" t="n">
        <v>0</v>
      </c>
      <c r="AE67" s="124" t="n">
        <v>0</v>
      </c>
      <c r="AF67" s="124" t="n">
        <v>0</v>
      </c>
      <c r="AG67" s="124" t="n">
        <v>0</v>
      </c>
      <c r="AH67" s="124" t="n">
        <v>0</v>
      </c>
      <c r="AI67" s="124" t="n">
        <v>0</v>
      </c>
      <c r="AJ67" s="124">
        <f>AB67+AC67+AD67+AE67+AF67+AG67+AH67+AI67</f>
        <v/>
      </c>
      <c r="AK67" s="59">
        <f>AL67/C67</f>
        <v/>
      </c>
      <c r="AL67" s="55" t="n">
        <v>205718</v>
      </c>
    </row>
    <row r="68" ht="22.5" customHeight="1" s="150">
      <c r="A68" s="34" t="n">
        <v>66</v>
      </c>
      <c r="B68" s="50" t="n">
        <v>980</v>
      </c>
      <c r="C68" s="50" t="n">
        <v>975</v>
      </c>
      <c r="D68" s="50" t="n">
        <v>8</v>
      </c>
      <c r="E68" s="50" t="n">
        <v>10</v>
      </c>
      <c r="F68" s="51">
        <f>(C68*100)/B68</f>
        <v/>
      </c>
      <c r="G68" s="51">
        <f>(D68*100)/B68</f>
        <v/>
      </c>
      <c r="H68" s="53">
        <f>((B68-B69)/B68)*100</f>
        <v/>
      </c>
      <c r="I68" s="53">
        <f>((B68-C68)/B68)*100</f>
        <v/>
      </c>
      <c r="J68" s="53">
        <f>((C68-B69)/C68)*100</f>
        <v/>
      </c>
      <c r="K68" s="54" t="n"/>
      <c r="L68" s="55" t="n">
        <v>1.01058201058201</v>
      </c>
      <c r="M68" s="128" t="inlineStr">
        <is>
          <t>Normal</t>
        </is>
      </c>
      <c r="N68" s="55" t="n">
        <v>0</v>
      </c>
      <c r="O68" s="57">
        <f>N68/C68</f>
        <v/>
      </c>
      <c r="P68" s="58">
        <f>(Boosters_IOS!B68*100)/Boosters_And!N68</f>
        <v/>
      </c>
      <c r="Q68" s="58">
        <f>Boosters_IOS!B68/(C68+D68)</f>
        <v/>
      </c>
      <c r="R68" s="58">
        <f>Boosters_IOS!N68/B68</f>
        <v/>
      </c>
      <c r="S68" s="55" t="n">
        <v>5.25925925925925</v>
      </c>
      <c r="T68" s="55" t="n">
        <v>165</v>
      </c>
      <c r="U68" s="121" t="n">
        <v>905583.633645145</v>
      </c>
      <c r="V68" s="122" t="n">
        <v>0.001736111111111111</v>
      </c>
      <c r="W68" s="123" t="n">
        <v>7874.235307</v>
      </c>
      <c r="X68" s="123" t="n">
        <v>7874.235307</v>
      </c>
      <c r="Y68" s="123" t="n">
        <v>5.4</v>
      </c>
      <c r="Z68" s="123" t="n">
        <v>132042.2153</v>
      </c>
      <c r="AA68" s="123" t="n">
        <v>0</v>
      </c>
      <c r="AB68" s="124" t="n">
        <v>0</v>
      </c>
      <c r="AC68" s="124" t="n">
        <v>0</v>
      </c>
      <c r="AD68" s="124" t="n">
        <v>0</v>
      </c>
      <c r="AE68" s="124" t="n">
        <v>0</v>
      </c>
      <c r="AF68" s="124" t="n">
        <v>0</v>
      </c>
      <c r="AG68" s="124" t="n">
        <v>0</v>
      </c>
      <c r="AH68" s="124" t="n">
        <v>0</v>
      </c>
      <c r="AI68" s="124" t="n">
        <v>0</v>
      </c>
      <c r="AJ68" s="124">
        <f>AB68+AC68+AD68+AE68+AF68+AG68+AH68+AI68</f>
        <v/>
      </c>
      <c r="AK68" s="59">
        <f>AL68/C68</f>
        <v/>
      </c>
      <c r="AL68" s="55" t="n">
        <v>215968</v>
      </c>
    </row>
    <row r="69" ht="22.5" customHeight="1" s="150">
      <c r="A69" s="34" t="n">
        <v>67</v>
      </c>
      <c r="B69" s="50" t="n">
        <v>978</v>
      </c>
      <c r="C69" s="50" t="n">
        <v>967</v>
      </c>
      <c r="D69" s="50" t="n">
        <v>113</v>
      </c>
      <c r="E69" s="50" t="n">
        <v>147</v>
      </c>
      <c r="F69" s="51">
        <f>(C69*100)/B69</f>
        <v/>
      </c>
      <c r="G69" s="51">
        <f>(D69*100)/B69</f>
        <v/>
      </c>
      <c r="H69" s="53">
        <f>((B69-B70)/B69)*100</f>
        <v/>
      </c>
      <c r="I69" s="53">
        <f>((B69-C69)/B69)*100</f>
        <v/>
      </c>
      <c r="J69" s="53">
        <f>((C69-B70)/C69)*100</f>
        <v/>
      </c>
      <c r="K69" s="54" t="n"/>
      <c r="L69" s="55" t="n">
        <v>1.144</v>
      </c>
      <c r="M69" s="120" t="inlineStr">
        <is>
          <t>Normal</t>
        </is>
      </c>
      <c r="N69" s="55" t="n">
        <v>18.45</v>
      </c>
      <c r="O69" s="57">
        <f>N69/C69</f>
        <v/>
      </c>
      <c r="P69" s="58">
        <f>(Boosters_IOS!B69*100)/Boosters_And!N69</f>
        <v/>
      </c>
      <c r="Q69" s="58">
        <f>Boosters_IOS!B69/(C69+D69)</f>
        <v/>
      </c>
      <c r="R69" s="58">
        <f>Boosters_IOS!N69/B69</f>
        <v/>
      </c>
      <c r="S69" s="55" t="n">
        <v>14.7359999999999</v>
      </c>
      <c r="T69" s="55" t="n">
        <v>193</v>
      </c>
      <c r="U69" s="121" t="n">
        <v>879119.513102836</v>
      </c>
      <c r="V69" s="122" t="n">
        <v>0.0015625</v>
      </c>
      <c r="W69" s="123" t="n">
        <v>7167.020307</v>
      </c>
      <c r="X69" s="123" t="n">
        <v>7167.020307</v>
      </c>
      <c r="Y69" s="123" t="n">
        <v>2.8</v>
      </c>
      <c r="Z69" s="123" t="n">
        <v>120140.3043</v>
      </c>
      <c r="AA69" s="123" t="n">
        <v>0</v>
      </c>
      <c r="AB69" s="124" t="n">
        <v>0</v>
      </c>
      <c r="AC69" s="124" t="n">
        <v>0</v>
      </c>
      <c r="AD69" s="124" t="n">
        <v>0</v>
      </c>
      <c r="AE69" s="124" t="n">
        <v>0</v>
      </c>
      <c r="AF69" s="124" t="n">
        <v>0</v>
      </c>
      <c r="AG69" s="124" t="n">
        <v>0</v>
      </c>
      <c r="AH69" s="124" t="n">
        <v>0</v>
      </c>
      <c r="AI69" s="124" t="n">
        <v>0</v>
      </c>
      <c r="AJ69" s="124">
        <f>AB69+AC69+AD69+AE69+AF69+AG69+AH69+AI69</f>
        <v/>
      </c>
      <c r="AK69" s="59">
        <f>AL69/C69</f>
        <v/>
      </c>
      <c r="AL69" s="55" t="n">
        <v>218808</v>
      </c>
    </row>
    <row r="70" ht="22.5" customHeight="1" s="150">
      <c r="A70" s="65" t="n">
        <v>68</v>
      </c>
      <c r="B70" s="50" t="n">
        <v>978</v>
      </c>
      <c r="C70" s="50" t="n">
        <v>975</v>
      </c>
      <c r="D70" s="50" t="n">
        <v>144</v>
      </c>
      <c r="E70" s="50" t="n">
        <v>165</v>
      </c>
      <c r="F70" s="51">
        <f>(C70*100)/B70</f>
        <v/>
      </c>
      <c r="G70" s="51">
        <f>(D70*100)/B70</f>
        <v/>
      </c>
      <c r="H70" s="53">
        <f>((B70-B71)/B70)*100</f>
        <v/>
      </c>
      <c r="I70" s="53">
        <f>((B70-C70)/B70)*100</f>
        <v/>
      </c>
      <c r="J70" s="53">
        <f>((C70-B71)/C70)*100</f>
        <v/>
      </c>
      <c r="K70" s="54" t="n"/>
      <c r="L70" s="55" t="n">
        <v>1.12698412698412</v>
      </c>
      <c r="M70" s="128" t="inlineStr">
        <is>
          <t>Normal</t>
        </is>
      </c>
      <c r="N70" s="55" t="n">
        <v>22.93</v>
      </c>
      <c r="O70" s="57">
        <f>N70/C70</f>
        <v/>
      </c>
      <c r="P70" s="58">
        <f>(Boosters_IOS!B70*100)/Boosters_And!N70</f>
        <v/>
      </c>
      <c r="Q70" s="58">
        <f>Boosters_IOS!B70/(C70+D70)</f>
        <v/>
      </c>
      <c r="R70" s="58">
        <f>Boosters_IOS!N70/B70</f>
        <v/>
      </c>
      <c r="S70" s="55" t="n">
        <v>6.1031746031746</v>
      </c>
      <c r="T70" s="55" t="n">
        <v>193</v>
      </c>
      <c r="U70" s="121" t="n">
        <v>901908.0613476021</v>
      </c>
      <c r="V70" s="122" t="n">
        <v>0.001967592592592592</v>
      </c>
      <c r="W70" s="123" t="n">
        <v>12022.655</v>
      </c>
      <c r="X70" s="123" t="n">
        <v>11884.66183</v>
      </c>
      <c r="Y70" s="123" t="n">
        <v>9.4</v>
      </c>
      <c r="Z70" s="123" t="n">
        <v>119450.3384</v>
      </c>
      <c r="AA70" s="123" t="n">
        <v>7762.115855</v>
      </c>
      <c r="AB70" s="124" t="n">
        <v>0</v>
      </c>
      <c r="AC70" s="124" t="n">
        <v>0</v>
      </c>
      <c r="AD70" s="124" t="n">
        <v>0</v>
      </c>
      <c r="AE70" s="124" t="n">
        <v>0</v>
      </c>
      <c r="AF70" s="124" t="n">
        <v>0</v>
      </c>
      <c r="AG70" s="124" t="n">
        <v>0</v>
      </c>
      <c r="AH70" s="124" t="n">
        <v>0</v>
      </c>
      <c r="AI70" s="124" t="n">
        <v>0</v>
      </c>
      <c r="AJ70" s="124">
        <f>AB70+AC70+AD70+AE70+AF70+AG70+AH70+AI70</f>
        <v/>
      </c>
      <c r="AK70" s="59">
        <f>AL70/C70</f>
        <v/>
      </c>
      <c r="AL70" s="55" t="n">
        <v>218568</v>
      </c>
    </row>
    <row r="71" ht="22.5" customHeight="1" s="150">
      <c r="A71" s="34" t="n">
        <v>69</v>
      </c>
      <c r="B71" s="50" t="n">
        <v>975</v>
      </c>
      <c r="C71" s="50" t="n">
        <v>970</v>
      </c>
      <c r="D71" s="50" t="n">
        <v>113</v>
      </c>
      <c r="E71" s="50" t="n">
        <v>134</v>
      </c>
      <c r="F71" s="51">
        <f>(C71*100)/B71</f>
        <v/>
      </c>
      <c r="G71" s="51">
        <f>(D71*100)/B71</f>
        <v/>
      </c>
      <c r="H71" s="53">
        <f>((B71-B72)/B71)*100</f>
        <v/>
      </c>
      <c r="I71" s="53">
        <f>((B71-C71)/B71)*100</f>
        <v/>
      </c>
      <c r="J71" s="53">
        <f>((C71-B72)/C71)*100</f>
        <v/>
      </c>
      <c r="K71" s="54" t="n"/>
      <c r="L71" s="55" t="n">
        <v>1.11436170212765</v>
      </c>
      <c r="M71" s="120" t="inlineStr">
        <is>
          <t>Normal</t>
        </is>
      </c>
      <c r="N71" s="55" t="n">
        <v>23.66</v>
      </c>
      <c r="O71" s="57">
        <f>N71/C71</f>
        <v/>
      </c>
      <c r="P71" s="58">
        <f>(Boosters_IOS!B71*100)/Boosters_And!N71</f>
        <v/>
      </c>
      <c r="Q71" s="58">
        <f>Boosters_IOS!B71/(C71+D71)</f>
        <v/>
      </c>
      <c r="R71" s="58">
        <f>Boosters_IOS!N71/B71</f>
        <v/>
      </c>
      <c r="S71" s="55" t="n">
        <v>3.94414893617021</v>
      </c>
      <c r="T71" s="55" t="n">
        <v>196</v>
      </c>
      <c r="U71" s="121" t="n">
        <v>918106.372946598</v>
      </c>
      <c r="V71" s="122" t="n">
        <v>0.001157407407407407</v>
      </c>
      <c r="W71" s="123" t="n">
        <v>8788.440063</v>
      </c>
      <c r="X71" s="123" t="n">
        <v>8788.440063</v>
      </c>
      <c r="Y71" s="123" t="n">
        <v>2.8</v>
      </c>
      <c r="Z71" s="123" t="n">
        <v>124625.0823</v>
      </c>
      <c r="AA71" s="123" t="n">
        <v>0</v>
      </c>
      <c r="AB71" s="124" t="n">
        <v>0</v>
      </c>
      <c r="AC71" s="124" t="n">
        <v>0</v>
      </c>
      <c r="AD71" s="124" t="n">
        <v>0</v>
      </c>
      <c r="AE71" s="124" t="n">
        <v>0</v>
      </c>
      <c r="AF71" s="124" t="n">
        <v>0</v>
      </c>
      <c r="AG71" s="124" t="n">
        <v>0</v>
      </c>
      <c r="AH71" s="124" t="n">
        <v>0</v>
      </c>
      <c r="AI71" s="124" t="n">
        <v>0</v>
      </c>
      <c r="AJ71" s="124">
        <f>AB71+AC71+AD71+AE71+AF71+AG71+AH71+AI71</f>
        <v/>
      </c>
      <c r="AK71" s="59">
        <f>AL71/C71</f>
        <v/>
      </c>
      <c r="AL71" s="55" t="n">
        <v>225345</v>
      </c>
    </row>
    <row r="72" ht="22.5" customHeight="1" s="150">
      <c r="A72" s="34" t="n">
        <v>70</v>
      </c>
      <c r="B72" s="50" t="n">
        <v>970</v>
      </c>
      <c r="C72" s="50" t="n">
        <v>970</v>
      </c>
      <c r="D72" s="50" t="n">
        <v>21</v>
      </c>
      <c r="E72" s="50" t="n">
        <v>31</v>
      </c>
      <c r="F72" s="51">
        <f>(C72*100)/B72</f>
        <v/>
      </c>
      <c r="G72" s="51">
        <f>(D72*100)/B72</f>
        <v/>
      </c>
      <c r="H72" s="53">
        <f>((B72-B73)/B72)*100</f>
        <v/>
      </c>
      <c r="I72" s="53">
        <f>((B72-C72)/B72)*100</f>
        <v/>
      </c>
      <c r="J72" s="53">
        <f>((C72-B73)/C72)*100</f>
        <v/>
      </c>
      <c r="K72" s="54" t="n"/>
      <c r="L72" s="55" t="n">
        <v>1.04244031830238</v>
      </c>
      <c r="M72" s="128" t="inlineStr">
        <is>
          <t>Normal</t>
        </is>
      </c>
      <c r="N72" s="55" t="n">
        <v>6.49</v>
      </c>
      <c r="O72" s="57">
        <f>N72/C72</f>
        <v/>
      </c>
      <c r="P72" s="58">
        <f>(Boosters_IOS!B72*100)/Boosters_And!N72</f>
        <v/>
      </c>
      <c r="Q72" s="58">
        <f>Boosters_IOS!B72/(C72+D72)</f>
        <v/>
      </c>
      <c r="R72" s="58">
        <f>Boosters_IOS!N72/B72</f>
        <v/>
      </c>
      <c r="S72" s="55" t="n">
        <v>5.62334217506631</v>
      </c>
      <c r="T72" s="55" t="n">
        <v>173</v>
      </c>
      <c r="U72" s="121" t="n">
        <v>973214.163919934</v>
      </c>
      <c r="V72" s="122" t="n">
        <v>0.001388888888888889</v>
      </c>
      <c r="W72" s="123" t="n">
        <v>1733.539208</v>
      </c>
      <c r="X72" s="123" t="n">
        <v>1733.539208</v>
      </c>
      <c r="Y72" s="123" t="n">
        <v>4.8</v>
      </c>
      <c r="Z72" s="123" t="n">
        <v>129109.8604</v>
      </c>
      <c r="AA72" s="123" t="n">
        <v>0</v>
      </c>
      <c r="AB72" s="124" t="n">
        <v>0</v>
      </c>
      <c r="AC72" s="124" t="n">
        <v>0</v>
      </c>
      <c r="AD72" s="124" t="n">
        <v>0</v>
      </c>
      <c r="AE72" s="124" t="n">
        <v>0</v>
      </c>
      <c r="AF72" s="124" t="n">
        <v>0</v>
      </c>
      <c r="AG72" s="124" t="n">
        <v>0</v>
      </c>
      <c r="AH72" s="124" t="n">
        <v>0</v>
      </c>
      <c r="AI72" s="124" t="n">
        <v>0</v>
      </c>
      <c r="AJ72" s="124">
        <f>AB72+AC72+AD72+AE72+AF72+AG72+AH72+AI72</f>
        <v/>
      </c>
      <c r="AK72" s="59">
        <f>AL72/C72</f>
        <v/>
      </c>
      <c r="AL72" s="55" t="n">
        <v>235580</v>
      </c>
    </row>
    <row r="73" ht="22.5" customHeight="1" s="150">
      <c r="A73" s="34" t="n">
        <v>71</v>
      </c>
      <c r="B73" s="50" t="n">
        <v>965</v>
      </c>
      <c r="C73" s="50" t="n">
        <v>957</v>
      </c>
      <c r="D73" s="50" t="n">
        <v>80</v>
      </c>
      <c r="E73" s="50" t="n">
        <v>85</v>
      </c>
      <c r="F73" s="51">
        <f>(C73*100)/B73</f>
        <v/>
      </c>
      <c r="G73" s="51">
        <f>(D73*100)/B73</f>
        <v/>
      </c>
      <c r="H73" s="53">
        <f>((B73-B74)/B73)*100</f>
        <v/>
      </c>
      <c r="I73" s="53">
        <f>((B73-C73)/B73)*100</f>
        <v/>
      </c>
      <c r="J73" s="53">
        <f>((C73-B74)/C73)*100</f>
        <v/>
      </c>
      <c r="K73" s="54" t="n"/>
      <c r="L73" s="55" t="n">
        <v>1.09164420485175</v>
      </c>
      <c r="M73" s="120" t="inlineStr">
        <is>
          <t>Normal</t>
        </is>
      </c>
      <c r="N73" s="55" t="n">
        <v>10.04</v>
      </c>
      <c r="O73" s="57">
        <f>N73/C73</f>
        <v/>
      </c>
      <c r="P73" s="58">
        <f>(Boosters_IOS!B73*100)/Boosters_And!N73</f>
        <v/>
      </c>
      <c r="Q73" s="58">
        <f>Boosters_IOS!B73/(C73+D73)</f>
        <v/>
      </c>
      <c r="R73" s="58">
        <f>Boosters_IOS!N73/B73</f>
        <v/>
      </c>
      <c r="S73" s="55" t="n">
        <v>7.22911051212938</v>
      </c>
      <c r="T73" s="55" t="n">
        <v>204</v>
      </c>
      <c r="U73" s="121" t="n">
        <v>994235.858112898</v>
      </c>
      <c r="V73" s="122" t="n">
        <v>0.001736111111111111</v>
      </c>
      <c r="W73" s="123" t="n">
        <v>8176.095368</v>
      </c>
      <c r="X73" s="123" t="n">
        <v>8176.095368</v>
      </c>
      <c r="Y73" s="123" t="n">
        <v>2.7</v>
      </c>
      <c r="Z73" s="123" t="n">
        <v>140580.5427</v>
      </c>
      <c r="AA73" s="123" t="n">
        <v>0</v>
      </c>
      <c r="AB73" s="124" t="n">
        <v>0</v>
      </c>
      <c r="AC73" s="124" t="n">
        <v>0</v>
      </c>
      <c r="AD73" s="124" t="n">
        <v>0</v>
      </c>
      <c r="AE73" s="124" t="n">
        <v>0</v>
      </c>
      <c r="AF73" s="124" t="n">
        <v>0</v>
      </c>
      <c r="AG73" s="124" t="n">
        <v>0</v>
      </c>
      <c r="AH73" s="124" t="n">
        <v>0</v>
      </c>
      <c r="AI73" s="124" t="n">
        <v>0</v>
      </c>
      <c r="AJ73" s="124">
        <f>AB73+AC73+AD73+AE73+AF73+AG73+AH73+AI73</f>
        <v/>
      </c>
      <c r="AK73" s="59">
        <f>AL73/C73</f>
        <v/>
      </c>
      <c r="AL73" s="55" t="n">
        <v>235840</v>
      </c>
    </row>
    <row r="74" ht="22.5" customHeight="1" s="150">
      <c r="A74" s="34" t="n">
        <v>72</v>
      </c>
      <c r="B74" s="50" t="n">
        <v>965</v>
      </c>
      <c r="C74" s="50" t="n">
        <v>962</v>
      </c>
      <c r="D74" s="50" t="n">
        <v>5</v>
      </c>
      <c r="E74" s="50" t="n">
        <v>15</v>
      </c>
      <c r="F74" s="51">
        <f>(C74*100)/B74</f>
        <v/>
      </c>
      <c r="G74" s="51">
        <f>(D74*100)/B74</f>
        <v/>
      </c>
      <c r="H74" s="53">
        <f>((B74-B75)/B74)*100</f>
        <v/>
      </c>
      <c r="I74" s="53">
        <f>((B74-C74)/B74)*100</f>
        <v/>
      </c>
      <c r="J74" s="53">
        <f>((C74-B75)/C74)*100</f>
        <v/>
      </c>
      <c r="K74" s="54" t="n"/>
      <c r="L74" s="55" t="n">
        <v>1.01340482573726</v>
      </c>
      <c r="M74" s="128" t="inlineStr">
        <is>
          <t>Normal</t>
        </is>
      </c>
      <c r="N74" s="55" t="n">
        <v>0</v>
      </c>
      <c r="O74" s="57">
        <f>N74/C74</f>
        <v/>
      </c>
      <c r="P74" s="58">
        <f>(Boosters_IOS!B74*100)/Boosters_And!N74</f>
        <v/>
      </c>
      <c r="Q74" s="58">
        <f>Boosters_IOS!B74/(C74+D74)</f>
        <v/>
      </c>
      <c r="R74" s="58">
        <f>Boosters_IOS!N74/B74</f>
        <v/>
      </c>
      <c r="S74" s="55" t="n">
        <v>5.32975871313672</v>
      </c>
      <c r="T74" s="55" t="n">
        <v>173</v>
      </c>
      <c r="U74" s="121" t="n">
        <v>1058500.33796783</v>
      </c>
      <c r="V74" s="122" t="n">
        <v>0.001157407407407407</v>
      </c>
      <c r="W74" s="123" t="n">
        <v>4295.03744</v>
      </c>
      <c r="X74" s="123" t="n">
        <v>4295.03744</v>
      </c>
      <c r="Y74" s="123" t="n">
        <v>5.6</v>
      </c>
      <c r="Z74" s="123" t="n">
        <v>145927.7781</v>
      </c>
      <c r="AA74" s="123" t="n">
        <v>0</v>
      </c>
      <c r="AB74" s="124" t="n">
        <v>0</v>
      </c>
      <c r="AC74" s="124" t="n">
        <v>0</v>
      </c>
      <c r="AD74" s="124" t="n">
        <v>0</v>
      </c>
      <c r="AE74" s="124" t="n">
        <v>0</v>
      </c>
      <c r="AF74" s="124" t="n">
        <v>0</v>
      </c>
      <c r="AG74" s="124" t="n">
        <v>0</v>
      </c>
      <c r="AH74" s="124" t="n">
        <v>0</v>
      </c>
      <c r="AI74" s="124" t="n">
        <v>0</v>
      </c>
      <c r="AJ74" s="124">
        <f>AB74+AC74+AD74+AE74+AF74+AG74+AH74+AI74</f>
        <v/>
      </c>
      <c r="AK74" s="59">
        <f>AL74/C74</f>
        <v/>
      </c>
      <c r="AL74" s="55" t="n">
        <v>247780</v>
      </c>
    </row>
    <row r="75" ht="22.5" customHeight="1" s="150">
      <c r="A75" s="34" t="n">
        <v>73</v>
      </c>
      <c r="B75" s="50" t="n">
        <v>960</v>
      </c>
      <c r="C75" s="50" t="n">
        <v>954</v>
      </c>
      <c r="D75" s="50" t="n">
        <v>248</v>
      </c>
      <c r="E75" s="50" t="n">
        <v>209</v>
      </c>
      <c r="F75" s="51">
        <f>(C75*100)/B75</f>
        <v/>
      </c>
      <c r="G75" s="51">
        <f>(D75*100)/B75</f>
        <v/>
      </c>
      <c r="H75" s="53">
        <f>((B75-B76)/B75)*100</f>
        <v/>
      </c>
      <c r="I75" s="53">
        <f>((B75-C75)/B75)*100</f>
        <v/>
      </c>
      <c r="J75" s="53">
        <f>((C75-B76)/C75)*100</f>
        <v/>
      </c>
      <c r="K75" s="54" t="n"/>
      <c r="L75" s="55" t="n">
        <v>1.23513513513513</v>
      </c>
      <c r="M75" s="120" t="inlineStr">
        <is>
          <t>Normal</t>
        </is>
      </c>
      <c r="N75" s="55" t="n">
        <v>22.62</v>
      </c>
      <c r="O75" s="57">
        <f>N75/C75</f>
        <v/>
      </c>
      <c r="P75" s="58">
        <f>(Boosters_IOS!B75*100)/Boosters_And!N75</f>
        <v/>
      </c>
      <c r="Q75" s="58">
        <f>Boosters_IOS!B75/(C75+D75)</f>
        <v/>
      </c>
      <c r="R75" s="58">
        <f>Boosters_IOS!N75/B75</f>
        <v/>
      </c>
      <c r="S75" s="55" t="n">
        <v>4.0081081081081</v>
      </c>
      <c r="T75" s="55" t="n">
        <v>224</v>
      </c>
      <c r="U75" s="121" t="n">
        <v>959479.130597537</v>
      </c>
      <c r="V75" s="122" t="n">
        <v>0.001388888888888889</v>
      </c>
      <c r="W75" s="123" t="n">
        <v>8158.846221</v>
      </c>
      <c r="X75" s="123" t="n">
        <v>7718.99299</v>
      </c>
      <c r="Y75" s="123" t="n">
        <v>5.636363636</v>
      </c>
      <c r="Z75" s="123" t="n">
        <v>142305.4574</v>
      </c>
      <c r="AA75" s="123" t="n">
        <v>15524.23171</v>
      </c>
      <c r="AB75" s="124" t="n">
        <v>0</v>
      </c>
      <c r="AC75" s="124" t="n">
        <v>0</v>
      </c>
      <c r="AD75" s="124" t="n">
        <v>0</v>
      </c>
      <c r="AE75" s="124" t="n">
        <v>0</v>
      </c>
      <c r="AF75" s="124" t="n">
        <v>0</v>
      </c>
      <c r="AG75" s="124" t="n">
        <v>0</v>
      </c>
      <c r="AH75" s="124" t="n">
        <v>0</v>
      </c>
      <c r="AI75" s="124" t="n">
        <v>0</v>
      </c>
      <c r="AJ75" s="124">
        <f>AB75+AC75+AD75+AE75+AF75+AG75+AH75+AI75</f>
        <v/>
      </c>
      <c r="AK75" s="59">
        <f>AL75/C75</f>
        <v/>
      </c>
      <c r="AL75" s="55" t="n">
        <v>223080</v>
      </c>
    </row>
    <row r="76" ht="22.5" customHeight="1" s="150">
      <c r="A76" s="65" t="n">
        <v>74</v>
      </c>
      <c r="B76" s="50" t="n">
        <v>949</v>
      </c>
      <c r="C76" s="50" t="n">
        <v>947</v>
      </c>
      <c r="D76" s="50" t="n">
        <v>26</v>
      </c>
      <c r="E76" s="50" t="n">
        <v>28</v>
      </c>
      <c r="F76" s="51">
        <f>(C76*100)/B76</f>
        <v/>
      </c>
      <c r="G76" s="51">
        <f>(D76*100)/B76</f>
        <v/>
      </c>
      <c r="H76" s="53">
        <f>((B76-B77)/B76)*100</f>
        <v/>
      </c>
      <c r="I76" s="53">
        <f>((B76-C76)/B76)*100</f>
        <v/>
      </c>
      <c r="J76" s="53">
        <f>((C76-B77)/C76)*100</f>
        <v/>
      </c>
      <c r="K76" s="54" t="n"/>
      <c r="L76" s="55" t="n">
        <v>1.03814713896457</v>
      </c>
      <c r="M76" s="128" t="inlineStr">
        <is>
          <t>Normal</t>
        </is>
      </c>
      <c r="N76" s="55" t="n">
        <v>1.99</v>
      </c>
      <c r="O76" s="57">
        <f>N76/C76</f>
        <v/>
      </c>
      <c r="P76" s="58">
        <f>(Boosters_IOS!B76*100)/Boosters_And!N76</f>
        <v/>
      </c>
      <c r="Q76" s="58">
        <f>Boosters_IOS!B76/(C76+D76)</f>
        <v/>
      </c>
      <c r="R76" s="58">
        <f>Boosters_IOS!N76/B76</f>
        <v/>
      </c>
      <c r="S76" s="55" t="n">
        <v>3.61035422343324</v>
      </c>
      <c r="T76" s="55" t="n">
        <v>168</v>
      </c>
      <c r="U76" s="121" t="n">
        <v>1005481.81966888</v>
      </c>
      <c r="V76" s="122" t="n">
        <v>0.001388888888888889</v>
      </c>
      <c r="W76" s="123" t="n">
        <v>6727.167075</v>
      </c>
      <c r="X76" s="123" t="n">
        <v>6727.167075</v>
      </c>
      <c r="Y76" s="123" t="n">
        <v>8.5</v>
      </c>
      <c r="Z76" s="123" t="n">
        <v>125746.2769</v>
      </c>
      <c r="AA76" s="123" t="n">
        <v>0</v>
      </c>
      <c r="AB76" s="124" t="n">
        <v>0</v>
      </c>
      <c r="AC76" s="124" t="n">
        <v>0</v>
      </c>
      <c r="AD76" s="124" t="n">
        <v>0</v>
      </c>
      <c r="AE76" s="124" t="n">
        <v>0</v>
      </c>
      <c r="AF76" s="124" t="n">
        <v>0</v>
      </c>
      <c r="AG76" s="124" t="n">
        <v>0</v>
      </c>
      <c r="AH76" s="124" t="n">
        <v>0</v>
      </c>
      <c r="AI76" s="124" t="n">
        <v>0</v>
      </c>
      <c r="AJ76" s="124">
        <f>AB76+AC76+AD76+AE76+AF76+AG76+AH76+AI76</f>
        <v/>
      </c>
      <c r="AK76" s="59">
        <f>AL76/C76</f>
        <v/>
      </c>
      <c r="AL76" s="55" t="n">
        <v>229725</v>
      </c>
    </row>
    <row r="77" ht="22.5" customHeight="1" s="150">
      <c r="A77" s="77" t="n">
        <v>75</v>
      </c>
      <c r="B77" s="50" t="n">
        <v>947</v>
      </c>
      <c r="C77" s="50" t="n">
        <v>859</v>
      </c>
      <c r="D77" s="50" t="n">
        <v>573</v>
      </c>
      <c r="E77" s="50" t="n">
        <v>369</v>
      </c>
      <c r="F77" s="51">
        <f>(C77*100)/B77</f>
        <v/>
      </c>
      <c r="G77" s="51">
        <f>(D77*100)/B77</f>
        <v/>
      </c>
      <c r="H77" s="53">
        <f>((B77-B78)/B77)*100</f>
        <v/>
      </c>
      <c r="I77" s="53">
        <f>((B77-C77)/B77)*100</f>
        <v/>
      </c>
      <c r="J77" s="53">
        <f>((C77-B78)/C77)*100</f>
        <v/>
      </c>
      <c r="K77" s="54" t="n"/>
      <c r="L77" s="55" t="n">
        <v>1.75375375375375</v>
      </c>
      <c r="M77" s="120" t="inlineStr">
        <is>
          <t>Normal</t>
        </is>
      </c>
      <c r="N77" s="55" t="n">
        <v>136.15</v>
      </c>
      <c r="O77" s="57">
        <f>N77/C77</f>
        <v/>
      </c>
      <c r="P77" s="58">
        <f>(Boosters_IOS!B77*100)/Boosters_And!N77</f>
        <v/>
      </c>
      <c r="Q77" s="58">
        <f>Boosters_IOS!B77/(C77+D77)</f>
        <v/>
      </c>
      <c r="R77" s="58">
        <f>Boosters_IOS!N77/B77</f>
        <v/>
      </c>
      <c r="S77" s="55" t="n">
        <v>5.79279279279279</v>
      </c>
      <c r="T77" s="55" t="n">
        <v>451</v>
      </c>
      <c r="U77" s="121" t="n">
        <v>735282.117192324</v>
      </c>
      <c r="V77" s="122" t="n">
        <v>0.00150462962962963</v>
      </c>
      <c r="W77" s="123" t="n">
        <v>2725.365123</v>
      </c>
      <c r="X77" s="123" t="n">
        <v>2725.365123</v>
      </c>
      <c r="Y77" s="123" t="n">
        <v>5.875</v>
      </c>
      <c r="Z77" s="123" t="n">
        <v>127816.1744</v>
      </c>
      <c r="AA77" s="123" t="n">
        <v>0</v>
      </c>
      <c r="AB77" s="124" t="n">
        <v>0</v>
      </c>
      <c r="AC77" s="124" t="n">
        <v>0</v>
      </c>
      <c r="AD77" s="124" t="n">
        <v>0</v>
      </c>
      <c r="AE77" s="124" t="n">
        <v>0</v>
      </c>
      <c r="AF77" s="124" t="n">
        <v>0</v>
      </c>
      <c r="AG77" s="124" t="n">
        <v>0</v>
      </c>
      <c r="AH77" s="124" t="n">
        <v>0</v>
      </c>
      <c r="AI77" s="124" t="n">
        <v>0</v>
      </c>
      <c r="AJ77" s="124">
        <f>AB77+AC77+AD77+AE77+AF77+AG77+AH77+AI77</f>
        <v/>
      </c>
      <c r="AK77" s="59">
        <f>AL77/C77</f>
        <v/>
      </c>
      <c r="AL77" s="55" t="n">
        <v>204165</v>
      </c>
    </row>
    <row r="78" ht="22.5" customHeight="1" s="150">
      <c r="A78" s="65" t="n">
        <v>76</v>
      </c>
      <c r="B78" s="50" t="n">
        <v>849</v>
      </c>
      <c r="C78" s="50" t="n">
        <v>846</v>
      </c>
      <c r="D78" s="50" t="n">
        <v>3</v>
      </c>
      <c r="E78" s="50" t="n">
        <v>3</v>
      </c>
      <c r="F78" s="51">
        <f>(C78*100)/B78</f>
        <v/>
      </c>
      <c r="G78" s="51">
        <f>(D78*100)/B78</f>
        <v/>
      </c>
      <c r="H78" s="53">
        <f>((B78-B79)/B78)*100</f>
        <v/>
      </c>
      <c r="I78" s="53">
        <f>((B78-C78)/B78)*100</f>
        <v/>
      </c>
      <c r="J78" s="53">
        <f>((C78-B79)/C78)*100</f>
        <v/>
      </c>
      <c r="K78" s="54" t="n"/>
      <c r="L78" s="55" t="n">
        <v>1.00914634146341</v>
      </c>
      <c r="M78" s="128" t="inlineStr">
        <is>
          <t>Normal</t>
        </is>
      </c>
      <c r="N78" s="55" t="n">
        <v>6.970000000000001</v>
      </c>
      <c r="O78" s="57">
        <f>N78/C78</f>
        <v/>
      </c>
      <c r="P78" s="58">
        <f>(Boosters_IOS!B78*100)/Boosters_And!N78</f>
        <v/>
      </c>
      <c r="Q78" s="58">
        <f>Boosters_IOS!B78/(C78+D78)</f>
        <v/>
      </c>
      <c r="R78" s="58">
        <f>Boosters_IOS!N78/B78</f>
        <v/>
      </c>
      <c r="S78" s="55" t="n">
        <v>9.70426829268292</v>
      </c>
      <c r="T78" s="55" t="n">
        <v>152</v>
      </c>
      <c r="U78" s="121" t="n">
        <v>813294.527114559</v>
      </c>
      <c r="V78" s="122" t="n">
        <v>0.00150462962962963</v>
      </c>
      <c r="W78" s="123" t="n">
        <v>2613.245671</v>
      </c>
      <c r="X78" s="123" t="n">
        <v>2613.245671</v>
      </c>
      <c r="Y78" s="123" t="n">
        <v>4.375</v>
      </c>
      <c r="Z78" s="123" t="n">
        <v>129368.5976</v>
      </c>
      <c r="AA78" s="123" t="n">
        <v>0</v>
      </c>
      <c r="AB78" s="124" t="n">
        <v>0</v>
      </c>
      <c r="AC78" s="124" t="n">
        <v>0</v>
      </c>
      <c r="AD78" s="124" t="n">
        <v>0</v>
      </c>
      <c r="AE78" s="124" t="n">
        <v>0</v>
      </c>
      <c r="AF78" s="124" t="n">
        <v>0</v>
      </c>
      <c r="AG78" s="124" t="n">
        <v>0</v>
      </c>
      <c r="AH78" s="124" t="n">
        <v>0</v>
      </c>
      <c r="AI78" s="124" t="n">
        <v>0</v>
      </c>
      <c r="AJ78" s="124">
        <f>AB78+AC78+AD78+AE78+AF78+AG78+AH78+AI78</f>
        <v/>
      </c>
      <c r="AK78" s="59">
        <f>AL78/C78</f>
        <v/>
      </c>
      <c r="AL78" s="55" t="n">
        <v>217130</v>
      </c>
    </row>
    <row r="79" ht="22.5" customHeight="1" s="150">
      <c r="A79" s="65" t="n">
        <v>77</v>
      </c>
      <c r="B79" s="50" t="n">
        <v>851</v>
      </c>
      <c r="C79" s="50" t="n">
        <v>851</v>
      </c>
      <c r="D79" s="50" t="n">
        <v>15</v>
      </c>
      <c r="E79" s="50" t="n">
        <v>13</v>
      </c>
      <c r="F79" s="51">
        <f>(C79*100)/B79</f>
        <v/>
      </c>
      <c r="G79" s="51">
        <f>(D79*100)/B79</f>
        <v/>
      </c>
      <c r="H79" s="53">
        <f>((B79-B80)/B79)*100</f>
        <v/>
      </c>
      <c r="I79" s="53">
        <f>((B79-C79)/B79)*100</f>
        <v/>
      </c>
      <c r="J79" s="53">
        <f>((C79-B80)/C79)*100</f>
        <v/>
      </c>
      <c r="K79" s="54" t="n"/>
      <c r="L79" s="55" t="n">
        <v>1.02424242424242</v>
      </c>
      <c r="M79" s="120" t="inlineStr">
        <is>
          <t>Normal</t>
        </is>
      </c>
      <c r="N79" s="55" t="n">
        <v>0</v>
      </c>
      <c r="O79" s="57">
        <f>N79/C79</f>
        <v/>
      </c>
      <c r="P79" s="58">
        <f>(Boosters_IOS!B79*100)/Boosters_And!N79</f>
        <v/>
      </c>
      <c r="Q79" s="58">
        <f>Boosters_IOS!B79/(C79+D79)</f>
        <v/>
      </c>
      <c r="R79" s="58">
        <f>Boosters_IOS!N79/B79</f>
        <v/>
      </c>
      <c r="S79" s="55" t="n">
        <v>5.47878787878787</v>
      </c>
      <c r="T79" s="55" t="n">
        <v>150</v>
      </c>
      <c r="U79" s="121" t="n">
        <v>886290.103269271</v>
      </c>
      <c r="V79" s="122" t="n">
        <v>0.00150462962962963</v>
      </c>
      <c r="W79" s="123" t="n">
        <v>3260.088659</v>
      </c>
      <c r="X79" s="123" t="n">
        <v>3260.088659</v>
      </c>
      <c r="Y79" s="123" t="n">
        <v>6.25</v>
      </c>
      <c r="Z79" s="123" t="n">
        <v>133680.8842</v>
      </c>
      <c r="AA79" s="123" t="n">
        <v>0</v>
      </c>
      <c r="AB79" s="124" t="n">
        <v>0</v>
      </c>
      <c r="AC79" s="124" t="n">
        <v>0</v>
      </c>
      <c r="AD79" s="124" t="n">
        <v>0</v>
      </c>
      <c r="AE79" s="124" t="n">
        <v>0</v>
      </c>
      <c r="AF79" s="124" t="n">
        <v>0</v>
      </c>
      <c r="AG79" s="124" t="n">
        <v>0</v>
      </c>
      <c r="AH79" s="124" t="n">
        <v>0</v>
      </c>
      <c r="AI79" s="124" t="n">
        <v>0</v>
      </c>
      <c r="AJ79" s="124">
        <f>AB79+AC79+AD79+AE79+AF79+AG79+AH79+AI79</f>
        <v/>
      </c>
      <c r="AK79" s="59">
        <f>AL79/C79</f>
        <v/>
      </c>
      <c r="AL79" s="55" t="n">
        <v>226400</v>
      </c>
    </row>
    <row r="80" ht="22.5" customHeight="1" s="150">
      <c r="A80" s="65" t="n">
        <v>78</v>
      </c>
      <c r="B80" s="50" t="n">
        <v>843</v>
      </c>
      <c r="C80" s="50" t="n">
        <v>843</v>
      </c>
      <c r="D80" s="50" t="n">
        <v>13</v>
      </c>
      <c r="E80" s="50" t="n">
        <v>10</v>
      </c>
      <c r="F80" s="51">
        <f>(C80*100)/B80</f>
        <v/>
      </c>
      <c r="G80" s="51">
        <f>(D80*100)/B80</f>
        <v/>
      </c>
      <c r="H80" s="53">
        <f>((B80-B81)/B80)*100</f>
        <v/>
      </c>
      <c r="I80" s="53">
        <f>((B80-C80)/B80)*100</f>
        <v/>
      </c>
      <c r="J80" s="53">
        <f>((C80-B81)/C80)*100</f>
        <v/>
      </c>
      <c r="K80" s="54" t="n"/>
      <c r="L80" s="55" t="n">
        <v>1.01223241590214</v>
      </c>
      <c r="M80" s="128" t="inlineStr">
        <is>
          <t>Normal</t>
        </is>
      </c>
      <c r="N80" s="55" t="n">
        <v>0</v>
      </c>
      <c r="O80" s="57">
        <f>N80/C80</f>
        <v/>
      </c>
      <c r="P80" s="58">
        <f>(Boosters_IOS!B80*100)/Boosters_And!N80</f>
        <v/>
      </c>
      <c r="Q80" s="58">
        <f>Boosters_IOS!B80/(C80+D80)</f>
        <v/>
      </c>
      <c r="R80" s="58">
        <f>Boosters_IOS!N80/B80</f>
        <v/>
      </c>
      <c r="S80" s="55" t="n">
        <v>3.782874617737</v>
      </c>
      <c r="T80" s="55" t="n">
        <v>155</v>
      </c>
      <c r="U80" s="121" t="n">
        <v>951096.246410158</v>
      </c>
      <c r="V80" s="122" t="n">
        <v>0.00150462962962963</v>
      </c>
      <c r="W80" s="123" t="n">
        <v>2966.853171</v>
      </c>
      <c r="X80" s="123" t="n">
        <v>2966.853171</v>
      </c>
      <c r="Y80" s="123" t="n">
        <v>5</v>
      </c>
      <c r="Z80" s="123" t="n">
        <v>127988.6659</v>
      </c>
      <c r="AA80" s="123" t="n">
        <v>0</v>
      </c>
      <c r="AB80" s="124" t="n">
        <v>0</v>
      </c>
      <c r="AC80" s="124" t="n">
        <v>0</v>
      </c>
      <c r="AD80" s="124" t="n">
        <v>0</v>
      </c>
      <c r="AE80" s="124" t="n">
        <v>0</v>
      </c>
      <c r="AF80" s="124" t="n">
        <v>0</v>
      </c>
      <c r="AG80" s="124" t="n">
        <v>0</v>
      </c>
      <c r="AH80" s="124" t="n">
        <v>0</v>
      </c>
      <c r="AI80" s="124" t="n">
        <v>0</v>
      </c>
      <c r="AJ80" s="124">
        <f>AB80+AC80+AD80+AE80+AF80+AG80+AH80+AI80</f>
        <v/>
      </c>
      <c r="AK80" s="59">
        <f>AL80/C80</f>
        <v/>
      </c>
      <c r="AL80" s="55" t="n">
        <v>240625</v>
      </c>
    </row>
    <row r="81" ht="22.5" customHeight="1" s="150">
      <c r="A81" s="65" t="n">
        <v>79</v>
      </c>
      <c r="B81" s="50" t="n">
        <v>851</v>
      </c>
      <c r="C81" s="50" t="n">
        <v>851</v>
      </c>
      <c r="D81" s="50" t="n">
        <v>142</v>
      </c>
      <c r="E81" s="50" t="n">
        <v>157</v>
      </c>
      <c r="F81" s="51">
        <f>(C81*100)/B81</f>
        <v/>
      </c>
      <c r="G81" s="51">
        <f>(D81*100)/B81</f>
        <v/>
      </c>
      <c r="H81" s="53">
        <f>((B81-B82)/B81)*100</f>
        <v/>
      </c>
      <c r="I81" s="53">
        <f>((B81-C81)/B81)*100</f>
        <v/>
      </c>
      <c r="J81" s="53">
        <f>((C81-B82)/C81)*100</f>
        <v/>
      </c>
      <c r="K81" s="54" t="n"/>
      <c r="L81" s="55" t="n">
        <v>1.15454545454545</v>
      </c>
      <c r="M81" s="120" t="inlineStr">
        <is>
          <t>Normal</t>
        </is>
      </c>
      <c r="N81" s="55" t="n">
        <v>12.97</v>
      </c>
      <c r="O81" s="57">
        <f>N81/C81</f>
        <v/>
      </c>
      <c r="P81" s="58">
        <f>(Boosters_IOS!B81*100)/Boosters_And!N81</f>
        <v/>
      </c>
      <c r="Q81" s="58">
        <f>Boosters_IOS!B81/(C81+D81)</f>
        <v/>
      </c>
      <c r="R81" s="58">
        <f>Boosters_IOS!N81/B81</f>
        <v/>
      </c>
      <c r="S81" s="55" t="n">
        <v>4.12424242424242</v>
      </c>
      <c r="T81" s="55" t="n">
        <v>181</v>
      </c>
      <c r="U81" s="121" t="n">
        <v>958344.217046015</v>
      </c>
      <c r="V81" s="122" t="n">
        <v>0.00150462962962963</v>
      </c>
      <c r="W81" s="123" t="n">
        <v>4829.760977</v>
      </c>
      <c r="X81" s="123" t="n">
        <v>4829.760977</v>
      </c>
      <c r="Y81" s="123" t="n">
        <v>4.375</v>
      </c>
      <c r="Z81" s="123" t="n">
        <v>129541.0891</v>
      </c>
      <c r="AA81" s="123" t="n">
        <v>0</v>
      </c>
      <c r="AB81" s="124" t="n">
        <v>0</v>
      </c>
      <c r="AC81" s="124" t="n">
        <v>0</v>
      </c>
      <c r="AD81" s="124" t="n">
        <v>0</v>
      </c>
      <c r="AE81" s="124" t="n">
        <v>0</v>
      </c>
      <c r="AF81" s="124" t="n">
        <v>0</v>
      </c>
      <c r="AG81" s="124" t="n">
        <v>0</v>
      </c>
      <c r="AH81" s="124" t="n">
        <v>0</v>
      </c>
      <c r="AI81" s="124" t="n">
        <v>0</v>
      </c>
      <c r="AJ81" s="124">
        <f>AB81+AC81+AD81+AE81+AF81+AG81+AH81+AI81</f>
        <v/>
      </c>
      <c r="AK81" s="59">
        <f>AL81/C81</f>
        <v/>
      </c>
      <c r="AL81" s="55" t="n">
        <v>228950</v>
      </c>
    </row>
    <row r="82" ht="22.5" customHeight="1" s="150">
      <c r="A82" s="34" t="n">
        <v>80</v>
      </c>
      <c r="B82" s="50" t="n">
        <v>864</v>
      </c>
      <c r="C82" s="50" t="n">
        <v>789</v>
      </c>
      <c r="D82" s="50" t="n">
        <v>475</v>
      </c>
      <c r="E82" s="50" t="n">
        <v>472</v>
      </c>
      <c r="F82" s="51">
        <f>(C82*100)/B82</f>
        <v/>
      </c>
      <c r="G82" s="51">
        <f>(D82*100)/B82</f>
        <v/>
      </c>
      <c r="H82" s="53">
        <f>((B82-B83)/B82)*100</f>
        <v/>
      </c>
      <c r="I82" s="53">
        <f>((B82-C82)/B82)*100</f>
        <v/>
      </c>
      <c r="J82" s="53">
        <f>((C82-B83)/C82)*100</f>
        <v/>
      </c>
      <c r="K82" s="54" t="n"/>
      <c r="L82" s="55" t="n">
        <v>2.24183006535947</v>
      </c>
      <c r="M82" s="128" t="inlineStr">
        <is>
          <t>Normal</t>
        </is>
      </c>
      <c r="N82" s="55" t="n">
        <v>75.72</v>
      </c>
      <c r="O82" s="57">
        <f>N82/C82</f>
        <v/>
      </c>
      <c r="P82" s="58">
        <f>(Boosters_IOS!B82*100)/Boosters_And!N82</f>
        <v/>
      </c>
      <c r="Q82" s="58">
        <f>Boosters_IOS!B82/(C82+D82)</f>
        <v/>
      </c>
      <c r="R82" s="58">
        <f>Boosters_IOS!N82/B82</f>
        <v/>
      </c>
      <c r="S82" s="55" t="n">
        <v>4.97712418300653</v>
      </c>
      <c r="T82" s="55" t="n">
        <v>310</v>
      </c>
      <c r="U82" s="121" t="n">
        <v>692503.614346887</v>
      </c>
      <c r="V82" s="122" t="n">
        <v>0.001157407407407407</v>
      </c>
      <c r="W82" s="123" t="n">
        <v>4916.006708</v>
      </c>
      <c r="X82" s="123" t="n">
        <v>4916.006708</v>
      </c>
      <c r="Y82" s="123" t="n">
        <v>6.25</v>
      </c>
      <c r="Z82" s="123" t="n">
        <v>131093.5122</v>
      </c>
      <c r="AA82" s="123" t="n">
        <v>0</v>
      </c>
      <c r="AB82" s="124" t="n">
        <v>0</v>
      </c>
      <c r="AC82" s="124" t="n">
        <v>0</v>
      </c>
      <c r="AD82" s="124" t="n">
        <v>0</v>
      </c>
      <c r="AE82" s="124" t="n">
        <v>0</v>
      </c>
      <c r="AF82" s="124" t="n">
        <v>0</v>
      </c>
      <c r="AG82" s="124" t="n">
        <v>0</v>
      </c>
      <c r="AH82" s="124" t="n">
        <v>0</v>
      </c>
      <c r="AI82" s="124" t="n">
        <v>0</v>
      </c>
      <c r="AJ82" s="124">
        <f>AB82+AC82+AD82+AE82+AF82+AG82+AH82+AI82</f>
        <v/>
      </c>
      <c r="AK82" s="59">
        <f>AL82/C82</f>
        <v/>
      </c>
      <c r="AL82" s="55" t="n">
        <v>171650</v>
      </c>
    </row>
    <row r="83" ht="22.5" customHeight="1" s="150">
      <c r="A83" s="34" t="n">
        <v>81</v>
      </c>
      <c r="B83" s="50" t="n">
        <v>807</v>
      </c>
      <c r="C83" s="50" t="n">
        <v>776</v>
      </c>
      <c r="D83" s="50" t="n">
        <v>268</v>
      </c>
      <c r="E83" s="50" t="n">
        <v>230</v>
      </c>
      <c r="F83" s="51">
        <f>(C83*100)/B83</f>
        <v/>
      </c>
      <c r="G83" s="51">
        <f>(D83*100)/B83</f>
        <v/>
      </c>
      <c r="H83" s="53">
        <f>((B83-B84)/B83)*100</f>
        <v/>
      </c>
      <c r="I83" s="53">
        <f>((B83-C83)/B83)*100</f>
        <v/>
      </c>
      <c r="J83" s="53">
        <f>((C83-B84)/C83)*100</f>
        <v/>
      </c>
      <c r="K83" s="54" t="n"/>
      <c r="L83" s="55" t="n">
        <v>1.35880398671096</v>
      </c>
      <c r="M83" s="120" t="inlineStr">
        <is>
          <t>Normal</t>
        </is>
      </c>
      <c r="N83" s="55" t="n">
        <v>38.47</v>
      </c>
      <c r="O83" s="57">
        <f>N83/C83</f>
        <v/>
      </c>
      <c r="P83" s="58">
        <f>(Boosters_IOS!B83*100)/Boosters_And!N83</f>
        <v/>
      </c>
      <c r="Q83" s="58">
        <f>Boosters_IOS!B83/(C83+D83)</f>
        <v/>
      </c>
      <c r="R83" s="58">
        <f>Boosters_IOS!N83/B83</f>
        <v/>
      </c>
      <c r="S83" s="55" t="n">
        <v>5.20930232558139</v>
      </c>
      <c r="T83" s="55" t="n">
        <v>224</v>
      </c>
      <c r="U83" s="121" t="n">
        <v>714466.770917818</v>
      </c>
      <c r="V83" s="122" t="n">
        <v>0.002083333333333333</v>
      </c>
      <c r="W83" s="123" t="n">
        <v>10056.25232</v>
      </c>
      <c r="X83" s="123" t="n">
        <v>10056.25232</v>
      </c>
      <c r="Y83" s="123" t="n">
        <v>10</v>
      </c>
      <c r="Z83" s="123" t="n">
        <v>132645.9354</v>
      </c>
      <c r="AA83" s="123" t="n">
        <v>0</v>
      </c>
      <c r="AB83" s="124" t="n">
        <v>0</v>
      </c>
      <c r="AC83" s="124" t="n">
        <v>0</v>
      </c>
      <c r="AD83" s="124" t="n">
        <v>0</v>
      </c>
      <c r="AE83" s="124" t="n">
        <v>0</v>
      </c>
      <c r="AF83" s="124" t="n">
        <v>0</v>
      </c>
      <c r="AG83" s="124" t="n">
        <v>0</v>
      </c>
      <c r="AH83" s="124" t="n">
        <v>0</v>
      </c>
      <c r="AI83" s="124" t="n">
        <v>0</v>
      </c>
      <c r="AJ83" s="124">
        <f>AB83+AC83+AD83+AE83+AF83+AG83+AH83+AI83</f>
        <v/>
      </c>
      <c r="AK83" s="59">
        <f>AL83/C83</f>
        <v/>
      </c>
      <c r="AL83" s="55" t="n">
        <v>158030</v>
      </c>
    </row>
    <row r="84" ht="22.5" customHeight="1" s="150">
      <c r="A84" s="34" t="n">
        <v>82</v>
      </c>
      <c r="B84" s="50" t="n">
        <v>758</v>
      </c>
      <c r="C84" s="50" t="n">
        <v>751</v>
      </c>
      <c r="D84" s="50" t="n">
        <v>116</v>
      </c>
      <c r="E84" s="50" t="n">
        <v>119</v>
      </c>
      <c r="F84" s="51">
        <f>(C84*100)/B84</f>
        <v/>
      </c>
      <c r="G84" s="51">
        <f>(D84*100)/B84</f>
        <v/>
      </c>
      <c r="H84" s="53">
        <f>((B84-B85)/B84)*100</f>
        <v/>
      </c>
      <c r="I84" s="53">
        <f>((B84-C84)/B84)*100</f>
        <v/>
      </c>
      <c r="J84" s="53">
        <f>((C84-B85)/C84)*100</f>
        <v/>
      </c>
      <c r="K84" s="54" t="n"/>
      <c r="L84" s="55" t="n">
        <v>1.1615120274914</v>
      </c>
      <c r="M84" s="128" t="inlineStr">
        <is>
          <t>Normal</t>
        </is>
      </c>
      <c r="N84" s="55" t="n">
        <v>15.71</v>
      </c>
      <c r="O84" s="57">
        <f>N84/C84</f>
        <v/>
      </c>
      <c r="P84" s="58">
        <f>(Boosters_IOS!B84*100)/Boosters_And!N84</f>
        <v/>
      </c>
      <c r="Q84" s="58">
        <f>Boosters_IOS!B84/(C84+D84)</f>
        <v/>
      </c>
      <c r="R84" s="58">
        <f>Boosters_IOS!N84/B84</f>
        <v/>
      </c>
      <c r="S84" s="55" t="n">
        <v>9.020618556701031</v>
      </c>
      <c r="T84" s="55" t="n">
        <v>152</v>
      </c>
      <c r="U84" s="121" t="n">
        <v>733747.404548789</v>
      </c>
      <c r="V84" s="122" t="n">
        <v>0.00150462962962963</v>
      </c>
      <c r="W84" s="123" t="n">
        <v>4010.426525</v>
      </c>
      <c r="X84" s="123" t="n">
        <v>4010.426525</v>
      </c>
      <c r="Y84" s="123" t="n">
        <v>8.25</v>
      </c>
      <c r="Z84" s="123" t="n">
        <v>134198.3586</v>
      </c>
      <c r="AA84" s="123" t="n">
        <v>0</v>
      </c>
      <c r="AB84" s="124" t="n">
        <v>0</v>
      </c>
      <c r="AC84" s="124" t="n">
        <v>0</v>
      </c>
      <c r="AD84" s="124" t="n">
        <v>0</v>
      </c>
      <c r="AE84" s="124" t="n">
        <v>0</v>
      </c>
      <c r="AF84" s="124" t="n">
        <v>0</v>
      </c>
      <c r="AG84" s="124" t="n">
        <v>0</v>
      </c>
      <c r="AH84" s="124" t="n">
        <v>0</v>
      </c>
      <c r="AI84" s="124" t="n">
        <v>0</v>
      </c>
      <c r="AJ84" s="124">
        <f>AB84+AC84+AD84+AE84+AF84+AG84+AH84+AI84</f>
        <v/>
      </c>
      <c r="AK84" s="59">
        <f>AL84/C84</f>
        <v/>
      </c>
      <c r="AL84" s="55" t="n">
        <v>154595</v>
      </c>
    </row>
    <row r="85" ht="22.5" customHeight="1" s="150">
      <c r="A85" s="34" t="n">
        <v>83</v>
      </c>
      <c r="B85" s="50" t="n">
        <v>753</v>
      </c>
      <c r="C85" s="50" t="n">
        <v>753</v>
      </c>
      <c r="D85" s="50" t="n">
        <v>0</v>
      </c>
      <c r="E85" s="50" t="n">
        <v>8</v>
      </c>
      <c r="F85" s="51">
        <f>(C85*100)/B85</f>
        <v/>
      </c>
      <c r="G85" s="51">
        <f>(D85*100)/B85</f>
        <v/>
      </c>
      <c r="H85" s="53">
        <f>((B85-B86)/B85)*100</f>
        <v/>
      </c>
      <c r="I85" s="53">
        <f>((B85-C85)/B85)*100</f>
        <v/>
      </c>
      <c r="J85" s="53">
        <f>((C85-B86)/C85)*100</f>
        <v/>
      </c>
      <c r="K85" s="54" t="n"/>
      <c r="L85" s="55" t="n">
        <v>1.00684931506849</v>
      </c>
      <c r="M85" s="126" t="inlineStr">
        <is>
          <t>Normal</t>
        </is>
      </c>
      <c r="N85" s="55" t="n">
        <v>0</v>
      </c>
      <c r="O85" s="57">
        <f>N85/C85</f>
        <v/>
      </c>
      <c r="P85" s="58">
        <f>(Boosters_IOS!B85*100)/Boosters_And!N85</f>
        <v/>
      </c>
      <c r="Q85" s="58">
        <f>Boosters_IOS!B85/(C85+D85)</f>
        <v/>
      </c>
      <c r="R85" s="58">
        <f>Boosters_IOS!N85/B85</f>
        <v/>
      </c>
      <c r="S85" s="55" t="n">
        <v>4.79794520547945</v>
      </c>
      <c r="T85" s="55" t="n">
        <v>124</v>
      </c>
      <c r="U85" s="121" t="n">
        <v>778718.354027849</v>
      </c>
      <c r="V85" s="122" t="n">
        <v>0.002546296296296297</v>
      </c>
      <c r="W85" s="123" t="n">
        <v>8529.702868</v>
      </c>
      <c r="X85" s="123" t="n">
        <v>8529.702868</v>
      </c>
      <c r="Y85" s="123" t="n">
        <v>8.125</v>
      </c>
      <c r="Z85" s="123" t="n">
        <v>135750.7817</v>
      </c>
      <c r="AA85" s="123" t="n">
        <v>0</v>
      </c>
      <c r="AB85" s="124" t="n">
        <v>0</v>
      </c>
      <c r="AC85" s="124" t="n">
        <v>0</v>
      </c>
      <c r="AD85" s="124" t="n">
        <v>0</v>
      </c>
      <c r="AE85" s="124" t="n">
        <v>0</v>
      </c>
      <c r="AF85" s="124" t="n">
        <v>0</v>
      </c>
      <c r="AG85" s="124" t="n">
        <v>0</v>
      </c>
      <c r="AH85" s="124" t="n">
        <v>0</v>
      </c>
      <c r="AI85" s="124" t="n">
        <v>0</v>
      </c>
      <c r="AJ85" s="124">
        <f>AB85+AC85+AD85+AE85+AF85+AG85+AH85+AI85</f>
        <v/>
      </c>
      <c r="AK85" s="59">
        <f>AL85/C85</f>
        <v/>
      </c>
      <c r="AL85" s="55" t="n">
        <v>163165</v>
      </c>
    </row>
    <row r="86" ht="22.5" customHeight="1" s="150">
      <c r="A86" s="34" t="n">
        <v>84</v>
      </c>
      <c r="B86" s="50" t="n">
        <v>766</v>
      </c>
      <c r="C86" s="50" t="n">
        <v>748</v>
      </c>
      <c r="D86" s="50" t="n">
        <v>237</v>
      </c>
      <c r="E86" s="50" t="n">
        <v>235</v>
      </c>
      <c r="F86" s="51">
        <f>(C86*100)/B86</f>
        <v/>
      </c>
      <c r="G86" s="51">
        <f>(D86*100)/B86</f>
        <v/>
      </c>
      <c r="H86" s="53">
        <f>((B86-B87)/B86)*100</f>
        <v/>
      </c>
      <c r="I86" s="53">
        <f>((B86-C86)/B86)*100</f>
        <v/>
      </c>
      <c r="J86" s="53">
        <f>((C86-B87)/C86)*100</f>
        <v/>
      </c>
      <c r="K86" s="54" t="n"/>
      <c r="L86" s="55" t="n">
        <v>1.25862068965517</v>
      </c>
      <c r="M86" s="128" t="inlineStr">
        <is>
          <t>Normal</t>
        </is>
      </c>
      <c r="N86" s="55" t="n">
        <v>9.970000000000001</v>
      </c>
      <c r="O86" s="57">
        <f>N86/C86</f>
        <v/>
      </c>
      <c r="P86" s="58">
        <f>(Boosters_IOS!B86*100)/Boosters_And!N86</f>
        <v/>
      </c>
      <c r="Q86" s="58">
        <f>Boosters_IOS!B86/(C86+D86)</f>
        <v/>
      </c>
      <c r="R86" s="58">
        <f>Boosters_IOS!N86/B86</f>
        <v/>
      </c>
      <c r="S86" s="55" t="n">
        <v>4.16896551724137</v>
      </c>
      <c r="T86" s="55" t="n">
        <v>173</v>
      </c>
      <c r="U86" s="121" t="n">
        <v>755413.935986936</v>
      </c>
      <c r="V86" s="122" t="n">
        <v>0.00150462962962963</v>
      </c>
      <c r="W86" s="123" t="n">
        <v>3441.204696</v>
      </c>
      <c r="X86" s="123" t="n">
        <v>3441.204696</v>
      </c>
      <c r="Y86" s="123" t="n">
        <v>4.428571429</v>
      </c>
      <c r="Z86" s="123" t="n">
        <v>141960.4744</v>
      </c>
      <c r="AA86" s="123" t="n">
        <v>0</v>
      </c>
      <c r="AB86" s="124" t="n">
        <v>0</v>
      </c>
      <c r="AC86" s="124" t="n">
        <v>0</v>
      </c>
      <c r="AD86" s="124" t="n">
        <v>0</v>
      </c>
      <c r="AE86" s="124" t="n">
        <v>0</v>
      </c>
      <c r="AF86" s="124" t="n">
        <v>0</v>
      </c>
      <c r="AG86" s="124" t="n">
        <v>0</v>
      </c>
      <c r="AH86" s="124" t="n">
        <v>0</v>
      </c>
      <c r="AI86" s="124" t="n">
        <v>0</v>
      </c>
      <c r="AJ86" s="124">
        <f>AB86+AC86+AD86+AE86+AF86+AG86+AH86+AI86</f>
        <v/>
      </c>
      <c r="AK86" s="59">
        <f>AL86/C86</f>
        <v/>
      </c>
      <c r="AL86" s="55" t="n">
        <v>155200</v>
      </c>
    </row>
    <row r="87" ht="22.5" customHeight="1" s="150">
      <c r="A87" s="77" t="n">
        <v>85</v>
      </c>
      <c r="B87" s="50" t="n">
        <v>753</v>
      </c>
      <c r="C87" s="50" t="n">
        <v>709</v>
      </c>
      <c r="D87" s="50" t="n">
        <v>377</v>
      </c>
      <c r="E87" s="50" t="n">
        <v>266</v>
      </c>
      <c r="F87" s="51">
        <f>(C87*100)/B87</f>
        <v/>
      </c>
      <c r="G87" s="51">
        <f>(D87*100)/B87</f>
        <v/>
      </c>
      <c r="H87" s="53">
        <f>((B87-B88)/B87)*100</f>
        <v/>
      </c>
      <c r="I87" s="53">
        <f>((B87-C87)/B87)*100</f>
        <v/>
      </c>
      <c r="J87" s="53">
        <f>((C87-B88)/C87)*100</f>
        <v/>
      </c>
      <c r="K87" s="54" t="n"/>
      <c r="L87" s="55" t="n">
        <v>1.5090909090909</v>
      </c>
      <c r="M87" s="120" t="inlineStr">
        <is>
          <t>Normal</t>
        </is>
      </c>
      <c r="N87" s="55" t="n">
        <v>27.43</v>
      </c>
      <c r="O87" s="57">
        <f>N87/C87</f>
        <v/>
      </c>
      <c r="P87" s="58">
        <f>(Boosters_IOS!B87*100)/Boosters_And!N87</f>
        <v/>
      </c>
      <c r="Q87" s="58">
        <f>Boosters_IOS!B87/(C87+D87)</f>
        <v/>
      </c>
      <c r="R87" s="58">
        <f>Boosters_IOS!N87/B87</f>
        <v/>
      </c>
      <c r="S87" s="55" t="n">
        <v>19.5454545454545</v>
      </c>
      <c r="T87" s="55" t="n">
        <v>261</v>
      </c>
      <c r="U87" s="121" t="n">
        <v>699583.927298996</v>
      </c>
      <c r="V87" s="122" t="n">
        <v>0.001736111111111111</v>
      </c>
      <c r="W87" s="123" t="n">
        <v>5226.491343</v>
      </c>
      <c r="X87" s="123" t="n">
        <v>5226.491343</v>
      </c>
      <c r="Y87" s="123" t="n">
        <v>2.857142857</v>
      </c>
      <c r="Z87" s="123" t="n">
        <v>145065.3208</v>
      </c>
      <c r="AA87" s="123" t="n">
        <v>0</v>
      </c>
      <c r="AB87" s="124" t="n">
        <v>0</v>
      </c>
      <c r="AC87" s="124" t="n">
        <v>0</v>
      </c>
      <c r="AD87" s="124" t="n">
        <v>0</v>
      </c>
      <c r="AE87" s="124" t="n">
        <v>0</v>
      </c>
      <c r="AF87" s="124" t="n">
        <v>0</v>
      </c>
      <c r="AG87" s="124" t="n">
        <v>0</v>
      </c>
      <c r="AH87" s="124" t="n">
        <v>0</v>
      </c>
      <c r="AI87" s="124" t="n">
        <v>0</v>
      </c>
      <c r="AJ87" s="124">
        <f>AB87+AC87+AD87+AE87+AF87+AG87+AH87+AI87</f>
        <v/>
      </c>
      <c r="AK87" s="59">
        <f>AL87/C87</f>
        <v/>
      </c>
      <c r="AL87" s="55" t="n">
        <v>151590</v>
      </c>
    </row>
    <row r="88" ht="22.5" customHeight="1" s="150">
      <c r="A88" s="34" t="n">
        <v>86</v>
      </c>
      <c r="B88" s="50" t="n">
        <v>707</v>
      </c>
      <c r="C88" s="50" t="n">
        <v>707</v>
      </c>
      <c r="D88" s="50" t="n">
        <v>13</v>
      </c>
      <c r="E88" s="50" t="n">
        <v>10</v>
      </c>
      <c r="F88" s="51">
        <f>(C88*100)/B88</f>
        <v/>
      </c>
      <c r="G88" s="51">
        <f>(D88*100)/B88</f>
        <v/>
      </c>
      <c r="H88" s="53">
        <f>((B88-B89)/B88)*100</f>
        <v/>
      </c>
      <c r="I88" s="53">
        <f>((B88-C88)/B88)*100</f>
        <v/>
      </c>
      <c r="J88" s="53">
        <f>((C88-B89)/C88)*100</f>
        <v/>
      </c>
      <c r="K88" s="54" t="n"/>
      <c r="L88" s="55" t="n">
        <v>1.00364963503649</v>
      </c>
      <c r="M88" s="128" t="inlineStr">
        <is>
          <t>Normal</t>
        </is>
      </c>
      <c r="N88" s="55" t="n">
        <v>0</v>
      </c>
      <c r="O88" s="57">
        <f>N88/C88</f>
        <v/>
      </c>
      <c r="P88" s="58">
        <f>(Boosters_IOS!B88*100)/Boosters_And!N88</f>
        <v/>
      </c>
      <c r="Q88" s="58">
        <f>Boosters_IOS!B88/(C88+D88)</f>
        <v/>
      </c>
      <c r="R88" s="58">
        <f>Boosters_IOS!N88/B88</f>
        <v/>
      </c>
      <c r="S88" s="55" t="n">
        <v>4.10948905109489</v>
      </c>
      <c r="T88" s="55" t="n">
        <v>121</v>
      </c>
      <c r="U88" s="121" t="n">
        <v>730123.419230861</v>
      </c>
      <c r="V88" s="122" t="n">
        <v>0.002083333333333333</v>
      </c>
      <c r="W88" s="123" t="n">
        <v>7417.132929</v>
      </c>
      <c r="X88" s="123" t="n">
        <v>7417.132929</v>
      </c>
      <c r="Y88" s="123" t="n">
        <v>3.285714286</v>
      </c>
      <c r="Z88" s="123" t="n">
        <v>152223.7165</v>
      </c>
      <c r="AA88" s="123" t="n">
        <v>0</v>
      </c>
      <c r="AB88" s="124" t="n">
        <v>0</v>
      </c>
      <c r="AC88" s="124" t="n">
        <v>0</v>
      </c>
      <c r="AD88" s="124" t="n">
        <v>0</v>
      </c>
      <c r="AE88" s="124" t="n">
        <v>0</v>
      </c>
      <c r="AF88" s="124" t="n">
        <v>0</v>
      </c>
      <c r="AG88" s="124" t="n">
        <v>0</v>
      </c>
      <c r="AH88" s="124" t="n">
        <v>0</v>
      </c>
      <c r="AI88" s="124" t="n">
        <v>0</v>
      </c>
      <c r="AJ88" s="124">
        <f>AB88+AC88+AD88+AE88+AF88+AG88+AH88+AI88</f>
        <v/>
      </c>
      <c r="AK88" s="59">
        <f>AL88/C88</f>
        <v/>
      </c>
      <c r="AL88" s="55" t="n">
        <v>158210</v>
      </c>
    </row>
    <row r="89" ht="22.5" customHeight="1" s="150">
      <c r="A89" s="34" t="n">
        <v>87</v>
      </c>
      <c r="B89" s="50" t="n">
        <v>738</v>
      </c>
      <c r="C89" s="50" t="n">
        <v>684</v>
      </c>
      <c r="D89" s="50" t="n">
        <v>359</v>
      </c>
      <c r="E89" s="50" t="n">
        <v>405</v>
      </c>
      <c r="F89" s="51">
        <f>(C89*100)/B89</f>
        <v/>
      </c>
      <c r="G89" s="51">
        <f>(D89*100)/B89</f>
        <v/>
      </c>
      <c r="H89" s="52">
        <f>((B89-B90)/B89)*100</f>
        <v/>
      </c>
      <c r="I89" s="53">
        <f>((B89-C89)/B89)*100</f>
        <v/>
      </c>
      <c r="J89" s="53">
        <f>((C89-B90)/C89)*100</f>
        <v/>
      </c>
      <c r="K89" s="54" t="n"/>
      <c r="L89" s="55" t="n">
        <v>2.04528301886792</v>
      </c>
      <c r="M89" s="130" t="inlineStr">
        <is>
          <t>Very Hard</t>
        </is>
      </c>
      <c r="N89" s="55" t="n">
        <v>113.57</v>
      </c>
      <c r="O89" s="57">
        <f>N89/C89</f>
        <v/>
      </c>
      <c r="P89" s="58">
        <f>(Boosters_IOS!B89*100)/Boosters_And!N89</f>
        <v/>
      </c>
      <c r="Q89" s="58">
        <f>Boosters_IOS!B89/(C89+D89)</f>
        <v/>
      </c>
      <c r="R89" s="58">
        <f>Boosters_IOS!N89/B89</f>
        <v/>
      </c>
      <c r="S89" s="55" t="n">
        <v>4.47924528301886</v>
      </c>
      <c r="T89" s="55" t="n">
        <v>248</v>
      </c>
      <c r="U89" s="121" t="n">
        <v>669573.201908181</v>
      </c>
      <c r="V89" s="122" t="n">
        <v>0.0008101851851851852</v>
      </c>
      <c r="W89" s="123" t="n">
        <v>3423.95555</v>
      </c>
      <c r="X89" s="123" t="n">
        <v>3423.95555</v>
      </c>
      <c r="Y89" s="123" t="n">
        <v>26.71428571</v>
      </c>
      <c r="Z89" s="123" t="n">
        <v>166023.0336</v>
      </c>
      <c r="AA89" s="123" t="n">
        <v>0</v>
      </c>
      <c r="AB89" s="124" t="n">
        <v>0</v>
      </c>
      <c r="AC89" s="124" t="n">
        <v>0</v>
      </c>
      <c r="AD89" s="124" t="n">
        <v>0</v>
      </c>
      <c r="AE89" s="124" t="n">
        <v>0</v>
      </c>
      <c r="AF89" s="124" t="n">
        <v>0</v>
      </c>
      <c r="AG89" s="124" t="n">
        <v>0</v>
      </c>
      <c r="AH89" s="124" t="n">
        <v>0</v>
      </c>
      <c r="AI89" s="124" t="n">
        <v>0</v>
      </c>
      <c r="AJ89" s="124">
        <f>AB89+AC89+AD89+AE89+AF89+AG89+AH89+AI89</f>
        <v/>
      </c>
      <c r="AK89" s="59">
        <f>AL89/C89</f>
        <v/>
      </c>
      <c r="AL89" s="55" t="n">
        <v>138760</v>
      </c>
    </row>
    <row r="90" ht="22.5" customHeight="1" s="150">
      <c r="A90" s="34" t="n">
        <v>88</v>
      </c>
      <c r="B90" s="50" t="n">
        <v>684</v>
      </c>
      <c r="C90" s="50" t="n">
        <v>684</v>
      </c>
      <c r="D90" s="50" t="n">
        <v>52</v>
      </c>
      <c r="E90" s="50" t="n">
        <v>46</v>
      </c>
      <c r="F90" s="51">
        <f>(C90*100)/B90</f>
        <v/>
      </c>
      <c r="G90" s="51">
        <f>(D90*100)/B90</f>
        <v/>
      </c>
      <c r="H90" s="53">
        <f>((B90-B91)/B90)*100</f>
        <v/>
      </c>
      <c r="I90" s="53">
        <f>((B90-C90)/B90)*100</f>
        <v/>
      </c>
      <c r="J90" s="53">
        <f>((C90-B91)/C90)*100</f>
        <v/>
      </c>
      <c r="K90" s="54" t="n"/>
      <c r="L90" s="55" t="n">
        <v>1.06415094339622</v>
      </c>
      <c r="M90" s="128" t="inlineStr">
        <is>
          <t>Normal</t>
        </is>
      </c>
      <c r="N90" s="55" t="n">
        <v>21.04</v>
      </c>
      <c r="O90" s="57">
        <f>N90/C90</f>
        <v/>
      </c>
      <c r="P90" s="58">
        <f>(Boosters_IOS!B90*100)/Boosters_And!N90</f>
        <v/>
      </c>
      <c r="Q90" s="58">
        <f>Boosters_IOS!B90/(C90+D90)</f>
        <v/>
      </c>
      <c r="R90" s="58">
        <f>Boosters_IOS!N90/B90</f>
        <v/>
      </c>
      <c r="S90" s="55" t="n">
        <v>4.14716981132075</v>
      </c>
      <c r="T90" s="55" t="n">
        <v>137</v>
      </c>
      <c r="U90" s="121" t="n">
        <v>692026.434785451</v>
      </c>
      <c r="V90" s="122" t="n">
        <v>0.00318287037037037</v>
      </c>
      <c r="W90" s="123" t="n">
        <v>10116.62433</v>
      </c>
      <c r="X90" s="123" t="n">
        <v>10116.62433</v>
      </c>
      <c r="Y90" s="123" t="n">
        <v>8.428571429</v>
      </c>
      <c r="Z90" s="123" t="n">
        <v>157139.7232</v>
      </c>
      <c r="AA90" s="123" t="n">
        <v>24148.80488</v>
      </c>
      <c r="AB90" s="124" t="n">
        <v>0</v>
      </c>
      <c r="AC90" s="124" t="n">
        <v>0</v>
      </c>
      <c r="AD90" s="124" t="n">
        <v>0</v>
      </c>
      <c r="AE90" s="124" t="n">
        <v>0</v>
      </c>
      <c r="AF90" s="124" t="n">
        <v>0</v>
      </c>
      <c r="AG90" s="124" t="n">
        <v>0</v>
      </c>
      <c r="AH90" s="124" t="n">
        <v>0</v>
      </c>
      <c r="AI90" s="124" t="n">
        <v>0</v>
      </c>
      <c r="AJ90" s="124">
        <f>AB90+AC90+AD90+AE90+AF90+AG90+AH90+AI90</f>
        <v/>
      </c>
      <c r="AK90" s="59">
        <f>AL90/C90</f>
        <v/>
      </c>
      <c r="AL90" s="55" t="n">
        <v>151225</v>
      </c>
    </row>
    <row r="91" ht="22.5" customHeight="1" s="150">
      <c r="A91" s="34" t="n">
        <v>89</v>
      </c>
      <c r="B91" s="50" t="n">
        <v>689</v>
      </c>
      <c r="C91" s="50" t="n">
        <v>686</v>
      </c>
      <c r="D91" s="50" t="n">
        <v>15</v>
      </c>
      <c r="E91" s="50" t="n">
        <v>10</v>
      </c>
      <c r="F91" s="51">
        <f>(C91*100)/B91</f>
        <v/>
      </c>
      <c r="G91" s="51">
        <f>(D91*100)/B91</f>
        <v/>
      </c>
      <c r="H91" s="53">
        <f>((B91-B92)/B91)*100</f>
        <v/>
      </c>
      <c r="I91" s="53">
        <f>((B91-C91)/B91)*100</f>
        <v/>
      </c>
      <c r="J91" s="53">
        <f>((C91-B92)/C91)*100</f>
        <v/>
      </c>
      <c r="K91" s="54" t="n"/>
      <c r="L91" s="55" t="n">
        <v>1.02255639097744</v>
      </c>
      <c r="M91" s="120" t="inlineStr">
        <is>
          <t>Normal</t>
        </is>
      </c>
      <c r="N91" s="55" t="n">
        <v>1.99</v>
      </c>
      <c r="O91" s="57">
        <f>N91/C91</f>
        <v/>
      </c>
      <c r="P91" s="58">
        <f>(Boosters_IOS!B91*100)/Boosters_And!N91</f>
        <v/>
      </c>
      <c r="Q91" s="58">
        <f>Boosters_IOS!B91/(C91+D91)</f>
        <v/>
      </c>
      <c r="R91" s="58">
        <f>Boosters_IOS!N91/B91</f>
        <v/>
      </c>
      <c r="S91" s="55" t="n">
        <v>3.75187969924812</v>
      </c>
      <c r="T91" s="55" t="n">
        <v>129</v>
      </c>
      <c r="U91" s="121" t="n">
        <v>727170.064647923</v>
      </c>
      <c r="V91" s="122" t="n">
        <v>0.001041666666666667</v>
      </c>
      <c r="W91" s="123" t="n">
        <v>3398.08183</v>
      </c>
      <c r="X91" s="123" t="n">
        <v>3398.08183</v>
      </c>
      <c r="Y91" s="123" t="n">
        <v>8.142857143000001</v>
      </c>
      <c r="Z91" s="123" t="n">
        <v>159209.6208</v>
      </c>
      <c r="AA91" s="123" t="n">
        <v>0</v>
      </c>
      <c r="AB91" s="124" t="n">
        <v>0</v>
      </c>
      <c r="AC91" s="124" t="n">
        <v>0</v>
      </c>
      <c r="AD91" s="124" t="n">
        <v>0</v>
      </c>
      <c r="AE91" s="124" t="n">
        <v>0</v>
      </c>
      <c r="AF91" s="124" t="n">
        <v>0</v>
      </c>
      <c r="AG91" s="124" t="n">
        <v>0</v>
      </c>
      <c r="AH91" s="124" t="n">
        <v>0</v>
      </c>
      <c r="AI91" s="124" t="n">
        <v>0</v>
      </c>
      <c r="AJ91" s="124">
        <f>AB91+AC91+AD91+AE91+AF91+AG91+AH91+AI91</f>
        <v/>
      </c>
      <c r="AK91" s="59">
        <f>AL91/C91</f>
        <v/>
      </c>
      <c r="AL91" s="55" t="n">
        <v>154215</v>
      </c>
    </row>
    <row r="92" ht="22.5" customHeight="1" s="150">
      <c r="A92" s="34" t="n">
        <v>90</v>
      </c>
      <c r="B92" s="50" t="n">
        <v>702</v>
      </c>
      <c r="C92" s="50" t="n">
        <v>681</v>
      </c>
      <c r="D92" s="50" t="n">
        <v>237</v>
      </c>
      <c r="E92" s="50" t="n">
        <v>307</v>
      </c>
      <c r="F92" s="51">
        <f>(C92*100)/B92</f>
        <v/>
      </c>
      <c r="G92" s="51">
        <f>(D92*100)/B92</f>
        <v/>
      </c>
      <c r="H92" s="52">
        <f>((B92-B93)/B92)*100</f>
        <v/>
      </c>
      <c r="I92" s="53">
        <f>((B92-C92)/B92)*100</f>
        <v/>
      </c>
      <c r="J92" s="53">
        <f>((C92-B93)/C92)*100</f>
        <v/>
      </c>
      <c r="K92" s="54" t="n"/>
      <c r="L92" s="55" t="n">
        <v>1.56439393939393</v>
      </c>
      <c r="M92" s="128" t="inlineStr">
        <is>
          <t>Normal</t>
        </is>
      </c>
      <c r="N92" s="55" t="n">
        <v>69.39</v>
      </c>
      <c r="O92" s="57">
        <f>N92/C92</f>
        <v/>
      </c>
      <c r="P92" s="58">
        <f>(Boosters_IOS!B92*100)/Boosters_And!N92</f>
        <v/>
      </c>
      <c r="Q92" s="58">
        <f>Boosters_IOS!B92/(C92+D92)</f>
        <v/>
      </c>
      <c r="R92" s="58">
        <f>Boosters_IOS!N92/B92</f>
        <v/>
      </c>
      <c r="S92" s="55" t="n">
        <v>3.6060606060606</v>
      </c>
      <c r="T92" s="55" t="n">
        <v>201</v>
      </c>
      <c r="U92" s="121" t="n">
        <v>610918.806086338</v>
      </c>
      <c r="V92" s="122" t="n">
        <v>0.000925925925925926</v>
      </c>
      <c r="W92" s="123" t="n">
        <v>4217.416281</v>
      </c>
      <c r="X92" s="123" t="n">
        <v>4217.416281</v>
      </c>
      <c r="Y92" s="123" t="n">
        <v>5.285714286</v>
      </c>
      <c r="Z92" s="123" t="n">
        <v>164901.8391</v>
      </c>
      <c r="AA92" s="123" t="n">
        <v>0</v>
      </c>
      <c r="AB92" s="124" t="n">
        <v>0</v>
      </c>
      <c r="AC92" s="124" t="n">
        <v>0</v>
      </c>
      <c r="AD92" s="124" t="n">
        <v>0</v>
      </c>
      <c r="AE92" s="124" t="n">
        <v>0</v>
      </c>
      <c r="AF92" s="124" t="n">
        <v>0</v>
      </c>
      <c r="AG92" s="124" t="n">
        <v>0</v>
      </c>
      <c r="AH92" s="124" t="n">
        <v>0</v>
      </c>
      <c r="AI92" s="124" t="n">
        <v>0</v>
      </c>
      <c r="AJ92" s="124">
        <f>AB92+AC92+AD92+AE92+AF92+AG92+AH92+AI92</f>
        <v/>
      </c>
      <c r="AK92" s="59">
        <f>AL92/C92</f>
        <v/>
      </c>
      <c r="AL92" s="55" t="n">
        <v>137580</v>
      </c>
    </row>
    <row r="93" ht="22.5" customHeight="1" s="150">
      <c r="A93" s="34" t="n">
        <v>91</v>
      </c>
      <c r="B93" s="50" t="n">
        <v>684</v>
      </c>
      <c r="C93" s="50" t="n">
        <v>681</v>
      </c>
      <c r="D93" s="50" t="n">
        <v>85</v>
      </c>
      <c r="E93" s="50" t="n">
        <v>93</v>
      </c>
      <c r="F93" s="51">
        <f>(C93*100)/B93</f>
        <v/>
      </c>
      <c r="G93" s="51">
        <f>(D93*100)/B93</f>
        <v/>
      </c>
      <c r="H93" s="53">
        <f>((B93-B94)/B93)*100</f>
        <v/>
      </c>
      <c r="I93" s="53">
        <f>((B93-C93)/B93)*100</f>
        <v/>
      </c>
      <c r="J93" s="53">
        <f>((C93-B94)/C93)*100</f>
        <v/>
      </c>
      <c r="K93" s="54" t="n"/>
      <c r="L93" s="55" t="n">
        <v>1.16287878787878</v>
      </c>
      <c r="M93" s="120" t="inlineStr">
        <is>
          <t>Normal</t>
        </is>
      </c>
      <c r="N93" s="55" t="n">
        <v>10.47</v>
      </c>
      <c r="O93" s="57">
        <f>N93/C93</f>
        <v/>
      </c>
      <c r="P93" s="58">
        <f>(Boosters_IOS!B93*100)/Boosters_And!N93</f>
        <v/>
      </c>
      <c r="Q93" s="58">
        <f>Boosters_IOS!B93/(C93+D93)</f>
        <v/>
      </c>
      <c r="R93" s="58">
        <f>Boosters_IOS!N93/B93</f>
        <v/>
      </c>
      <c r="S93" s="55" t="n">
        <v>10.7916666666666</v>
      </c>
      <c r="T93" s="55" t="n">
        <v>142</v>
      </c>
      <c r="U93" s="121" t="n">
        <v>635654.762811557</v>
      </c>
      <c r="V93" s="122" t="n">
        <v>0.001388888888888889</v>
      </c>
      <c r="W93" s="123" t="n">
        <v>7486.129514</v>
      </c>
      <c r="X93" s="123" t="n">
        <v>7253.266038</v>
      </c>
      <c r="Y93" s="123" t="n">
        <v>7.875</v>
      </c>
      <c r="Z93" s="123" t="n">
        <v>220961.5647</v>
      </c>
      <c r="AA93" s="123" t="n">
        <v>7762.115855</v>
      </c>
      <c r="AB93" s="124" t="n">
        <v>0</v>
      </c>
      <c r="AC93" s="124" t="n">
        <v>0</v>
      </c>
      <c r="AD93" s="124" t="n">
        <v>0</v>
      </c>
      <c r="AE93" s="124" t="n">
        <v>0</v>
      </c>
      <c r="AF93" s="124" t="n">
        <v>0</v>
      </c>
      <c r="AG93" s="124" t="n">
        <v>0</v>
      </c>
      <c r="AH93" s="124" t="n">
        <v>0</v>
      </c>
      <c r="AI93" s="124" t="n">
        <v>0</v>
      </c>
      <c r="AJ93" s="124">
        <f>AB93+AC93+AD93+AE93+AF93+AG93+AH93+AI93</f>
        <v/>
      </c>
      <c r="AK93" s="59">
        <f>AL93/C93</f>
        <v/>
      </c>
      <c r="AL93" s="55" t="n">
        <v>134665</v>
      </c>
    </row>
    <row r="94" ht="22.5" customHeight="1" s="150">
      <c r="A94" s="34" t="n">
        <v>92</v>
      </c>
      <c r="B94" s="50" t="n">
        <v>681</v>
      </c>
      <c r="C94" s="50" t="n">
        <v>671</v>
      </c>
      <c r="D94" s="50" t="n">
        <v>183</v>
      </c>
      <c r="E94" s="50" t="n">
        <v>212</v>
      </c>
      <c r="F94" s="51">
        <f>(C94*100)/B94</f>
        <v/>
      </c>
      <c r="G94" s="51">
        <f>(D94*100)/B94</f>
        <v/>
      </c>
      <c r="H94" s="53">
        <f>((B94-B95)/B94)*100</f>
        <v/>
      </c>
      <c r="I94" s="53">
        <f>((B94-C94)/B94)*100</f>
        <v/>
      </c>
      <c r="J94" s="53">
        <f>((C94-B95)/C94)*100</f>
        <v/>
      </c>
      <c r="K94" s="54" t="n"/>
      <c r="L94" s="55" t="n">
        <v>1.32567049808429</v>
      </c>
      <c r="M94" s="128" t="inlineStr">
        <is>
          <t>Normal</t>
        </is>
      </c>
      <c r="N94" s="55" t="n">
        <v>14.85</v>
      </c>
      <c r="O94" s="57">
        <f>N94/C94</f>
        <v/>
      </c>
      <c r="P94" s="58">
        <f>(Boosters_IOS!B94*100)/Boosters_And!N94</f>
        <v/>
      </c>
      <c r="Q94" s="58">
        <f>Boosters_IOS!B94/(C94+D94)</f>
        <v/>
      </c>
      <c r="R94" s="58">
        <f>Boosters_IOS!N94/B94</f>
        <v/>
      </c>
      <c r="S94" s="55" t="n">
        <v>8.67816091954022</v>
      </c>
      <c r="T94" s="55" t="n">
        <v>155</v>
      </c>
      <c r="U94" s="121" t="n">
        <v>609190.642269248</v>
      </c>
      <c r="V94" s="122" t="n">
        <v>0.001967592592592592</v>
      </c>
      <c r="W94" s="123" t="n">
        <v>9254.167014000001</v>
      </c>
      <c r="X94" s="123" t="n">
        <v>9228.293294999999</v>
      </c>
      <c r="Y94" s="123" t="n">
        <v>5.428571429</v>
      </c>
      <c r="Z94" s="123" t="n">
        <v>209404.6366</v>
      </c>
      <c r="AA94" s="123" t="n">
        <v>7762.115855</v>
      </c>
      <c r="AB94" s="124" t="n">
        <v>0</v>
      </c>
      <c r="AC94" s="124" t="n">
        <v>0</v>
      </c>
      <c r="AD94" s="124" t="n">
        <v>0</v>
      </c>
      <c r="AE94" s="124" t="n">
        <v>0</v>
      </c>
      <c r="AF94" s="124" t="n">
        <v>0</v>
      </c>
      <c r="AG94" s="124" t="n">
        <v>0</v>
      </c>
      <c r="AH94" s="124" t="n">
        <v>0</v>
      </c>
      <c r="AI94" s="124" t="n">
        <v>0</v>
      </c>
      <c r="AJ94" s="124">
        <f>AB94+AC94+AD94+AE94+AF94+AG94+AH94+AI94</f>
        <v/>
      </c>
      <c r="AK94" s="59">
        <f>AL94/C94</f>
        <v/>
      </c>
      <c r="AL94" s="55" t="n">
        <v>124155</v>
      </c>
    </row>
    <row r="95" ht="22.5" customHeight="1" s="150">
      <c r="A95" s="34" t="n">
        <v>93</v>
      </c>
      <c r="B95" s="50" t="n">
        <v>673</v>
      </c>
      <c r="C95" s="50" t="n">
        <v>671</v>
      </c>
      <c r="D95" s="50" t="n">
        <v>3</v>
      </c>
      <c r="E95" s="50" t="n">
        <v>3</v>
      </c>
      <c r="F95" s="51">
        <f>(C95*100)/B95</f>
        <v/>
      </c>
      <c r="G95" s="51">
        <f>(D95*100)/B95</f>
        <v/>
      </c>
      <c r="H95" s="53">
        <f>((B95-B96)/B95)*100</f>
        <v/>
      </c>
      <c r="I95" s="53">
        <f>((B95-C95)/B95)*100</f>
        <v/>
      </c>
      <c r="J95" s="53">
        <f>((C95-B96)/C95)*100</f>
        <v/>
      </c>
      <c r="K95" s="54" t="n"/>
      <c r="L95" s="55" t="n">
        <v>1.00384615384615</v>
      </c>
      <c r="M95" s="120" t="inlineStr">
        <is>
          <t>Normal</t>
        </is>
      </c>
      <c r="N95" s="55" t="n">
        <v>0</v>
      </c>
      <c r="O95" s="57">
        <f>N95/C95</f>
        <v/>
      </c>
      <c r="P95" s="58">
        <f>(Boosters_IOS!B95*100)/Boosters_And!N95</f>
        <v/>
      </c>
      <c r="Q95" s="58">
        <f>Boosters_IOS!B95/(C95+D95)</f>
        <v/>
      </c>
      <c r="R95" s="58">
        <f>Boosters_IOS!N95/B95</f>
        <v/>
      </c>
      <c r="S95" s="55" t="n">
        <v>4.96153846153846</v>
      </c>
      <c r="T95" s="55" t="n">
        <v>113</v>
      </c>
      <c r="U95" s="121" t="n">
        <v>641754.9231509879</v>
      </c>
      <c r="V95" s="122" t="n">
        <v>0.001157407407407407</v>
      </c>
      <c r="W95" s="123" t="n">
        <v>4372.658599</v>
      </c>
      <c r="X95" s="123" t="n">
        <v>4372.658599</v>
      </c>
      <c r="Y95" s="123" t="n">
        <v>3.5</v>
      </c>
      <c r="Z95" s="123" t="n">
        <v>191638.0159</v>
      </c>
      <c r="AA95" s="123" t="n">
        <v>12074.40244</v>
      </c>
      <c r="AB95" s="124" t="n">
        <v>0</v>
      </c>
      <c r="AC95" s="124" t="n">
        <v>0</v>
      </c>
      <c r="AD95" s="124" t="n">
        <v>0</v>
      </c>
      <c r="AE95" s="124" t="n">
        <v>0</v>
      </c>
      <c r="AF95" s="124" t="n">
        <v>0</v>
      </c>
      <c r="AG95" s="124" t="n">
        <v>0</v>
      </c>
      <c r="AH95" s="124" t="n">
        <v>0</v>
      </c>
      <c r="AI95" s="124" t="n">
        <v>0</v>
      </c>
      <c r="AJ95" s="124">
        <f>AB95+AC95+AD95+AE95+AF95+AG95+AH95+AI95</f>
        <v/>
      </c>
      <c r="AK95" s="59">
        <f>AL95/C95</f>
        <v/>
      </c>
      <c r="AL95" s="55" t="n">
        <v>132840</v>
      </c>
    </row>
    <row r="96" ht="22.5" customHeight="1" s="150">
      <c r="A96" s="34" t="n">
        <v>94</v>
      </c>
      <c r="B96" s="50" t="n">
        <v>673</v>
      </c>
      <c r="C96" s="50" t="n">
        <v>673</v>
      </c>
      <c r="D96" s="50" t="n">
        <v>8</v>
      </c>
      <c r="E96" s="50" t="n">
        <v>10</v>
      </c>
      <c r="F96" s="51">
        <f>(C96*100)/B96</f>
        <v/>
      </c>
      <c r="G96" s="51">
        <f>(D96*100)/B96</f>
        <v/>
      </c>
      <c r="H96" s="53">
        <f>((B96-B97)/B96)*100</f>
        <v/>
      </c>
      <c r="I96" s="53">
        <f>((B96-C96)/B96)*100</f>
        <v/>
      </c>
      <c r="J96" s="53">
        <f>((C96-B97)/C96)*100</f>
        <v/>
      </c>
      <c r="K96" s="54" t="n"/>
      <c r="L96" s="55" t="n">
        <v>1.01532567049808</v>
      </c>
      <c r="M96" s="128" t="inlineStr">
        <is>
          <t>Normal</t>
        </is>
      </c>
      <c r="N96" s="55" t="n">
        <v>6.3</v>
      </c>
      <c r="O96" s="57">
        <f>N96/C96</f>
        <v/>
      </c>
      <c r="P96" s="58">
        <f>(Boosters_IOS!B96*100)/Boosters_And!N96</f>
        <v/>
      </c>
      <c r="Q96" s="58">
        <f>Boosters_IOS!B96/(C96+D96)</f>
        <v/>
      </c>
      <c r="R96" s="58">
        <f>Boosters_IOS!N96/B96</f>
        <v/>
      </c>
      <c r="S96" s="55" t="n">
        <v>4.14942528735632</v>
      </c>
      <c r="T96" s="55" t="n">
        <v>116</v>
      </c>
      <c r="U96" s="121" t="n">
        <v>686996.704273024</v>
      </c>
      <c r="V96" s="122" t="n">
        <v>0.001388888888888889</v>
      </c>
      <c r="W96" s="123" t="n">
        <v>4096.672257</v>
      </c>
      <c r="X96" s="123" t="n">
        <v>4001.801952</v>
      </c>
      <c r="Y96" s="123" t="n">
        <v>1.75</v>
      </c>
      <c r="Z96" s="123" t="n">
        <v>84607.06282000001</v>
      </c>
      <c r="AA96" s="123" t="n">
        <v>15524.23171</v>
      </c>
      <c r="AB96" s="124" t="n">
        <v>0</v>
      </c>
      <c r="AC96" s="124" t="n">
        <v>0</v>
      </c>
      <c r="AD96" s="124" t="n">
        <v>0</v>
      </c>
      <c r="AE96" s="124" t="n">
        <v>0</v>
      </c>
      <c r="AF96" s="124" t="n">
        <v>0</v>
      </c>
      <c r="AG96" s="124" t="n">
        <v>0</v>
      </c>
      <c r="AH96" s="124" t="n">
        <v>0</v>
      </c>
      <c r="AI96" s="124" t="n">
        <v>0</v>
      </c>
      <c r="AJ96" s="124">
        <f>AB96+AC96+AD96+AE96+AF96+AG96+AH96+AI96</f>
        <v/>
      </c>
      <c r="AK96" s="59">
        <f>AL96/C96</f>
        <v/>
      </c>
      <c r="AL96" s="55" t="n">
        <v>139375</v>
      </c>
    </row>
    <row r="97" ht="22.5" customHeight="1" s="150">
      <c r="A97" s="77" t="n">
        <v>95</v>
      </c>
      <c r="B97" s="50" t="n">
        <v>671</v>
      </c>
      <c r="C97" s="50" t="n">
        <v>627</v>
      </c>
      <c r="D97" s="50" t="n">
        <v>395</v>
      </c>
      <c r="E97" s="50" t="n">
        <v>286</v>
      </c>
      <c r="F97" s="51">
        <f>(C97*100)/B97</f>
        <v/>
      </c>
      <c r="G97" s="51">
        <f>(D97*100)/B97</f>
        <v/>
      </c>
      <c r="H97" s="53">
        <f>((B97-B98)/B97)*100</f>
        <v/>
      </c>
      <c r="I97" s="53">
        <f>((B97-C97)/B97)*100</f>
        <v/>
      </c>
      <c r="J97" s="53">
        <f>((C97-B98)/C97)*100</f>
        <v/>
      </c>
      <c r="K97" s="54" t="n"/>
      <c r="L97" s="55" t="n">
        <v>2</v>
      </c>
      <c r="M97" s="120" t="inlineStr">
        <is>
          <t>Normal</t>
        </is>
      </c>
      <c r="N97" s="55" t="n">
        <v>161.35</v>
      </c>
      <c r="O97" s="57">
        <f>N97/C97</f>
        <v/>
      </c>
      <c r="P97" s="58">
        <f>(Boosters_IOS!B97*100)/Boosters_And!N97</f>
        <v/>
      </c>
      <c r="Q97" s="58">
        <f>Boosters_IOS!B97/(C97+D97)</f>
        <v/>
      </c>
      <c r="R97" s="58">
        <f>Boosters_IOS!N97/B97</f>
        <v/>
      </c>
      <c r="S97" s="55" t="n">
        <v>3.72016460905349</v>
      </c>
      <c r="T97" s="55" t="n">
        <v>286</v>
      </c>
      <c r="U97" s="121" t="n">
        <v>585847.533993625</v>
      </c>
      <c r="V97" s="122" t="n">
        <v>0.001157407407407407</v>
      </c>
      <c r="W97" s="123" t="n">
        <v>1690.416342</v>
      </c>
      <c r="X97" s="123" t="n">
        <v>1690.416342</v>
      </c>
      <c r="Y97" s="123" t="n">
        <v>12.25</v>
      </c>
      <c r="Z97" s="123" t="n">
        <v>85814.50307000001</v>
      </c>
      <c r="AA97" s="123" t="n">
        <v>0</v>
      </c>
      <c r="AB97" s="124" t="n">
        <v>0</v>
      </c>
      <c r="AC97" s="124" t="n">
        <v>0</v>
      </c>
      <c r="AD97" s="124" t="n">
        <v>0</v>
      </c>
      <c r="AE97" s="124" t="n">
        <v>0</v>
      </c>
      <c r="AF97" s="124" t="n">
        <v>0</v>
      </c>
      <c r="AG97" s="124" t="n">
        <v>0</v>
      </c>
      <c r="AH97" s="124" t="n">
        <v>0</v>
      </c>
      <c r="AI97" s="124" t="n">
        <v>0</v>
      </c>
      <c r="AJ97" s="124">
        <f>AB97+AC97+AD97+AE97+AF97+AG97+AH97+AI97</f>
        <v/>
      </c>
      <c r="AK97" s="59">
        <f>AL97/C97</f>
        <v/>
      </c>
      <c r="AL97" s="55" t="n">
        <v>123105</v>
      </c>
    </row>
    <row r="98" ht="22.5" customHeight="1" s="150">
      <c r="A98" s="34" t="n">
        <v>96</v>
      </c>
      <c r="B98" s="50" t="n">
        <v>632</v>
      </c>
      <c r="C98" s="50" t="n">
        <v>632</v>
      </c>
      <c r="D98" s="50" t="n">
        <v>103</v>
      </c>
      <c r="E98" s="50" t="n">
        <v>95</v>
      </c>
      <c r="F98" s="51">
        <f>(C98*100)/B98</f>
        <v/>
      </c>
      <c r="G98" s="51">
        <f>(D98*100)/B98</f>
        <v/>
      </c>
      <c r="H98" s="53">
        <f>((B98-B99)/B98)*100</f>
        <v/>
      </c>
      <c r="I98" s="53">
        <f>((B98-C98)/B98)*100</f>
        <v/>
      </c>
      <c r="J98" s="53">
        <f>((C98-B99)/C98)*100</f>
        <v/>
      </c>
      <c r="K98" s="54" t="n"/>
      <c r="L98" s="55" t="n">
        <v>1.19591836734693</v>
      </c>
      <c r="M98" s="128" t="inlineStr">
        <is>
          <t>Normal</t>
        </is>
      </c>
      <c r="N98" s="55" t="n">
        <v>17.47</v>
      </c>
      <c r="O98" s="57">
        <f>N98/C98</f>
        <v/>
      </c>
      <c r="P98" s="58">
        <f>(Boosters_IOS!B98*100)/Boosters_And!N98</f>
        <v/>
      </c>
      <c r="Q98" s="58">
        <f>Boosters_IOS!B98/(C98+D98)</f>
        <v/>
      </c>
      <c r="R98" s="58">
        <f>Boosters_IOS!N98/B98</f>
        <v/>
      </c>
      <c r="S98" s="55" t="n">
        <v>3.90612244897959</v>
      </c>
      <c r="T98" s="55" t="n">
        <v>147</v>
      </c>
      <c r="U98" s="121" t="n">
        <v>585731.4632894919</v>
      </c>
      <c r="V98" s="122" t="n">
        <v>0.0006944444444444445</v>
      </c>
      <c r="W98" s="123" t="n">
        <v>1802.535793</v>
      </c>
      <c r="X98" s="123" t="n">
        <v>1802.535793</v>
      </c>
      <c r="Y98" s="123" t="n">
        <v>3.75</v>
      </c>
      <c r="Z98" s="123" t="n">
        <v>87021.94331</v>
      </c>
      <c r="AA98" s="123" t="n">
        <v>0</v>
      </c>
      <c r="AB98" s="124" t="n">
        <v>0</v>
      </c>
      <c r="AC98" s="124" t="n">
        <v>0</v>
      </c>
      <c r="AD98" s="124" t="n">
        <v>0</v>
      </c>
      <c r="AE98" s="124" t="n">
        <v>0</v>
      </c>
      <c r="AF98" s="124" t="n">
        <v>0</v>
      </c>
      <c r="AG98" s="124" t="n">
        <v>0</v>
      </c>
      <c r="AH98" s="124" t="n">
        <v>0</v>
      </c>
      <c r="AI98" s="124" t="n">
        <v>0</v>
      </c>
      <c r="AJ98" s="124">
        <f>AB98+AC98+AD98+AE98+AF98+AG98+AH98+AI98</f>
        <v/>
      </c>
      <c r="AK98" s="59">
        <f>AL98/C98</f>
        <v/>
      </c>
      <c r="AL98" s="55" t="n">
        <v>120850</v>
      </c>
    </row>
    <row r="99" ht="22.5" customHeight="1" s="150">
      <c r="A99" s="34" t="n">
        <v>97</v>
      </c>
      <c r="B99" s="50" t="n">
        <v>640</v>
      </c>
      <c r="C99" s="50" t="n">
        <v>632</v>
      </c>
      <c r="D99" s="50" t="n">
        <v>235</v>
      </c>
      <c r="E99" s="50" t="n">
        <v>224</v>
      </c>
      <c r="F99" s="51">
        <f>(C99*100)/B99</f>
        <v/>
      </c>
      <c r="G99" s="51">
        <f>(D99*100)/B99</f>
        <v/>
      </c>
      <c r="H99" s="53">
        <f>((B99-B100)/B99)*100</f>
        <v/>
      </c>
      <c r="I99" s="53">
        <f>((B99-C99)/B99)*100</f>
        <v/>
      </c>
      <c r="J99" s="53">
        <f>((C99-B100)/C99)*100</f>
        <v/>
      </c>
      <c r="K99" s="54" t="n"/>
      <c r="L99" s="55" t="n">
        <v>1.46122448979591</v>
      </c>
      <c r="M99" s="120" t="inlineStr">
        <is>
          <t>Normal</t>
        </is>
      </c>
      <c r="N99" s="55" t="n">
        <v>54.29</v>
      </c>
      <c r="O99" s="57">
        <f>N99/C99</f>
        <v/>
      </c>
      <c r="P99" s="58">
        <f>(Boosters_IOS!B99*100)/Boosters_And!N99</f>
        <v/>
      </c>
      <c r="Q99" s="58">
        <f>Boosters_IOS!B99/(C99+D99)</f>
        <v/>
      </c>
      <c r="R99" s="58">
        <f>Boosters_IOS!N99/B99</f>
        <v/>
      </c>
      <c r="S99" s="55" t="n">
        <v>4.52653061224489</v>
      </c>
      <c r="T99" s="55" t="n">
        <v>188</v>
      </c>
      <c r="U99" s="121" t="n">
        <v>514090.045349665</v>
      </c>
      <c r="V99" s="122" t="n">
        <v>0.001273148148148148</v>
      </c>
      <c r="W99" s="123" t="n">
        <v>1897.406098</v>
      </c>
      <c r="X99" s="123" t="n">
        <v>1897.406098</v>
      </c>
      <c r="Y99" s="123" t="n">
        <v>6.5</v>
      </c>
      <c r="Z99" s="123" t="n">
        <v>88401.87502000001</v>
      </c>
      <c r="AA99" s="123" t="n">
        <v>0</v>
      </c>
      <c r="AB99" s="124" t="n">
        <v>0</v>
      </c>
      <c r="AC99" s="124" t="n">
        <v>0</v>
      </c>
      <c r="AD99" s="124" t="n">
        <v>0</v>
      </c>
      <c r="AE99" s="124" t="n">
        <v>0</v>
      </c>
      <c r="AF99" s="124" t="n">
        <v>0</v>
      </c>
      <c r="AG99" s="124" t="n">
        <v>0</v>
      </c>
      <c r="AH99" s="124" t="n">
        <v>0</v>
      </c>
      <c r="AI99" s="124" t="n">
        <v>0</v>
      </c>
      <c r="AJ99" s="124">
        <f>AB99+AC99+AD99+AE99+AF99+AG99+AH99+AI99</f>
        <v/>
      </c>
      <c r="AK99" s="59">
        <f>AL99/C99</f>
        <v/>
      </c>
      <c r="AL99" s="55" t="n">
        <v>102135</v>
      </c>
    </row>
    <row r="100" ht="22.5" customHeight="1" s="150">
      <c r="A100" s="34" t="n">
        <v>98</v>
      </c>
      <c r="B100" s="50" t="n">
        <v>629</v>
      </c>
      <c r="C100" s="50" t="n">
        <v>629</v>
      </c>
      <c r="D100" s="50" t="n">
        <v>8</v>
      </c>
      <c r="E100" s="50" t="n">
        <v>5</v>
      </c>
      <c r="F100" s="51">
        <f>(C100*100)/B100</f>
        <v/>
      </c>
      <c r="G100" s="51">
        <f>(D100*100)/B100</f>
        <v/>
      </c>
      <c r="H100" s="53">
        <f>((B100-B101)/B100)*100</f>
        <v/>
      </c>
      <c r="I100" s="53">
        <f>((B100-C100)/B100)*100</f>
        <v/>
      </c>
      <c r="J100" s="53">
        <f>((C100-B101)/C100)*100</f>
        <v/>
      </c>
      <c r="K100" s="54" t="n"/>
      <c r="L100" s="55" t="n">
        <v>1.01639344262295</v>
      </c>
      <c r="M100" s="128" t="inlineStr">
        <is>
          <t>Normal</t>
        </is>
      </c>
      <c r="N100" s="55" t="n">
        <v>0</v>
      </c>
      <c r="O100" s="57">
        <f>N100/C100</f>
        <v/>
      </c>
      <c r="P100" s="58">
        <f>(Boosters_IOS!B100*100)/Boosters_And!N100</f>
        <v/>
      </c>
      <c r="Q100" s="58">
        <f>Boosters_IOS!B100/(C100+D100)</f>
        <v/>
      </c>
      <c r="R100" s="58">
        <f>Boosters_IOS!N100/B100</f>
        <v/>
      </c>
      <c r="S100" s="55" t="n">
        <v>6.37295081967213</v>
      </c>
      <c r="T100" s="55" t="n">
        <v>111</v>
      </c>
      <c r="U100" s="121" t="n">
        <v>533912.3422665891</v>
      </c>
      <c r="V100" s="122" t="n">
        <v>0.001331018518518518</v>
      </c>
      <c r="W100" s="123" t="n">
        <v>1483.426586</v>
      </c>
      <c r="X100" s="123" t="n">
        <v>1483.426586</v>
      </c>
      <c r="Y100" s="123" t="n">
        <v>5.25</v>
      </c>
      <c r="Z100" s="123" t="n">
        <v>89609.31526</v>
      </c>
      <c r="AA100" s="123" t="n">
        <v>0</v>
      </c>
      <c r="AB100" s="124" t="n">
        <v>0</v>
      </c>
      <c r="AC100" s="124" t="n">
        <v>0</v>
      </c>
      <c r="AD100" s="124" t="n">
        <v>0</v>
      </c>
      <c r="AE100" s="124" t="n">
        <v>0</v>
      </c>
      <c r="AF100" s="124" t="n">
        <v>0</v>
      </c>
      <c r="AG100" s="124" t="n">
        <v>0</v>
      </c>
      <c r="AH100" s="124" t="n">
        <v>0</v>
      </c>
      <c r="AI100" s="124" t="n">
        <v>0</v>
      </c>
      <c r="AJ100" s="124">
        <f>AB100+AC100+AD100+AE100+AF100+AG100+AH100+AI100</f>
        <v/>
      </c>
      <c r="AK100" s="59">
        <f>AL100/C100</f>
        <v/>
      </c>
      <c r="AL100" s="55" t="n">
        <v>108720</v>
      </c>
    </row>
    <row r="101" ht="22.5" customHeight="1" s="150">
      <c r="A101" s="34" t="n">
        <v>99</v>
      </c>
      <c r="B101" s="50" t="n">
        <v>637</v>
      </c>
      <c r="C101" s="50" t="n">
        <v>635</v>
      </c>
      <c r="D101" s="50" t="n">
        <v>41</v>
      </c>
      <c r="E101" s="50" t="n">
        <v>59</v>
      </c>
      <c r="F101" s="51">
        <f>(C101*100)/B101</f>
        <v/>
      </c>
      <c r="G101" s="51">
        <f>(D101*100)/B101</f>
        <v/>
      </c>
      <c r="H101" s="53">
        <f>((B101-B102)/B101)*100</f>
        <v/>
      </c>
      <c r="I101" s="53">
        <f>((B101-C101)/B101)*100</f>
        <v/>
      </c>
      <c r="J101" s="53">
        <f>((C101-B102)/C101)*100</f>
        <v/>
      </c>
      <c r="K101" s="54" t="n"/>
      <c r="L101" s="55" t="n">
        <v>1.06910569105691</v>
      </c>
      <c r="M101" s="120" t="inlineStr">
        <is>
          <t>Normal</t>
        </is>
      </c>
      <c r="N101" s="55" t="n">
        <v>0</v>
      </c>
      <c r="O101" s="57">
        <f>N101/C101</f>
        <v/>
      </c>
      <c r="P101" s="58">
        <f>(Boosters_IOS!B101*100)/Boosters_And!N101</f>
        <v/>
      </c>
      <c r="Q101" s="58">
        <f>Boosters_IOS!B101/(C101+D101)</f>
        <v/>
      </c>
      <c r="R101" s="58">
        <f>Boosters_IOS!N101/B101</f>
        <v/>
      </c>
      <c r="S101" s="55" t="n">
        <v>3.52845528455284</v>
      </c>
      <c r="T101" s="55" t="n">
        <v>119</v>
      </c>
      <c r="U101" s="121" t="n">
        <v>560724.674921296</v>
      </c>
      <c r="V101" s="122" t="n">
        <v>0.00150462962962963</v>
      </c>
      <c r="W101" s="123" t="n">
        <v>2820.235427</v>
      </c>
      <c r="X101" s="123" t="n">
        <v>2820.235427</v>
      </c>
      <c r="Y101" s="123" t="n">
        <v>3.25</v>
      </c>
      <c r="Z101" s="123" t="n">
        <v>90816.75551</v>
      </c>
      <c r="AA101" s="123" t="n">
        <v>0</v>
      </c>
      <c r="AB101" s="124" t="n">
        <v>0</v>
      </c>
      <c r="AC101" s="124" t="n">
        <v>0</v>
      </c>
      <c r="AD101" s="124" t="n">
        <v>0</v>
      </c>
      <c r="AE101" s="124" t="n">
        <v>0</v>
      </c>
      <c r="AF101" s="124" t="n">
        <v>0</v>
      </c>
      <c r="AG101" s="124" t="n">
        <v>0</v>
      </c>
      <c r="AH101" s="124" t="n">
        <v>0</v>
      </c>
      <c r="AI101" s="124" t="n">
        <v>0</v>
      </c>
      <c r="AJ101" s="124">
        <f>AB101+AC101+AD101+AE101+AF101+AG101+AH101+AI101</f>
        <v/>
      </c>
      <c r="AK101" s="59">
        <f>AL101/C101</f>
        <v/>
      </c>
      <c r="AL101" s="55" t="n">
        <v>108835</v>
      </c>
    </row>
    <row r="102" ht="22.5" customHeight="1" s="150">
      <c r="A102" s="34" t="n">
        <v>100</v>
      </c>
      <c r="B102" s="50" t="n">
        <v>632</v>
      </c>
      <c r="C102" s="50" t="n">
        <v>632</v>
      </c>
      <c r="D102" s="50" t="n">
        <v>0</v>
      </c>
      <c r="E102" s="50" t="n">
        <v>3</v>
      </c>
      <c r="F102" s="51">
        <f>(C102*100)/B102</f>
        <v/>
      </c>
      <c r="G102" s="51">
        <f>(D102*100)/B102</f>
        <v/>
      </c>
      <c r="H102" s="52">
        <f>((B102-B103)/B102)*100</f>
        <v/>
      </c>
      <c r="I102" s="53">
        <f>((B102-C102)/B102)*100</f>
        <v/>
      </c>
      <c r="J102" s="53">
        <f>((C102-B103)/C102)*100</f>
        <v/>
      </c>
      <c r="K102" s="54" t="n"/>
      <c r="L102" s="55" t="n">
        <v>1.00816326530612</v>
      </c>
      <c r="M102" s="128" t="inlineStr">
        <is>
          <t>Normal</t>
        </is>
      </c>
      <c r="N102" s="55" t="n">
        <v>0</v>
      </c>
      <c r="O102" s="57">
        <f>N102/C102</f>
        <v/>
      </c>
      <c r="P102" s="58">
        <f>(Boosters_IOS!B102*100)/Boosters_And!N102</f>
        <v/>
      </c>
      <c r="Q102" s="58">
        <f>Boosters_IOS!B102/(C102+D102)</f>
        <v/>
      </c>
      <c r="R102" s="58">
        <f>Boosters_IOS!N102/B102</f>
        <v/>
      </c>
      <c r="S102" s="55" t="n">
        <v>4.26938775510204</v>
      </c>
      <c r="T102" s="55" t="n">
        <v>106</v>
      </c>
      <c r="U102" s="121" t="n">
        <v>592631.2218129491</v>
      </c>
      <c r="V102" s="122" t="n">
        <v>0.0008101851851851852</v>
      </c>
      <c r="W102" s="123" t="n">
        <v>1345.433415</v>
      </c>
      <c r="X102" s="123" t="n">
        <v>1345.433415</v>
      </c>
      <c r="Y102" s="123" t="n">
        <v>4.25</v>
      </c>
      <c r="Z102" s="123" t="n">
        <v>92369.17868</v>
      </c>
      <c r="AA102" s="123" t="n">
        <v>0</v>
      </c>
      <c r="AB102" s="124" t="n">
        <v>0</v>
      </c>
      <c r="AC102" s="124" t="n">
        <v>0</v>
      </c>
      <c r="AD102" s="124" t="n">
        <v>0</v>
      </c>
      <c r="AE102" s="124" t="n">
        <v>0</v>
      </c>
      <c r="AF102" s="124" t="n">
        <v>0</v>
      </c>
      <c r="AG102" s="124" t="n">
        <v>0</v>
      </c>
      <c r="AH102" s="124" t="n">
        <v>0</v>
      </c>
      <c r="AI102" s="124" t="n">
        <v>0</v>
      </c>
      <c r="AJ102" s="124">
        <f>AB102+AC102+AD102+AE102+AF102+AG102+AH102+AI102</f>
        <v/>
      </c>
      <c r="AK102" s="59">
        <f>AL102/C102</f>
        <v/>
      </c>
      <c r="AL102" s="55" t="n">
        <v>116895</v>
      </c>
    </row>
    <row r="103" ht="22.5" customHeight="1" s="150">
      <c r="A103" s="34" t="n">
        <v>101</v>
      </c>
      <c r="B103" s="50" t="n">
        <v>622</v>
      </c>
      <c r="C103" s="50" t="n">
        <v>619</v>
      </c>
      <c r="D103" s="50" t="n">
        <v>0</v>
      </c>
      <c r="E103" s="50" t="n">
        <v>3</v>
      </c>
      <c r="F103" s="51">
        <f>(C103*100)/B103</f>
        <v/>
      </c>
      <c r="G103" s="51">
        <f>(D103*100)/B103</f>
        <v/>
      </c>
      <c r="H103" s="52">
        <f>((B103-B104)/B103)*100</f>
        <v/>
      </c>
      <c r="I103" s="53">
        <f>((B103-C103)/B103)*100</f>
        <v/>
      </c>
      <c r="J103" s="53">
        <f>((C103-B104)/C103)*100</f>
        <v/>
      </c>
      <c r="K103" s="53" t="n"/>
      <c r="L103" s="55" t="n">
        <v>1.00833333333333</v>
      </c>
      <c r="M103" s="120" t="inlineStr">
        <is>
          <t>Normal</t>
        </is>
      </c>
      <c r="N103" s="55" t="n">
        <v>6.49</v>
      </c>
      <c r="O103" s="57">
        <f>N103/C103</f>
        <v/>
      </c>
      <c r="P103" s="58">
        <f>(Boosters_IOS!B103*100)/Boosters_And!N103</f>
        <v/>
      </c>
      <c r="Q103" s="58">
        <f>Boosters_IOS!B103/(C103+D103)</f>
        <v/>
      </c>
      <c r="R103" s="58">
        <f>Boosters_IOS!N103/B103</f>
        <v/>
      </c>
      <c r="S103" s="55" t="n">
        <v>5.52916666666666</v>
      </c>
      <c r="T103" s="55" t="n">
        <v>98</v>
      </c>
      <c r="U103" s="121" t="n">
        <v>600240.301306108</v>
      </c>
      <c r="V103" s="122" t="n">
        <v>0.0008680555555555555</v>
      </c>
      <c r="W103" s="123" t="n">
        <v>1604.17061</v>
      </c>
      <c r="X103" s="123" t="n">
        <v>1604.17061</v>
      </c>
      <c r="Y103" s="123" t="n">
        <v>4</v>
      </c>
      <c r="Z103" s="123" t="n">
        <v>97802.65978</v>
      </c>
      <c r="AA103" s="123" t="n">
        <v>0</v>
      </c>
      <c r="AB103" s="124" t="n">
        <v>0</v>
      </c>
      <c r="AC103" s="124" t="n">
        <v>0</v>
      </c>
      <c r="AD103" s="124" t="n">
        <v>0</v>
      </c>
      <c r="AE103" s="124" t="n">
        <v>0</v>
      </c>
      <c r="AF103" s="124" t="n">
        <v>0</v>
      </c>
      <c r="AG103" s="124" t="n">
        <v>0</v>
      </c>
      <c r="AH103" s="124" t="n">
        <v>0</v>
      </c>
      <c r="AI103" s="124" t="n">
        <v>0</v>
      </c>
      <c r="AJ103" s="124">
        <f>AB103+AC103+AD103+AE103+AF103+AG103+AH103+AI103</f>
        <v/>
      </c>
      <c r="AK103" s="59">
        <f>AL103/C103</f>
        <v/>
      </c>
      <c r="AL103" s="55" t="n">
        <v>117300</v>
      </c>
    </row>
    <row r="104" ht="22.5" customHeight="1" s="150">
      <c r="A104" s="34" t="n">
        <v>102</v>
      </c>
      <c r="B104" s="50" t="n">
        <v>624</v>
      </c>
      <c r="C104" s="50" t="n">
        <v>624</v>
      </c>
      <c r="D104" s="50" t="n">
        <v>15</v>
      </c>
      <c r="E104" s="50" t="n">
        <v>18</v>
      </c>
      <c r="F104" s="51">
        <f>(C104*100)/B104</f>
        <v/>
      </c>
      <c r="G104" s="51">
        <f>(D104*100)/B104</f>
        <v/>
      </c>
      <c r="H104" s="52">
        <f>((B104-B105)/B104)*100</f>
        <v/>
      </c>
      <c r="I104" s="53">
        <f>((B104-C104)/B104)*100</f>
        <v/>
      </c>
      <c r="J104" s="53">
        <f>((C104-B105)/C104)*100</f>
        <v/>
      </c>
      <c r="K104" s="53" t="n"/>
      <c r="L104" s="55" t="n">
        <v>1.03719008264462</v>
      </c>
      <c r="M104" s="128" t="inlineStr">
        <is>
          <t>Normal</t>
        </is>
      </c>
      <c r="N104" s="55" t="n">
        <v>1.11</v>
      </c>
      <c r="O104" s="57">
        <f>N104/C104</f>
        <v/>
      </c>
      <c r="P104" s="58">
        <f>(Boosters_IOS!B104*100)/Boosters_And!N104</f>
        <v/>
      </c>
      <c r="Q104" s="58">
        <f>Boosters_IOS!B104/(C104+D104)</f>
        <v/>
      </c>
      <c r="R104" s="58">
        <f>Boosters_IOS!N104/B104</f>
        <v/>
      </c>
      <c r="S104" s="55" t="n">
        <v>2.96694214876033</v>
      </c>
      <c r="T104" s="55" t="n">
        <v>101</v>
      </c>
      <c r="U104" s="121" t="n">
        <v>640555.525874947</v>
      </c>
      <c r="V104" s="122" t="n">
        <v>0.001331018518518518</v>
      </c>
      <c r="W104" s="123" t="n">
        <v>4571.023782</v>
      </c>
      <c r="X104" s="123" t="n">
        <v>4269.163721</v>
      </c>
      <c r="Y104" s="123" t="n">
        <v>3.8</v>
      </c>
      <c r="Z104" s="123" t="n">
        <v>82623.41099999999</v>
      </c>
      <c r="AA104" s="123" t="n">
        <v>24148.80488</v>
      </c>
      <c r="AB104" s="124" t="n">
        <v>0</v>
      </c>
      <c r="AC104" s="124" t="n">
        <v>0</v>
      </c>
      <c r="AD104" s="124" t="n">
        <v>0</v>
      </c>
      <c r="AE104" s="124" t="n">
        <v>0</v>
      </c>
      <c r="AF104" s="124" t="n">
        <v>0</v>
      </c>
      <c r="AG104" s="124" t="n">
        <v>0</v>
      </c>
      <c r="AH104" s="124" t="n">
        <v>0</v>
      </c>
      <c r="AI104" s="124" t="n">
        <v>0</v>
      </c>
      <c r="AJ104" s="124">
        <f>AB104+AC104+AD104+AE104+AF104+AG104+AH104+AI104</f>
        <v/>
      </c>
      <c r="AK104" s="59">
        <f>AL104/C104</f>
        <v/>
      </c>
      <c r="AL104" s="55" t="n">
        <v>122470</v>
      </c>
    </row>
    <row r="105" ht="22.5" customHeight="1" s="150">
      <c r="A105" s="34" t="n">
        <v>103</v>
      </c>
      <c r="B105" s="50" t="n">
        <v>624</v>
      </c>
      <c r="C105" s="50" t="n">
        <v>624</v>
      </c>
      <c r="D105" s="50" t="n">
        <v>0</v>
      </c>
      <c r="E105" s="50" t="n">
        <v>0</v>
      </c>
      <c r="F105" s="51">
        <f>(C105*100)/B105</f>
        <v/>
      </c>
      <c r="G105" s="51">
        <f>(D105*100)/B105</f>
        <v/>
      </c>
      <c r="H105" s="52">
        <f>((B105-B106)/B105)*100</f>
        <v/>
      </c>
      <c r="I105" s="53">
        <f>((B105-C105)/B105)*100</f>
        <v/>
      </c>
      <c r="J105" s="53">
        <f>((C105-B106)/C105)*100</f>
        <v/>
      </c>
      <c r="K105" s="53" t="n"/>
      <c r="L105" s="55" t="n">
        <v>1.00826446280991</v>
      </c>
      <c r="M105" s="126" t="inlineStr">
        <is>
          <t>Normal</t>
        </is>
      </c>
      <c r="N105" s="55" t="n">
        <v>0</v>
      </c>
      <c r="O105" s="57">
        <f>N105/C105</f>
        <v/>
      </c>
      <c r="P105" s="58">
        <f>(Boosters_IOS!B105*100)/Boosters_And!N105</f>
        <v/>
      </c>
      <c r="Q105" s="58">
        <f>Boosters_IOS!B105/(C105+D105)</f>
        <v/>
      </c>
      <c r="R105" s="58">
        <f>Boosters_IOS!N105/B105</f>
        <v/>
      </c>
      <c r="S105" s="55" t="n">
        <v>3.58677685950413</v>
      </c>
      <c r="T105" s="55" t="n">
        <v>108</v>
      </c>
      <c r="U105" s="121" t="n">
        <v>669263.6800304929</v>
      </c>
      <c r="V105" s="122" t="n">
        <v>0.0006944444444444445</v>
      </c>
      <c r="W105" s="123" t="n">
        <v>2182.017013</v>
      </c>
      <c r="X105" s="123" t="n">
        <v>2182.017013</v>
      </c>
      <c r="Y105" s="123" t="n">
        <v>4.6</v>
      </c>
      <c r="Z105" s="123" t="n">
        <v>85038.29148</v>
      </c>
      <c r="AA105" s="123" t="n">
        <v>0</v>
      </c>
      <c r="AB105" s="124" t="n">
        <v>0</v>
      </c>
      <c r="AC105" s="124" t="n">
        <v>0</v>
      </c>
      <c r="AD105" s="124" t="n">
        <v>0</v>
      </c>
      <c r="AE105" s="124" t="n">
        <v>0</v>
      </c>
      <c r="AF105" s="124" t="n">
        <v>0</v>
      </c>
      <c r="AG105" s="124" t="n">
        <v>0</v>
      </c>
      <c r="AH105" s="124" t="n">
        <v>0</v>
      </c>
      <c r="AI105" s="124" t="n">
        <v>0</v>
      </c>
      <c r="AJ105" s="124">
        <f>AB105+AC105+AD105+AE105+AF105+AG105+AH105+AI105</f>
        <v/>
      </c>
      <c r="AK105" s="59">
        <f>AL105/C105</f>
        <v/>
      </c>
      <c r="AL105" s="55" t="n">
        <v>127610</v>
      </c>
    </row>
    <row r="106" ht="22.5" customHeight="1" s="150">
      <c r="A106" s="34" t="n">
        <v>104</v>
      </c>
      <c r="B106" s="50" t="n">
        <v>624</v>
      </c>
      <c r="C106" s="50" t="n">
        <v>622</v>
      </c>
      <c r="D106" s="50" t="n">
        <v>142</v>
      </c>
      <c r="E106" s="50" t="n">
        <v>181</v>
      </c>
      <c r="F106" s="51">
        <f>(C106*100)/B106</f>
        <v/>
      </c>
      <c r="G106" s="51">
        <f>(D106*100)/B106</f>
        <v/>
      </c>
      <c r="H106" s="52">
        <f>((B106-B107)/B106)*100</f>
        <v/>
      </c>
      <c r="I106" s="53">
        <f>((B106-C106)/B106)*100</f>
        <v/>
      </c>
      <c r="J106" s="53">
        <f>((C106-B107)/C106)*100</f>
        <v/>
      </c>
      <c r="K106" s="53" t="n"/>
      <c r="L106" s="55" t="n">
        <v>1.23236514522821</v>
      </c>
      <c r="M106" s="128" t="inlineStr">
        <is>
          <t>Normal</t>
        </is>
      </c>
      <c r="N106" s="55" t="n">
        <v>11.48</v>
      </c>
      <c r="O106" s="57">
        <f>N106/C106</f>
        <v/>
      </c>
      <c r="P106" s="58">
        <f>(Boosters_IOS!B106*100)/Boosters_And!N106</f>
        <v/>
      </c>
      <c r="Q106" s="58">
        <f>Boosters_IOS!B106/(C106+D106)</f>
        <v/>
      </c>
      <c r="R106" s="58">
        <f>Boosters_IOS!N106/B106</f>
        <v/>
      </c>
      <c r="S106" s="55" t="n">
        <v>6.27800829875518</v>
      </c>
      <c r="T106" s="55" t="n">
        <v>134</v>
      </c>
      <c r="U106" s="121" t="n">
        <v>645765.8108160259</v>
      </c>
      <c r="V106" s="122" t="n">
        <v>0.001273148148148148</v>
      </c>
      <c r="W106" s="123" t="n">
        <v>3182.467501</v>
      </c>
      <c r="X106" s="123" t="n">
        <v>3182.467501</v>
      </c>
      <c r="Y106" s="123" t="n">
        <v>4</v>
      </c>
      <c r="Z106" s="123" t="n">
        <v>88833.10368</v>
      </c>
      <c r="AA106" s="123" t="n">
        <v>0</v>
      </c>
      <c r="AB106" s="124" t="n">
        <v>0</v>
      </c>
      <c r="AC106" s="124" t="n">
        <v>0</v>
      </c>
      <c r="AD106" s="124" t="n">
        <v>0</v>
      </c>
      <c r="AE106" s="124" t="n">
        <v>0</v>
      </c>
      <c r="AF106" s="124" t="n">
        <v>0</v>
      </c>
      <c r="AG106" s="124" t="n">
        <v>0</v>
      </c>
      <c r="AH106" s="124" t="n">
        <v>0</v>
      </c>
      <c r="AI106" s="124" t="n">
        <v>0</v>
      </c>
      <c r="AJ106" s="124">
        <f>AB106+AC106+AD106+AE106+AF106+AG106+AH106+AI106</f>
        <v/>
      </c>
      <c r="AK106" s="59">
        <f>AL106/C106</f>
        <v/>
      </c>
      <c r="AL106" s="55" t="n">
        <v>123435</v>
      </c>
    </row>
    <row r="107" ht="22.5" customHeight="1" s="150">
      <c r="A107" s="34" t="n">
        <v>105</v>
      </c>
      <c r="B107" s="50" t="n">
        <v>629</v>
      </c>
      <c r="C107" s="50" t="n">
        <v>614</v>
      </c>
      <c r="D107" s="50" t="n">
        <v>222</v>
      </c>
      <c r="E107" s="50" t="n">
        <v>237</v>
      </c>
      <c r="F107" s="51">
        <f>(C107*100)/B107</f>
        <v/>
      </c>
      <c r="G107" s="51">
        <f>(D107*100)/B107</f>
        <v/>
      </c>
      <c r="H107" s="53">
        <f>((B107-B108)/B107)*100</f>
        <v/>
      </c>
      <c r="I107" s="53">
        <f>((B107-C107)/B107)*100</f>
        <v/>
      </c>
      <c r="J107" s="53">
        <f>((C107-B108)/C107)*100</f>
        <v/>
      </c>
      <c r="K107" s="53" t="n"/>
      <c r="L107" s="55" t="n">
        <v>1.40756302521008</v>
      </c>
      <c r="M107" s="120" t="inlineStr">
        <is>
          <t>Normal</t>
        </is>
      </c>
      <c r="N107" s="55" t="n">
        <v>26.74</v>
      </c>
      <c r="O107" s="57">
        <f>N107/C107</f>
        <v/>
      </c>
      <c r="P107" s="58">
        <f>(Boosters_IOS!B107*100)/Boosters_And!N107</f>
        <v/>
      </c>
      <c r="Q107" s="58">
        <f>Boosters_IOS!B107/(C107+D107)</f>
        <v/>
      </c>
      <c r="R107" s="58">
        <f>Boosters_IOS!N107/B107</f>
        <v/>
      </c>
      <c r="S107" s="55" t="n">
        <v>11.8949579831932</v>
      </c>
      <c r="T107" s="55" t="n">
        <v>168</v>
      </c>
      <c r="U107" s="121" t="n">
        <v>551542.192549891</v>
      </c>
      <c r="V107" s="122" t="n">
        <v>0.001331018518518518</v>
      </c>
      <c r="W107" s="123" t="n">
        <v>2759.863415</v>
      </c>
      <c r="X107" s="123" t="n">
        <v>2759.863415</v>
      </c>
      <c r="Y107" s="123" t="n">
        <v>4.2</v>
      </c>
      <c r="Z107" s="123" t="n">
        <v>90126.78965999999</v>
      </c>
      <c r="AA107" s="123" t="n">
        <v>0</v>
      </c>
      <c r="AB107" s="124" t="n">
        <v>0</v>
      </c>
      <c r="AC107" s="124" t="n">
        <v>0</v>
      </c>
      <c r="AD107" s="124" t="n">
        <v>0</v>
      </c>
      <c r="AE107" s="124" t="n">
        <v>0</v>
      </c>
      <c r="AF107" s="124" t="n">
        <v>0</v>
      </c>
      <c r="AG107" s="124" t="n">
        <v>0</v>
      </c>
      <c r="AH107" s="124" t="n">
        <v>0</v>
      </c>
      <c r="AI107" s="124" t="n">
        <v>0</v>
      </c>
      <c r="AJ107" s="124">
        <f>AB107+AC107+AD107+AE107+AF107+AG107+AH107+AI107</f>
        <v/>
      </c>
      <c r="AK107" s="59">
        <f>AL107/C107</f>
        <v/>
      </c>
      <c r="AL107" s="55" t="n">
        <v>104470</v>
      </c>
    </row>
    <row r="108" ht="22.5" customHeight="1" s="150">
      <c r="A108" s="34" t="n">
        <v>106</v>
      </c>
      <c r="B108" s="50" t="n">
        <v>619</v>
      </c>
      <c r="C108" s="50" t="n">
        <v>614</v>
      </c>
      <c r="D108" s="50" t="n">
        <v>191</v>
      </c>
      <c r="E108" s="50" t="n">
        <v>193</v>
      </c>
      <c r="F108" s="51">
        <f>(C108*100)/B108</f>
        <v/>
      </c>
      <c r="G108" s="51">
        <f>(D108*100)/B108</f>
        <v/>
      </c>
      <c r="H108" s="53">
        <f>((B108-B109)/B108)*100</f>
        <v/>
      </c>
      <c r="I108" s="53">
        <f>((B108-C108)/B108)*100</f>
        <v/>
      </c>
      <c r="J108" s="53">
        <f>((C108-B109)/C108)*100</f>
        <v/>
      </c>
      <c r="K108" s="53" t="n"/>
      <c r="L108" s="55" t="n">
        <v>1.35714285714285</v>
      </c>
      <c r="M108" s="128" t="inlineStr">
        <is>
          <t>Normal</t>
        </is>
      </c>
      <c r="N108" s="55" t="n">
        <v>25.31</v>
      </c>
      <c r="O108" s="57">
        <f>N108/C108</f>
        <v/>
      </c>
      <c r="P108" s="58">
        <f>(Boosters_IOS!B108*100)/Boosters_And!N108</f>
        <v/>
      </c>
      <c r="Q108" s="58">
        <f>Boosters_IOS!B108/(C108+D108)</f>
        <v/>
      </c>
      <c r="R108" s="58">
        <f>Boosters_IOS!N108/B108</f>
        <v/>
      </c>
      <c r="S108" s="55" t="n">
        <v>8</v>
      </c>
      <c r="T108" s="55" t="n">
        <v>155</v>
      </c>
      <c r="U108" s="121" t="n">
        <v>515598.964503393</v>
      </c>
      <c r="V108" s="122" t="n">
        <v>0.001215277777777778</v>
      </c>
      <c r="W108" s="123" t="n">
        <v>3475.702989</v>
      </c>
      <c r="X108" s="123" t="n">
        <v>3432.580123</v>
      </c>
      <c r="Y108" s="123" t="n">
        <v>7.75</v>
      </c>
      <c r="Z108" s="123" t="n">
        <v>79604.81038</v>
      </c>
      <c r="AA108" s="123" t="n">
        <v>7762.115855</v>
      </c>
      <c r="AB108" s="124" t="n">
        <v>0</v>
      </c>
      <c r="AC108" s="124" t="n">
        <v>0</v>
      </c>
      <c r="AD108" s="124" t="n">
        <v>0</v>
      </c>
      <c r="AE108" s="124" t="n">
        <v>0</v>
      </c>
      <c r="AF108" s="124" t="n">
        <v>0</v>
      </c>
      <c r="AG108" s="124" t="n">
        <v>0</v>
      </c>
      <c r="AH108" s="124" t="n">
        <v>0</v>
      </c>
      <c r="AI108" s="124" t="n">
        <v>0</v>
      </c>
      <c r="AJ108" s="124">
        <f>AB108+AC108+AD108+AE108+AF108+AG108+AH108+AI108</f>
        <v/>
      </c>
      <c r="AK108" s="59">
        <f>AL108/C108</f>
        <v/>
      </c>
      <c r="AL108" s="55" t="n">
        <v>87900</v>
      </c>
    </row>
    <row r="109" ht="22.5" customHeight="1" s="150">
      <c r="A109" s="34" t="n">
        <v>107</v>
      </c>
      <c r="B109" s="50" t="n">
        <v>614</v>
      </c>
      <c r="C109" s="50" t="n">
        <v>578</v>
      </c>
      <c r="D109" s="50" t="n">
        <v>261</v>
      </c>
      <c r="E109" s="50" t="n">
        <v>299</v>
      </c>
      <c r="F109" s="51">
        <f>(C109*100)/B109</f>
        <v/>
      </c>
      <c r="G109" s="51">
        <f>(D109*100)/B109</f>
        <v/>
      </c>
      <c r="H109" s="53">
        <f>((B109-B110)/B109)*100</f>
        <v/>
      </c>
      <c r="I109" s="53">
        <f>((B109-C109)/B109)*100</f>
        <v/>
      </c>
      <c r="J109" s="53">
        <f>((C109-B110)/C109)*100</f>
        <v/>
      </c>
      <c r="K109" s="53" t="n"/>
      <c r="L109" s="55" t="n">
        <v>1.62946428571428</v>
      </c>
      <c r="M109" s="129" t="inlineStr">
        <is>
          <t>Hard</t>
        </is>
      </c>
      <c r="N109" s="55" t="n">
        <v>32.44</v>
      </c>
      <c r="O109" s="57">
        <f>N109/C109</f>
        <v/>
      </c>
      <c r="P109" s="58">
        <f>(Boosters_IOS!B109*100)/Boosters_And!N109</f>
        <v/>
      </c>
      <c r="Q109" s="58">
        <f>Boosters_IOS!B109/(C109+D109)</f>
        <v/>
      </c>
      <c r="R109" s="58">
        <f>Boosters_IOS!N109/B109</f>
        <v/>
      </c>
      <c r="S109" s="55" t="n">
        <v>6.65625</v>
      </c>
      <c r="T109" s="55" t="n">
        <v>191</v>
      </c>
      <c r="U109" s="121" t="n">
        <v>445401.981992775</v>
      </c>
      <c r="V109" s="122" t="n">
        <v>0.0006944444444444445</v>
      </c>
      <c r="W109" s="123" t="n">
        <v>1354.057988</v>
      </c>
      <c r="X109" s="123" t="n">
        <v>1354.057988</v>
      </c>
      <c r="Y109" s="123" t="n">
        <v>4</v>
      </c>
      <c r="Z109" s="123" t="n">
        <v>82709.65673</v>
      </c>
      <c r="AA109" s="123" t="n">
        <v>0</v>
      </c>
      <c r="AB109" s="124" t="n">
        <v>0</v>
      </c>
      <c r="AC109" s="124" t="n">
        <v>0</v>
      </c>
      <c r="AD109" s="124" t="n">
        <v>0</v>
      </c>
      <c r="AE109" s="124" t="n">
        <v>0</v>
      </c>
      <c r="AF109" s="124" t="n">
        <v>0</v>
      </c>
      <c r="AG109" s="124" t="n">
        <v>0</v>
      </c>
      <c r="AH109" s="124" t="n">
        <v>0</v>
      </c>
      <c r="AI109" s="124" t="n">
        <v>0</v>
      </c>
      <c r="AJ109" s="124">
        <f>AB109+AC109+AD109+AE109+AF109+AG109+AH109+AI109</f>
        <v/>
      </c>
      <c r="AK109" s="59">
        <f>AL109/C109</f>
        <v/>
      </c>
      <c r="AL109" s="55" t="n">
        <v>79790</v>
      </c>
    </row>
    <row r="110" ht="22.5" customHeight="1" s="150">
      <c r="A110" s="34" t="n">
        <v>108</v>
      </c>
      <c r="B110" s="50" t="n">
        <v>580</v>
      </c>
      <c r="C110" s="50" t="n">
        <v>565</v>
      </c>
      <c r="D110" s="50" t="n">
        <v>178</v>
      </c>
      <c r="E110" s="50" t="n">
        <v>196</v>
      </c>
      <c r="F110" s="51">
        <f>(C110*100)/B110</f>
        <v/>
      </c>
      <c r="G110" s="51">
        <f>(D110*100)/B110</f>
        <v/>
      </c>
      <c r="H110" s="53">
        <f>((B110-B111)/B110)*100</f>
        <v/>
      </c>
      <c r="I110" s="53">
        <f>((B110-C110)/B110)*100</f>
        <v/>
      </c>
      <c r="J110" s="53">
        <f>((C110-B111)/C110)*100</f>
        <v/>
      </c>
      <c r="K110" s="53" t="n"/>
      <c r="L110" s="55" t="n">
        <v>1.3972602739726</v>
      </c>
      <c r="M110" s="128" t="inlineStr">
        <is>
          <t>Normal</t>
        </is>
      </c>
      <c r="N110" s="55" t="n">
        <v>19.46</v>
      </c>
      <c r="O110" s="57">
        <f>N110/C110</f>
        <v/>
      </c>
      <c r="P110" s="58">
        <f>(Boosters_IOS!B110*100)/Boosters_And!N110</f>
        <v/>
      </c>
      <c r="Q110" s="58">
        <f>Boosters_IOS!B110/(C110+D110)</f>
        <v/>
      </c>
      <c r="R110" s="58">
        <f>Boosters_IOS!N110/B110</f>
        <v/>
      </c>
      <c r="S110" s="55" t="n">
        <v>6.48401826484018</v>
      </c>
      <c r="T110" s="55" t="n">
        <v>162</v>
      </c>
      <c r="U110" s="121" t="n">
        <v>428533.039658789</v>
      </c>
      <c r="V110" s="122" t="n">
        <v>0.002430555555555556</v>
      </c>
      <c r="W110" s="123" t="n">
        <v>4752.139818</v>
      </c>
      <c r="X110" s="123" t="n">
        <v>4752.139818</v>
      </c>
      <c r="Y110" s="123" t="n">
        <v>4.25</v>
      </c>
      <c r="Z110" s="123" t="n">
        <v>83917.09697</v>
      </c>
      <c r="AA110" s="123" t="n">
        <v>0</v>
      </c>
      <c r="AB110" s="124" t="n">
        <v>0</v>
      </c>
      <c r="AC110" s="124" t="n">
        <v>0</v>
      </c>
      <c r="AD110" s="124" t="n">
        <v>0</v>
      </c>
      <c r="AE110" s="124" t="n">
        <v>0</v>
      </c>
      <c r="AF110" s="124" t="n">
        <v>0</v>
      </c>
      <c r="AG110" s="124" t="n">
        <v>0</v>
      </c>
      <c r="AH110" s="124" t="n">
        <v>0</v>
      </c>
      <c r="AI110" s="124" t="n">
        <v>0</v>
      </c>
      <c r="AJ110" s="124">
        <f>AB110+AC110+AD110+AE110+AF110+AG110+AH110+AI110</f>
        <v/>
      </c>
      <c r="AK110" s="59">
        <f>AL110/C110</f>
        <v/>
      </c>
      <c r="AL110" s="55" t="n">
        <v>82565</v>
      </c>
    </row>
    <row r="111" ht="22.5" customHeight="1" s="150">
      <c r="A111" s="34" t="n">
        <v>109</v>
      </c>
      <c r="B111" s="50" t="n">
        <v>565</v>
      </c>
      <c r="C111" s="50" t="n">
        <v>565</v>
      </c>
      <c r="D111" s="50" t="n">
        <v>64</v>
      </c>
      <c r="E111" s="50" t="n">
        <v>83</v>
      </c>
      <c r="F111" s="51">
        <f>(C111*100)/B111</f>
        <v/>
      </c>
      <c r="G111" s="51">
        <f>(D111*100)/B111</f>
        <v/>
      </c>
      <c r="H111" s="53">
        <f>((B111-B112)/B111)*100</f>
        <v/>
      </c>
      <c r="I111" s="53">
        <f>((B111-C111)/B111)*100</f>
        <v/>
      </c>
      <c r="J111" s="53">
        <f>((C111-B112)/C111)*100</f>
        <v/>
      </c>
      <c r="K111" s="53" t="n"/>
      <c r="L111" s="55" t="n">
        <v>1.15068493150684</v>
      </c>
      <c r="M111" s="120" t="inlineStr">
        <is>
          <t>Normal</t>
        </is>
      </c>
      <c r="N111" s="55" t="n">
        <v>2.49</v>
      </c>
      <c r="O111" s="57">
        <f>N111/C111</f>
        <v/>
      </c>
      <c r="P111" s="58">
        <f>(Boosters_IOS!B111*100)/Boosters_And!N111</f>
        <v/>
      </c>
      <c r="Q111" s="58">
        <f>Boosters_IOS!B111/(C111+D111)</f>
        <v/>
      </c>
      <c r="R111" s="58">
        <f>Boosters_IOS!N111/B111</f>
        <v/>
      </c>
      <c r="S111" s="55" t="n">
        <v>5.40182648401826</v>
      </c>
      <c r="T111" s="55" t="n">
        <v>111</v>
      </c>
      <c r="U111" s="121" t="n">
        <v>446756.14020766</v>
      </c>
      <c r="V111" s="122" t="n">
        <v>0.0006944444444444445</v>
      </c>
      <c r="W111" s="123" t="n">
        <v>1147.068232</v>
      </c>
      <c r="X111" s="123" t="n">
        <v>1147.068232</v>
      </c>
      <c r="Y111" s="123" t="n">
        <v>3.666666667</v>
      </c>
      <c r="Z111" s="123" t="n">
        <v>63563.10428</v>
      </c>
      <c r="AA111" s="123" t="n">
        <v>0</v>
      </c>
      <c r="AB111" s="124" t="n">
        <v>0</v>
      </c>
      <c r="AC111" s="124" t="n">
        <v>0</v>
      </c>
      <c r="AD111" s="124" t="n">
        <v>0</v>
      </c>
      <c r="AE111" s="124" t="n">
        <v>0</v>
      </c>
      <c r="AF111" s="124" t="n">
        <v>0</v>
      </c>
      <c r="AG111" s="124" t="n">
        <v>0</v>
      </c>
      <c r="AH111" s="124" t="n">
        <v>0</v>
      </c>
      <c r="AI111" s="124" t="n">
        <v>0</v>
      </c>
      <c r="AJ111" s="124">
        <f>AB111+AC111+AD111+AE111+AF111+AG111+AH111+AI111</f>
        <v/>
      </c>
      <c r="AK111" s="59">
        <f>AL111/C111</f>
        <v/>
      </c>
      <c r="AL111" s="55" t="n">
        <v>92630</v>
      </c>
    </row>
    <row r="112" ht="22.5" customHeight="1" s="150">
      <c r="A112" s="34" t="n">
        <v>110</v>
      </c>
      <c r="B112" s="50" t="n">
        <v>567</v>
      </c>
      <c r="C112" s="50" t="n">
        <v>560</v>
      </c>
      <c r="D112" s="50" t="n">
        <v>137</v>
      </c>
      <c r="E112" s="50" t="n">
        <v>129</v>
      </c>
      <c r="F112" s="51">
        <f>(C112*100)/B112</f>
        <v/>
      </c>
      <c r="G112" s="51">
        <f>(D112*100)/B112</f>
        <v/>
      </c>
      <c r="H112" s="53">
        <f>((B112-B113)/B112)*100</f>
        <v/>
      </c>
      <c r="I112" s="53">
        <f>((B112-C112)/B112)*100</f>
        <v/>
      </c>
      <c r="J112" s="53">
        <f>((C112-B113)/C112)*100</f>
        <v/>
      </c>
      <c r="K112" s="53" t="n"/>
      <c r="L112" s="55" t="n">
        <v>1.27188940092165</v>
      </c>
      <c r="M112" s="128" t="inlineStr">
        <is>
          <t>Normal</t>
        </is>
      </c>
      <c r="N112" s="55" t="n">
        <v>1.99</v>
      </c>
      <c r="O112" s="57">
        <f>N112/C112</f>
        <v/>
      </c>
      <c r="P112" s="58">
        <f>(Boosters_IOS!B112*100)/Boosters_And!N112</f>
        <v/>
      </c>
      <c r="Q112" s="58">
        <f>Boosters_IOS!B112/(C112+D112)</f>
        <v/>
      </c>
      <c r="R112" s="58">
        <f>Boosters_IOS!N112/B112</f>
        <v/>
      </c>
      <c r="S112" s="55" t="n">
        <v>3.8294930875576</v>
      </c>
      <c r="T112" s="55" t="n">
        <v>134</v>
      </c>
      <c r="U112" s="121" t="n">
        <v>428674.903852729</v>
      </c>
      <c r="V112" s="122" t="n">
        <v>0.001099537037037037</v>
      </c>
      <c r="W112" s="123" t="n">
        <v>2216.515305</v>
      </c>
      <c r="X112" s="123" t="n">
        <v>1431.679147</v>
      </c>
      <c r="Y112" s="123" t="n">
        <v>2.333333333</v>
      </c>
      <c r="Z112" s="123" t="n">
        <v>65805.49331000001</v>
      </c>
      <c r="AA112" s="123" t="n">
        <v>7762.115855</v>
      </c>
      <c r="AB112" s="124" t="n">
        <v>0</v>
      </c>
      <c r="AC112" s="124" t="n">
        <v>0</v>
      </c>
      <c r="AD112" s="124" t="n">
        <v>0</v>
      </c>
      <c r="AE112" s="124" t="n">
        <v>0</v>
      </c>
      <c r="AF112" s="124" t="n">
        <v>0</v>
      </c>
      <c r="AG112" s="124" t="n">
        <v>0</v>
      </c>
      <c r="AH112" s="124" t="n">
        <v>0</v>
      </c>
      <c r="AI112" s="124" t="n">
        <v>0</v>
      </c>
      <c r="AJ112" s="124">
        <f>AB112+AC112+AD112+AE112+AF112+AG112+AH112+AI112</f>
        <v/>
      </c>
      <c r="AK112" s="59">
        <f>AL112/C112</f>
        <v/>
      </c>
      <c r="AL112" s="55" t="n">
        <v>91580</v>
      </c>
    </row>
    <row r="113" ht="22.5" customHeight="1" s="150">
      <c r="A113" s="34" t="n">
        <v>111</v>
      </c>
      <c r="B113" s="50" t="n">
        <v>562</v>
      </c>
      <c r="C113" s="50" t="n">
        <v>552</v>
      </c>
      <c r="D113" s="50" t="n">
        <v>165</v>
      </c>
      <c r="E113" s="50" t="n">
        <v>191</v>
      </c>
      <c r="F113" s="51">
        <f>(C113*100)/B113</f>
        <v/>
      </c>
      <c r="G113" s="51">
        <f>(D113*100)/B113</f>
        <v/>
      </c>
      <c r="H113" s="53">
        <f>((B113-B114)/B113)*100</f>
        <v/>
      </c>
      <c r="I113" s="53">
        <f>((B113-C113)/B113)*100</f>
        <v/>
      </c>
      <c r="J113" s="53">
        <f>((C113-B114)/C113)*100</f>
        <v/>
      </c>
      <c r="K113" s="53" t="n"/>
      <c r="L113" s="55" t="n">
        <v>1.35514018691588</v>
      </c>
      <c r="M113" s="120" t="inlineStr">
        <is>
          <t>Normal</t>
        </is>
      </c>
      <c r="N113" s="55" t="n">
        <v>41.45</v>
      </c>
      <c r="O113" s="57">
        <f>N113/C113</f>
        <v/>
      </c>
      <c r="P113" s="58">
        <f>(Boosters_IOS!B113*100)/Boosters_And!N113</f>
        <v/>
      </c>
      <c r="Q113" s="58">
        <f>Boosters_IOS!B113/(C113+D113)</f>
        <v/>
      </c>
      <c r="R113" s="58">
        <f>Boosters_IOS!N113/B113</f>
        <v/>
      </c>
      <c r="S113" s="55" t="n">
        <v>7.57476635514018</v>
      </c>
      <c r="T113" s="55" t="n">
        <v>160</v>
      </c>
      <c r="U113" s="121" t="n">
        <v>450741.23438289</v>
      </c>
      <c r="V113" s="122" t="n">
        <v>0.0005208333333333333</v>
      </c>
      <c r="W113" s="123" t="n">
        <v>534.7235367</v>
      </c>
      <c r="X113" s="123" t="n">
        <v>534.7235367</v>
      </c>
      <c r="Y113" s="123" t="n">
        <v>3.333333333</v>
      </c>
      <c r="Z113" s="123" t="n">
        <v>67357.91648</v>
      </c>
      <c r="AA113" s="123" t="n">
        <v>0</v>
      </c>
      <c r="AB113" s="124" t="n">
        <v>0</v>
      </c>
      <c r="AC113" s="124" t="n">
        <v>0</v>
      </c>
      <c r="AD113" s="124" t="n">
        <v>0</v>
      </c>
      <c r="AE113" s="124" t="n">
        <v>0</v>
      </c>
      <c r="AF113" s="124" t="n">
        <v>0</v>
      </c>
      <c r="AG113" s="124" t="n">
        <v>0</v>
      </c>
      <c r="AH113" s="124" t="n">
        <v>0</v>
      </c>
      <c r="AI113" s="124" t="n">
        <v>0</v>
      </c>
      <c r="AJ113" s="124">
        <f>AB113+AC113+AD113+AE113+AF113+AG113+AH113+AI113</f>
        <v/>
      </c>
      <c r="AK113" s="59">
        <f>AL113/C113</f>
        <v/>
      </c>
      <c r="AL113" s="55" t="n">
        <v>75135</v>
      </c>
    </row>
    <row r="114" ht="22.5" customHeight="1" s="150">
      <c r="A114" s="34" t="n">
        <v>112</v>
      </c>
      <c r="B114" s="50" t="n">
        <v>586</v>
      </c>
      <c r="C114" s="50" t="n">
        <v>560</v>
      </c>
      <c r="D114" s="50" t="n">
        <v>279</v>
      </c>
      <c r="E114" s="50" t="n">
        <v>353</v>
      </c>
      <c r="F114" s="51">
        <f>(C114*100)/B114</f>
        <v/>
      </c>
      <c r="G114" s="51">
        <f>(D114*100)/B114</f>
        <v/>
      </c>
      <c r="H114" s="53">
        <f>((B114-B115)/B114)*100</f>
        <v/>
      </c>
      <c r="I114" s="53">
        <f>((B114-C114)/B114)*100</f>
        <v/>
      </c>
      <c r="J114" s="53">
        <f>((C114-B115)/C114)*100</f>
        <v/>
      </c>
      <c r="K114" s="53" t="n"/>
      <c r="L114" s="55" t="n">
        <v>2.24884792626728</v>
      </c>
      <c r="M114" s="128" t="inlineStr">
        <is>
          <t>Normal</t>
        </is>
      </c>
      <c r="N114" s="55" t="n">
        <v>51.41</v>
      </c>
      <c r="O114" s="57">
        <f>N114/C114</f>
        <v/>
      </c>
      <c r="P114" s="58">
        <f>(Boosters_IOS!B114*100)/Boosters_And!N114</f>
        <v/>
      </c>
      <c r="Q114" s="58">
        <f>Boosters_IOS!B114/(C114+D114)</f>
        <v/>
      </c>
      <c r="R114" s="58">
        <f>Boosters_IOS!N114/B114</f>
        <v/>
      </c>
      <c r="S114" s="55" t="n">
        <v>13.5299539170506</v>
      </c>
      <c r="T114" s="55" t="n">
        <v>196</v>
      </c>
      <c r="U114" s="121" t="n">
        <v>364771.532855098</v>
      </c>
      <c r="V114" s="122" t="n">
        <v>0.001157407407407407</v>
      </c>
      <c r="W114" s="123" t="n">
        <v>1854.283232</v>
      </c>
      <c r="X114" s="123" t="n">
        <v>1854.283232</v>
      </c>
      <c r="Y114" s="123" t="n">
        <v>3</v>
      </c>
      <c r="Z114" s="123" t="n">
        <v>68047.88232999999</v>
      </c>
      <c r="AA114" s="123" t="n">
        <v>0</v>
      </c>
      <c r="AB114" s="124" t="n">
        <v>0</v>
      </c>
      <c r="AC114" s="124" t="n">
        <v>0</v>
      </c>
      <c r="AD114" s="124" t="n">
        <v>0</v>
      </c>
      <c r="AE114" s="124" t="n">
        <v>0</v>
      </c>
      <c r="AF114" s="124" t="n">
        <v>0</v>
      </c>
      <c r="AG114" s="124" t="n">
        <v>0</v>
      </c>
      <c r="AH114" s="124" t="n">
        <v>0</v>
      </c>
      <c r="AI114" s="124" t="n">
        <v>0</v>
      </c>
      <c r="AJ114" s="124">
        <f>AB114+AC114+AD114+AE114+AF114+AG114+AH114+AI114</f>
        <v/>
      </c>
      <c r="AK114" s="59">
        <f>AL114/C114</f>
        <v/>
      </c>
      <c r="AL114" s="55" t="n">
        <v>62020</v>
      </c>
    </row>
    <row r="115" ht="22.5" customHeight="1" s="150">
      <c r="A115" s="34" t="n">
        <v>113</v>
      </c>
      <c r="B115" s="50" t="n">
        <v>560</v>
      </c>
      <c r="C115" s="50" t="n">
        <v>560</v>
      </c>
      <c r="D115" s="50" t="n">
        <v>3</v>
      </c>
      <c r="E115" s="50" t="n">
        <v>5</v>
      </c>
      <c r="F115" s="51">
        <f>(C115*100)/B115</f>
        <v/>
      </c>
      <c r="G115" s="51">
        <f>(D115*100)/B115</f>
        <v/>
      </c>
      <c r="H115" s="53">
        <f>((B115-B116)/B115)*100</f>
        <v/>
      </c>
      <c r="I115" s="53">
        <f>((B115-C115)/B115)*100</f>
        <v/>
      </c>
      <c r="J115" s="53">
        <f>((C115-B116)/C115)*100</f>
        <v/>
      </c>
      <c r="K115" s="53" t="n"/>
      <c r="L115" s="55" t="n">
        <v>1.00921658986175</v>
      </c>
      <c r="M115" s="120" t="inlineStr">
        <is>
          <t>Normal</t>
        </is>
      </c>
      <c r="N115" s="55" t="n">
        <v>0</v>
      </c>
      <c r="O115" s="57">
        <f>N115/C115</f>
        <v/>
      </c>
      <c r="P115" s="58">
        <f>(Boosters_IOS!B115*100)/Boosters_And!N115</f>
        <v/>
      </c>
      <c r="Q115" s="58">
        <f>Boosters_IOS!B115/(C115+D115)</f>
        <v/>
      </c>
      <c r="R115" s="58">
        <f>Boosters_IOS!N115/B115</f>
        <v/>
      </c>
      <c r="S115" s="55" t="n">
        <v>4.4147465437788</v>
      </c>
      <c r="T115" s="55" t="n">
        <v>124</v>
      </c>
      <c r="U115" s="121" t="n">
        <v>397684.025849236</v>
      </c>
      <c r="V115" s="122" t="n">
        <v>0.001851851851851852</v>
      </c>
      <c r="W115" s="123" t="n">
        <v>3656.819025</v>
      </c>
      <c r="X115" s="123" t="n">
        <v>3656.819025</v>
      </c>
      <c r="Y115" s="123" t="n">
        <v>2.666666667</v>
      </c>
      <c r="Z115" s="123" t="n">
        <v>68737.84819</v>
      </c>
      <c r="AA115" s="123" t="n">
        <v>0</v>
      </c>
      <c r="AB115" s="124" t="n">
        <v>0</v>
      </c>
      <c r="AC115" s="124" t="n">
        <v>0</v>
      </c>
      <c r="AD115" s="124" t="n">
        <v>0</v>
      </c>
      <c r="AE115" s="124" t="n">
        <v>0</v>
      </c>
      <c r="AF115" s="124" t="n">
        <v>0</v>
      </c>
      <c r="AG115" s="124" t="n">
        <v>0</v>
      </c>
      <c r="AH115" s="124" t="n">
        <v>0</v>
      </c>
      <c r="AI115" s="124" t="n">
        <v>0</v>
      </c>
      <c r="AJ115" s="124">
        <f>AB115+AC115+AD115+AE115+AF115+AG115+AH115+AI115</f>
        <v/>
      </c>
      <c r="AK115" s="59">
        <f>AL115/C115</f>
        <v/>
      </c>
      <c r="AL115" s="55" t="n">
        <v>69455</v>
      </c>
    </row>
    <row r="116" ht="22.5" customHeight="1" s="150">
      <c r="A116" s="34" t="n">
        <v>114</v>
      </c>
      <c r="B116" s="50" t="n">
        <v>562</v>
      </c>
      <c r="C116" s="50" t="n">
        <v>562</v>
      </c>
      <c r="D116" s="50" t="n">
        <v>103</v>
      </c>
      <c r="E116" s="50" t="n">
        <v>103</v>
      </c>
      <c r="F116" s="51">
        <f>(C116*100)/B116</f>
        <v/>
      </c>
      <c r="G116" s="51">
        <f>(D116*100)/B116</f>
        <v/>
      </c>
      <c r="H116" s="53">
        <f>((B116-B117)/B116)*100</f>
        <v/>
      </c>
      <c r="I116" s="53">
        <f>((B116-C116)/B116)*100</f>
        <v/>
      </c>
      <c r="J116" s="53">
        <f>((C116-B117)/C116)*100</f>
        <v/>
      </c>
      <c r="K116" s="53" t="n"/>
      <c r="L116" s="55" t="n">
        <v>1.14678899082568</v>
      </c>
      <c r="M116" s="128" t="inlineStr">
        <is>
          <t>Normal</t>
        </is>
      </c>
      <c r="N116" s="55" t="n">
        <v>4.48</v>
      </c>
      <c r="O116" s="57">
        <f>N116/C116</f>
        <v/>
      </c>
      <c r="P116" s="58">
        <f>(Boosters_IOS!B116*100)/Boosters_And!N116</f>
        <v/>
      </c>
      <c r="Q116" s="58">
        <f>Boosters_IOS!B116/(C116+D116)</f>
        <v/>
      </c>
      <c r="R116" s="58">
        <f>Boosters_IOS!N116/B116</f>
        <v/>
      </c>
      <c r="S116" s="55" t="n">
        <v>4.27522935779816</v>
      </c>
      <c r="T116" s="55" t="n">
        <v>132</v>
      </c>
      <c r="U116" s="121" t="n">
        <v>405267.311852588</v>
      </c>
      <c r="V116" s="122" t="n">
        <v>0.001157407407407407</v>
      </c>
      <c r="W116" s="123" t="n">
        <v>2837.484574</v>
      </c>
      <c r="X116" s="123" t="n">
        <v>2759.863415</v>
      </c>
      <c r="Y116" s="123" t="n">
        <v>3</v>
      </c>
      <c r="Z116" s="123" t="n">
        <v>65891.73904</v>
      </c>
      <c r="AA116" s="123" t="n">
        <v>7762.115855</v>
      </c>
      <c r="AB116" s="124" t="n">
        <v>0</v>
      </c>
      <c r="AC116" s="124" t="n">
        <v>0</v>
      </c>
      <c r="AD116" s="124" t="n">
        <v>0</v>
      </c>
      <c r="AE116" s="124" t="n">
        <v>0</v>
      </c>
      <c r="AF116" s="124" t="n">
        <v>0</v>
      </c>
      <c r="AG116" s="124" t="n">
        <v>0</v>
      </c>
      <c r="AH116" s="124" t="n">
        <v>0</v>
      </c>
      <c r="AI116" s="124" t="n">
        <v>0</v>
      </c>
      <c r="AJ116" s="124">
        <f>AB116+AC116+AD116+AE116+AF116+AG116+AH116+AI116</f>
        <v/>
      </c>
      <c r="AK116" s="59">
        <f>AL116/C116</f>
        <v/>
      </c>
      <c r="AL116" s="55" t="n">
        <v>72435</v>
      </c>
    </row>
    <row r="117" ht="22.5" customHeight="1" s="150">
      <c r="A117" s="34" t="n">
        <v>115</v>
      </c>
      <c r="B117" s="50" t="n">
        <v>570</v>
      </c>
      <c r="C117" s="50" t="n">
        <v>526</v>
      </c>
      <c r="D117" s="50" t="n">
        <v>346</v>
      </c>
      <c r="E117" s="50" t="n">
        <v>348</v>
      </c>
      <c r="F117" s="51">
        <f>(C117*100)/B117</f>
        <v/>
      </c>
      <c r="G117" s="51">
        <f>(D117*100)/B117</f>
        <v/>
      </c>
      <c r="H117" s="53">
        <f>((B117-B118)/B117)*100</f>
        <v/>
      </c>
      <c r="I117" s="53">
        <f>((B117-C117)/B117)*100</f>
        <v/>
      </c>
      <c r="J117" s="53">
        <f>((C117-B118)/C117)*100</f>
        <v/>
      </c>
      <c r="K117" s="53" t="n"/>
      <c r="L117" s="55" t="n">
        <v>2.84313725490196</v>
      </c>
      <c r="M117" s="130" t="inlineStr">
        <is>
          <t>Very Hard</t>
        </is>
      </c>
      <c r="N117" s="55" t="n">
        <v>45.39</v>
      </c>
      <c r="O117" s="57">
        <f>N117/C117</f>
        <v/>
      </c>
      <c r="P117" s="58">
        <f>(Boosters_IOS!B117*100)/Boosters_And!N117</f>
        <v/>
      </c>
      <c r="Q117" s="58">
        <f>Boosters_IOS!B117/(C117+D117)</f>
        <v/>
      </c>
      <c r="R117" s="58">
        <f>Boosters_IOS!N117/B117</f>
        <v/>
      </c>
      <c r="S117" s="55" t="n">
        <v>5.13725490196078</v>
      </c>
      <c r="T117" s="55" t="n">
        <v>248</v>
      </c>
      <c r="U117" s="121" t="n">
        <v>266163.021321719</v>
      </c>
      <c r="V117" s="122" t="n">
        <v>0.0005208333333333333</v>
      </c>
      <c r="W117" s="123" t="n">
        <v>646.842988</v>
      </c>
      <c r="X117" s="123" t="n">
        <v>646.842988</v>
      </c>
      <c r="Y117" s="123" t="n">
        <v>4</v>
      </c>
      <c r="Z117" s="123" t="n">
        <v>66926.68782000001</v>
      </c>
      <c r="AA117" s="123" t="n">
        <v>0</v>
      </c>
      <c r="AB117" s="124" t="n">
        <v>0</v>
      </c>
      <c r="AC117" s="124" t="n">
        <v>0</v>
      </c>
      <c r="AD117" s="124" t="n">
        <v>0</v>
      </c>
      <c r="AE117" s="124" t="n">
        <v>0</v>
      </c>
      <c r="AF117" s="124" t="n">
        <v>0</v>
      </c>
      <c r="AG117" s="124" t="n">
        <v>0</v>
      </c>
      <c r="AH117" s="124" t="n">
        <v>0</v>
      </c>
      <c r="AI117" s="124" t="n">
        <v>0</v>
      </c>
      <c r="AJ117" s="124">
        <f>AB117+AC117+AD117+AE117+AF117+AG117+AH117+AI117</f>
        <v/>
      </c>
      <c r="AK117" s="59">
        <f>AL117/C117</f>
        <v/>
      </c>
      <c r="AL117" s="55" t="n">
        <v>48980</v>
      </c>
    </row>
    <row r="118" ht="22.5" customHeight="1" s="150">
      <c r="A118" s="34" t="n">
        <v>116</v>
      </c>
      <c r="B118" s="50" t="n">
        <v>526</v>
      </c>
      <c r="C118" s="50" t="n">
        <v>521</v>
      </c>
      <c r="D118" s="50" t="n">
        <v>93</v>
      </c>
      <c r="E118" s="50" t="n">
        <v>95</v>
      </c>
      <c r="F118" s="51">
        <f>(C118*100)/B118</f>
        <v/>
      </c>
      <c r="G118" s="51">
        <f>(D118*100)/B118</f>
        <v/>
      </c>
      <c r="H118" s="53">
        <f>((B118-B119)/B118)*100</f>
        <v/>
      </c>
      <c r="I118" s="53">
        <f>((B118-C118)/B118)*100</f>
        <v/>
      </c>
      <c r="J118" s="53">
        <f>((C118-B119)/C118)*100</f>
        <v/>
      </c>
      <c r="K118" s="53" t="n"/>
      <c r="L118" s="55" t="n">
        <v>1.13861386138613</v>
      </c>
      <c r="M118" s="128" t="inlineStr">
        <is>
          <t>Normal</t>
        </is>
      </c>
      <c r="N118" s="55" t="n">
        <v>0</v>
      </c>
      <c r="O118" s="57">
        <f>N118/C118</f>
        <v/>
      </c>
      <c r="P118" s="58">
        <f>(Boosters_IOS!B118*100)/Boosters_And!N118</f>
        <v/>
      </c>
      <c r="Q118" s="58">
        <f>Boosters_IOS!B118/(C118+D118)</f>
        <v/>
      </c>
      <c r="R118" s="58">
        <f>Boosters_IOS!N118/B118</f>
        <v/>
      </c>
      <c r="S118" s="55" t="n">
        <v>4.65346534653465</v>
      </c>
      <c r="T118" s="55" t="n">
        <v>121</v>
      </c>
      <c r="U118" s="121" t="n">
        <v>290447.591975309</v>
      </c>
      <c r="V118" s="122" t="n">
        <v>0.00162037037037037</v>
      </c>
      <c r="W118" s="123" t="n">
        <v>1837.034086</v>
      </c>
      <c r="X118" s="123" t="n">
        <v>1837.034086</v>
      </c>
      <c r="Y118" s="123" t="n">
        <v>11</v>
      </c>
      <c r="Z118" s="123" t="n">
        <v>67616.65367</v>
      </c>
      <c r="AA118" s="123" t="n">
        <v>0</v>
      </c>
      <c r="AB118" s="124" t="n">
        <v>0</v>
      </c>
      <c r="AC118" s="124" t="n">
        <v>0</v>
      </c>
      <c r="AD118" s="124" t="n">
        <v>0</v>
      </c>
      <c r="AE118" s="124" t="n">
        <v>0</v>
      </c>
      <c r="AF118" s="124" t="n">
        <v>0</v>
      </c>
      <c r="AG118" s="124" t="n">
        <v>0</v>
      </c>
      <c r="AH118" s="124" t="n">
        <v>0</v>
      </c>
      <c r="AI118" s="124" t="n">
        <v>0</v>
      </c>
      <c r="AJ118" s="124">
        <f>AB118+AC118+AD118+AE118+AF118+AG118+AH118+AI118</f>
        <v/>
      </c>
      <c r="AK118" s="59">
        <f>AL118/C118</f>
        <v/>
      </c>
      <c r="AL118" s="55" t="n">
        <v>53560</v>
      </c>
    </row>
    <row r="119" ht="22.5" customHeight="1" s="150">
      <c r="A119" s="34" t="n">
        <v>117</v>
      </c>
      <c r="B119" s="50" t="n">
        <v>513</v>
      </c>
      <c r="C119" s="50" t="n">
        <v>513</v>
      </c>
      <c r="D119" s="50" t="n">
        <v>52</v>
      </c>
      <c r="E119" s="50" t="n">
        <v>98</v>
      </c>
      <c r="F119" s="51">
        <f>(C119*100)/B119</f>
        <v/>
      </c>
      <c r="G119" s="51">
        <f>(D119*100)/B119</f>
        <v/>
      </c>
      <c r="H119" s="53">
        <f>((B119-B120)/B119)*100</f>
        <v/>
      </c>
      <c r="I119" s="53">
        <f>((B119-C119)/B119)*100</f>
        <v/>
      </c>
      <c r="J119" s="53">
        <f>((C119-B120)/C119)*100</f>
        <v/>
      </c>
      <c r="K119" s="53" t="n"/>
      <c r="L119" s="55" t="n">
        <v>1.1608040201005</v>
      </c>
      <c r="M119" s="129" t="inlineStr">
        <is>
          <t>Hard</t>
        </is>
      </c>
      <c r="N119" s="55" t="n">
        <v>8.99</v>
      </c>
      <c r="O119" s="57">
        <f>N119/C119</f>
        <v/>
      </c>
      <c r="P119" s="58">
        <f>(Boosters_IOS!B119*100)/Boosters_And!N119</f>
        <v/>
      </c>
      <c r="Q119" s="58">
        <f>Boosters_IOS!B119/(C119+D119)</f>
        <v/>
      </c>
      <c r="R119" s="58">
        <f>Boosters_IOS!N119/B119</f>
        <v/>
      </c>
      <c r="S119" s="55" t="n">
        <v>7.6180904522613</v>
      </c>
      <c r="T119" s="55" t="n">
        <v>111</v>
      </c>
      <c r="U119" s="121" t="n">
        <v>308683.589269084</v>
      </c>
      <c r="V119" s="122" t="n">
        <v>0.001157407407407407</v>
      </c>
      <c r="W119" s="123" t="n">
        <v>1690.416342</v>
      </c>
      <c r="X119" s="123" t="n">
        <v>1690.416342</v>
      </c>
      <c r="Y119" s="123" t="n">
        <v>4.333333333</v>
      </c>
      <c r="Z119" s="123" t="n">
        <v>69169.07685</v>
      </c>
      <c r="AA119" s="123" t="n">
        <v>0</v>
      </c>
      <c r="AB119" s="124" t="n">
        <v>0</v>
      </c>
      <c r="AC119" s="124" t="n">
        <v>0</v>
      </c>
      <c r="AD119" s="124" t="n">
        <v>0</v>
      </c>
      <c r="AE119" s="124" t="n">
        <v>0</v>
      </c>
      <c r="AF119" s="124" t="n">
        <v>0</v>
      </c>
      <c r="AG119" s="124" t="n">
        <v>0</v>
      </c>
      <c r="AH119" s="124" t="n">
        <v>0</v>
      </c>
      <c r="AI119" s="124" t="n">
        <v>0</v>
      </c>
      <c r="AJ119" s="124">
        <f>AB119+AC119+AD119+AE119+AF119+AG119+AH119+AI119</f>
        <v/>
      </c>
      <c r="AK119" s="59">
        <f>AL119/C119</f>
        <v/>
      </c>
      <c r="AL119" s="55" t="n">
        <v>60010</v>
      </c>
    </row>
    <row r="120" ht="22.5" customHeight="1" s="150">
      <c r="A120" s="34" t="n">
        <v>118</v>
      </c>
      <c r="B120" s="50" t="n">
        <v>521</v>
      </c>
      <c r="C120" s="50" t="n">
        <v>511</v>
      </c>
      <c r="D120" s="50" t="n">
        <v>126</v>
      </c>
      <c r="E120" s="50" t="n">
        <v>155</v>
      </c>
      <c r="F120" s="51">
        <f>(C120*100)/B120</f>
        <v/>
      </c>
      <c r="G120" s="51">
        <f>(D120*100)/B120</f>
        <v/>
      </c>
      <c r="H120" s="53">
        <f>((B120-B121)/B120)*100</f>
        <v/>
      </c>
      <c r="I120" s="53">
        <f>((B120-C120)/B120)*100</f>
        <v/>
      </c>
      <c r="J120" s="53">
        <f>((C120-B121)/C120)*100</f>
        <v/>
      </c>
      <c r="K120" s="53" t="n"/>
      <c r="L120" s="55" t="n">
        <v>1.4090909090909</v>
      </c>
      <c r="M120" s="128" t="inlineStr">
        <is>
          <t>Normal</t>
        </is>
      </c>
      <c r="N120" s="55" t="n">
        <v>23.46</v>
      </c>
      <c r="O120" s="57">
        <f>N120/C120</f>
        <v/>
      </c>
      <c r="P120" s="58">
        <f>(Boosters_IOS!B120*100)/Boosters_And!N120</f>
        <v/>
      </c>
      <c r="Q120" s="58">
        <f>Boosters_IOS!B120/(C120+D120)</f>
        <v/>
      </c>
      <c r="R120" s="58">
        <f>Boosters_IOS!N120/B120</f>
        <v/>
      </c>
      <c r="S120" s="55" t="n">
        <v>6.15656565656565</v>
      </c>
      <c r="T120" s="55" t="n">
        <v>160</v>
      </c>
      <c r="U120" s="121" t="n">
        <v>340860.967803714</v>
      </c>
      <c r="V120" s="122" t="n">
        <v>0.0015625</v>
      </c>
      <c r="W120" s="123" t="n">
        <v>2992.726891</v>
      </c>
      <c r="X120" s="123" t="n">
        <v>2992.726891</v>
      </c>
      <c r="Y120" s="123" t="n">
        <v>5.333333333</v>
      </c>
      <c r="Z120" s="123" t="n">
        <v>70376.51708999999</v>
      </c>
      <c r="AA120" s="123" t="n">
        <v>0</v>
      </c>
      <c r="AB120" s="124" t="n">
        <v>0</v>
      </c>
      <c r="AC120" s="124" t="n">
        <v>0</v>
      </c>
      <c r="AD120" s="124" t="n">
        <v>0</v>
      </c>
      <c r="AE120" s="124" t="n">
        <v>0</v>
      </c>
      <c r="AF120" s="124" t="n">
        <v>0</v>
      </c>
      <c r="AG120" s="124" t="n">
        <v>0</v>
      </c>
      <c r="AH120" s="124" t="n">
        <v>0</v>
      </c>
      <c r="AI120" s="124" t="n">
        <v>0</v>
      </c>
      <c r="AJ120" s="124">
        <f>AB120+AC120+AD120+AE120+AF120+AG120+AH120+AI120</f>
        <v/>
      </c>
      <c r="AK120" s="59">
        <f>AL120/C120</f>
        <v/>
      </c>
      <c r="AL120" s="55" t="n">
        <v>62500</v>
      </c>
    </row>
    <row r="121" ht="22.5" customHeight="1" s="150">
      <c r="A121" s="34" t="n">
        <v>119</v>
      </c>
      <c r="B121" s="50" t="n">
        <v>524</v>
      </c>
      <c r="C121" s="50" t="n">
        <v>511</v>
      </c>
      <c r="D121" s="50" t="n">
        <v>155</v>
      </c>
      <c r="E121" s="50" t="n">
        <v>142</v>
      </c>
      <c r="F121" s="51">
        <f>(C121*100)/B121</f>
        <v/>
      </c>
      <c r="G121" s="51">
        <f>(D121*100)/B121</f>
        <v/>
      </c>
      <c r="H121" s="53">
        <f>((B121-B122)/B121)*100</f>
        <v/>
      </c>
      <c r="I121" s="53">
        <f>((B121-C121)/B121)*100</f>
        <v/>
      </c>
      <c r="J121" s="53">
        <f>((C121-B122)/C121)*100</f>
        <v/>
      </c>
      <c r="K121" s="53" t="n"/>
      <c r="L121" s="55" t="n">
        <v>1.42424242424242</v>
      </c>
      <c r="M121" s="120" t="inlineStr">
        <is>
          <t>Normal</t>
        </is>
      </c>
      <c r="N121" s="55" t="n">
        <v>11.97</v>
      </c>
      <c r="O121" s="57">
        <f>N121/C121</f>
        <v/>
      </c>
      <c r="P121" s="58">
        <f>(Boosters_IOS!B121*100)/Boosters_And!N121</f>
        <v/>
      </c>
      <c r="Q121" s="58">
        <f>Boosters_IOS!B121/(C121+D121)</f>
        <v/>
      </c>
      <c r="R121" s="58">
        <f>Boosters_IOS!N121/B121</f>
        <v/>
      </c>
      <c r="S121" s="55" t="n">
        <v>6.65151515151515</v>
      </c>
      <c r="T121" s="55" t="n">
        <v>157</v>
      </c>
      <c r="U121" s="121" t="n">
        <v>343479.007019156</v>
      </c>
      <c r="V121" s="122" t="n">
        <v>0.0006944444444444445</v>
      </c>
      <c r="W121" s="123" t="n">
        <v>1371.307134</v>
      </c>
      <c r="X121" s="123" t="n">
        <v>655.4675611</v>
      </c>
      <c r="Y121" s="123" t="n">
        <v>5</v>
      </c>
      <c r="Z121" s="123" t="n">
        <v>61234.46953</v>
      </c>
      <c r="AA121" s="123" t="n">
        <v>15524.23171</v>
      </c>
      <c r="AB121" s="124" t="n">
        <v>0</v>
      </c>
      <c r="AC121" s="124" t="n">
        <v>0</v>
      </c>
      <c r="AD121" s="124" t="n">
        <v>0</v>
      </c>
      <c r="AE121" s="124" t="n">
        <v>0</v>
      </c>
      <c r="AF121" s="124" t="n">
        <v>0</v>
      </c>
      <c r="AG121" s="124" t="n">
        <v>0</v>
      </c>
      <c r="AH121" s="124" t="n">
        <v>0</v>
      </c>
      <c r="AI121" s="124" t="n">
        <v>0</v>
      </c>
      <c r="AJ121" s="124">
        <f>AB121+AC121+AD121+AE121+AF121+AG121+AH121+AI121</f>
        <v/>
      </c>
      <c r="AK121" s="59">
        <f>AL121/C121</f>
        <v/>
      </c>
      <c r="AL121" s="55" t="n">
        <v>60645</v>
      </c>
    </row>
    <row r="122" ht="22.5" customHeight="1" s="150">
      <c r="A122" s="34" t="n">
        <v>120</v>
      </c>
      <c r="B122" s="50" t="n">
        <v>555</v>
      </c>
      <c r="C122" s="50" t="n">
        <v>482</v>
      </c>
      <c r="D122" s="50" t="n">
        <v>364</v>
      </c>
      <c r="E122" s="50" t="n">
        <v>377</v>
      </c>
      <c r="F122" s="51">
        <f>(C122*100)/B122</f>
        <v/>
      </c>
      <c r="G122" s="51">
        <f>(D122*100)/B122</f>
        <v/>
      </c>
      <c r="H122" s="52">
        <f>((B122-B123)/B122)*100</f>
        <v/>
      </c>
      <c r="I122" s="53">
        <f>((B122-C122)/B122)*100</f>
        <v/>
      </c>
      <c r="J122" s="53">
        <f>((C122-B123)/C122)*100</f>
        <v/>
      </c>
      <c r="K122" s="53" t="n"/>
      <c r="L122" s="55" t="n">
        <v>2.53475935828877</v>
      </c>
      <c r="M122" s="127" t="inlineStr">
        <is>
          <t>Hard</t>
        </is>
      </c>
      <c r="N122" s="55" t="n">
        <v>114.49</v>
      </c>
      <c r="O122" s="57">
        <f>N122/C122</f>
        <v/>
      </c>
      <c r="P122" s="58">
        <f>(Boosters_IOS!B122*100)/Boosters_And!N122</f>
        <v/>
      </c>
      <c r="Q122" s="58">
        <f>Boosters_IOS!B122/(C122+D122)</f>
        <v/>
      </c>
      <c r="R122" s="58">
        <f>Boosters_IOS!N122/B122</f>
        <v/>
      </c>
      <c r="S122" s="55" t="n">
        <v>6.45454545454545</v>
      </c>
      <c r="T122" s="55" t="n">
        <v>268</v>
      </c>
      <c r="U122" s="121" t="n">
        <v>264060.851902423</v>
      </c>
      <c r="V122" s="122" t="n">
        <v>0.0008680555555555555</v>
      </c>
      <c r="W122" s="123" t="n">
        <v>1198.815671</v>
      </c>
      <c r="X122" s="123" t="n">
        <v>1129.819086</v>
      </c>
      <c r="Y122" s="123" t="n">
        <v>4</v>
      </c>
      <c r="Z122" s="123" t="n">
        <v>51229.96465</v>
      </c>
      <c r="AA122" s="123" t="n">
        <v>7762.115855</v>
      </c>
      <c r="AB122" s="124" t="n">
        <v>0</v>
      </c>
      <c r="AC122" s="124" t="n">
        <v>0</v>
      </c>
      <c r="AD122" s="124" t="n">
        <v>0</v>
      </c>
      <c r="AE122" s="124" t="n">
        <v>0</v>
      </c>
      <c r="AF122" s="124" t="n">
        <v>0</v>
      </c>
      <c r="AG122" s="124" t="n">
        <v>0</v>
      </c>
      <c r="AH122" s="124" t="n">
        <v>0</v>
      </c>
      <c r="AI122" s="124" t="n">
        <v>0</v>
      </c>
      <c r="AJ122" s="124">
        <f>AB122+AC122+AD122+AE122+AF122+AG122+AH122+AI122</f>
        <v/>
      </c>
      <c r="AK122" s="59">
        <f>AL122/C122</f>
        <v/>
      </c>
      <c r="AL122" s="55" t="n">
        <v>29395</v>
      </c>
    </row>
    <row r="123" ht="22.5" customHeight="1" s="150">
      <c r="A123" s="34" t="n">
        <v>121</v>
      </c>
      <c r="B123" s="50" t="n">
        <v>490</v>
      </c>
      <c r="C123" s="50" t="n">
        <v>482</v>
      </c>
      <c r="D123" s="50" t="n">
        <v>162</v>
      </c>
      <c r="E123" s="50" t="n">
        <v>168</v>
      </c>
      <c r="F123" s="51">
        <f>(C123*100)/B123</f>
        <v/>
      </c>
      <c r="G123" s="51">
        <f>(D123*100)/B123</f>
        <v/>
      </c>
      <c r="H123" s="53">
        <f>((B123-B124)/B123)*100</f>
        <v/>
      </c>
      <c r="I123" s="53">
        <f>((B123-C123)/B123)*100</f>
        <v/>
      </c>
      <c r="J123" s="53">
        <f>((C123-B124)/C123)*100</f>
        <v/>
      </c>
      <c r="K123" s="53" t="n"/>
      <c r="L123" s="55" t="n">
        <v>1.49732620320855</v>
      </c>
      <c r="M123" s="120" t="inlineStr">
        <is>
          <t>Normal</t>
        </is>
      </c>
      <c r="N123" s="55" t="n">
        <v>6.98</v>
      </c>
      <c r="O123" s="57">
        <f>N123/C123</f>
        <v/>
      </c>
      <c r="P123" s="58">
        <f>(Boosters_IOS!B123*100)/Boosters_And!N123</f>
        <v/>
      </c>
      <c r="Q123" s="58">
        <f>Boosters_IOS!B123/(C123+D123)</f>
        <v/>
      </c>
      <c r="R123" s="58">
        <f>Boosters_IOS!N123/B123</f>
        <v/>
      </c>
      <c r="S123" s="55" t="n">
        <v>5.75401069518716</v>
      </c>
      <c r="T123" s="55" t="n">
        <v>175</v>
      </c>
      <c r="U123" s="121" t="n">
        <v>272237.388171343</v>
      </c>
      <c r="V123" s="122" t="n">
        <v>0.001967592592592592</v>
      </c>
      <c r="W123" s="123" t="n">
        <v>1716.290061</v>
      </c>
      <c r="X123" s="123" t="n">
        <v>1716.290061</v>
      </c>
      <c r="Y123" s="123" t="n">
        <v>7.5</v>
      </c>
      <c r="Z123" s="123" t="n">
        <v>52006.17623</v>
      </c>
      <c r="AA123" s="123" t="n">
        <v>0</v>
      </c>
      <c r="AB123" s="124" t="n">
        <v>0</v>
      </c>
      <c r="AC123" s="124" t="n">
        <v>0</v>
      </c>
      <c r="AD123" s="124" t="n">
        <v>0</v>
      </c>
      <c r="AE123" s="124" t="n">
        <v>0</v>
      </c>
      <c r="AF123" s="124" t="n">
        <v>0</v>
      </c>
      <c r="AG123" s="124" t="n">
        <v>0</v>
      </c>
      <c r="AH123" s="124" t="n">
        <v>0</v>
      </c>
      <c r="AI123" s="124" t="n">
        <v>0</v>
      </c>
      <c r="AJ123" s="124">
        <f>AB123+AC123+AD123+AE123+AF123+AG123+AH123+AI123</f>
        <v/>
      </c>
      <c r="AK123" s="59">
        <f>AL123/C123</f>
        <v/>
      </c>
      <c r="AL123" s="55" t="n">
        <v>33265</v>
      </c>
    </row>
    <row r="124" ht="22.5" customHeight="1" s="150">
      <c r="A124" s="34" t="n">
        <v>122</v>
      </c>
      <c r="B124" s="50" t="n">
        <v>482</v>
      </c>
      <c r="C124" s="50" t="n">
        <v>482</v>
      </c>
      <c r="D124" s="50" t="n">
        <v>3</v>
      </c>
      <c r="E124" s="50" t="n">
        <v>5</v>
      </c>
      <c r="F124" s="51">
        <f>(C124*100)/B124</f>
        <v/>
      </c>
      <c r="G124" s="51">
        <f>(D124*100)/B124</f>
        <v/>
      </c>
      <c r="H124" s="53">
        <f>((B124-B125)/B124)*100</f>
        <v/>
      </c>
      <c r="I124" s="53">
        <f>((B124-C124)/B124)*100</f>
        <v/>
      </c>
      <c r="J124" s="53">
        <f>((C124-B125)/C124)*100</f>
        <v/>
      </c>
      <c r="K124" s="53" t="n"/>
      <c r="L124" s="55" t="n">
        <v>1.01069518716577</v>
      </c>
      <c r="M124" s="127" t="inlineStr">
        <is>
          <t>Hard</t>
        </is>
      </c>
      <c r="N124" s="55" t="n">
        <v>0</v>
      </c>
      <c r="O124" s="57">
        <f>N124/C124</f>
        <v/>
      </c>
      <c r="P124" s="58">
        <f>(Boosters_IOS!B124*100)/Boosters_And!N124</f>
        <v/>
      </c>
      <c r="Q124" s="58">
        <f>Boosters_IOS!B124/(C124+D124)</f>
        <v/>
      </c>
      <c r="R124" s="58">
        <f>Boosters_IOS!N124/B124</f>
        <v/>
      </c>
      <c r="S124" s="55" t="n">
        <v>6.09625668449197</v>
      </c>
      <c r="T124" s="55" t="n">
        <v>108</v>
      </c>
      <c r="U124" s="121" t="n">
        <v>306581.419849787</v>
      </c>
      <c r="V124" s="122" t="n">
        <v>0.002777777777777778</v>
      </c>
      <c r="W124" s="123" t="n">
        <v>3544.699574</v>
      </c>
      <c r="X124" s="123" t="n">
        <v>3544.699574</v>
      </c>
      <c r="Y124" s="123" t="n">
        <v>0.5</v>
      </c>
      <c r="Z124" s="123" t="n">
        <v>52868.63355</v>
      </c>
      <c r="AA124" s="123" t="n">
        <v>0</v>
      </c>
      <c r="AB124" s="124" t="n">
        <v>0</v>
      </c>
      <c r="AC124" s="124" t="n">
        <v>0</v>
      </c>
      <c r="AD124" s="124" t="n">
        <v>0</v>
      </c>
      <c r="AE124" s="124" t="n">
        <v>0</v>
      </c>
      <c r="AF124" s="124" t="n">
        <v>0</v>
      </c>
      <c r="AG124" s="124" t="n">
        <v>0</v>
      </c>
      <c r="AH124" s="124" t="n">
        <v>0</v>
      </c>
      <c r="AI124" s="124" t="n">
        <v>0</v>
      </c>
      <c r="AJ124" s="124">
        <f>AB124+AC124+AD124+AE124+AF124+AG124+AH124+AI124</f>
        <v/>
      </c>
      <c r="AK124" s="59">
        <f>AL124/C124</f>
        <v/>
      </c>
      <c r="AL124" s="55" t="n">
        <v>40050</v>
      </c>
    </row>
    <row r="125" ht="22.5" customHeight="1" s="150">
      <c r="A125" s="34" t="n">
        <v>123</v>
      </c>
      <c r="B125" s="50" t="n">
        <v>482</v>
      </c>
      <c r="C125" s="50" t="n">
        <v>482</v>
      </c>
      <c r="D125" s="50" t="n">
        <v>13</v>
      </c>
      <c r="E125" s="50" t="n">
        <v>5</v>
      </c>
      <c r="F125" s="51">
        <f>(C125*100)/B125</f>
        <v/>
      </c>
      <c r="G125" s="51">
        <f>(D125*100)/B125</f>
        <v/>
      </c>
      <c r="H125" s="53">
        <f>((B125-B126)/B125)*100</f>
        <v/>
      </c>
      <c r="I125" s="53">
        <f>((B125-C125)/B125)*100</f>
        <v/>
      </c>
      <c r="J125" s="53">
        <f>((C125-B126)/C125)*100</f>
        <v/>
      </c>
      <c r="K125" s="53" t="n"/>
      <c r="L125" s="55" t="n">
        <v>1.01069518716577</v>
      </c>
      <c r="M125" s="120" t="inlineStr">
        <is>
          <t>Normal</t>
        </is>
      </c>
      <c r="N125" s="55" t="n">
        <v>0</v>
      </c>
      <c r="O125" s="57">
        <f>N125/C125</f>
        <v/>
      </c>
      <c r="P125" s="58">
        <f>(Boosters_IOS!B125*100)/Boosters_And!N125</f>
        <v/>
      </c>
      <c r="Q125" s="58">
        <f>Boosters_IOS!B125/(C125+D125)</f>
        <v/>
      </c>
      <c r="R125" s="58">
        <f>Boosters_IOS!N125/B125</f>
        <v/>
      </c>
      <c r="S125" s="55" t="n">
        <v>4.4331550802139</v>
      </c>
      <c r="T125" s="55" t="n">
        <v>103</v>
      </c>
      <c r="U125" s="121" t="n">
        <v>324920.591102791</v>
      </c>
      <c r="V125" s="122" t="n">
        <v>0.001851851851851852</v>
      </c>
      <c r="W125" s="123" t="n">
        <v>1793.91122</v>
      </c>
      <c r="X125" s="123" t="n">
        <v>1793.91122</v>
      </c>
      <c r="Y125" s="123" t="n">
        <v>1.5</v>
      </c>
      <c r="Z125" s="123" t="n">
        <v>54076.07379</v>
      </c>
      <c r="AA125" s="123" t="n">
        <v>0</v>
      </c>
      <c r="AB125" s="124" t="n">
        <v>0</v>
      </c>
      <c r="AC125" s="124" t="n">
        <v>0</v>
      </c>
      <c r="AD125" s="124" t="n">
        <v>0</v>
      </c>
      <c r="AE125" s="124" t="n">
        <v>0</v>
      </c>
      <c r="AF125" s="124" t="n">
        <v>0</v>
      </c>
      <c r="AG125" s="124" t="n">
        <v>0</v>
      </c>
      <c r="AH125" s="124" t="n">
        <v>0</v>
      </c>
      <c r="AI125" s="124" t="n">
        <v>0</v>
      </c>
      <c r="AJ125" s="124">
        <f>AB125+AC125+AD125+AE125+AF125+AG125+AH125+AI125</f>
        <v/>
      </c>
      <c r="AK125" s="59">
        <f>AL125/C125</f>
        <v/>
      </c>
      <c r="AL125" s="55" t="n">
        <v>45910</v>
      </c>
    </row>
    <row r="126" ht="22.5" customHeight="1" s="150">
      <c r="A126" s="34" t="n">
        <v>124</v>
      </c>
      <c r="B126" s="50" t="n">
        <v>511</v>
      </c>
      <c r="C126" s="50" t="n">
        <v>464</v>
      </c>
      <c r="D126" s="50" t="n">
        <v>304</v>
      </c>
      <c r="E126" s="50" t="n">
        <v>315</v>
      </c>
      <c r="F126" s="51">
        <f>(C126*100)/B126</f>
        <v/>
      </c>
      <c r="G126" s="51">
        <f>(D126*100)/B126</f>
        <v/>
      </c>
      <c r="H126" s="53">
        <f>((B126-B127)/B126)*100</f>
        <v/>
      </c>
      <c r="I126" s="53">
        <f>((B126-C126)/B126)*100</f>
        <v/>
      </c>
      <c r="J126" s="53">
        <f>((C126-B127)/C126)*100</f>
        <v/>
      </c>
      <c r="K126" s="53" t="n"/>
      <c r="L126" s="55" t="n">
        <v>1.72777777777777</v>
      </c>
      <c r="M126" s="128" t="inlineStr">
        <is>
          <t>Normal</t>
        </is>
      </c>
      <c r="N126" s="55" t="n">
        <v>95.74000000000001</v>
      </c>
      <c r="O126" s="57">
        <f>N126/C126</f>
        <v/>
      </c>
      <c r="P126" s="58">
        <f>(Boosters_IOS!B126*100)/Boosters_And!N126</f>
        <v/>
      </c>
      <c r="Q126" s="58">
        <f>Boosters_IOS!B126/(C126+D126)</f>
        <v/>
      </c>
      <c r="R126" s="58">
        <f>Boosters_IOS!N126/B126</f>
        <v/>
      </c>
      <c r="S126" s="55" t="n">
        <v>8.39444444444444</v>
      </c>
      <c r="T126" s="55" t="n">
        <v>245</v>
      </c>
      <c r="U126" s="121" t="n">
        <v>216600.830656957</v>
      </c>
      <c r="V126" s="122" t="n">
        <v>0.001446759259259259</v>
      </c>
      <c r="W126" s="123" t="n">
        <v>1768.0375</v>
      </c>
      <c r="X126" s="123" t="n">
        <v>1768.0375</v>
      </c>
      <c r="Y126" s="123" t="n">
        <v>3</v>
      </c>
      <c r="Z126" s="123" t="n">
        <v>55111.02257</v>
      </c>
      <c r="AA126" s="123" t="n">
        <v>0</v>
      </c>
      <c r="AB126" s="124" t="n">
        <v>0</v>
      </c>
      <c r="AC126" s="124" t="n">
        <v>0</v>
      </c>
      <c r="AD126" s="124" t="n">
        <v>0</v>
      </c>
      <c r="AE126" s="124" t="n">
        <v>0</v>
      </c>
      <c r="AF126" s="124" t="n">
        <v>0</v>
      </c>
      <c r="AG126" s="124" t="n">
        <v>0</v>
      </c>
      <c r="AH126" s="124" t="n">
        <v>0</v>
      </c>
      <c r="AI126" s="124" t="n">
        <v>0</v>
      </c>
      <c r="AJ126" s="124">
        <f>AB126+AC126+AD126+AE126+AF126+AG126+AH126+AI126</f>
        <v/>
      </c>
      <c r="AK126" s="59">
        <f>AL126/C126</f>
        <v/>
      </c>
      <c r="AL126" s="55" t="n">
        <v>27105</v>
      </c>
    </row>
    <row r="127" ht="22.5" customHeight="1" s="150">
      <c r="A127" s="34" t="n">
        <v>125</v>
      </c>
      <c r="B127" s="50" t="n">
        <v>467</v>
      </c>
      <c r="C127" s="50" t="n">
        <v>467</v>
      </c>
      <c r="D127" s="50" t="n">
        <v>5</v>
      </c>
      <c r="E127" s="50" t="n">
        <v>0</v>
      </c>
      <c r="F127" s="51">
        <f>(C127*100)/B127</f>
        <v/>
      </c>
      <c r="G127" s="51">
        <f>(D127*100)/B127</f>
        <v/>
      </c>
      <c r="H127" s="53">
        <f>((B127-B128)/B127)*100</f>
        <v/>
      </c>
      <c r="I127" s="53">
        <f>((B127-C127)/B127)*100</f>
        <v/>
      </c>
      <c r="J127" s="53">
        <f>((C127-B128)/C127)*100</f>
        <v/>
      </c>
      <c r="K127" s="53" t="n"/>
      <c r="L127" s="55" t="n">
        <v>0.999999999999999</v>
      </c>
      <c r="M127" s="120" t="inlineStr">
        <is>
          <t>Normal</t>
        </is>
      </c>
      <c r="N127" s="55" t="n">
        <v>0</v>
      </c>
      <c r="O127" s="57">
        <f>N127/C127</f>
        <v/>
      </c>
      <c r="P127" s="58">
        <f>(Boosters_IOS!B127*100)/Boosters_And!N127</f>
        <v/>
      </c>
      <c r="Q127" s="58">
        <f>Boosters_IOS!B127/(C127+D127)</f>
        <v/>
      </c>
      <c r="R127" s="58">
        <f>Boosters_IOS!N127/B127</f>
        <v/>
      </c>
      <c r="S127" s="55" t="n">
        <v>3.44751381215469</v>
      </c>
      <c r="T127" s="55" t="n">
        <v>116</v>
      </c>
      <c r="U127" s="121" t="n">
        <v>245321.881557406</v>
      </c>
      <c r="V127" s="122" t="n">
        <v>0.00162037037037037</v>
      </c>
      <c r="W127" s="123" t="n">
        <v>2328.634757</v>
      </c>
      <c r="X127" s="123" t="n">
        <v>2328.634757</v>
      </c>
      <c r="Y127" s="123" t="n">
        <v>5.5</v>
      </c>
      <c r="Z127" s="123" t="n">
        <v>56318.46282</v>
      </c>
      <c r="AA127" s="123" t="n">
        <v>0</v>
      </c>
      <c r="AB127" s="124" t="n">
        <v>0</v>
      </c>
      <c r="AC127" s="124" t="n">
        <v>0</v>
      </c>
      <c r="AD127" s="124" t="n">
        <v>0</v>
      </c>
      <c r="AE127" s="124" t="n">
        <v>0</v>
      </c>
      <c r="AF127" s="124" t="n">
        <v>0</v>
      </c>
      <c r="AG127" s="124" t="n">
        <v>0</v>
      </c>
      <c r="AH127" s="124" t="n">
        <v>0</v>
      </c>
      <c r="AI127" s="124" t="n">
        <v>0</v>
      </c>
      <c r="AJ127" s="124">
        <f>AB127+AC127+AD127+AE127+AF127+AG127+AH127+AI127</f>
        <v/>
      </c>
      <c r="AK127" s="59">
        <f>AL127/C127</f>
        <v/>
      </c>
      <c r="AL127" s="55" t="n">
        <v>32710</v>
      </c>
    </row>
    <row r="128" ht="22.5" customHeight="1" s="150">
      <c r="A128" s="34" t="n">
        <v>126</v>
      </c>
      <c r="B128" s="50" t="n">
        <v>457</v>
      </c>
      <c r="C128" s="50" t="n">
        <v>457</v>
      </c>
      <c r="D128" s="50" t="n">
        <v>0</v>
      </c>
      <c r="E128" s="50" t="n">
        <v>0</v>
      </c>
      <c r="F128" s="51">
        <f>(C128*100)/B128</f>
        <v/>
      </c>
      <c r="G128" s="51">
        <f>(D128*100)/B128</f>
        <v/>
      </c>
      <c r="H128" s="53">
        <f>((B128-B129)/B128)*100</f>
        <v/>
      </c>
      <c r="I128" s="53">
        <f>((B128-C128)/B128)*100</f>
        <v/>
      </c>
      <c r="J128" s="53">
        <f>((C128-B129)/C128)*100</f>
        <v/>
      </c>
      <c r="K128" s="54" t="n"/>
      <c r="L128" s="55" t="n">
        <v>1.00564971751412</v>
      </c>
      <c r="M128" s="128" t="inlineStr">
        <is>
          <t>Normal</t>
        </is>
      </c>
      <c r="N128" s="55" t="n">
        <v>0.99</v>
      </c>
      <c r="O128" s="57">
        <f>N128/C128</f>
        <v/>
      </c>
      <c r="P128" s="58">
        <f>(Boosters_IOS!B128*100)/Boosters_And!N128</f>
        <v/>
      </c>
      <c r="Q128" s="58">
        <f>Boosters_IOS!B128/(C128+D128)</f>
        <v/>
      </c>
      <c r="R128" s="58">
        <f>Boosters_IOS!N128/B128</f>
        <v/>
      </c>
      <c r="S128" s="55" t="n">
        <v>6.59887005649717</v>
      </c>
      <c r="T128" s="55" t="n">
        <v>116</v>
      </c>
      <c r="U128" s="121" t="n">
        <v>271914.969548751</v>
      </c>
      <c r="V128" s="122" t="n">
        <v>0.001446759259259259</v>
      </c>
      <c r="W128" s="123" t="n">
        <v>1828.409513</v>
      </c>
      <c r="X128" s="123" t="n">
        <v>1828.409513</v>
      </c>
      <c r="Y128" s="123" t="n">
        <v>3</v>
      </c>
      <c r="Z128" s="123" t="n">
        <v>57094.6744</v>
      </c>
      <c r="AA128" s="123" t="n">
        <v>0</v>
      </c>
      <c r="AB128" s="124" t="n">
        <v>0</v>
      </c>
      <c r="AC128" s="124" t="n">
        <v>0</v>
      </c>
      <c r="AD128" s="124" t="n">
        <v>0</v>
      </c>
      <c r="AE128" s="124" t="n">
        <v>0</v>
      </c>
      <c r="AF128" s="124" t="n">
        <v>0</v>
      </c>
      <c r="AG128" s="124" t="n">
        <v>0</v>
      </c>
      <c r="AH128" s="124" t="n">
        <v>0</v>
      </c>
      <c r="AI128" s="124" t="n">
        <v>0</v>
      </c>
      <c r="AJ128" s="124">
        <f>AB128+AC128+AD128+AE128+AF128+AG128+AH128+AI128</f>
        <v/>
      </c>
      <c r="AK128" s="59">
        <f>AL128/C128</f>
        <v/>
      </c>
      <c r="AL128" s="55" t="n">
        <v>40300</v>
      </c>
    </row>
    <row r="129" ht="22.5" customHeight="1" s="150">
      <c r="A129" s="34" t="n">
        <v>127</v>
      </c>
      <c r="B129" s="50" t="n">
        <v>457</v>
      </c>
      <c r="C129" s="50" t="n">
        <v>457</v>
      </c>
      <c r="D129" s="50" t="n">
        <v>28</v>
      </c>
      <c r="E129" s="50" t="n">
        <v>36</v>
      </c>
      <c r="F129" s="51">
        <f>(C129*100)/B129</f>
        <v/>
      </c>
      <c r="G129" s="51">
        <f>(D129*100)/B129</f>
        <v/>
      </c>
      <c r="H129" s="53">
        <f>((B129-B130)/B129)*100</f>
        <v/>
      </c>
      <c r="I129" s="53">
        <f>((B129-C129)/B129)*100</f>
        <v/>
      </c>
      <c r="J129" s="53">
        <f>((C129-B130)/C129)*100</f>
        <v/>
      </c>
      <c r="K129" s="54" t="n"/>
      <c r="L129" s="55" t="n">
        <v>1.06779661016949</v>
      </c>
      <c r="M129" s="120" t="inlineStr">
        <is>
          <t>Normal</t>
        </is>
      </c>
      <c r="N129" s="55" t="n">
        <v>0.99</v>
      </c>
      <c r="O129" s="57">
        <f>N129/C129</f>
        <v/>
      </c>
      <c r="P129" s="58">
        <f>(Boosters_IOS!B129*100)/Boosters_And!N129</f>
        <v/>
      </c>
      <c r="Q129" s="58">
        <f>Boosters_IOS!B129/(C129+D129)</f>
        <v/>
      </c>
      <c r="R129" s="58">
        <f>Boosters_IOS!N129/B129</f>
        <v/>
      </c>
      <c r="S129" s="55" t="n">
        <v>6.71751412429378</v>
      </c>
      <c r="T129" s="55" t="n">
        <v>116</v>
      </c>
      <c r="U129" s="121" t="n">
        <v>293839.435884972</v>
      </c>
      <c r="V129" s="122" t="n">
        <v>0.00150462962962963</v>
      </c>
      <c r="W129" s="123" t="n">
        <v>2242.389025</v>
      </c>
      <c r="X129" s="123" t="n">
        <v>2009.525549</v>
      </c>
      <c r="Y129" s="123" t="n">
        <v>4.5</v>
      </c>
      <c r="Z129" s="123" t="n">
        <v>51316.21038</v>
      </c>
      <c r="AA129" s="123" t="n">
        <v>7762.115855</v>
      </c>
      <c r="AB129" s="124" t="n">
        <v>0</v>
      </c>
      <c r="AC129" s="124" t="n">
        <v>0</v>
      </c>
      <c r="AD129" s="124" t="n">
        <v>0</v>
      </c>
      <c r="AE129" s="124" t="n">
        <v>0</v>
      </c>
      <c r="AF129" s="124" t="n">
        <v>0</v>
      </c>
      <c r="AG129" s="124" t="n">
        <v>0</v>
      </c>
      <c r="AH129" s="124" t="n">
        <v>0</v>
      </c>
      <c r="AI129" s="124" t="n">
        <v>0</v>
      </c>
      <c r="AJ129" s="124">
        <f>AB129+AC129+AD129+AE129+AF129+AG129+AH129+AI129</f>
        <v/>
      </c>
      <c r="AK129" s="59">
        <f>AL129/C129</f>
        <v/>
      </c>
      <c r="AL129" s="55" t="n">
        <v>44820</v>
      </c>
    </row>
    <row r="130" ht="22.5" customHeight="1" s="150">
      <c r="A130" s="34" t="n">
        <v>128</v>
      </c>
      <c r="B130" s="50" t="n">
        <v>459</v>
      </c>
      <c r="C130" s="50" t="n">
        <v>438</v>
      </c>
      <c r="D130" s="50" t="n">
        <v>237</v>
      </c>
      <c r="E130" s="50" t="n">
        <v>253</v>
      </c>
      <c r="F130" s="51">
        <f>(C130*100)/B130</f>
        <v/>
      </c>
      <c r="G130" s="51">
        <f>(D130*100)/B130</f>
        <v/>
      </c>
      <c r="H130" s="53">
        <f>((B130-B131)/B130)*100</f>
        <v/>
      </c>
      <c r="I130" s="53">
        <f>((B130-C130)/B130)*100</f>
        <v/>
      </c>
      <c r="J130" s="53">
        <f>((C130-B131)/C130)*100</f>
        <v/>
      </c>
      <c r="K130" s="54" t="n"/>
      <c r="L130" s="55" t="n">
        <v>1.48823529411764</v>
      </c>
      <c r="M130" s="128" t="inlineStr">
        <is>
          <t>Normal</t>
        </is>
      </c>
      <c r="N130" s="55" t="n">
        <v>17.95</v>
      </c>
      <c r="O130" s="57">
        <f>N130/C130</f>
        <v/>
      </c>
      <c r="P130" s="58">
        <f>(Boosters_IOS!B130*100)/Boosters_And!N130</f>
        <v/>
      </c>
      <c r="Q130" s="58">
        <f>Boosters_IOS!B130/(C130+D130)</f>
        <v/>
      </c>
      <c r="R130" s="58">
        <f>Boosters_IOS!N130/B130</f>
        <v/>
      </c>
      <c r="S130" s="55" t="n">
        <v>9.199999999999999</v>
      </c>
      <c r="T130" s="55" t="n">
        <v>191</v>
      </c>
      <c r="U130" s="121" t="n">
        <v>265440.803607114</v>
      </c>
      <c r="V130" s="122" t="n">
        <v>0.001388888888888889</v>
      </c>
      <c r="W130" s="123" t="n">
        <v>1414.43</v>
      </c>
      <c r="X130" s="123" t="n">
        <v>1414.43</v>
      </c>
      <c r="Y130" s="123" t="n">
        <v>2</v>
      </c>
      <c r="Z130" s="123" t="n">
        <v>52696.14209</v>
      </c>
      <c r="AA130" s="123" t="n">
        <v>0</v>
      </c>
      <c r="AB130" s="124" t="n">
        <v>0</v>
      </c>
      <c r="AC130" s="124" t="n">
        <v>0</v>
      </c>
      <c r="AD130" s="124" t="n">
        <v>0</v>
      </c>
      <c r="AE130" s="124" t="n">
        <v>0</v>
      </c>
      <c r="AF130" s="124" t="n">
        <v>0</v>
      </c>
      <c r="AG130" s="124" t="n">
        <v>0</v>
      </c>
      <c r="AH130" s="124" t="n">
        <v>0</v>
      </c>
      <c r="AI130" s="124" t="n">
        <v>0</v>
      </c>
      <c r="AJ130" s="124">
        <f>AB130+AC130+AD130+AE130+AF130+AG130+AH130+AI130</f>
        <v/>
      </c>
      <c r="AK130" s="59">
        <f>AL130/C130</f>
        <v/>
      </c>
      <c r="AL130" s="55" t="n">
        <v>37465</v>
      </c>
    </row>
    <row r="131" ht="22.5" customHeight="1" s="150">
      <c r="A131" s="34" t="n">
        <v>129</v>
      </c>
      <c r="B131" s="50" t="n">
        <v>433</v>
      </c>
      <c r="C131" s="50" t="n">
        <v>428</v>
      </c>
      <c r="D131" s="50" t="n">
        <v>119</v>
      </c>
      <c r="E131" s="50" t="n">
        <v>113</v>
      </c>
      <c r="F131" s="51">
        <f>(C131*100)/B131</f>
        <v/>
      </c>
      <c r="G131" s="51">
        <f>(D131*100)/B131</f>
        <v/>
      </c>
      <c r="H131" s="53">
        <f>((B131-B132)/B131)*100</f>
        <v/>
      </c>
      <c r="I131" s="53">
        <f>((B131-C131)/B131)*100</f>
        <v/>
      </c>
      <c r="J131" s="53">
        <f>((C131-B132)/C131)*100</f>
        <v/>
      </c>
      <c r="K131" s="54" t="n"/>
      <c r="L131" s="55" t="n">
        <v>1.23493975903614</v>
      </c>
      <c r="M131" s="120" t="inlineStr">
        <is>
          <t>Normal</t>
        </is>
      </c>
      <c r="N131" s="55" t="n">
        <v>13.97</v>
      </c>
      <c r="O131" s="57">
        <f>N131/C131</f>
        <v/>
      </c>
      <c r="P131" s="58">
        <f>(Boosters_IOS!B131*100)/Boosters_And!N131</f>
        <v/>
      </c>
      <c r="Q131" s="58">
        <f>Boosters_IOS!B131/(C131+D131)</f>
        <v/>
      </c>
      <c r="R131" s="58">
        <f>Boosters_IOS!N131/B131</f>
        <v/>
      </c>
      <c r="S131" s="55" t="n">
        <v>6.65060240963855</v>
      </c>
      <c r="T131" s="55" t="n">
        <v>132</v>
      </c>
      <c r="U131" s="121" t="n">
        <v>267439.799067181</v>
      </c>
      <c r="V131" s="122" t="n">
        <v>0.000925925925925926</v>
      </c>
      <c r="W131" s="123" t="n">
        <v>931.4539027</v>
      </c>
      <c r="X131" s="123" t="n">
        <v>931.4539027</v>
      </c>
      <c r="Y131" s="123" t="n">
        <v>2</v>
      </c>
      <c r="Z131" s="123" t="n">
        <v>53472.35367</v>
      </c>
      <c r="AA131" s="123" t="n">
        <v>0</v>
      </c>
      <c r="AB131" s="124" t="n">
        <v>0</v>
      </c>
      <c r="AC131" s="124" t="n">
        <v>0</v>
      </c>
      <c r="AD131" s="124" t="n">
        <v>0</v>
      </c>
      <c r="AE131" s="124" t="n">
        <v>0</v>
      </c>
      <c r="AF131" s="124" t="n">
        <v>0</v>
      </c>
      <c r="AG131" s="124" t="n">
        <v>0</v>
      </c>
      <c r="AH131" s="124" t="n">
        <v>0</v>
      </c>
      <c r="AI131" s="124" t="n">
        <v>0</v>
      </c>
      <c r="AJ131" s="124">
        <f>AB131+AC131+AD131+AE131+AF131+AG131+AH131+AI131</f>
        <v/>
      </c>
      <c r="AK131" s="59">
        <f>AL131/C131</f>
        <v/>
      </c>
      <c r="AL131" s="55" t="n">
        <v>36520</v>
      </c>
    </row>
    <row r="132" ht="22.5" customHeight="1" s="150">
      <c r="A132" s="34" t="n">
        <v>130</v>
      </c>
      <c r="B132" s="50" t="n">
        <v>433</v>
      </c>
      <c r="C132" s="50" t="n">
        <v>428</v>
      </c>
      <c r="D132" s="50" t="n">
        <v>111</v>
      </c>
      <c r="E132" s="50" t="n">
        <v>108</v>
      </c>
      <c r="F132" s="51">
        <f>(C132*100)/B132</f>
        <v/>
      </c>
      <c r="G132" s="51">
        <f>(D132*100)/B132</f>
        <v/>
      </c>
      <c r="H132" s="53">
        <f>((B132-B133)/B132)*100</f>
        <v/>
      </c>
      <c r="I132" s="53">
        <f>((B132-C132)/B132)*100</f>
        <v/>
      </c>
      <c r="J132" s="53">
        <f>((C132-B133)/C132)*100</f>
        <v/>
      </c>
      <c r="K132" s="54" t="n"/>
      <c r="L132" s="55" t="n">
        <v>1.15060240963855</v>
      </c>
      <c r="M132" s="128" t="inlineStr">
        <is>
          <t>Normal</t>
        </is>
      </c>
      <c r="N132" s="55" t="n">
        <v>17.96</v>
      </c>
      <c r="O132" s="57">
        <f>N132/C132</f>
        <v/>
      </c>
      <c r="P132" s="58">
        <f>(Boosters_IOS!B132*100)/Boosters_And!N132</f>
        <v/>
      </c>
      <c r="Q132" s="58">
        <f>Boosters_IOS!B132/(C132+D132)</f>
        <v/>
      </c>
      <c r="R132" s="58">
        <f>Boosters_IOS!N132/B132</f>
        <v/>
      </c>
      <c r="S132" s="55" t="n">
        <v>6.03614457831325</v>
      </c>
      <c r="T132" s="55" t="n">
        <v>155</v>
      </c>
      <c r="U132" s="121" t="n">
        <v>265672.94501538</v>
      </c>
      <c r="V132" s="122" t="n">
        <v>0.00150462962962963</v>
      </c>
      <c r="W132" s="123" t="n">
        <v>1983.65183</v>
      </c>
      <c r="X132" s="123" t="n">
        <v>1983.65183</v>
      </c>
      <c r="Y132" s="123" t="n">
        <v>3.5</v>
      </c>
      <c r="Z132" s="123" t="n">
        <v>57094.6744</v>
      </c>
      <c r="AA132" s="123" t="n">
        <v>0</v>
      </c>
      <c r="AB132" s="124" t="n">
        <v>0</v>
      </c>
      <c r="AC132" s="124" t="n">
        <v>0</v>
      </c>
      <c r="AD132" s="124" t="n">
        <v>0</v>
      </c>
      <c r="AE132" s="124" t="n">
        <v>0</v>
      </c>
      <c r="AF132" s="124" t="n">
        <v>0</v>
      </c>
      <c r="AG132" s="124" t="n">
        <v>0</v>
      </c>
      <c r="AH132" s="124" t="n">
        <v>0</v>
      </c>
      <c r="AI132" s="124" t="n">
        <v>0</v>
      </c>
      <c r="AJ132" s="124">
        <f>AB132+AC132+AD132+AE132+AF132+AG132+AH132+AI132</f>
        <v/>
      </c>
      <c r="AK132" s="59">
        <f>AL132/C132</f>
        <v/>
      </c>
      <c r="AL132" s="55" t="n">
        <v>35210</v>
      </c>
    </row>
    <row r="133" ht="22.5" customHeight="1" s="150">
      <c r="A133" s="34" t="n">
        <v>131</v>
      </c>
      <c r="B133" s="50" t="n">
        <v>428</v>
      </c>
      <c r="C133" s="50" t="n">
        <v>428</v>
      </c>
      <c r="D133" s="50" t="n">
        <v>18</v>
      </c>
      <c r="E133" s="50" t="n">
        <v>8</v>
      </c>
      <c r="F133" s="51">
        <f>(C133*100)/B133</f>
        <v/>
      </c>
      <c r="G133" s="51">
        <f>(D133*100)/B133</f>
        <v/>
      </c>
      <c r="H133" s="53">
        <f>((B133-B134)/B133)*100</f>
        <v/>
      </c>
      <c r="I133" s="53">
        <f>((B133-C133)/B133)*100</f>
        <v/>
      </c>
      <c r="J133" s="53">
        <f>((C133-B134)/C133)*100</f>
        <v/>
      </c>
      <c r="K133" s="54" t="n"/>
      <c r="L133" s="55" t="n">
        <v>1.02409638554216</v>
      </c>
      <c r="M133" s="120" t="inlineStr">
        <is>
          <t>Normal</t>
        </is>
      </c>
      <c r="N133" s="55" t="n">
        <v>0</v>
      </c>
      <c r="O133" s="57">
        <f>N133/C133</f>
        <v/>
      </c>
      <c r="P133" s="58">
        <f>(Boosters_IOS!B133*100)/Boosters_And!N133</f>
        <v/>
      </c>
      <c r="Q133" s="58">
        <f>Boosters_IOS!B133/(C133+D133)</f>
        <v/>
      </c>
      <c r="R133" s="58">
        <f>Boosters_IOS!N133/B133</f>
        <v/>
      </c>
      <c r="S133" s="55" t="n">
        <v>5.10240963855421</v>
      </c>
      <c r="T133" s="55" t="n">
        <v>95</v>
      </c>
      <c r="U133" s="121" t="n">
        <v>279769.08719508</v>
      </c>
      <c r="V133" s="122" t="n">
        <v>0.001099537037037037</v>
      </c>
      <c r="W133" s="123" t="n">
        <v>1285.061403</v>
      </c>
      <c r="X133" s="123" t="n">
        <v>1285.061403</v>
      </c>
      <c r="Y133" s="123" t="n">
        <v>7</v>
      </c>
      <c r="Z133" s="123" t="n">
        <v>58819.58904</v>
      </c>
      <c r="AA133" s="123" t="n">
        <v>0</v>
      </c>
      <c r="AB133" s="132" t="n"/>
      <c r="AC133" s="132" t="n"/>
      <c r="AD133" s="132" t="n"/>
      <c r="AE133" s="132" t="n"/>
      <c r="AF133" s="132" t="n"/>
      <c r="AG133" s="132" t="n"/>
      <c r="AH133" s="132" t="n"/>
      <c r="AI133" s="132" t="n"/>
      <c r="AJ133" s="132">
        <f>AB133+AC133+AD133+AE133+AF133+AG133+AH133+AI133</f>
        <v/>
      </c>
      <c r="AK133" s="59">
        <f>AL133/C133</f>
        <v/>
      </c>
      <c r="AL133" s="55" t="n">
        <v>39320</v>
      </c>
    </row>
    <row r="134" ht="22.5" customHeight="1" s="150">
      <c r="A134" s="34" t="n">
        <v>132</v>
      </c>
      <c r="B134" s="50" t="n">
        <v>438</v>
      </c>
      <c r="C134" s="50" t="n">
        <v>428</v>
      </c>
      <c r="D134" s="50" t="n">
        <v>155</v>
      </c>
      <c r="E134" s="50" t="n">
        <v>121</v>
      </c>
      <c r="F134" s="51">
        <f>(C134*100)/B134</f>
        <v/>
      </c>
      <c r="G134" s="51">
        <f>(D134*100)/B134</f>
        <v/>
      </c>
      <c r="H134" s="53">
        <f>((B134-B135)/B134)*100</f>
        <v/>
      </c>
      <c r="I134" s="53">
        <f>((B134-C134)/B134)*100</f>
        <v/>
      </c>
      <c r="J134" s="53">
        <f>((C134-B135)/C134)*100</f>
        <v/>
      </c>
      <c r="K134" s="54" t="n"/>
      <c r="L134" s="55" t="n">
        <v>1.25903614457831</v>
      </c>
      <c r="M134" s="128" t="inlineStr">
        <is>
          <t>Normal</t>
        </is>
      </c>
      <c r="N134" s="55" t="n">
        <v>23.78</v>
      </c>
      <c r="O134" s="57">
        <f>N134/C134</f>
        <v/>
      </c>
      <c r="P134" s="58">
        <f>(Boosters_IOS!B134*100)/Boosters_And!N134</f>
        <v/>
      </c>
      <c r="Q134" s="58">
        <f>Boosters_IOS!B134/(C134+D134)</f>
        <v/>
      </c>
      <c r="R134" s="58">
        <f>Boosters_IOS!N134/B134</f>
        <v/>
      </c>
      <c r="S134" s="55" t="n">
        <v>4.96385542168674</v>
      </c>
      <c r="T134" s="55" t="n">
        <v>152</v>
      </c>
      <c r="U134" s="121" t="n">
        <v>295232.284334567</v>
      </c>
      <c r="V134" s="122" t="n">
        <v>0.001736111111111111</v>
      </c>
      <c r="W134" s="123" t="n">
        <v>1647.293476</v>
      </c>
      <c r="X134" s="123" t="n">
        <v>1647.293476</v>
      </c>
      <c r="Y134" s="123" t="n">
        <v>2</v>
      </c>
      <c r="Z134" s="123" t="n">
        <v>59595.80062</v>
      </c>
      <c r="AA134" s="123" t="n">
        <v>0</v>
      </c>
      <c r="AB134" s="132" t="n"/>
      <c r="AC134" s="132" t="n"/>
      <c r="AD134" s="132" t="n"/>
      <c r="AE134" s="132" t="n"/>
      <c r="AF134" s="132" t="n"/>
      <c r="AG134" s="132" t="n"/>
      <c r="AH134" s="132" t="n"/>
      <c r="AI134" s="132" t="n"/>
      <c r="AJ134" s="132">
        <f>AB134+AC134+AD134+AE134+AF134+AG134+AH134+AI134</f>
        <v/>
      </c>
      <c r="AK134" s="59">
        <f>AL134/C134</f>
        <v/>
      </c>
      <c r="AL134" s="55" t="n">
        <v>38510</v>
      </c>
    </row>
    <row r="135" ht="22.5" customHeight="1" s="150">
      <c r="A135" s="34" t="n">
        <v>133</v>
      </c>
      <c r="B135" s="50" t="n">
        <v>438</v>
      </c>
      <c r="C135" s="50" t="n">
        <v>415</v>
      </c>
      <c r="D135" s="50" t="n">
        <v>214</v>
      </c>
      <c r="E135" s="50" t="n">
        <v>242</v>
      </c>
      <c r="F135" s="51">
        <f>(C135*100)/B135</f>
        <v/>
      </c>
      <c r="G135" s="51">
        <f>(D135*100)/B135</f>
        <v/>
      </c>
      <c r="H135" s="53">
        <f>((B135-B136)/B135)*100</f>
        <v/>
      </c>
      <c r="I135" s="53">
        <f>((B135-C135)/B135)*100</f>
        <v/>
      </c>
      <c r="J135" s="53">
        <f>((C135-B136)/C135)*100</f>
        <v/>
      </c>
      <c r="K135" s="54" t="n"/>
      <c r="L135" s="55" t="n">
        <v>1.94409937888198</v>
      </c>
      <c r="M135" s="129" t="inlineStr">
        <is>
          <t>Hard</t>
        </is>
      </c>
      <c r="N135" s="55" t="n">
        <v>70.17</v>
      </c>
      <c r="O135" s="57">
        <f>N135/C135</f>
        <v/>
      </c>
      <c r="P135" s="58">
        <f>(Boosters_IOS!B135*100)/Boosters_And!N135</f>
        <v/>
      </c>
      <c r="Q135" s="58">
        <f>Boosters_IOS!B135/(C135+D135)</f>
        <v/>
      </c>
      <c r="R135" s="58">
        <f>Boosters_IOS!N135/B135</f>
        <v/>
      </c>
      <c r="S135" s="55" t="n">
        <v>5.7391304347826</v>
      </c>
      <c r="T135" s="55" t="n">
        <v>193</v>
      </c>
      <c r="U135" s="121" t="n">
        <v>290989.255261263</v>
      </c>
      <c r="V135" s="122" t="n">
        <v>0.0015625</v>
      </c>
      <c r="W135" s="123" t="n">
        <v>1992.276403</v>
      </c>
      <c r="X135" s="123" t="n">
        <v>1992.276403</v>
      </c>
      <c r="Y135" s="123" t="n">
        <v>1.5</v>
      </c>
      <c r="Z135" s="123" t="n">
        <v>53558.5994</v>
      </c>
      <c r="AA135" s="123" t="n">
        <v>0</v>
      </c>
      <c r="AB135" s="132" t="n"/>
      <c r="AC135" s="132" t="n"/>
      <c r="AD135" s="132" t="n"/>
      <c r="AE135" s="132" t="n"/>
      <c r="AF135" s="132" t="n"/>
      <c r="AG135" s="132" t="n"/>
      <c r="AH135" s="132" t="n"/>
      <c r="AI135" s="132" t="n"/>
      <c r="AJ135" s="132">
        <f>AB135+AC135+AD135+AE135+AF135+AG135+AH135+AI135</f>
        <v/>
      </c>
      <c r="AK135" s="59">
        <f>AL135/C135</f>
        <v/>
      </c>
      <c r="AL135" s="55" t="n">
        <v>42450</v>
      </c>
    </row>
    <row r="136" ht="22.5" customHeight="1" s="150">
      <c r="A136" s="34" t="n">
        <v>134</v>
      </c>
      <c r="B136" s="50" t="n">
        <v>415</v>
      </c>
      <c r="C136" s="50" t="n">
        <v>415</v>
      </c>
      <c r="D136" s="50" t="n">
        <v>5</v>
      </c>
      <c r="E136" s="50" t="n">
        <v>8</v>
      </c>
      <c r="F136" s="51">
        <f>(C136*100)/B136</f>
        <v/>
      </c>
      <c r="G136" s="51">
        <f>(D136*100)/B136</f>
        <v/>
      </c>
      <c r="H136" s="53">
        <f>((B136-B137)/B136)*100</f>
        <v/>
      </c>
      <c r="I136" s="53">
        <f>((B136-C136)/B136)*100</f>
        <v/>
      </c>
      <c r="J136" s="53">
        <f>((C136-B137)/C136)*100</f>
        <v/>
      </c>
      <c r="K136" s="54" t="n"/>
      <c r="L136" s="55" t="n">
        <v>1.00621118012422</v>
      </c>
      <c r="M136" s="128" t="inlineStr">
        <is>
          <t>Normal</t>
        </is>
      </c>
      <c r="N136" s="55" t="n">
        <v>0</v>
      </c>
      <c r="O136" s="57">
        <f>N136/C136</f>
        <v/>
      </c>
      <c r="P136" s="58">
        <f>(Boosters_IOS!B136*100)/Boosters_And!N136</f>
        <v/>
      </c>
      <c r="Q136" s="58">
        <f>Boosters_IOS!B136/(C136+D136)</f>
        <v/>
      </c>
      <c r="R136" s="58">
        <f>Boosters_IOS!N136/B136</f>
        <v/>
      </c>
      <c r="S136" s="55" t="n">
        <v>3.77018633540372</v>
      </c>
      <c r="T136" s="55" t="n">
        <v>88</v>
      </c>
      <c r="U136" s="121" t="n">
        <v>312281.781097205</v>
      </c>
      <c r="V136" s="122" t="n">
        <v>0.001388888888888889</v>
      </c>
      <c r="W136" s="123" t="n">
        <v>1492.051159</v>
      </c>
      <c r="X136" s="123" t="n">
        <v>1492.051159</v>
      </c>
      <c r="Y136" s="123" t="n">
        <v>4</v>
      </c>
      <c r="Z136" s="123" t="n">
        <v>54593.54818</v>
      </c>
      <c r="AA136" s="123" t="n">
        <v>0</v>
      </c>
      <c r="AB136" s="132" t="n"/>
      <c r="AC136" s="132" t="n"/>
      <c r="AD136" s="132" t="n"/>
      <c r="AE136" s="132" t="n"/>
      <c r="AF136" s="132" t="n"/>
      <c r="AG136" s="132" t="n"/>
      <c r="AH136" s="132" t="n"/>
      <c r="AI136" s="132" t="n"/>
      <c r="AJ136" s="132">
        <f>AB136+AC136+AD136+AE136+AF136+AG136+AH136+AI136</f>
        <v/>
      </c>
      <c r="AK136" s="59">
        <f>AL136/C136</f>
        <v/>
      </c>
      <c r="AL136" s="55" t="n">
        <v>50165</v>
      </c>
    </row>
    <row r="137" ht="22.5" customHeight="1" s="150">
      <c r="A137" s="34" t="n">
        <v>135</v>
      </c>
      <c r="B137" s="50" t="n">
        <v>418</v>
      </c>
      <c r="C137" s="50" t="n">
        <v>397</v>
      </c>
      <c r="D137" s="50" t="n">
        <v>209</v>
      </c>
      <c r="E137" s="50" t="n">
        <v>204</v>
      </c>
      <c r="F137" s="51">
        <f>(C137*100)/B137</f>
        <v/>
      </c>
      <c r="G137" s="51">
        <f>(D137*100)/B137</f>
        <v/>
      </c>
      <c r="H137" s="53">
        <f>((B137-B138)/B137)*100</f>
        <v/>
      </c>
      <c r="I137" s="53">
        <f>((B137-C137)/B137)*100</f>
        <v/>
      </c>
      <c r="J137" s="53">
        <f>((C137-B138)/C137)*100</f>
        <v/>
      </c>
      <c r="K137" s="54" t="n"/>
      <c r="L137" s="55" t="n">
        <v>1.9090909090909</v>
      </c>
      <c r="M137" s="120" t="inlineStr">
        <is>
          <t>Normal</t>
        </is>
      </c>
      <c r="N137" s="55" t="n">
        <v>34.94</v>
      </c>
      <c r="O137" s="57">
        <f>N137/C137</f>
        <v/>
      </c>
      <c r="P137" s="58">
        <f>(Boosters_IOS!B137*100)/Boosters_And!N137</f>
        <v/>
      </c>
      <c r="Q137" s="58">
        <f>Boosters_IOS!B137/(C137+D137)</f>
        <v/>
      </c>
      <c r="R137" s="58">
        <f>Boosters_IOS!N137/B137</f>
        <v/>
      </c>
      <c r="S137" s="55" t="n">
        <v>4.97402597402597</v>
      </c>
      <c r="T137" s="55" t="n">
        <v>165</v>
      </c>
      <c r="U137" s="121" t="n">
        <v>278440.722470003</v>
      </c>
      <c r="V137" s="122" t="n">
        <v>0.002893518518518518</v>
      </c>
      <c r="W137" s="123" t="n">
        <v>4346.784879</v>
      </c>
      <c r="X137" s="123" t="n">
        <v>4191.542562</v>
      </c>
      <c r="Y137" s="123" t="n">
        <v>9.5</v>
      </c>
      <c r="Z137" s="123" t="n">
        <v>47176.41525</v>
      </c>
      <c r="AA137" s="123" t="n">
        <v>7762.115855</v>
      </c>
      <c r="AB137" s="132" t="n"/>
      <c r="AC137" s="132" t="n"/>
      <c r="AD137" s="132" t="n"/>
      <c r="AE137" s="132" t="n"/>
      <c r="AF137" s="132" t="n"/>
      <c r="AG137" s="132" t="n"/>
      <c r="AH137" s="132" t="n"/>
      <c r="AI137" s="132" t="n"/>
      <c r="AJ137" s="132">
        <f>AB137+AC137+AD137+AE137+AF137+AG137+AH137+AI137</f>
        <v/>
      </c>
      <c r="AK137" s="59">
        <f>AL137/C137</f>
        <v/>
      </c>
      <c r="AL137" s="55" t="n">
        <v>33485</v>
      </c>
    </row>
    <row r="138" ht="22.5" customHeight="1" s="150">
      <c r="A138" s="34" t="n">
        <v>136</v>
      </c>
      <c r="B138" s="50" t="n">
        <v>415</v>
      </c>
      <c r="C138" s="50" t="n">
        <v>371</v>
      </c>
      <c r="D138" s="50" t="n">
        <v>227</v>
      </c>
      <c r="E138" s="50" t="n">
        <v>240</v>
      </c>
      <c r="F138" s="51">
        <f>(C138*100)/B138</f>
        <v/>
      </c>
      <c r="G138" s="51">
        <f>(D138*100)/B138</f>
        <v/>
      </c>
      <c r="H138" s="53">
        <f>((B138-B139)/B138)*100</f>
        <v/>
      </c>
      <c r="I138" s="53">
        <f>((B138-C138)/B138)*100</f>
        <v/>
      </c>
      <c r="J138" s="53">
        <f>((C138-B139)/C138)*100</f>
        <v/>
      </c>
      <c r="K138" s="54" t="n"/>
      <c r="L138" s="55" t="n">
        <v>2.26206896551724</v>
      </c>
      <c r="M138" s="127" t="inlineStr">
        <is>
          <t>Hard</t>
        </is>
      </c>
      <c r="N138" s="55" t="n">
        <v>54.14</v>
      </c>
      <c r="O138" s="57">
        <f>N138/C138</f>
        <v/>
      </c>
      <c r="P138" s="58">
        <f>(Boosters_IOS!B138*100)/Boosters_And!N138</f>
        <v/>
      </c>
      <c r="Q138" s="58">
        <f>Boosters_IOS!B138/(C138+D138)</f>
        <v/>
      </c>
      <c r="R138" s="58">
        <f>Boosters_IOS!N138/B138</f>
        <v/>
      </c>
      <c r="S138" s="55" t="n">
        <v>5.57241379310344</v>
      </c>
      <c r="T138" s="55" t="n">
        <v>188</v>
      </c>
      <c r="U138" s="121" t="n">
        <v>234785.240971116</v>
      </c>
      <c r="V138" s="122" t="n">
        <v>0.000925925925925926</v>
      </c>
      <c r="W138" s="123" t="n">
        <v>595.0955489</v>
      </c>
      <c r="X138" s="123" t="n">
        <v>595.0955489</v>
      </c>
      <c r="Y138" s="123" t="n">
        <v>5</v>
      </c>
      <c r="Z138" s="123" t="n">
        <v>43985.32318</v>
      </c>
      <c r="AA138" s="123" t="n">
        <v>0</v>
      </c>
      <c r="AB138" s="132" t="n"/>
      <c r="AC138" s="132" t="n"/>
      <c r="AD138" s="132" t="n"/>
      <c r="AE138" s="132" t="n"/>
      <c r="AF138" s="132" t="n"/>
      <c r="AG138" s="132" t="n"/>
      <c r="AH138" s="132" t="n"/>
      <c r="AI138" s="132" t="n"/>
      <c r="AJ138" s="132">
        <f>AB138+AC138+AD138+AE138+AF138+AG138+AH138+AI138</f>
        <v/>
      </c>
      <c r="AK138" s="59">
        <f>AL138/C138</f>
        <v/>
      </c>
      <c r="AL138" s="55" t="n">
        <v>36405</v>
      </c>
    </row>
    <row r="139" ht="22.5" customHeight="1" s="150">
      <c r="A139" s="34" t="n">
        <v>137</v>
      </c>
      <c r="B139" s="50" t="n">
        <v>397</v>
      </c>
      <c r="C139" s="50" t="n">
        <v>377</v>
      </c>
      <c r="D139" s="50" t="n">
        <v>232</v>
      </c>
      <c r="E139" s="50" t="n">
        <v>232</v>
      </c>
      <c r="F139" s="51">
        <f>(C139*100)/B139</f>
        <v/>
      </c>
      <c r="G139" s="51">
        <f>(D139*100)/B139</f>
        <v/>
      </c>
      <c r="H139" s="52">
        <f>((B139-B140)/B139)*100</f>
        <v/>
      </c>
      <c r="I139" s="53">
        <f>((B139-C139)/B139)*100</f>
        <v/>
      </c>
      <c r="J139" s="53">
        <f>((C139-B140)/C139)*100</f>
        <v/>
      </c>
      <c r="K139" s="54" t="n"/>
      <c r="L139" s="55" t="n">
        <v>1.86301369863013</v>
      </c>
      <c r="M139" s="130" t="inlineStr">
        <is>
          <t>Very Hard</t>
        </is>
      </c>
      <c r="N139" s="55" t="n">
        <v>79.82000000000001</v>
      </c>
      <c r="O139" s="57">
        <f>N139/C139</f>
        <v/>
      </c>
      <c r="P139" s="58">
        <f>(Boosters_IOS!B139*100)/Boosters_And!N139</f>
        <v/>
      </c>
      <c r="Q139" s="58">
        <f>Boosters_IOS!B139/(C139+D139)</f>
        <v/>
      </c>
      <c r="R139" s="58">
        <f>Boosters_IOS!N139/B139</f>
        <v/>
      </c>
      <c r="S139" s="55" t="n">
        <v>5.87671232876712</v>
      </c>
      <c r="T139" s="55" t="n">
        <v>199</v>
      </c>
      <c r="U139" s="121" t="n">
        <v>223745.627333584</v>
      </c>
      <c r="V139" s="122" t="n">
        <v>0.001273148148148148</v>
      </c>
      <c r="W139" s="123" t="n">
        <v>905.5801831</v>
      </c>
      <c r="X139" s="123" t="n">
        <v>905.5801831</v>
      </c>
      <c r="Y139" s="123" t="n">
        <v>3</v>
      </c>
      <c r="Z139" s="123" t="n">
        <v>44330.30611</v>
      </c>
      <c r="AA139" s="123" t="n">
        <v>0</v>
      </c>
      <c r="AB139" s="132" t="n"/>
      <c r="AC139" s="132" t="n"/>
      <c r="AD139" s="132" t="n"/>
      <c r="AE139" s="132" t="n"/>
      <c r="AF139" s="132" t="n"/>
      <c r="AG139" s="132" t="n"/>
      <c r="AH139" s="132" t="n"/>
      <c r="AI139" s="132" t="n"/>
      <c r="AJ139" s="132">
        <f>AB139+AC139+AD139+AE139+AF139+AG139+AH139+AI139</f>
        <v/>
      </c>
      <c r="AK139" s="59">
        <f>AL139/C139</f>
        <v/>
      </c>
      <c r="AL139" s="55" t="n">
        <v>30945</v>
      </c>
    </row>
    <row r="140" ht="22.5" customHeight="1" s="150">
      <c r="A140" s="34" t="n">
        <v>138</v>
      </c>
      <c r="B140" s="50" t="n">
        <v>374</v>
      </c>
      <c r="C140" s="50" t="n">
        <v>371</v>
      </c>
      <c r="D140" s="50" t="n">
        <v>8</v>
      </c>
      <c r="E140" s="50" t="n">
        <v>3</v>
      </c>
      <c r="F140" s="51">
        <f>(C140*100)/B140</f>
        <v/>
      </c>
      <c r="G140" s="51">
        <f>(D140*100)/B140</f>
        <v/>
      </c>
      <c r="H140" s="53">
        <f>((B140-B141)/B140)*100</f>
        <v/>
      </c>
      <c r="I140" s="53">
        <f>((B140-C140)/B140)*100</f>
        <v/>
      </c>
      <c r="J140" s="53">
        <f>((C140-B141)/C140)*100</f>
        <v/>
      </c>
      <c r="K140" s="54" t="n"/>
      <c r="L140" s="55" t="n">
        <v>1.00694444444444</v>
      </c>
      <c r="M140" s="128" t="inlineStr">
        <is>
          <t>Normal</t>
        </is>
      </c>
      <c r="N140" s="55" t="n">
        <v>0</v>
      </c>
      <c r="O140" s="57">
        <f>N140/C140</f>
        <v/>
      </c>
      <c r="P140" s="58">
        <f>(Boosters_IOS!B140*100)/Boosters_And!N140</f>
        <v/>
      </c>
      <c r="Q140" s="58">
        <f>Boosters_IOS!B140/(C140+D140)</f>
        <v/>
      </c>
      <c r="R140" s="58">
        <f>Boosters_IOS!N140/B140</f>
        <v/>
      </c>
      <c r="S140" s="55" t="n">
        <v>6.3125</v>
      </c>
      <c r="T140" s="55" t="n">
        <v>83</v>
      </c>
      <c r="U140" s="121" t="n">
        <v>247024.251884689</v>
      </c>
      <c r="V140" s="122" t="n">
        <v>0.001678240740740741</v>
      </c>
      <c r="W140" s="123" t="n">
        <v>965.9521953</v>
      </c>
      <c r="X140" s="123" t="n">
        <v>965.9521953</v>
      </c>
      <c r="Y140" s="123" t="n">
        <v>1</v>
      </c>
      <c r="Z140" s="123" t="n">
        <v>44675.28903</v>
      </c>
      <c r="AA140" s="123" t="n">
        <v>0</v>
      </c>
      <c r="AB140" s="132" t="n"/>
      <c r="AC140" s="132" t="n"/>
      <c r="AD140" s="132" t="n"/>
      <c r="AE140" s="132" t="n"/>
      <c r="AF140" s="132" t="n"/>
      <c r="AG140" s="132" t="n"/>
      <c r="AH140" s="132" t="n"/>
      <c r="AI140" s="132" t="n"/>
      <c r="AJ140" s="132">
        <f>AB140+AC140+AD140+AE140+AF140+AG140+AH140+AI140</f>
        <v/>
      </c>
      <c r="AK140" s="59">
        <f>AL140/C140</f>
        <v/>
      </c>
      <c r="AL140" s="55" t="n">
        <v>35335</v>
      </c>
    </row>
    <row r="141" ht="22.5" customHeight="1" s="150">
      <c r="A141" s="34" t="n">
        <v>139</v>
      </c>
      <c r="B141" s="50" t="n">
        <v>374</v>
      </c>
      <c r="C141" s="50" t="n">
        <v>374</v>
      </c>
      <c r="D141" s="50" t="n">
        <v>67</v>
      </c>
      <c r="E141" s="50" t="n">
        <v>54</v>
      </c>
      <c r="F141" s="51">
        <f>(C141*100)/B141</f>
        <v/>
      </c>
      <c r="G141" s="51">
        <f>(D141*100)/B141</f>
        <v/>
      </c>
      <c r="H141" s="53">
        <f>((B141-B142)/B141)*100</f>
        <v/>
      </c>
      <c r="I141" s="53">
        <f>((B141-C141)/B141)*100</f>
        <v/>
      </c>
      <c r="J141" s="53">
        <f>((C141-B142)/C141)*100</f>
        <v/>
      </c>
      <c r="K141" s="54" t="n"/>
      <c r="L141" s="55" t="n">
        <v>1.07586206896551</v>
      </c>
      <c r="M141" s="120" t="inlineStr">
        <is>
          <t>Normal</t>
        </is>
      </c>
      <c r="N141" s="55" t="n">
        <v>0</v>
      </c>
      <c r="O141" s="57">
        <f>N141/C141</f>
        <v/>
      </c>
      <c r="P141" s="58">
        <f>(Boosters_IOS!B141*100)/Boosters_And!N141</f>
        <v/>
      </c>
      <c r="Q141" s="58">
        <f>Boosters_IOS!B141/(C141+D141)</f>
        <v/>
      </c>
      <c r="R141" s="58">
        <f>Boosters_IOS!N141/B141</f>
        <v/>
      </c>
      <c r="S141" s="55" t="n">
        <v>4.28965517241379</v>
      </c>
      <c r="T141" s="55" t="n">
        <v>103</v>
      </c>
      <c r="U141" s="121" t="n">
        <v>248739.518956875</v>
      </c>
      <c r="V141" s="122" t="n">
        <v>0.001388888888888889</v>
      </c>
      <c r="W141" s="123" t="n">
        <v>758.9624391999999</v>
      </c>
      <c r="X141" s="123" t="n">
        <v>758.9624391999999</v>
      </c>
      <c r="Y141" s="123" t="n">
        <v>7</v>
      </c>
      <c r="Z141" s="123" t="n">
        <v>45020.27196</v>
      </c>
      <c r="AA141" s="123" t="n">
        <v>0</v>
      </c>
      <c r="AB141" s="132" t="n"/>
      <c r="AC141" s="132" t="n"/>
      <c r="AD141" s="132" t="n"/>
      <c r="AE141" s="132" t="n"/>
      <c r="AF141" s="132" t="n"/>
      <c r="AG141" s="132" t="n"/>
      <c r="AH141" s="132" t="n"/>
      <c r="AI141" s="132" t="n"/>
      <c r="AJ141" s="132">
        <f>AB141+AC141+AD141+AE141+AF141+AG141+AH141+AI141</f>
        <v/>
      </c>
      <c r="AK141" s="59">
        <f>AL141/C141</f>
        <v/>
      </c>
      <c r="AL141" s="55" t="n">
        <v>38780</v>
      </c>
    </row>
    <row r="142" ht="22.5" customHeight="1" s="150">
      <c r="A142" s="34" t="n">
        <v>140</v>
      </c>
      <c r="B142" s="50" t="n">
        <v>389</v>
      </c>
      <c r="C142" s="50" t="n">
        <v>351</v>
      </c>
      <c r="D142" s="50" t="n">
        <v>222</v>
      </c>
      <c r="E142" s="50" t="n">
        <v>204</v>
      </c>
      <c r="F142" s="51">
        <f>(C142*100)/B142</f>
        <v/>
      </c>
      <c r="G142" s="51">
        <f>(D142*100)/B142</f>
        <v/>
      </c>
      <c r="H142" s="53">
        <f>((B142-B143)/B142)*100</f>
        <v/>
      </c>
      <c r="I142" s="53">
        <f>((B142-C142)/B142)*100</f>
        <v/>
      </c>
      <c r="J142" s="53">
        <f>((C142-B143)/C142)*100</f>
        <v/>
      </c>
      <c r="K142" s="54" t="n"/>
      <c r="L142" s="55" t="n">
        <v>2.26470588235294</v>
      </c>
      <c r="M142" s="128" t="inlineStr">
        <is>
          <t>Normal</t>
        </is>
      </c>
      <c r="N142" s="55" t="n">
        <v>66</v>
      </c>
      <c r="O142" s="57">
        <f>N142/C142</f>
        <v/>
      </c>
      <c r="P142" s="58">
        <f>(Boosters_IOS!B142*100)/Boosters_And!N142</f>
        <v/>
      </c>
      <c r="Q142" s="58">
        <f>Boosters_IOS!B142/(C142+D142)</f>
        <v/>
      </c>
      <c r="R142" s="58">
        <f>Boosters_IOS!N142/B142</f>
        <v/>
      </c>
      <c r="S142" s="55" t="n">
        <v>8.90441176470588</v>
      </c>
      <c r="T142" s="55" t="n">
        <v>181</v>
      </c>
      <c r="U142" s="121" t="n">
        <v>210603.844276755</v>
      </c>
      <c r="V142" s="122" t="n">
        <v>0.001736111111111111</v>
      </c>
      <c r="W142" s="123" t="n">
        <v>1095.320793</v>
      </c>
      <c r="X142" s="123" t="n">
        <v>1095.320793</v>
      </c>
      <c r="Y142" s="123" t="n">
        <v>4</v>
      </c>
      <c r="Z142" s="123" t="n">
        <v>45365.25489</v>
      </c>
      <c r="AA142" s="123" t="n">
        <v>0</v>
      </c>
      <c r="AB142" s="132" t="n"/>
      <c r="AC142" s="132" t="n"/>
      <c r="AD142" s="132" t="n"/>
      <c r="AE142" s="132" t="n"/>
      <c r="AF142" s="132" t="n"/>
      <c r="AG142" s="132" t="n"/>
      <c r="AH142" s="132" t="n"/>
      <c r="AI142" s="132" t="n"/>
      <c r="AJ142" s="132">
        <f>AB142+AC142+AD142+AE142+AF142+AG142+AH142+AI142</f>
        <v/>
      </c>
      <c r="AK142" s="59">
        <f>AL142/C142</f>
        <v/>
      </c>
      <c r="AL142" s="55" t="n">
        <v>24590</v>
      </c>
    </row>
    <row r="143" ht="22.5" customHeight="1" s="150">
      <c r="A143" s="34" t="n">
        <v>141</v>
      </c>
      <c r="B143" s="50" t="n">
        <v>353</v>
      </c>
      <c r="C143" s="50" t="n">
        <v>346</v>
      </c>
      <c r="D143" s="50" t="n">
        <v>90</v>
      </c>
      <c r="E143" s="50" t="n">
        <v>64</v>
      </c>
      <c r="F143" s="51">
        <f>(C143*100)/B143</f>
        <v/>
      </c>
      <c r="G143" s="51">
        <f>(D143*100)/B143</f>
        <v/>
      </c>
      <c r="H143" s="53">
        <f>((B143-B144)/B143)*100</f>
        <v/>
      </c>
      <c r="I143" s="53">
        <f>((B143-C143)/B143)*100</f>
        <v/>
      </c>
      <c r="J143" s="53">
        <f>((C143-B144)/C143)*100</f>
        <v/>
      </c>
      <c r="K143" s="54" t="n"/>
      <c r="L143" s="55" t="n">
        <v>1.17164179104477</v>
      </c>
      <c r="M143" s="120" t="inlineStr">
        <is>
          <t>Normal</t>
        </is>
      </c>
      <c r="N143" s="55" t="n">
        <v>35.95</v>
      </c>
      <c r="O143" s="57">
        <f>N143/C143</f>
        <v/>
      </c>
      <c r="P143" s="58">
        <f>(Boosters_IOS!B143*100)/Boosters_And!N143</f>
        <v/>
      </c>
      <c r="Q143" s="58">
        <f>Boosters_IOS!B143/(C143+D143)</f>
        <v/>
      </c>
      <c r="R143" s="58">
        <f>Boosters_IOS!N143/B143</f>
        <v/>
      </c>
      <c r="S143" s="55" t="n">
        <v>5.30597014925373</v>
      </c>
      <c r="T143" s="55" t="n">
        <v>116</v>
      </c>
      <c r="U143" s="121" t="n">
        <v>229381.504856483</v>
      </c>
      <c r="V143" s="122" t="n">
        <v>0.001678240740740741</v>
      </c>
      <c r="W143" s="123" t="n">
        <v>733.0887197</v>
      </c>
      <c r="X143" s="123" t="n">
        <v>733.0887197</v>
      </c>
      <c r="Y143" s="123" t="n">
        <v>7</v>
      </c>
      <c r="Z143" s="123" t="n">
        <v>45710.23782</v>
      </c>
      <c r="AA143" s="123" t="n">
        <v>0</v>
      </c>
      <c r="AB143" s="132" t="n"/>
      <c r="AC143" s="132" t="n"/>
      <c r="AD143" s="132" t="n"/>
      <c r="AE143" s="132" t="n"/>
      <c r="AF143" s="132" t="n"/>
      <c r="AG143" s="132" t="n"/>
      <c r="AH143" s="132" t="n"/>
      <c r="AI143" s="132" t="n"/>
      <c r="AJ143" s="132">
        <f>AB143+AC143+AD143+AE143+AF143+AG143+AH143+AI143</f>
        <v/>
      </c>
      <c r="AK143" s="59">
        <f>AL143/C143</f>
        <v/>
      </c>
      <c r="AL143" s="55" t="n">
        <v>35345</v>
      </c>
    </row>
    <row r="144" ht="22.5" customHeight="1" s="150">
      <c r="A144" s="34" t="n">
        <v>142</v>
      </c>
      <c r="B144" s="50" t="n">
        <v>346</v>
      </c>
      <c r="C144" s="50" t="n">
        <v>346</v>
      </c>
      <c r="D144" s="50" t="n">
        <v>67</v>
      </c>
      <c r="E144" s="50" t="n">
        <v>70</v>
      </c>
      <c r="F144" s="51">
        <f>(C144*100)/B144</f>
        <v/>
      </c>
      <c r="G144" s="51">
        <f>(D144*100)/B144</f>
        <v/>
      </c>
      <c r="H144" s="53">
        <f>((B144-B145)/B144)*100</f>
        <v/>
      </c>
      <c r="I144" s="53">
        <f>((B144-C144)/B144)*100</f>
        <v/>
      </c>
      <c r="J144" s="53">
        <f>((C144-B145)/C144)*100</f>
        <v/>
      </c>
      <c r="K144" s="54" t="n"/>
      <c r="L144" s="55" t="n">
        <v>1.24444444444444</v>
      </c>
      <c r="M144" s="128" t="inlineStr">
        <is>
          <t>Normal</t>
        </is>
      </c>
      <c r="N144" s="55" t="n">
        <v>8.48</v>
      </c>
      <c r="O144" s="57">
        <f>N144/C144</f>
        <v/>
      </c>
      <c r="P144" s="58">
        <f>(Boosters_IOS!B144*100)/Boosters_And!N144</f>
        <v/>
      </c>
      <c r="Q144" s="58">
        <f>Boosters_IOS!B144/(C144+D144)</f>
        <v/>
      </c>
      <c r="R144" s="58">
        <f>Boosters_IOS!N144/B144</f>
        <v/>
      </c>
      <c r="S144" s="55" t="n">
        <v>7.39259259259259</v>
      </c>
      <c r="T144" s="55" t="n">
        <v>101</v>
      </c>
      <c r="U144" s="121" t="n">
        <v>239956.835677484</v>
      </c>
      <c r="V144" s="122" t="n">
        <v>0.0006365740740740741</v>
      </c>
      <c r="W144" s="123" t="n">
        <v>362.2320733</v>
      </c>
      <c r="X144" s="123" t="n">
        <v>362.2320733</v>
      </c>
      <c r="Y144" s="123" t="n">
        <v>1</v>
      </c>
      <c r="Z144" s="123" t="n">
        <v>46055.22074</v>
      </c>
      <c r="AA144" s="123" t="n">
        <v>0</v>
      </c>
      <c r="AB144" s="132" t="n"/>
      <c r="AC144" s="132" t="n"/>
      <c r="AD144" s="132" t="n"/>
      <c r="AE144" s="132" t="n"/>
      <c r="AF144" s="132" t="n"/>
      <c r="AG144" s="132" t="n"/>
      <c r="AH144" s="132" t="n"/>
      <c r="AI144" s="132" t="n"/>
      <c r="AJ144" s="132">
        <f>AB144+AC144+AD144+AE144+AF144+AG144+AH144+AI144</f>
        <v/>
      </c>
      <c r="AK144" s="59">
        <f>AL144/C144</f>
        <v/>
      </c>
      <c r="AL144" s="55" t="n">
        <v>36855</v>
      </c>
    </row>
    <row r="145" ht="22.5" customHeight="1" s="150">
      <c r="A145" s="34" t="n">
        <v>143</v>
      </c>
      <c r="B145" s="50" t="n">
        <v>348</v>
      </c>
      <c r="C145" s="50" t="n">
        <v>348</v>
      </c>
      <c r="D145" s="50" t="n">
        <v>52</v>
      </c>
      <c r="E145" s="50" t="n">
        <v>62</v>
      </c>
      <c r="F145" s="51">
        <f>(C145*100)/B145</f>
        <v/>
      </c>
      <c r="G145" s="51">
        <f>(D145*100)/B145</f>
        <v/>
      </c>
      <c r="H145" s="53">
        <f>((B145-B146)/B145)*100</f>
        <v/>
      </c>
      <c r="I145" s="53">
        <f>((B145-C145)/B145)*100</f>
        <v/>
      </c>
      <c r="J145" s="53">
        <f>((C145-B146)/C145)*100</f>
        <v/>
      </c>
      <c r="K145" s="54" t="n"/>
      <c r="L145" s="55" t="n">
        <v>1.12592592592592</v>
      </c>
      <c r="M145" s="120" t="inlineStr">
        <is>
          <t>Normal</t>
        </is>
      </c>
      <c r="N145" s="55" t="n">
        <v>12.48</v>
      </c>
      <c r="O145" s="57">
        <f>N145/C145</f>
        <v/>
      </c>
      <c r="P145" s="58">
        <f>(Boosters_IOS!B145*100)/Boosters_And!N145</f>
        <v/>
      </c>
      <c r="Q145" s="58">
        <f>Boosters_IOS!B145/(C145+D145)</f>
        <v/>
      </c>
      <c r="R145" s="58">
        <f>Boosters_IOS!N145/B145</f>
        <v/>
      </c>
      <c r="S145" s="55" t="n">
        <v>5.04444444444444</v>
      </c>
      <c r="T145" s="55" t="n">
        <v>88</v>
      </c>
      <c r="U145" s="121" t="n">
        <v>278569.689919039</v>
      </c>
      <c r="V145" s="122" t="n">
        <v>0.0009837962962962962</v>
      </c>
      <c r="W145" s="123" t="n">
        <v>853.8327441</v>
      </c>
      <c r="X145" s="123" t="n">
        <v>853.8327441</v>
      </c>
      <c r="Y145" s="123" t="n">
        <v>4</v>
      </c>
      <c r="Z145" s="123" t="n">
        <v>46400.20367</v>
      </c>
      <c r="AA145" s="123" t="n">
        <v>0</v>
      </c>
      <c r="AB145" s="132" t="n"/>
      <c r="AC145" s="132" t="n"/>
      <c r="AD145" s="132" t="n"/>
      <c r="AE145" s="132" t="n"/>
      <c r="AF145" s="132" t="n"/>
      <c r="AG145" s="132" t="n"/>
      <c r="AH145" s="132" t="n"/>
      <c r="AI145" s="132" t="n"/>
      <c r="AJ145" s="132">
        <f>AB145+AC145+AD145+AE145+AF145+AG145+AH145+AI145</f>
        <v/>
      </c>
      <c r="AK145" s="59">
        <f>AL145/C145</f>
        <v/>
      </c>
      <c r="AL145" s="55" t="n">
        <v>39585</v>
      </c>
    </row>
    <row r="146" ht="22.5" customHeight="1" s="150">
      <c r="A146" s="34" t="n">
        <v>144</v>
      </c>
      <c r="B146" s="50" t="n">
        <v>359</v>
      </c>
      <c r="C146" s="50" t="n">
        <v>359</v>
      </c>
      <c r="D146" s="50" t="n">
        <v>0</v>
      </c>
      <c r="E146" s="50" t="n">
        <v>0</v>
      </c>
      <c r="F146" s="51">
        <f>(C146*100)/B146</f>
        <v/>
      </c>
      <c r="G146" s="51">
        <f>(D146*100)/B146</f>
        <v/>
      </c>
      <c r="H146" s="53">
        <f>((B146-B147)/B146)*100</f>
        <v/>
      </c>
      <c r="I146" s="53">
        <f>((B146-C146)/B146)*100</f>
        <v/>
      </c>
      <c r="J146" s="53">
        <f>((C146-B147)/C146)*100</f>
        <v/>
      </c>
      <c r="K146" s="54" t="n"/>
      <c r="L146" s="55" t="n">
        <v>1</v>
      </c>
      <c r="M146" s="128" t="inlineStr">
        <is>
          <t>Normal</t>
        </is>
      </c>
      <c r="N146" s="55" t="n">
        <v>0</v>
      </c>
      <c r="O146" s="57">
        <f>N146/C146</f>
        <v/>
      </c>
      <c r="P146" s="58">
        <f>(Boosters_IOS!B146*100)/Boosters_And!N146</f>
        <v/>
      </c>
      <c r="Q146" s="58">
        <f>Boosters_IOS!B146/(C146+D146)</f>
        <v/>
      </c>
      <c r="R146" s="58">
        <f>Boosters_IOS!N146/B146</f>
        <v/>
      </c>
      <c r="S146" s="55" t="n">
        <v>6.62589928057553</v>
      </c>
      <c r="T146" s="55" t="n">
        <v>75</v>
      </c>
      <c r="U146" s="121" t="n">
        <v>302751.0866134</v>
      </c>
      <c r="V146" s="122" t="n">
        <v>0.001041666666666667</v>
      </c>
      <c r="W146" s="123" t="n">
        <v>638.2184148</v>
      </c>
      <c r="X146" s="123" t="n">
        <v>638.2184148</v>
      </c>
      <c r="Y146" s="123" t="n">
        <v>12</v>
      </c>
      <c r="Z146" s="123" t="n">
        <v>46745.1866</v>
      </c>
      <c r="AA146" s="123" t="n">
        <v>0</v>
      </c>
      <c r="AB146" s="132" t="n"/>
      <c r="AC146" s="132" t="n"/>
      <c r="AD146" s="132" t="n"/>
      <c r="AE146" s="132" t="n"/>
      <c r="AF146" s="132" t="n"/>
      <c r="AG146" s="132" t="n"/>
      <c r="AH146" s="132" t="n"/>
      <c r="AI146" s="132" t="n"/>
      <c r="AJ146" s="132">
        <f>AB146+AC146+AD146+AE146+AF146+AG146+AH146+AI146</f>
        <v/>
      </c>
      <c r="AK146" s="59">
        <f>AL146/C146</f>
        <v/>
      </c>
      <c r="AL146" s="55" t="n">
        <v>43665</v>
      </c>
    </row>
    <row r="147" ht="22.5" customHeight="1" s="150">
      <c r="A147" s="34" t="n">
        <v>145</v>
      </c>
      <c r="B147" s="50" t="n">
        <v>364</v>
      </c>
      <c r="C147" s="50" t="n">
        <v>359</v>
      </c>
      <c r="D147" s="50" t="n">
        <v>95</v>
      </c>
      <c r="E147" s="50" t="n">
        <v>80</v>
      </c>
      <c r="F147" s="51">
        <f>(C147*100)/B147</f>
        <v/>
      </c>
      <c r="G147" s="51">
        <f>(D147*100)/B147</f>
        <v/>
      </c>
      <c r="H147" s="53">
        <f>((B147-B148)/B147)*100</f>
        <v/>
      </c>
      <c r="I147" s="53">
        <f>((B147-C147)/B147)*100</f>
        <v/>
      </c>
      <c r="J147" s="53">
        <f>((C147-B148)/C147)*100</f>
        <v/>
      </c>
      <c r="K147" s="54" t="n"/>
      <c r="L147" s="55" t="n">
        <v>1.15107913669064</v>
      </c>
      <c r="M147" s="130" t="inlineStr">
        <is>
          <t>Very Hard</t>
        </is>
      </c>
      <c r="N147" s="55" t="n">
        <v>0</v>
      </c>
      <c r="O147" s="57">
        <f>N147/C147</f>
        <v/>
      </c>
      <c r="P147" s="58">
        <f>(Boosters_IOS!B147*100)/Boosters_And!N147</f>
        <v/>
      </c>
      <c r="Q147" s="58">
        <f>Boosters_IOS!B147/(C147+D147)</f>
        <v/>
      </c>
      <c r="R147" s="58">
        <f>Boosters_IOS!N147/B147</f>
        <v/>
      </c>
      <c r="S147" s="55" t="n">
        <v>6.66906474820143</v>
      </c>
      <c r="T147" s="55" t="n">
        <v>111</v>
      </c>
      <c r="U147" s="121" t="n">
        <v>297024.931876176</v>
      </c>
      <c r="V147" s="122" t="n">
        <v>0.001388888888888889</v>
      </c>
      <c r="W147" s="123" t="n">
        <v>940.0784758</v>
      </c>
      <c r="X147" s="123" t="n">
        <v>940.0784758</v>
      </c>
      <c r="Y147" s="123" t="n">
        <v>4</v>
      </c>
      <c r="Z147" s="123" t="n">
        <v>47090.16952</v>
      </c>
      <c r="AA147" s="123" t="n">
        <v>0</v>
      </c>
      <c r="AB147" s="132" t="n"/>
      <c r="AC147" s="132" t="n"/>
      <c r="AD147" s="132" t="n"/>
      <c r="AE147" s="132" t="n"/>
      <c r="AF147" s="132" t="n"/>
      <c r="AG147" s="132" t="n"/>
      <c r="AH147" s="132" t="n"/>
      <c r="AI147" s="132" t="n"/>
      <c r="AJ147" s="132">
        <f>AB147+AC147+AD147+AE147+AF147+AG147+AH147+AI147</f>
        <v/>
      </c>
      <c r="AK147" s="59">
        <f>AL147/C147</f>
        <v/>
      </c>
      <c r="AL147" s="55" t="n">
        <v>42505</v>
      </c>
    </row>
    <row r="148" ht="22.5" customHeight="1" s="150">
      <c r="A148" s="34" t="n">
        <v>146</v>
      </c>
      <c r="B148" s="50" t="n">
        <v>359</v>
      </c>
      <c r="C148" s="50" t="n">
        <v>353</v>
      </c>
      <c r="D148" s="50" t="n">
        <v>13</v>
      </c>
      <c r="E148" s="50" t="n">
        <v>15</v>
      </c>
      <c r="F148" s="51">
        <f>(C148*100)/B148</f>
        <v/>
      </c>
      <c r="G148" s="51">
        <f>(D148*100)/B148</f>
        <v/>
      </c>
      <c r="H148" s="53">
        <f>((B148-B149)/B148)*100</f>
        <v/>
      </c>
      <c r="I148" s="53">
        <f>((B148-C148)/B148)*100</f>
        <v/>
      </c>
      <c r="J148" s="53">
        <f>((C148-B149)/C148)*100</f>
        <v/>
      </c>
      <c r="K148" s="54" t="n"/>
      <c r="L148" s="55" t="n">
        <v>1.02919708029197</v>
      </c>
      <c r="M148" s="128" t="inlineStr">
        <is>
          <t>Normal</t>
        </is>
      </c>
      <c r="N148" s="55" t="n">
        <v>0</v>
      </c>
      <c r="O148" s="57">
        <f>N148/C148</f>
        <v/>
      </c>
      <c r="P148" s="58">
        <f>(Boosters_IOS!B148*100)/Boosters_And!N148</f>
        <v/>
      </c>
      <c r="Q148" s="58">
        <f>Boosters_IOS!B148/(C148+D148)</f>
        <v/>
      </c>
      <c r="R148" s="58">
        <f>Boosters_IOS!N148/B148</f>
        <v/>
      </c>
      <c r="S148" s="55" t="n">
        <v>4.35036496350365</v>
      </c>
      <c r="T148" s="55" t="n">
        <v>85</v>
      </c>
      <c r="U148" s="121" t="n">
        <v>314667.678904382</v>
      </c>
      <c r="V148" s="122" t="n">
        <v>0.001388888888888889</v>
      </c>
      <c r="W148" s="123" t="n">
        <v>845.2081709</v>
      </c>
      <c r="X148" s="123" t="n">
        <v>845.2081709</v>
      </c>
      <c r="Y148" s="123" t="n">
        <v>3</v>
      </c>
      <c r="Z148" s="123" t="n">
        <v>47435.15245</v>
      </c>
      <c r="AA148" s="123" t="n">
        <v>0</v>
      </c>
      <c r="AB148" s="132" t="n"/>
      <c r="AC148" s="132" t="n"/>
      <c r="AD148" s="132" t="n"/>
      <c r="AE148" s="132" t="n"/>
      <c r="AF148" s="132" t="n"/>
      <c r="AG148" s="132" t="n"/>
      <c r="AH148" s="132" t="n"/>
      <c r="AI148" s="132" t="n"/>
      <c r="AJ148" s="132">
        <f>AB148+AC148+AD148+AE148+AF148+AG148+AH148+AI148</f>
        <v/>
      </c>
      <c r="AK148" s="59">
        <f>AL148/C148</f>
        <v/>
      </c>
      <c r="AL148" s="55" t="n">
        <v>45465</v>
      </c>
    </row>
    <row r="149" ht="22.5" customHeight="1" s="150">
      <c r="A149" s="34" t="n">
        <v>147</v>
      </c>
      <c r="B149" s="50" t="n">
        <v>377</v>
      </c>
      <c r="C149" s="50" t="n">
        <v>335</v>
      </c>
      <c r="D149" s="50" t="n">
        <v>240</v>
      </c>
      <c r="E149" s="50" t="n">
        <v>235</v>
      </c>
      <c r="F149" s="51">
        <f>(C149*100)/B149</f>
        <v/>
      </c>
      <c r="G149" s="51">
        <f>(D149*100)/B149</f>
        <v/>
      </c>
      <c r="H149" s="53">
        <f>((B149-B150)/B149)*100</f>
        <v/>
      </c>
      <c r="I149" s="53">
        <f>((B149-C149)/B149)*100</f>
        <v/>
      </c>
      <c r="J149" s="53">
        <f>((C149-B150)/C149)*100</f>
        <v/>
      </c>
      <c r="K149" s="54" t="n"/>
      <c r="L149" s="55" t="n">
        <v>3.29770992366412</v>
      </c>
      <c r="M149" s="130" t="inlineStr">
        <is>
          <t>Very Hard</t>
        </is>
      </c>
      <c r="N149" s="55" t="n">
        <v>62.17</v>
      </c>
      <c r="O149" s="57">
        <f>N149/C149</f>
        <v/>
      </c>
      <c r="P149" s="58">
        <f>(Boosters_IOS!B149*100)/Boosters_And!N149</f>
        <v/>
      </c>
      <c r="Q149" s="58">
        <f>Boosters_IOS!B149/(C149+D149)</f>
        <v/>
      </c>
      <c r="R149" s="58">
        <f>Boosters_IOS!N149/B149</f>
        <v/>
      </c>
      <c r="S149" s="55" t="n">
        <v>8.57251908396946</v>
      </c>
      <c r="T149" s="55" t="n">
        <v>175</v>
      </c>
      <c r="U149" s="121" t="n">
        <v>231045.184949055</v>
      </c>
      <c r="V149" s="122" t="n">
        <v>0.001099537037037037</v>
      </c>
      <c r="W149" s="123" t="n">
        <v>664.0921343</v>
      </c>
      <c r="X149" s="123" t="n">
        <v>664.0921343</v>
      </c>
      <c r="Y149" s="123" t="n">
        <v>0</v>
      </c>
      <c r="Z149" s="123" t="n">
        <v>47780.13538</v>
      </c>
      <c r="AA149" s="123" t="n">
        <v>0</v>
      </c>
      <c r="AB149" s="132" t="n"/>
      <c r="AC149" s="132" t="n"/>
      <c r="AD149" s="132" t="n"/>
      <c r="AE149" s="132" t="n"/>
      <c r="AF149" s="132" t="n"/>
      <c r="AG149" s="132" t="n"/>
      <c r="AH149" s="132" t="n"/>
      <c r="AI149" s="132" t="n"/>
      <c r="AJ149" s="132">
        <f>AB149+AC149+AD149+AE149+AF149+AG149+AH149+AI149</f>
        <v/>
      </c>
      <c r="AK149" s="59">
        <f>AL149/C149</f>
        <v/>
      </c>
      <c r="AL149" s="55" t="n">
        <v>27420</v>
      </c>
    </row>
    <row r="150" ht="22.5" customHeight="1" s="150">
      <c r="A150" s="34" t="n">
        <v>148</v>
      </c>
      <c r="B150" s="50" t="n">
        <v>333</v>
      </c>
      <c r="C150" s="50" t="n">
        <v>330</v>
      </c>
      <c r="D150" s="50" t="n">
        <v>13</v>
      </c>
      <c r="E150" s="50" t="n">
        <v>5</v>
      </c>
      <c r="F150" s="51">
        <f>(C150*100)/B150</f>
        <v/>
      </c>
      <c r="G150" s="51">
        <f>(D150*100)/B150</f>
        <v/>
      </c>
      <c r="H150" s="53">
        <f>((B150-B151)/B150)*100</f>
        <v/>
      </c>
      <c r="I150" s="53">
        <f>((B150-C150)/B150)*100</f>
        <v/>
      </c>
      <c r="J150" s="53">
        <f>((C150-B151)/C150)*100</f>
        <v/>
      </c>
      <c r="K150" s="54" t="n"/>
      <c r="L150" s="55" t="n">
        <v>1.02325581395348</v>
      </c>
      <c r="M150" s="128" t="inlineStr">
        <is>
          <t>Normal</t>
        </is>
      </c>
      <c r="N150" s="55" t="n">
        <v>0</v>
      </c>
      <c r="O150" s="57">
        <f>N150/C150</f>
        <v/>
      </c>
      <c r="P150" s="58">
        <f>(Boosters_IOS!B150*100)/Boosters_And!N150</f>
        <v/>
      </c>
      <c r="Q150" s="58">
        <f>Boosters_IOS!B150/(C150+D150)</f>
        <v/>
      </c>
      <c r="R150" s="58">
        <f>Boosters_IOS!N150/B150</f>
        <v/>
      </c>
      <c r="S150" s="55" t="n">
        <v>5.81395348837209</v>
      </c>
      <c r="T150" s="55" t="n">
        <v>85</v>
      </c>
      <c r="U150" s="121" t="n">
        <v>247307.980272569</v>
      </c>
      <c r="V150" s="122" t="n">
        <v>0.001041666666666667</v>
      </c>
      <c r="W150" s="123" t="n">
        <v>845.2081709</v>
      </c>
      <c r="X150" s="123" t="n">
        <v>845.2081709</v>
      </c>
      <c r="Y150" s="123" t="n">
        <v>3</v>
      </c>
      <c r="Z150" s="123" t="n">
        <v>48125.1183</v>
      </c>
      <c r="AA150" s="123" t="n">
        <v>0</v>
      </c>
      <c r="AB150" s="132" t="n"/>
      <c r="AC150" s="132" t="n"/>
      <c r="AD150" s="132" t="n"/>
      <c r="AE150" s="132" t="n"/>
      <c r="AF150" s="132" t="n"/>
      <c r="AG150" s="132" t="n"/>
      <c r="AH150" s="132" t="n"/>
      <c r="AI150" s="132" t="n"/>
      <c r="AJ150" s="132">
        <f>AB150+AC150+AD150+AE150+AF150+AG150+AH150+AI150</f>
        <v/>
      </c>
      <c r="AK150" s="59">
        <f>AL150/C150</f>
        <v/>
      </c>
      <c r="AL150" s="55" t="n">
        <v>32770</v>
      </c>
    </row>
    <row r="151" ht="22.5" customHeight="1" s="150">
      <c r="A151" s="34" t="n">
        <v>149</v>
      </c>
      <c r="B151" s="50" t="n">
        <v>328</v>
      </c>
      <c r="C151" s="50" t="n">
        <v>328</v>
      </c>
      <c r="D151" s="50" t="n">
        <v>28</v>
      </c>
      <c r="E151" s="50" t="n">
        <v>34</v>
      </c>
      <c r="F151" s="51">
        <f>(C151*100)/B151</f>
        <v/>
      </c>
      <c r="G151" s="51">
        <f>(D151*100)/B151</f>
        <v/>
      </c>
      <c r="H151" s="53">
        <f>((B151-B152)/B151)*100</f>
        <v/>
      </c>
      <c r="I151" s="53">
        <f>((B151-C151)/B151)*100</f>
        <v/>
      </c>
      <c r="J151" s="53">
        <f>((C151-B152)/C151)*100</f>
        <v/>
      </c>
      <c r="K151" s="54" t="n"/>
      <c r="L151" s="55" t="n">
        <v>1.09375</v>
      </c>
      <c r="M151" s="120" t="inlineStr">
        <is>
          <t>Normal</t>
        </is>
      </c>
      <c r="N151" s="55" t="n">
        <v>4.99</v>
      </c>
      <c r="O151" s="57">
        <f>N151/C151</f>
        <v/>
      </c>
      <c r="P151" s="58">
        <f>(Boosters_IOS!B151*100)/Boosters_And!N151</f>
        <v/>
      </c>
      <c r="Q151" s="58">
        <f>Boosters_IOS!B151/(C151+D151)</f>
        <v/>
      </c>
      <c r="R151" s="58">
        <f>Boosters_IOS!N151/B151</f>
        <v/>
      </c>
      <c r="S151" s="55" t="n">
        <v>4.3984375</v>
      </c>
      <c r="T151" s="55" t="n">
        <v>90</v>
      </c>
      <c r="U151" s="121" t="n">
        <v>256903.158480892</v>
      </c>
      <c r="V151" s="122" t="n">
        <v>0.001157407407407407</v>
      </c>
      <c r="W151" s="123" t="n">
        <v>0</v>
      </c>
      <c r="X151" s="123" t="n">
        <v>0</v>
      </c>
      <c r="Y151" s="123" t="n">
        <v>0</v>
      </c>
      <c r="Z151" s="123" t="n">
        <v>0</v>
      </c>
      <c r="AA151" s="123" t="n">
        <v>0</v>
      </c>
      <c r="AB151" s="132" t="n"/>
      <c r="AC151" s="132" t="n"/>
      <c r="AD151" s="132" t="n"/>
      <c r="AE151" s="132" t="n"/>
      <c r="AF151" s="132" t="n"/>
      <c r="AG151" s="132" t="n"/>
      <c r="AH151" s="132" t="n"/>
      <c r="AI151" s="132" t="n"/>
      <c r="AJ151" s="132">
        <f>AB151+AC151+AD151+AE151+AF151+AG151+AH151+AI151</f>
        <v/>
      </c>
      <c r="AK151" s="59">
        <f>AL151/C151</f>
        <v/>
      </c>
      <c r="AL151" s="55" t="n">
        <v>40305</v>
      </c>
    </row>
    <row r="152" ht="22.5" customHeight="1" s="150">
      <c r="A152" s="34" t="n">
        <v>150</v>
      </c>
      <c r="B152" s="50" t="n">
        <v>330</v>
      </c>
      <c r="C152" s="50" t="n">
        <v>330</v>
      </c>
      <c r="D152" s="50" t="n">
        <v>98</v>
      </c>
      <c r="E152" s="50" t="n">
        <v>77</v>
      </c>
      <c r="F152" s="51">
        <f>(C152*100)/B152</f>
        <v/>
      </c>
      <c r="G152" s="51">
        <f>(D152*100)/B152</f>
        <v/>
      </c>
      <c r="H152" s="53">
        <f>((B152-B153)/B152)*100</f>
        <v/>
      </c>
      <c r="I152" s="53">
        <f>((B152-C152)/B152)*100</f>
        <v/>
      </c>
      <c r="J152" s="53">
        <f>((C152-B153)/C152)*100</f>
        <v/>
      </c>
      <c r="K152" s="54" t="n"/>
      <c r="L152" s="55" t="n">
        <v>1.23255813953488</v>
      </c>
      <c r="M152" s="128" t="inlineStr">
        <is>
          <t>Normal</t>
        </is>
      </c>
      <c r="N152" s="55" t="n">
        <v>0</v>
      </c>
      <c r="O152" s="57">
        <f>N152/C152</f>
        <v/>
      </c>
      <c r="P152" s="58">
        <f>(Boosters_IOS!B152*100)/Boosters_And!N152</f>
        <v/>
      </c>
      <c r="Q152" s="58">
        <f>Boosters_IOS!B152/(C152+D152)</f>
        <v/>
      </c>
      <c r="R152" s="58">
        <f>Boosters_IOS!N152/B152</f>
        <v/>
      </c>
      <c r="S152" s="55" t="n">
        <v>5.82945736434108</v>
      </c>
      <c r="T152" s="55" t="n">
        <v>111</v>
      </c>
      <c r="U152" s="51" t="n">
        <v>238112.60115626</v>
      </c>
      <c r="V152" s="122" t="n">
        <v>0.001099537037037037</v>
      </c>
      <c r="W152" s="123" t="n">
        <v>1164.317378</v>
      </c>
      <c r="X152" s="123" t="n">
        <v>1164.317378</v>
      </c>
      <c r="Y152" s="123" t="n">
        <v>33</v>
      </c>
      <c r="Z152" s="123" t="n">
        <v>15006.75732</v>
      </c>
      <c r="AA152" s="123" t="n">
        <v>0</v>
      </c>
      <c r="AB152" s="132" t="n"/>
      <c r="AC152" s="132" t="n"/>
      <c r="AD152" s="132" t="n"/>
      <c r="AE152" s="132" t="n"/>
      <c r="AF152" s="132" t="n"/>
      <c r="AG152" s="132" t="n"/>
      <c r="AH152" s="132" t="n"/>
      <c r="AI152" s="132" t="n"/>
      <c r="AJ152" s="132">
        <f>AB152+AC152+AD152+AE152+AF152+AG152+AH152+AI152</f>
        <v/>
      </c>
      <c r="AK152" s="59">
        <f>AL152/C152</f>
        <v/>
      </c>
      <c r="AL152" s="55" t="n">
        <v>36415</v>
      </c>
    </row>
    <row r="153" ht="22.5" customHeight="1" s="150">
      <c r="A153" s="34" t="n">
        <v>151</v>
      </c>
      <c r="B153" s="50" t="n">
        <v>330</v>
      </c>
      <c r="C153" s="50" t="n">
        <v>317</v>
      </c>
      <c r="D153" s="50" t="n">
        <v>157</v>
      </c>
      <c r="E153" s="50" t="n">
        <v>137</v>
      </c>
      <c r="F153" s="51">
        <f>(C153*100)/B153</f>
        <v/>
      </c>
      <c r="G153" s="51">
        <f>(D153*100)/B153</f>
        <v/>
      </c>
      <c r="H153" s="53">
        <f>((B153-B154)/B153)*100</f>
        <v/>
      </c>
      <c r="I153" s="53">
        <f>((B153-C153)/B153)*100</f>
        <v/>
      </c>
      <c r="J153" s="53">
        <f>((C153-B154)/C153)*100</f>
        <v/>
      </c>
      <c r="K153" s="54" t="n"/>
      <c r="L153" s="55" t="n">
        <v>1.37903225806451</v>
      </c>
      <c r="M153" s="120" t="inlineStr">
        <is>
          <t>Normal</t>
        </is>
      </c>
      <c r="N153" s="55" t="n">
        <v>7.96</v>
      </c>
      <c r="O153" s="57">
        <f>N153/C153</f>
        <v/>
      </c>
      <c r="P153" s="58">
        <f>(Boosters_IOS!B153*100)/Boosters_And!N153</f>
        <v/>
      </c>
      <c r="Q153" s="58">
        <f>Boosters_IOS!B153/(C153+D153)</f>
        <v/>
      </c>
      <c r="R153" s="58">
        <f>Boosters_IOS!N153/B153</f>
        <v/>
      </c>
      <c r="S153" s="55" t="n">
        <v>6.70967741935484</v>
      </c>
      <c r="T153" s="55" t="n">
        <v>160</v>
      </c>
      <c r="U153" s="51" t="n">
        <v>228130.520600828</v>
      </c>
      <c r="V153" s="122" t="n">
        <v>0.00162037037037037</v>
      </c>
      <c r="W153" s="123" t="n">
        <v>991.8259149</v>
      </c>
      <c r="X153" s="123" t="n">
        <v>965.9521953</v>
      </c>
      <c r="Y153" s="123" t="n">
        <v>31</v>
      </c>
      <c r="Z153" s="123" t="n">
        <v>7589.624392</v>
      </c>
      <c r="AA153" s="123" t="n">
        <v>7762.115855</v>
      </c>
      <c r="AB153" s="132" t="n"/>
      <c r="AC153" s="132" t="n"/>
      <c r="AD153" s="132" t="n"/>
      <c r="AE153" s="132" t="n"/>
      <c r="AF153" s="132" t="n"/>
      <c r="AG153" s="132" t="n"/>
      <c r="AH153" s="132" t="n"/>
      <c r="AI153" s="132" t="n"/>
      <c r="AJ153" s="132">
        <f>AB153+AC153+AD153+AE153+AF153+AG153+AH153+AI153</f>
        <v/>
      </c>
      <c r="AK153" s="59">
        <f>AL153/C153</f>
        <v/>
      </c>
      <c r="AL153" s="55" t="n">
        <v>30115</v>
      </c>
    </row>
    <row r="154" ht="22.5" customHeight="1" s="150">
      <c r="A154" s="34" t="n">
        <v>152</v>
      </c>
      <c r="B154" s="50" t="n">
        <v>320</v>
      </c>
      <c r="C154" s="50" t="n">
        <v>315</v>
      </c>
      <c r="D154" s="50" t="n">
        <v>44</v>
      </c>
      <c r="E154" s="50" t="n">
        <v>41</v>
      </c>
      <c r="F154" s="51">
        <f>(C154*100)/B154</f>
        <v/>
      </c>
      <c r="G154" s="51">
        <f>(D154*100)/B154</f>
        <v/>
      </c>
      <c r="H154" s="53">
        <f>((B154-B155)/B154)*100</f>
        <v/>
      </c>
      <c r="I154" s="53">
        <f>((B154-C154)/B154)*100</f>
        <v/>
      </c>
      <c r="J154" s="53">
        <f>((C154-B155)/C154)*100</f>
        <v/>
      </c>
      <c r="K154" s="54" t="n"/>
      <c r="L154" s="55" t="n">
        <v>1.07317073170731</v>
      </c>
      <c r="M154" s="128" t="inlineStr">
        <is>
          <t>Normal</t>
        </is>
      </c>
      <c r="N154" s="55" t="n">
        <v>0</v>
      </c>
      <c r="O154" s="57">
        <f>N154/C154</f>
        <v/>
      </c>
      <c r="P154" s="58">
        <f>(Boosters_IOS!B154*100)/Boosters_And!N154</f>
        <v/>
      </c>
      <c r="Q154" s="58">
        <f>Boosters_IOS!B154/(C154+D154)</f>
        <v/>
      </c>
      <c r="R154" s="58">
        <f>Boosters_IOS!N154/B154</f>
        <v/>
      </c>
      <c r="S154" s="55" t="n">
        <v>8.30894308943089</v>
      </c>
      <c r="T154" s="55" t="n">
        <v>88</v>
      </c>
      <c r="U154" s="51" t="n">
        <v>243658.201464834</v>
      </c>
      <c r="V154" s="122" t="n">
        <v>0.001331018518518518</v>
      </c>
      <c r="W154" s="123" t="n">
        <v>1103.945366</v>
      </c>
      <c r="X154" s="123" t="n">
        <v>1103.945366</v>
      </c>
      <c r="Y154" s="123" t="n">
        <v>3</v>
      </c>
      <c r="Z154" s="123" t="n">
        <v>7934.607319</v>
      </c>
      <c r="AA154" s="123" t="n">
        <v>0</v>
      </c>
      <c r="AB154" s="132" t="n"/>
      <c r="AC154" s="132" t="n"/>
      <c r="AD154" s="132" t="n"/>
      <c r="AE154" s="132" t="n"/>
      <c r="AF154" s="132" t="n"/>
      <c r="AG154" s="132" t="n"/>
      <c r="AH154" s="132" t="n"/>
      <c r="AI154" s="132" t="n"/>
      <c r="AJ154" s="132">
        <f>AB154+AC154+AD154+AE154+AF154+AG154+AH154+AI154</f>
        <v/>
      </c>
      <c r="AK154" s="59">
        <f>AL154/C154</f>
        <v/>
      </c>
      <c r="AL154" s="55" t="n">
        <v>33055</v>
      </c>
    </row>
    <row r="155" ht="22.5" customHeight="1" s="150">
      <c r="A155" s="34" t="n">
        <v>153</v>
      </c>
      <c r="B155" s="50" t="n">
        <v>310</v>
      </c>
      <c r="C155" s="50" t="n">
        <v>307</v>
      </c>
      <c r="D155" s="50" t="n">
        <v>15</v>
      </c>
      <c r="E155" s="50" t="n">
        <v>15</v>
      </c>
      <c r="F155" s="51">
        <f>(C155*100)/B155</f>
        <v/>
      </c>
      <c r="G155" s="51">
        <f>(D155*100)/B155</f>
        <v/>
      </c>
      <c r="H155" s="53">
        <f>((B155-B156)/B155)*100</f>
        <v/>
      </c>
      <c r="I155" s="53">
        <f>((B155-C155)/B155)*100</f>
        <v/>
      </c>
      <c r="J155" s="53">
        <f>((C155-B156)/C155)*100</f>
        <v/>
      </c>
      <c r="K155" s="54" t="n"/>
      <c r="L155" s="55" t="n">
        <v>1.05</v>
      </c>
      <c r="M155" s="120" t="inlineStr">
        <is>
          <t>Normal</t>
        </is>
      </c>
      <c r="N155" s="55" t="n">
        <v>0</v>
      </c>
      <c r="O155" s="57">
        <f>N155/C155</f>
        <v/>
      </c>
      <c r="P155" s="58">
        <f>(Boosters_IOS!B155*100)/Boosters_And!N155</f>
        <v/>
      </c>
      <c r="Q155" s="58">
        <f>Boosters_IOS!B155/(C155+D155)</f>
        <v/>
      </c>
      <c r="R155" s="58">
        <f>Boosters_IOS!N155/B155</f>
        <v/>
      </c>
      <c r="S155" s="55" t="n">
        <v>4.05</v>
      </c>
      <c r="T155" s="55" t="n">
        <v>72</v>
      </c>
      <c r="U155" s="51" t="n">
        <v>249990.50321253</v>
      </c>
      <c r="V155" s="122" t="n">
        <v>0.001273148148148148</v>
      </c>
      <c r="W155" s="123" t="n">
        <v>845.2081709</v>
      </c>
      <c r="X155" s="123" t="n">
        <v>845.2081709</v>
      </c>
      <c r="Y155" s="123" t="n">
        <v>13</v>
      </c>
      <c r="Z155" s="123" t="n">
        <v>8279.590246</v>
      </c>
      <c r="AA155" s="123" t="n">
        <v>0</v>
      </c>
      <c r="AB155" s="132" t="n"/>
      <c r="AC155" s="132" t="n"/>
      <c r="AD155" s="132" t="n"/>
      <c r="AE155" s="132" t="n"/>
      <c r="AF155" s="132" t="n"/>
      <c r="AG155" s="132" t="n"/>
      <c r="AH155" s="132" t="n"/>
      <c r="AI155" s="132" t="n"/>
      <c r="AJ155" s="132">
        <f>AB155+AC155+AD155+AE155+AF155+AG155+AH155+AI155</f>
        <v/>
      </c>
      <c r="AK155" s="59">
        <f>AL155/C155</f>
        <v/>
      </c>
      <c r="AL155" s="55" t="n">
        <v>34655</v>
      </c>
    </row>
    <row r="156" ht="22.5" customHeight="1" s="150">
      <c r="A156" s="34" t="n">
        <v>154</v>
      </c>
      <c r="B156" s="50" t="n">
        <v>312</v>
      </c>
      <c r="C156" s="50" t="n">
        <v>310</v>
      </c>
      <c r="D156" s="50" t="n">
        <v>139</v>
      </c>
      <c r="E156" s="50" t="n">
        <v>132</v>
      </c>
      <c r="F156" s="51">
        <f>(C156*100)/B156</f>
        <v/>
      </c>
      <c r="G156" s="51">
        <f>(D156*100)/B156</f>
        <v/>
      </c>
      <c r="H156" s="53">
        <f>((B156-B157)/B156)*100</f>
        <v/>
      </c>
      <c r="I156" s="53">
        <f>((B156-C156)/B156)*100</f>
        <v/>
      </c>
      <c r="J156" s="53">
        <f>((C156-B157)/C156)*100</f>
        <v/>
      </c>
      <c r="K156" s="54" t="n"/>
      <c r="L156" s="55" t="n">
        <v>1.82644628099173</v>
      </c>
      <c r="M156" s="127" t="inlineStr">
        <is>
          <t>Hard</t>
        </is>
      </c>
      <c r="N156" s="55" t="n">
        <v>7.48</v>
      </c>
      <c r="O156" s="57">
        <f>N156/C156</f>
        <v/>
      </c>
      <c r="P156" s="58">
        <f>(Boosters_IOS!B156*100)/Boosters_And!N156</f>
        <v/>
      </c>
      <c r="Q156" s="58">
        <f>Boosters_IOS!B156/(C156+D156)</f>
        <v/>
      </c>
      <c r="R156" s="58">
        <f>Boosters_IOS!N156/B156</f>
        <v/>
      </c>
      <c r="S156" s="55" t="n">
        <v>4.2396694214876</v>
      </c>
      <c r="T156" s="55" t="n">
        <v>124</v>
      </c>
      <c r="U156" s="51" t="n">
        <v>247862.540303427</v>
      </c>
      <c r="V156" s="122" t="n">
        <v>0.00150462962962963</v>
      </c>
      <c r="W156" s="123" t="n">
        <v>0</v>
      </c>
      <c r="X156" s="123" t="n">
        <v>0</v>
      </c>
      <c r="Y156" s="123" t="n">
        <v>0</v>
      </c>
      <c r="Z156" s="123" t="n">
        <v>0</v>
      </c>
      <c r="AA156" s="123" t="n">
        <v>0</v>
      </c>
      <c r="AB156" s="132" t="n"/>
      <c r="AC156" s="132" t="n"/>
      <c r="AD156" s="132" t="n"/>
      <c r="AE156" s="132" t="n"/>
      <c r="AF156" s="132" t="n"/>
      <c r="AG156" s="132" t="n"/>
      <c r="AH156" s="132" t="n"/>
      <c r="AI156" s="132" t="n"/>
      <c r="AJ156" s="132">
        <f>AB156+AC156+AD156+AE156+AF156+AG156+AH156+AI156</f>
        <v/>
      </c>
      <c r="AK156" s="59">
        <f>AL156/C156</f>
        <v/>
      </c>
      <c r="AL156" s="55" t="n">
        <v>30110</v>
      </c>
    </row>
    <row r="157" ht="22.5" customHeight="1" s="150">
      <c r="A157" s="34" t="n">
        <v>155</v>
      </c>
      <c r="B157" s="50" t="n">
        <v>310</v>
      </c>
      <c r="C157" s="50" t="n">
        <v>307</v>
      </c>
      <c r="D157" s="50" t="n">
        <v>5</v>
      </c>
      <c r="E157" s="50" t="n">
        <v>5</v>
      </c>
      <c r="F157" s="51">
        <f>(C157*100)/B157</f>
        <v/>
      </c>
      <c r="G157" s="51">
        <f>(D157*100)/B157</f>
        <v/>
      </c>
      <c r="H157" s="53">
        <f>((B157-B158)/B157)*100</f>
        <v/>
      </c>
      <c r="I157" s="53">
        <f>((B157-C157)/B157)*100</f>
        <v/>
      </c>
      <c r="J157" s="53">
        <f>((C157-B158)/C157)*100</f>
        <v/>
      </c>
      <c r="K157" s="54" t="n"/>
      <c r="L157" s="55" t="n">
        <v>1.02521008403361</v>
      </c>
      <c r="M157" s="120" t="inlineStr">
        <is>
          <t>Normal</t>
        </is>
      </c>
      <c r="N157" s="55" t="n">
        <v>1.99</v>
      </c>
      <c r="O157" s="57">
        <f>N157/C157</f>
        <v/>
      </c>
      <c r="P157" s="58">
        <f>(Boosters_IOS!B157*100)/Boosters_And!N157</f>
        <v/>
      </c>
      <c r="Q157" s="58">
        <f>Boosters_IOS!B157/(C157+D157)</f>
        <v/>
      </c>
      <c r="R157" s="58">
        <f>Boosters_IOS!N157/B157</f>
        <v/>
      </c>
      <c r="S157" s="55" t="n">
        <v>4.76470588235294</v>
      </c>
      <c r="T157" s="55" t="n">
        <v>77</v>
      </c>
      <c r="U157" s="51" t="n">
        <v>269180.859629175</v>
      </c>
      <c r="V157" s="122" t="n">
        <v>0.001273148148148148</v>
      </c>
      <c r="W157" s="133" t="n">
        <v>445</v>
      </c>
      <c r="X157" s="133" t="n"/>
      <c r="Y157" s="133">
        <f>W157/C157</f>
        <v/>
      </c>
      <c r="Z157" s="133" t="n"/>
      <c r="AA157" s="133" t="n"/>
      <c r="AB157" s="132" t="n"/>
      <c r="AC157" s="132" t="n"/>
      <c r="AD157" s="132" t="n"/>
      <c r="AE157" s="132" t="n"/>
      <c r="AF157" s="132" t="n"/>
      <c r="AG157" s="132" t="n"/>
      <c r="AH157" s="132" t="n"/>
      <c r="AI157" s="132" t="n"/>
      <c r="AJ157" s="132">
        <f>AB157+AC157+AD157+AE157+AF157+AG157+AH157+AI157</f>
        <v/>
      </c>
      <c r="AK157" s="59">
        <f>AL157/C157</f>
        <v/>
      </c>
      <c r="AL157" s="55" t="n">
        <v>31700</v>
      </c>
    </row>
    <row r="158" ht="22.5" customHeight="1" s="150">
      <c r="A158" s="34" t="n">
        <v>156</v>
      </c>
      <c r="B158" s="50" t="n">
        <v>302</v>
      </c>
      <c r="C158" s="50" t="n">
        <v>299</v>
      </c>
      <c r="D158" s="50" t="n">
        <v>26</v>
      </c>
      <c r="E158" s="50" t="n">
        <v>13</v>
      </c>
      <c r="F158" s="51">
        <f>(C158*100)/B158</f>
        <v/>
      </c>
      <c r="G158" s="51">
        <f>(D158*100)/B158</f>
        <v/>
      </c>
      <c r="H158" s="53">
        <f>((B158-B159)/B158)*100</f>
        <v/>
      </c>
      <c r="I158" s="53">
        <f>((B158-C158)/B158)*100</f>
        <v/>
      </c>
      <c r="J158" s="53">
        <f>((C158-B159)/C158)*100</f>
        <v/>
      </c>
      <c r="K158" s="54" t="n"/>
      <c r="L158" s="55" t="n">
        <v>1.04310344827586</v>
      </c>
      <c r="M158" s="128" t="inlineStr">
        <is>
          <t>Normal</t>
        </is>
      </c>
      <c r="N158" s="55" t="n">
        <v>5.99</v>
      </c>
      <c r="O158" s="57">
        <f>N158/C158</f>
        <v/>
      </c>
      <c r="P158" s="58">
        <f>(Boosters_IOS!B158*100)/Boosters_And!N158</f>
        <v/>
      </c>
      <c r="Q158" s="58">
        <f>Boosters_IOS!B158/(C158+D158)</f>
        <v/>
      </c>
      <c r="R158" s="58">
        <f>Boosters_IOS!N158/B158</f>
        <v/>
      </c>
      <c r="S158" s="55" t="n">
        <v>3.69827586206896</v>
      </c>
      <c r="T158" s="55" t="n">
        <v>77</v>
      </c>
      <c r="U158" s="51" t="n">
        <v>271450.686732219</v>
      </c>
      <c r="V158" s="122" t="n">
        <v>0.0015625</v>
      </c>
      <c r="W158" s="133" t="n">
        <v>497</v>
      </c>
      <c r="X158" s="133" t="n"/>
      <c r="Y158" s="133">
        <f>W158/C158</f>
        <v/>
      </c>
      <c r="Z158" s="133" t="n"/>
      <c r="AA158" s="133" t="n"/>
      <c r="AB158" s="132" t="n"/>
      <c r="AC158" s="132" t="n"/>
      <c r="AD158" s="132" t="n"/>
      <c r="AE158" s="132" t="n"/>
      <c r="AF158" s="132" t="n"/>
      <c r="AG158" s="132" t="n"/>
      <c r="AH158" s="132" t="n"/>
      <c r="AI158" s="132" t="n"/>
      <c r="AJ158" s="132">
        <f>AB158+AC158+AD158+AE158+AF158+AG158+AH158+AI158</f>
        <v/>
      </c>
      <c r="AK158" s="59">
        <f>AL158/C158</f>
        <v/>
      </c>
      <c r="AL158" s="55" t="n">
        <v>34640</v>
      </c>
    </row>
    <row r="159" ht="22.5" customHeight="1" s="150">
      <c r="A159" s="34" t="n">
        <v>157</v>
      </c>
      <c r="B159" s="50" t="n">
        <v>302</v>
      </c>
      <c r="C159" s="50" t="n">
        <v>294</v>
      </c>
      <c r="D159" s="50" t="n">
        <v>142</v>
      </c>
      <c r="E159" s="50" t="n">
        <v>124</v>
      </c>
      <c r="F159" s="51">
        <f>(C159*100)/B159</f>
        <v/>
      </c>
      <c r="G159" s="51">
        <f>(D159*100)/B159</f>
        <v/>
      </c>
      <c r="H159" s="53">
        <f>((B159-B160)/B159)*100</f>
        <v/>
      </c>
      <c r="I159" s="53">
        <f>((B159-C159)/B159)*100</f>
        <v/>
      </c>
      <c r="J159" s="53">
        <f>((C159-B160)/C159)*100</f>
        <v/>
      </c>
      <c r="K159" s="54" t="n"/>
      <c r="L159" s="55" t="n">
        <v>1.56140350877192</v>
      </c>
      <c r="M159" s="120" t="inlineStr">
        <is>
          <t>Normal</t>
        </is>
      </c>
      <c r="N159" s="55" t="n">
        <v>43.39</v>
      </c>
      <c r="O159" s="57">
        <f>N159/C159</f>
        <v/>
      </c>
      <c r="P159" s="58">
        <f>(Boosters_IOS!B159*100)/Boosters_And!N159</f>
        <v/>
      </c>
      <c r="Q159" s="58">
        <f>Boosters_IOS!B159/(C159+D159)</f>
        <v/>
      </c>
      <c r="R159" s="58">
        <f>Boosters_IOS!N159/B159</f>
        <v/>
      </c>
      <c r="S159" s="55" t="n">
        <v>4.84210526315789</v>
      </c>
      <c r="T159" s="55" t="n">
        <v>103</v>
      </c>
      <c r="U159" s="51" t="n">
        <v>241091.749229006</v>
      </c>
      <c r="V159" s="122" t="n">
        <v>0.000925925925925926</v>
      </c>
      <c r="W159" s="133" t="n">
        <v>358</v>
      </c>
      <c r="X159" s="133" t="n"/>
      <c r="Y159" s="133">
        <f>W159/C159</f>
        <v/>
      </c>
      <c r="Z159" s="133" t="n"/>
      <c r="AA159" s="133" t="n"/>
      <c r="AB159" s="132" t="n"/>
      <c r="AC159" s="132" t="n"/>
      <c r="AD159" s="132" t="n"/>
      <c r="AE159" s="132" t="n"/>
      <c r="AF159" s="132" t="n"/>
      <c r="AG159" s="132" t="n"/>
      <c r="AH159" s="132" t="n"/>
      <c r="AI159" s="132" t="n"/>
      <c r="AJ159" s="132">
        <f>AB159+AC159+AD159+AE159+AF159+AG159+AH159+AI159</f>
        <v/>
      </c>
      <c r="AK159" s="59">
        <f>AL159/C159</f>
        <v/>
      </c>
      <c r="AL159" s="55" t="n">
        <v>29475</v>
      </c>
    </row>
    <row r="160" ht="22.5" customHeight="1" s="150">
      <c r="A160" s="34" t="n">
        <v>158</v>
      </c>
      <c r="B160" s="50" t="n">
        <v>297</v>
      </c>
      <c r="C160" s="50" t="n">
        <v>294</v>
      </c>
      <c r="D160" s="50" t="n">
        <v>46</v>
      </c>
      <c r="E160" s="50" t="n">
        <v>36</v>
      </c>
      <c r="F160" s="51">
        <f>(C160*100)/B160</f>
        <v/>
      </c>
      <c r="G160" s="51">
        <f>(D160*100)/B160</f>
        <v/>
      </c>
      <c r="H160" s="53">
        <f>((B160-B161)/B160)*100</f>
        <v/>
      </c>
      <c r="I160" s="53">
        <f>((B160-C160)/B160)*100</f>
        <v/>
      </c>
      <c r="J160" s="53">
        <f>((C160-B161)/C160)*100</f>
        <v/>
      </c>
      <c r="K160" s="54" t="n"/>
      <c r="L160" s="55" t="n">
        <v>1.13157894736842</v>
      </c>
      <c r="M160" s="128" t="inlineStr">
        <is>
          <t>Normal</t>
        </is>
      </c>
      <c r="N160" s="55" t="n">
        <v>0</v>
      </c>
      <c r="O160" s="57">
        <f>N160/C160</f>
        <v/>
      </c>
      <c r="P160" s="58">
        <f>(Boosters_IOS!B160*100)/Boosters_And!N160</f>
        <v/>
      </c>
      <c r="Q160" s="58">
        <f>Boosters_IOS!B160/(C160+D160)</f>
        <v/>
      </c>
      <c r="R160" s="58">
        <f>Boosters_IOS!N160/B160</f>
        <v/>
      </c>
      <c r="S160" s="55" t="n">
        <v>7.12280701754386</v>
      </c>
      <c r="T160" s="55" t="n">
        <v>90</v>
      </c>
      <c r="U160" s="51" t="n">
        <v>252698.819642299</v>
      </c>
      <c r="V160" s="122" t="n">
        <v>0.0009837962962962962</v>
      </c>
      <c r="W160" s="133" t="n">
        <v>287</v>
      </c>
      <c r="X160" s="133" t="n"/>
      <c r="Y160" s="133">
        <f>W160/C160</f>
        <v/>
      </c>
      <c r="Z160" s="133" t="n"/>
      <c r="AA160" s="133" t="n"/>
      <c r="AB160" s="132" t="n"/>
      <c r="AC160" s="132" t="n"/>
      <c r="AD160" s="132" t="n"/>
      <c r="AE160" s="132" t="n"/>
      <c r="AF160" s="132" t="n"/>
      <c r="AG160" s="132" t="n"/>
      <c r="AH160" s="132" t="n"/>
      <c r="AI160" s="132" t="n"/>
      <c r="AJ160" s="132">
        <f>AB160+AC160+AD160+AE160+AF160+AG160+AH160+AI160</f>
        <v/>
      </c>
      <c r="AK160" s="59">
        <f>AL160/C160</f>
        <v/>
      </c>
      <c r="AL160" s="55" t="n">
        <v>28750</v>
      </c>
    </row>
    <row r="161" ht="22.5" customHeight="1" s="150">
      <c r="A161" s="34" t="n">
        <v>159</v>
      </c>
      <c r="B161" s="50" t="n">
        <v>312</v>
      </c>
      <c r="C161" s="50" t="n">
        <v>284</v>
      </c>
      <c r="D161" s="50" t="n">
        <v>206</v>
      </c>
      <c r="E161" s="50" t="n">
        <v>209</v>
      </c>
      <c r="F161" s="51">
        <f>(C161*100)/B161</f>
        <v/>
      </c>
      <c r="G161" s="51">
        <f>(D161*100)/B161</f>
        <v/>
      </c>
      <c r="H161" s="52">
        <f>((B161-B162)/B161)*100</f>
        <v/>
      </c>
      <c r="I161" s="53">
        <f>((B161-C161)/B161)*100</f>
        <v/>
      </c>
      <c r="J161" s="53">
        <f>((C161-B162)/C161)*100</f>
        <v/>
      </c>
      <c r="K161" s="54" t="n"/>
      <c r="L161" s="55" t="n">
        <v>2.75454545454545</v>
      </c>
      <c r="M161" s="129" t="inlineStr">
        <is>
          <t>Hard</t>
        </is>
      </c>
      <c r="N161" s="55" t="n">
        <v>152.46</v>
      </c>
      <c r="O161" s="57">
        <f>N161/C161</f>
        <v/>
      </c>
      <c r="P161" s="58">
        <f>(Boosters_IOS!B161*100)/Boosters_And!N161</f>
        <v/>
      </c>
      <c r="Q161" s="58">
        <f>Boosters_IOS!B161/(C161+D161)</f>
        <v/>
      </c>
      <c r="R161" s="58">
        <f>Boosters_IOS!N161/B161</f>
        <v/>
      </c>
      <c r="S161" s="55" t="n">
        <v>9.00909090909091</v>
      </c>
      <c r="T161" s="55" t="n">
        <v>162</v>
      </c>
      <c r="U161" s="51" t="n">
        <v>215504.607340146</v>
      </c>
      <c r="V161" s="122" t="n">
        <v>0.001331018518518518</v>
      </c>
      <c r="W161" s="133" t="n">
        <v>418</v>
      </c>
      <c r="X161" s="133" t="n"/>
      <c r="Y161" s="133">
        <f>W161/C161</f>
        <v/>
      </c>
      <c r="Z161" s="133" t="n"/>
      <c r="AA161" s="133" t="n"/>
      <c r="AB161" s="132" t="n"/>
      <c r="AC161" s="132" t="n"/>
      <c r="AD161" s="132" t="n"/>
      <c r="AE161" s="132" t="n"/>
      <c r="AF161" s="132" t="n"/>
      <c r="AG161" s="132" t="n"/>
      <c r="AH161" s="132" t="n"/>
      <c r="AI161" s="132" t="n"/>
      <c r="AJ161" s="132">
        <f>AB161+AC161+AD161+AE161+AF161+AG161+AH161+AI161</f>
        <v/>
      </c>
      <c r="AK161" s="59">
        <f>AL161/C161</f>
        <v/>
      </c>
      <c r="AL161" s="55" t="n">
        <v>19595</v>
      </c>
    </row>
    <row r="162" ht="22.5" customHeight="1" s="150">
      <c r="A162" s="34" t="n">
        <v>160</v>
      </c>
      <c r="B162" s="50" t="n">
        <v>281</v>
      </c>
      <c r="C162" s="50" t="n">
        <v>281</v>
      </c>
      <c r="D162" s="50" t="n">
        <v>59</v>
      </c>
      <c r="E162" s="50" t="n">
        <v>52</v>
      </c>
      <c r="F162" s="51">
        <f>(C162*100)/B162</f>
        <v/>
      </c>
      <c r="G162" s="51">
        <f>(D162*100)/B162</f>
        <v/>
      </c>
      <c r="H162" s="53">
        <f>((B162-B163)/B162)*100</f>
        <v/>
      </c>
      <c r="I162" s="53">
        <f>((B162-C162)/B162)*100</f>
        <v/>
      </c>
      <c r="J162" s="53">
        <f>((C162-B163)/C162)*100</f>
        <v/>
      </c>
      <c r="K162" s="54" t="n"/>
      <c r="L162" s="55" t="n">
        <v>1.21100917431192</v>
      </c>
      <c r="M162" s="128" t="inlineStr">
        <is>
          <t>Normal</t>
        </is>
      </c>
      <c r="N162" s="55" t="n">
        <v>0</v>
      </c>
      <c r="O162" s="57">
        <f>N162/C162</f>
        <v/>
      </c>
      <c r="P162" s="58">
        <f>(Boosters_IOS!B162*100)/Boosters_And!N162</f>
        <v/>
      </c>
      <c r="Q162" s="58">
        <f>Boosters_IOS!B162/(C162+D162)</f>
        <v/>
      </c>
      <c r="R162" s="58">
        <f>Boosters_IOS!N162/B162</f>
        <v/>
      </c>
      <c r="S162" s="55" t="n">
        <v>4.87155963302752</v>
      </c>
      <c r="T162" s="55" t="n">
        <v>75</v>
      </c>
      <c r="U162" s="51" t="n">
        <v>228298.178284576</v>
      </c>
      <c r="V162" s="122" t="n">
        <v>0.001446759259259259</v>
      </c>
      <c r="W162" s="133" t="n">
        <v>692</v>
      </c>
      <c r="X162" s="133" t="n"/>
      <c r="Y162" s="133">
        <f>W162/C162</f>
        <v/>
      </c>
      <c r="Z162" s="133" t="n"/>
      <c r="AA162" s="133" t="n"/>
      <c r="AB162" s="132" t="n"/>
      <c r="AC162" s="132" t="n"/>
      <c r="AD162" s="132" t="n"/>
      <c r="AE162" s="132" t="n"/>
      <c r="AF162" s="132" t="n"/>
      <c r="AG162" s="132" t="n"/>
      <c r="AH162" s="132" t="n"/>
      <c r="AI162" s="132" t="n"/>
      <c r="AJ162" s="132">
        <f>AB162+AC162+AD162+AE162+AF162+AG162+AH162+AI162</f>
        <v/>
      </c>
      <c r="AK162" s="59">
        <f>AL162/C162</f>
        <v/>
      </c>
      <c r="AL162" s="55" t="n">
        <v>21940</v>
      </c>
    </row>
    <row r="163" ht="22.5" customHeight="1" s="150">
      <c r="A163" s="34" t="n">
        <v>161</v>
      </c>
      <c r="B163" s="50" t="n">
        <v>281</v>
      </c>
      <c r="C163" s="50" t="n">
        <v>281</v>
      </c>
      <c r="D163" s="50" t="n">
        <v>3</v>
      </c>
      <c r="E163" s="50" t="n">
        <v>3</v>
      </c>
      <c r="F163" s="51">
        <f>(C163*100)/B163</f>
        <v/>
      </c>
      <c r="G163" s="51">
        <f>(D163*100)/B163</f>
        <v/>
      </c>
      <c r="H163" s="53">
        <f>((B163-B164)/B163)*100</f>
        <v/>
      </c>
      <c r="I163" s="53">
        <f>((B163-C163)/B163)*100</f>
        <v/>
      </c>
      <c r="J163" s="53">
        <f>((C163-B164)/C163)*100</f>
        <v/>
      </c>
      <c r="K163" s="54" t="n"/>
      <c r="L163" s="55" t="n">
        <v>1.0091743119266</v>
      </c>
      <c r="M163" s="120" t="inlineStr">
        <is>
          <t>Normal</t>
        </is>
      </c>
      <c r="N163" s="55" t="n">
        <v>0</v>
      </c>
      <c r="O163" s="57">
        <f>N163/C163</f>
        <v/>
      </c>
      <c r="P163" s="58">
        <f>(Boosters_IOS!B163*100)/Boosters_And!N163</f>
        <v/>
      </c>
      <c r="Q163" s="58">
        <f>Boosters_IOS!B163/(C163+D163)</f>
        <v/>
      </c>
      <c r="R163" s="58">
        <f>Boosters_IOS!N163/B163</f>
        <v/>
      </c>
      <c r="S163" s="55" t="n">
        <v>7.87155963302752</v>
      </c>
      <c r="T163" s="55" t="n">
        <v>54</v>
      </c>
      <c r="U163" s="51" t="n">
        <v>243503.44052599</v>
      </c>
      <c r="V163" s="122" t="n">
        <v>0.001388888888888889</v>
      </c>
      <c r="W163" s="133" t="n">
        <v>976</v>
      </c>
      <c r="X163" s="133" t="n"/>
      <c r="Y163" s="133">
        <f>W163/C163</f>
        <v/>
      </c>
      <c r="Z163" s="133" t="n"/>
      <c r="AA163" s="133" t="n"/>
      <c r="AB163" s="132" t="n"/>
      <c r="AC163" s="132" t="n"/>
      <c r="AD163" s="132" t="n"/>
      <c r="AE163" s="132" t="n"/>
      <c r="AF163" s="132" t="n"/>
      <c r="AG163" s="132" t="n"/>
      <c r="AH163" s="132" t="n"/>
      <c r="AI163" s="132" t="n"/>
      <c r="AJ163" s="132">
        <f>AB163+AC163+AD163+AE163+AF163+AG163+AH163+AI163</f>
        <v/>
      </c>
      <c r="AK163" s="59">
        <f>AL163/C163</f>
        <v/>
      </c>
      <c r="AL163" s="55" t="n">
        <v>26175</v>
      </c>
    </row>
    <row r="164" ht="22.5" customHeight="1" s="150">
      <c r="A164" s="34" t="n">
        <v>162</v>
      </c>
      <c r="B164" s="50" t="n">
        <v>281</v>
      </c>
      <c r="C164" s="50" t="n">
        <v>281</v>
      </c>
      <c r="D164" s="50" t="n">
        <v>0</v>
      </c>
      <c r="E164" s="50" t="n">
        <v>0</v>
      </c>
      <c r="F164" s="51">
        <f>(C164*100)/B164</f>
        <v/>
      </c>
      <c r="G164" s="51">
        <f>(D164*100)/B164</f>
        <v/>
      </c>
      <c r="H164" s="53">
        <f>((B164-B165)/B164)*100</f>
        <v/>
      </c>
      <c r="I164" s="53">
        <f>((B164-C164)/B164)*100</f>
        <v/>
      </c>
      <c r="J164" s="53">
        <f>((C164-B165)/C164)*100</f>
        <v/>
      </c>
      <c r="K164" s="54" t="n"/>
      <c r="L164" s="55" t="n">
        <v>1.0091743119266</v>
      </c>
      <c r="M164" s="128" t="inlineStr">
        <is>
          <t>Normal</t>
        </is>
      </c>
      <c r="N164" s="55" t="n">
        <v>0</v>
      </c>
      <c r="O164" s="57">
        <f>N164/C164</f>
        <v/>
      </c>
      <c r="P164" s="58">
        <f>(Boosters_IOS!B164*100)/Boosters_And!N164</f>
        <v/>
      </c>
      <c r="Q164" s="58">
        <f>Boosters_IOS!B164/(C164+D164)</f>
        <v/>
      </c>
      <c r="R164" s="58">
        <f>Boosters_IOS!N164/B164</f>
        <v/>
      </c>
      <c r="S164" s="55" t="n">
        <v>3.88073394495412</v>
      </c>
      <c r="T164" s="55" t="n">
        <v>59</v>
      </c>
      <c r="U164" s="51" t="n">
        <v>258566.838573464</v>
      </c>
      <c r="V164" s="122" t="n">
        <v>0.001331018518518518</v>
      </c>
      <c r="W164" s="133" t="n">
        <v>733</v>
      </c>
      <c r="X164" s="133" t="n"/>
      <c r="Y164" s="133">
        <f>W164/C164</f>
        <v/>
      </c>
      <c r="Z164" s="133" t="n"/>
      <c r="AA164" s="133" t="n"/>
      <c r="AB164" s="132" t="n"/>
      <c r="AC164" s="132" t="n"/>
      <c r="AD164" s="132" t="n"/>
      <c r="AE164" s="132" t="n"/>
      <c r="AF164" s="132" t="n"/>
      <c r="AG164" s="132" t="n"/>
      <c r="AH164" s="132" t="n"/>
      <c r="AI164" s="132" t="n"/>
      <c r="AJ164" s="132">
        <f>AB164+AC164+AD164+AE164+AF164+AG164+AH164+AI164</f>
        <v/>
      </c>
      <c r="AK164" s="59">
        <f>AL164/C164</f>
        <v/>
      </c>
      <c r="AL164" s="55" t="n">
        <v>30310</v>
      </c>
    </row>
    <row r="165" ht="22.5" customHeight="1" s="150">
      <c r="A165" s="34" t="n">
        <v>163</v>
      </c>
      <c r="B165" s="50" t="n">
        <v>279</v>
      </c>
      <c r="C165" s="50" t="n">
        <v>279</v>
      </c>
      <c r="D165" s="50" t="n">
        <v>98</v>
      </c>
      <c r="E165" s="50" t="n">
        <v>83</v>
      </c>
      <c r="F165" s="51">
        <f>(C165*100)/B165</f>
        <v/>
      </c>
      <c r="G165" s="51">
        <f>(D165*100)/B165</f>
        <v/>
      </c>
      <c r="H165" s="53">
        <f>((B165-B166)/B165)*100</f>
        <v/>
      </c>
      <c r="I165" s="53">
        <f>((B165-C165)/B165)*100</f>
        <v/>
      </c>
      <c r="J165" s="53">
        <f>((C165-B166)/C165)*100</f>
        <v/>
      </c>
      <c r="K165" s="54" t="n"/>
      <c r="L165" s="55" t="n">
        <v>1.25925925925925</v>
      </c>
      <c r="M165" s="120" t="inlineStr">
        <is>
          <t>Normal</t>
        </is>
      </c>
      <c r="N165" s="55" t="n">
        <v>12.97</v>
      </c>
      <c r="O165" s="57">
        <f>N165/C165</f>
        <v/>
      </c>
      <c r="P165" s="58">
        <f>(Boosters_IOS!B165*100)/Boosters_And!N165</f>
        <v/>
      </c>
      <c r="Q165" s="58">
        <f>Boosters_IOS!B165/(C165+D165)</f>
        <v/>
      </c>
      <c r="R165" s="58">
        <f>Boosters_IOS!N165/B165</f>
        <v/>
      </c>
      <c r="S165" s="55" t="n">
        <v>5.83333333333333</v>
      </c>
      <c r="T165" s="55" t="n">
        <v>98</v>
      </c>
      <c r="U165" s="51" t="n">
        <v>244664.147567319</v>
      </c>
      <c r="V165" s="122" t="n">
        <v>0.00150462962962963</v>
      </c>
      <c r="W165" s="133" t="n">
        <v>592</v>
      </c>
      <c r="X165" s="133" t="n"/>
      <c r="Y165" s="133">
        <f>W165/C165</f>
        <v/>
      </c>
      <c r="Z165" s="133" t="n"/>
      <c r="AA165" s="133" t="n"/>
      <c r="AB165" s="132" t="n"/>
      <c r="AC165" s="132" t="n"/>
      <c r="AD165" s="132" t="n"/>
      <c r="AE165" s="132" t="n"/>
      <c r="AF165" s="132" t="n"/>
      <c r="AG165" s="132" t="n"/>
      <c r="AH165" s="132" t="n"/>
      <c r="AI165" s="132" t="n"/>
      <c r="AJ165" s="132">
        <f>AB165+AC165+AD165+AE165+AF165+AG165+AH165+AI165</f>
        <v/>
      </c>
      <c r="AK165" s="59">
        <f>AL165/C165</f>
        <v/>
      </c>
      <c r="AL165" s="55" t="n">
        <v>29865</v>
      </c>
    </row>
    <row r="166" ht="22.5" customHeight="1" s="150">
      <c r="A166" s="34" t="n">
        <v>164</v>
      </c>
      <c r="B166" s="50" t="n">
        <v>279</v>
      </c>
      <c r="C166" s="50" t="n">
        <v>276</v>
      </c>
      <c r="D166" s="50" t="n">
        <v>77</v>
      </c>
      <c r="E166" s="50" t="n">
        <v>59</v>
      </c>
      <c r="F166" s="51">
        <f>(C166*100)/B166</f>
        <v/>
      </c>
      <c r="G166" s="51">
        <f>(D166*100)/B166</f>
        <v/>
      </c>
      <c r="H166" s="53">
        <f>((B166-B167)/B166)*100</f>
        <v/>
      </c>
      <c r="I166" s="53">
        <f>((B166-C166)/B166)*100</f>
        <v/>
      </c>
      <c r="J166" s="53">
        <f>((C166-B167)/C166)*100</f>
        <v/>
      </c>
      <c r="K166" s="54" t="n"/>
      <c r="L166" s="55" t="n">
        <v>1.41121495327102</v>
      </c>
      <c r="M166" s="128" t="inlineStr">
        <is>
          <t>Normal</t>
        </is>
      </c>
      <c r="N166" s="55" t="n">
        <v>1.99</v>
      </c>
      <c r="O166" s="57">
        <f>N166/C166</f>
        <v/>
      </c>
      <c r="P166" s="58">
        <f>(Boosters_IOS!B166*100)/Boosters_And!N166</f>
        <v/>
      </c>
      <c r="Q166" s="58">
        <f>Boosters_IOS!B166/(C166+D166)</f>
        <v/>
      </c>
      <c r="R166" s="58">
        <f>Boosters_IOS!N166/B166</f>
        <v/>
      </c>
      <c r="S166" s="55" t="n">
        <v>7.19626168224299</v>
      </c>
      <c r="T166" s="55" t="n">
        <v>80</v>
      </c>
      <c r="U166" s="51" t="n">
        <v>249874.432508397</v>
      </c>
      <c r="V166" s="122" t="n">
        <v>0.001388888888888889</v>
      </c>
      <c r="W166" s="133" t="n">
        <v>467</v>
      </c>
      <c r="X166" s="133" t="n"/>
      <c r="Y166" s="133">
        <f>W166/C166</f>
        <v/>
      </c>
      <c r="Z166" s="133" t="n"/>
      <c r="AA166" s="133" t="n"/>
      <c r="AB166" s="132" t="n"/>
      <c r="AC166" s="132" t="n"/>
      <c r="AD166" s="132" t="n"/>
      <c r="AE166" s="132" t="n"/>
      <c r="AF166" s="132" t="n"/>
      <c r="AG166" s="132" t="n"/>
      <c r="AH166" s="132" t="n"/>
      <c r="AI166" s="132" t="n"/>
      <c r="AJ166" s="132">
        <f>AB166+AC166+AD166+AE166+AF166+AG166+AH166+AI166</f>
        <v/>
      </c>
      <c r="AK166" s="59">
        <f>AL166/C166</f>
        <v/>
      </c>
      <c r="AL166" s="55" t="n">
        <v>32745</v>
      </c>
    </row>
    <row r="167" ht="22.5" customHeight="1" s="150">
      <c r="A167" s="34" t="n">
        <v>165</v>
      </c>
      <c r="B167" s="50" t="n">
        <v>279</v>
      </c>
      <c r="C167" s="50" t="n">
        <v>273</v>
      </c>
      <c r="D167" s="50" t="n">
        <v>111</v>
      </c>
      <c r="E167" s="50" t="n">
        <v>85</v>
      </c>
      <c r="F167" s="51">
        <f>(C167*100)/B167</f>
        <v/>
      </c>
      <c r="G167" s="51">
        <f>(D167*100)/B167</f>
        <v/>
      </c>
      <c r="H167" s="53">
        <f>((B167-B168)/B167)*100</f>
        <v/>
      </c>
      <c r="I167" s="53">
        <f>((B167-C167)/B167)*100</f>
        <v/>
      </c>
      <c r="J167" s="53">
        <f>((C167-B168)/C167)*100</f>
        <v/>
      </c>
      <c r="K167" s="54" t="n"/>
      <c r="L167" s="55" t="n">
        <v>1.34905660377358</v>
      </c>
      <c r="M167" s="120" t="inlineStr">
        <is>
          <t>Normal</t>
        </is>
      </c>
      <c r="N167" s="55" t="n">
        <v>0</v>
      </c>
      <c r="O167" s="57">
        <f>N167/C167</f>
        <v/>
      </c>
      <c r="P167" s="58">
        <f>(Boosters_IOS!B167*100)/Boosters_And!N167</f>
        <v/>
      </c>
      <c r="Q167" s="58">
        <f>Boosters_IOS!B167/(C167+D167)</f>
        <v/>
      </c>
      <c r="R167" s="58">
        <f>Boosters_IOS!N167/B167</f>
        <v/>
      </c>
      <c r="S167" s="55" t="n">
        <v>4.49056603773584</v>
      </c>
      <c r="T167" s="55" t="n">
        <v>83</v>
      </c>
      <c r="U167" s="51" t="n">
        <v>239415.17239153</v>
      </c>
      <c r="V167" s="122" t="n">
        <v>0.001157407407407407</v>
      </c>
      <c r="W167" s="133" t="n">
        <v>366</v>
      </c>
      <c r="X167" s="133" t="n"/>
      <c r="Y167" s="133">
        <f>W167/C167</f>
        <v/>
      </c>
      <c r="Z167" s="133" t="n"/>
      <c r="AA167" s="133" t="n"/>
      <c r="AB167" s="132" t="n"/>
      <c r="AC167" s="132" t="n"/>
      <c r="AD167" s="132" t="n"/>
      <c r="AE167" s="132" t="n"/>
      <c r="AF167" s="132" t="n"/>
      <c r="AG167" s="132" t="n"/>
      <c r="AH167" s="132" t="n"/>
      <c r="AI167" s="132" t="n"/>
      <c r="AJ167" s="132">
        <f>AB167+AC167+AD167+AE167+AF167+AG167+AH167+AI167</f>
        <v/>
      </c>
      <c r="AK167" s="59">
        <f>AL167/C167</f>
        <v/>
      </c>
      <c r="AL167" s="55" t="n">
        <v>30455</v>
      </c>
    </row>
    <row r="168" ht="22.5" customHeight="1" s="150">
      <c r="A168" s="34" t="n">
        <v>166</v>
      </c>
      <c r="B168" s="50" t="n">
        <v>276</v>
      </c>
      <c r="C168" s="50" t="n">
        <v>276</v>
      </c>
      <c r="D168" s="50" t="n">
        <v>103</v>
      </c>
      <c r="E168" s="50" t="n">
        <v>49</v>
      </c>
      <c r="F168" s="51">
        <f>(C168*100)/B168</f>
        <v/>
      </c>
      <c r="G168" s="51">
        <f>(D168*100)/B168</f>
        <v/>
      </c>
      <c r="H168" s="53">
        <f>((B168-B169)/B168)*100</f>
        <v/>
      </c>
      <c r="I168" s="53">
        <f>((B168-C168)/B168)*100</f>
        <v/>
      </c>
      <c r="J168" s="53">
        <f>((C168-B169)/C168)*100</f>
        <v/>
      </c>
      <c r="K168" s="54" t="n"/>
      <c r="L168" s="55" t="n">
        <v>1.13084112149532</v>
      </c>
      <c r="M168" s="128" t="inlineStr">
        <is>
          <t>Normal</t>
        </is>
      </c>
      <c r="N168" s="55" t="n">
        <v>4.98</v>
      </c>
      <c r="O168" s="57">
        <f>N168/C168</f>
        <v/>
      </c>
      <c r="P168" s="58">
        <f>(Boosters_IOS!B168*100)/Boosters_And!N168</f>
        <v/>
      </c>
      <c r="Q168" s="58">
        <f>Boosters_IOS!B168/(C168+D168)</f>
        <v/>
      </c>
      <c r="R168" s="58">
        <f>Boosters_IOS!N168/B168</f>
        <v/>
      </c>
      <c r="S168" s="55" t="n">
        <v>6.41121495327102</v>
      </c>
      <c r="T168" s="55" t="n">
        <v>111</v>
      </c>
      <c r="U168" s="51" t="n">
        <v>213621.682584211</v>
      </c>
      <c r="V168" s="122" t="n">
        <v>0.001215277777777778</v>
      </c>
      <c r="W168" s="133" t="n">
        <v>806</v>
      </c>
      <c r="X168" s="133" t="n"/>
      <c r="Y168" s="133">
        <f>W168/C168</f>
        <v/>
      </c>
      <c r="Z168" s="133" t="n"/>
      <c r="AA168" s="133" t="n"/>
      <c r="AB168" s="132" t="n"/>
      <c r="AC168" s="132" t="n"/>
      <c r="AD168" s="132" t="n"/>
      <c r="AE168" s="132" t="n"/>
      <c r="AF168" s="132" t="n"/>
      <c r="AG168" s="132" t="n"/>
      <c r="AH168" s="132" t="n"/>
      <c r="AI168" s="132" t="n"/>
      <c r="AJ168" s="132">
        <f>AB168+AC168+AD168+AE168+AF168+AG168+AH168+AI168</f>
        <v/>
      </c>
      <c r="AK168" s="59">
        <f>AL168/C168</f>
        <v/>
      </c>
      <c r="AL168" s="55" t="n">
        <v>28045</v>
      </c>
    </row>
    <row r="169" ht="22.5" customHeight="1" s="150">
      <c r="A169" s="34" t="n">
        <v>167</v>
      </c>
      <c r="B169" s="50" t="n">
        <v>273</v>
      </c>
      <c r="C169" s="50" t="n">
        <v>263</v>
      </c>
      <c r="D169" s="50" t="n">
        <v>150</v>
      </c>
      <c r="E169" s="50" t="n">
        <v>106</v>
      </c>
      <c r="F169" s="51">
        <f>(C169*100)/B169</f>
        <v/>
      </c>
      <c r="G169" s="51">
        <f>(D169*100)/B169</f>
        <v/>
      </c>
      <c r="H169" s="53">
        <f>((B169-B170)/B169)*100</f>
        <v/>
      </c>
      <c r="I169" s="53">
        <f>((B169-C169)/B169)*100</f>
        <v/>
      </c>
      <c r="J169" s="53">
        <f>((C169-B170)/C169)*100</f>
        <v/>
      </c>
      <c r="K169" s="54" t="n"/>
      <c r="L169" s="55" t="n">
        <v>1.54901960784313</v>
      </c>
      <c r="M169" s="120" t="inlineStr">
        <is>
          <t>Normal</t>
        </is>
      </c>
      <c r="N169" s="55" t="n">
        <v>15.97</v>
      </c>
      <c r="O169" s="57">
        <f>N169/C169</f>
        <v/>
      </c>
      <c r="P169" s="58">
        <f>(Boosters_IOS!B169*100)/Boosters_And!N169</f>
        <v/>
      </c>
      <c r="Q169" s="58">
        <f>Boosters_IOS!B169/(C169+D169)</f>
        <v/>
      </c>
      <c r="R169" s="58">
        <f>Boosters_IOS!N169/B169</f>
        <v/>
      </c>
      <c r="S169" s="55" t="n">
        <v>8.30392156862745</v>
      </c>
      <c r="T169" s="55" t="n">
        <v>121</v>
      </c>
      <c r="U169" s="51" t="n">
        <v>210603.844276755</v>
      </c>
      <c r="V169" s="122" t="n">
        <v>0.001388888888888889</v>
      </c>
      <c r="W169" s="133" t="n">
        <v>490</v>
      </c>
      <c r="X169" s="133" t="n"/>
      <c r="Y169" s="133">
        <f>W169/C169</f>
        <v/>
      </c>
      <c r="Z169" s="133" t="n"/>
      <c r="AA169" s="133" t="n"/>
      <c r="AB169" s="132" t="n"/>
      <c r="AC169" s="132" t="n"/>
      <c r="AD169" s="132" t="n"/>
      <c r="AE169" s="132" t="n"/>
      <c r="AF169" s="132" t="n"/>
      <c r="AG169" s="132" t="n"/>
      <c r="AH169" s="132" t="n"/>
      <c r="AI169" s="132" t="n"/>
      <c r="AJ169" s="132">
        <f>AB169+AC169+AD169+AE169+AF169+AG169+AH169+AI169</f>
        <v/>
      </c>
      <c r="AK169" s="59">
        <f>AL169/C169</f>
        <v/>
      </c>
      <c r="AL169" s="55" t="n">
        <v>24205</v>
      </c>
    </row>
    <row r="170" ht="22.5" customHeight="1" s="150">
      <c r="A170" s="34" t="n">
        <v>168</v>
      </c>
      <c r="B170" s="50" t="n">
        <v>268</v>
      </c>
      <c r="C170" s="50" t="n">
        <v>263</v>
      </c>
      <c r="D170" s="50" t="n">
        <v>52</v>
      </c>
      <c r="E170" s="50" t="n">
        <v>26</v>
      </c>
      <c r="F170" s="51">
        <f>(C170*100)/B170</f>
        <v/>
      </c>
      <c r="G170" s="51">
        <f>(D170*100)/B170</f>
        <v/>
      </c>
      <c r="H170" s="53">
        <f>((B170-B171)/B170)*100</f>
        <v/>
      </c>
      <c r="I170" s="53">
        <f>((B170-C170)/B170)*100</f>
        <v/>
      </c>
      <c r="J170" s="53">
        <f>((C170-B171)/C170)*100</f>
        <v/>
      </c>
      <c r="K170" s="54" t="n"/>
      <c r="L170" s="55" t="n">
        <v>1.0392156862745</v>
      </c>
      <c r="M170" s="128" t="inlineStr">
        <is>
          <t>Normal</t>
        </is>
      </c>
      <c r="N170" s="55" t="n">
        <v>11.48</v>
      </c>
      <c r="O170" s="57">
        <f>N170/C170</f>
        <v/>
      </c>
      <c r="P170" s="58">
        <f>(Boosters_IOS!B170*100)/Boosters_And!N170</f>
        <v/>
      </c>
      <c r="Q170" s="58">
        <f>Boosters_IOS!B170/(C170+D170)</f>
        <v/>
      </c>
      <c r="R170" s="58">
        <f>Boosters_IOS!N170/B170</f>
        <v/>
      </c>
      <c r="S170" s="55" t="n">
        <v>6.87254901960784</v>
      </c>
      <c r="T170" s="55" t="n">
        <v>85</v>
      </c>
      <c r="U170" s="51" t="n">
        <v>223436.105455896</v>
      </c>
      <c r="V170" s="122" t="n">
        <v>0.00150462962962963</v>
      </c>
      <c r="W170" s="133" t="n">
        <v>698</v>
      </c>
      <c r="X170" s="133" t="n"/>
      <c r="Y170" s="133">
        <f>W170/C170</f>
        <v/>
      </c>
      <c r="Z170" s="133" t="n"/>
      <c r="AA170" s="133" t="n"/>
      <c r="AB170" s="132" t="n"/>
      <c r="AC170" s="132" t="n"/>
      <c r="AD170" s="132" t="n"/>
      <c r="AE170" s="132" t="n"/>
      <c r="AF170" s="132" t="n"/>
      <c r="AG170" s="132" t="n"/>
      <c r="AH170" s="132" t="n"/>
      <c r="AI170" s="132" t="n"/>
      <c r="AJ170" s="132">
        <f>AB170+AC170+AD170+AE170+AF170+AG170+AH170+AI170</f>
        <v/>
      </c>
      <c r="AK170" s="59">
        <f>AL170/C170</f>
        <v/>
      </c>
      <c r="AL170" s="55" t="n">
        <v>25705</v>
      </c>
    </row>
    <row r="171" ht="22.5" customHeight="1" s="150">
      <c r="A171" s="34" t="n">
        <v>169</v>
      </c>
      <c r="B171" s="50" t="n">
        <v>276</v>
      </c>
      <c r="C171" s="50" t="n">
        <v>263</v>
      </c>
      <c r="D171" s="50" t="n">
        <v>181</v>
      </c>
      <c r="E171" s="50" t="n">
        <v>155</v>
      </c>
      <c r="F171" s="51">
        <f>(C171*100)/B171</f>
        <v/>
      </c>
      <c r="G171" s="51">
        <f>(D171*100)/B171</f>
        <v/>
      </c>
      <c r="H171" s="134">
        <f>((B171-B172)/B171)*100</f>
        <v/>
      </c>
      <c r="I171" s="53">
        <f>((B171-C171)/B171)*100</f>
        <v/>
      </c>
      <c r="J171" s="53">
        <f>((C171-B172)/C171)*100</f>
        <v/>
      </c>
      <c r="K171" s="54" t="n"/>
      <c r="L171" s="55" t="n">
        <v>2.24509803921568</v>
      </c>
      <c r="M171" s="129" t="inlineStr">
        <is>
          <t>Hard</t>
        </is>
      </c>
      <c r="N171" s="55" t="n">
        <v>53.88</v>
      </c>
      <c r="O171" s="57">
        <f>N171/C171</f>
        <v/>
      </c>
      <c r="P171" s="58">
        <f>(Boosters_IOS!B171*100)/Boosters_And!N171</f>
        <v/>
      </c>
      <c r="Q171" s="58">
        <f>Boosters_IOS!B171/(C171+D171)</f>
        <v/>
      </c>
      <c r="R171" s="58">
        <f>Boosters_IOS!N171/B171</f>
        <v/>
      </c>
      <c r="S171" s="55" t="n">
        <v>4.75490196078431</v>
      </c>
      <c r="T171" s="55" t="n">
        <v>134</v>
      </c>
      <c r="U171" s="51" t="n">
        <v>197405.31554235</v>
      </c>
      <c r="V171" s="122" t="n">
        <v>0.001388888888888889</v>
      </c>
      <c r="W171" s="133" t="n">
        <v>613</v>
      </c>
      <c r="X171" s="133" t="n"/>
      <c r="Y171" s="133">
        <f>W171/C171</f>
        <v/>
      </c>
      <c r="Z171" s="133" t="n"/>
      <c r="AA171" s="133" t="n"/>
      <c r="AB171" s="132" t="n"/>
      <c r="AC171" s="132" t="n"/>
      <c r="AD171" s="132" t="n"/>
      <c r="AE171" s="132" t="n"/>
      <c r="AF171" s="132" t="n"/>
      <c r="AG171" s="132" t="n"/>
      <c r="AH171" s="132" t="n"/>
      <c r="AI171" s="132" t="n"/>
      <c r="AJ171" s="132">
        <f>AB171+AC171+AD171+AE171+AF171+AG171+AH171+AI171</f>
        <v/>
      </c>
      <c r="AK171" s="59">
        <f>AL171/C171</f>
        <v/>
      </c>
      <c r="AL171" s="55" t="n">
        <v>17740</v>
      </c>
    </row>
    <row r="172" ht="22.5" customHeight="1" s="150">
      <c r="A172" s="34" t="n">
        <v>170</v>
      </c>
      <c r="B172" s="50" t="n">
        <v>268</v>
      </c>
      <c r="C172" s="50" t="n">
        <v>268</v>
      </c>
      <c r="D172" s="50" t="n">
        <v>93</v>
      </c>
      <c r="E172" s="50" t="n">
        <v>93</v>
      </c>
      <c r="F172" s="51">
        <f>(C172*100)/B172</f>
        <v/>
      </c>
      <c r="G172" s="51">
        <f>(D172*100)/B172</f>
        <v/>
      </c>
      <c r="H172" s="53">
        <f>((B172-B173)/B172)*100</f>
        <v/>
      </c>
      <c r="I172" s="53">
        <f>((B172-C172)/B172)*100</f>
        <v/>
      </c>
      <c r="J172" s="53">
        <f>((C172-B173)/C172)*100</f>
        <v/>
      </c>
      <c r="K172" s="54" t="n"/>
      <c r="L172" s="55" t="n">
        <v>1.32692307692307</v>
      </c>
      <c r="M172" s="128" t="inlineStr">
        <is>
          <t>Normal</t>
        </is>
      </c>
      <c r="N172" s="55" t="n">
        <v>0</v>
      </c>
      <c r="O172" s="57">
        <f>N172/C172</f>
        <v/>
      </c>
      <c r="P172" s="58">
        <f>(Boosters_IOS!B172*100)/Boosters_And!N172</f>
        <v/>
      </c>
      <c r="Q172" s="58">
        <f>Boosters_IOS!B172/(C172+D172)</f>
        <v/>
      </c>
      <c r="R172" s="58">
        <f>Boosters_IOS!N172/B172</f>
        <v/>
      </c>
      <c r="S172" s="55" t="n">
        <v>3.31730769230769</v>
      </c>
      <c r="T172" s="55" t="n">
        <v>80</v>
      </c>
      <c r="U172" s="51" t="n">
        <v>196541.233633805</v>
      </c>
      <c r="V172" s="122" t="n">
        <v>0.0007523148148148148</v>
      </c>
      <c r="W172" s="133" t="n">
        <v>662</v>
      </c>
      <c r="X172" s="133" t="n"/>
      <c r="Y172" s="133">
        <f>W172/C172</f>
        <v/>
      </c>
      <c r="Z172" s="133" t="n"/>
      <c r="AA172" s="133" t="n"/>
      <c r="AB172" s="132" t="n"/>
      <c r="AC172" s="132" t="n"/>
      <c r="AD172" s="132" t="n"/>
      <c r="AE172" s="132" t="n"/>
      <c r="AF172" s="132" t="n"/>
      <c r="AG172" s="132" t="n"/>
      <c r="AH172" s="132" t="n"/>
      <c r="AI172" s="132" t="n"/>
      <c r="AJ172" s="132">
        <f>AB172+AC172+AD172+AE172+AF172+AG172+AH172+AI172</f>
        <v/>
      </c>
      <c r="AK172" s="59">
        <f>AL172/C172</f>
        <v/>
      </c>
      <c r="AL172" s="55" t="n">
        <v>19670</v>
      </c>
    </row>
    <row r="173" ht="22.5" customHeight="1" s="150">
      <c r="A173" s="34" t="n">
        <v>171</v>
      </c>
      <c r="B173" s="50" t="n">
        <v>271</v>
      </c>
      <c r="C173" s="50" t="n">
        <v>271</v>
      </c>
      <c r="D173" s="50" t="n">
        <v>137</v>
      </c>
      <c r="E173" s="50" t="n">
        <v>111</v>
      </c>
      <c r="F173" s="51">
        <f>(C173*100)/B173</f>
        <v/>
      </c>
      <c r="G173" s="51">
        <f>(D173*100)/B173</f>
        <v/>
      </c>
      <c r="H173" s="53">
        <f>((B173-B174)/B173)*100</f>
        <v/>
      </c>
      <c r="I173" s="53">
        <f>((B173-C173)/B173)*100</f>
        <v/>
      </c>
      <c r="J173" s="53">
        <f>((C173-B174)/C173)*100</f>
        <v/>
      </c>
      <c r="K173" s="54" t="n"/>
      <c r="L173" s="55" t="n">
        <v>1.49523809523809</v>
      </c>
      <c r="M173" s="120" t="inlineStr">
        <is>
          <t>Normal</t>
        </is>
      </c>
      <c r="N173" s="55" t="n">
        <v>6.98</v>
      </c>
      <c r="O173" s="57">
        <f>N173/C173</f>
        <v/>
      </c>
      <c r="P173" s="58">
        <f>(Boosters_IOS!B173*100)/Boosters_And!N173</f>
        <v/>
      </c>
      <c r="Q173" s="58">
        <f>Boosters_IOS!B173/(C173+D173)</f>
        <v/>
      </c>
      <c r="R173" s="58">
        <f>Boosters_IOS!N173/B173</f>
        <v/>
      </c>
      <c r="S173" s="55" t="n">
        <v>4.88571428571428</v>
      </c>
      <c r="T173" s="55" t="n">
        <v>101</v>
      </c>
      <c r="U173" s="51" t="n">
        <v>185669.27768002</v>
      </c>
      <c r="V173" s="122" t="n">
        <v>0.001157407407407407</v>
      </c>
      <c r="W173" s="133" t="n">
        <v>688</v>
      </c>
      <c r="X173" s="133" t="n"/>
      <c r="Y173" s="133">
        <f>W173/C173</f>
        <v/>
      </c>
      <c r="Z173" s="133" t="n"/>
      <c r="AA173" s="133" t="n"/>
      <c r="AB173" s="132" t="n"/>
      <c r="AC173" s="132" t="n"/>
      <c r="AD173" s="132" t="n"/>
      <c r="AE173" s="132" t="n"/>
      <c r="AF173" s="132" t="n"/>
      <c r="AG173" s="132" t="n"/>
      <c r="AH173" s="132" t="n"/>
      <c r="AI173" s="132" t="n"/>
      <c r="AJ173" s="132">
        <f>AB173+AC173+AD173+AE173+AF173+AG173+AH173+AI173</f>
        <v/>
      </c>
      <c r="AK173" s="59">
        <f>AL173/C173</f>
        <v/>
      </c>
      <c r="AL173" s="55" t="n">
        <v>17325</v>
      </c>
    </row>
    <row r="174" ht="22.5" customHeight="1" s="150">
      <c r="A174" s="34" t="n">
        <v>172</v>
      </c>
      <c r="B174" s="50" t="n">
        <v>281</v>
      </c>
      <c r="C174" s="50" t="n">
        <v>268</v>
      </c>
      <c r="D174" s="50" t="n">
        <v>188</v>
      </c>
      <c r="E174" s="50" t="n">
        <v>121</v>
      </c>
      <c r="F174" s="51">
        <f>(C174*100)/B174</f>
        <v/>
      </c>
      <c r="G174" s="51">
        <f>(D174*100)/B174</f>
        <v/>
      </c>
      <c r="H174" s="53">
        <f>((B174-B175)/B174)*100</f>
        <v/>
      </c>
      <c r="I174" s="53">
        <f>((B174-C174)/B174)*100</f>
        <v/>
      </c>
      <c r="J174" s="53">
        <f>((C174-B175)/C174)*100</f>
        <v/>
      </c>
      <c r="K174" s="54" t="n"/>
      <c r="L174" s="55" t="n">
        <v>1.90384615384615</v>
      </c>
      <c r="M174" s="128" t="inlineStr">
        <is>
          <t>Normal</t>
        </is>
      </c>
      <c r="N174" s="55" t="n">
        <v>22.45</v>
      </c>
      <c r="O174" s="57">
        <f>N174/C174</f>
        <v/>
      </c>
      <c r="P174" s="58">
        <f>(Boosters_IOS!B174*100)/Boosters_And!N174</f>
        <v/>
      </c>
      <c r="Q174" s="58">
        <f>Boosters_IOS!B174/(C174+D174)</f>
        <v/>
      </c>
      <c r="R174" s="58">
        <f>Boosters_IOS!N174/B174</f>
        <v/>
      </c>
      <c r="S174" s="55" t="n">
        <v>11.7211538461538</v>
      </c>
      <c r="T174" s="55" t="n">
        <v>142</v>
      </c>
      <c r="U174" s="51" t="n">
        <v>147417.532295767</v>
      </c>
      <c r="V174" s="122" t="n">
        <v>0.001331018518518518</v>
      </c>
      <c r="W174" s="133" t="n">
        <v>822</v>
      </c>
      <c r="X174" s="133" t="n"/>
      <c r="Y174" s="133">
        <f>W174/C174</f>
        <v/>
      </c>
      <c r="Z174" s="133" t="n"/>
      <c r="AA174" s="133" t="n"/>
      <c r="AB174" s="132" t="n"/>
      <c r="AC174" s="132" t="n"/>
      <c r="AD174" s="132" t="n"/>
      <c r="AE174" s="132" t="n"/>
      <c r="AF174" s="132" t="n"/>
      <c r="AG174" s="132" t="n"/>
      <c r="AH174" s="132" t="n"/>
      <c r="AI174" s="132" t="n"/>
      <c r="AJ174" s="132">
        <f>AB174+AC174+AD174+AE174+AF174+AG174+AH174+AI174</f>
        <v/>
      </c>
      <c r="AK174" s="59">
        <f>AL174/C174</f>
        <v/>
      </c>
      <c r="AL174" s="55" t="n">
        <v>14780</v>
      </c>
    </row>
    <row r="175" ht="22.5" customHeight="1" s="150">
      <c r="A175" s="34" t="n">
        <v>173</v>
      </c>
      <c r="B175" s="50" t="n">
        <v>273</v>
      </c>
      <c r="C175" s="50" t="n">
        <v>271</v>
      </c>
      <c r="D175" s="50" t="n">
        <v>147</v>
      </c>
      <c r="E175" s="50" t="n">
        <v>124</v>
      </c>
      <c r="F175" s="51">
        <f>(C175*100)/B175</f>
        <v/>
      </c>
      <c r="G175" s="51">
        <f>(D175*100)/B175</f>
        <v/>
      </c>
      <c r="H175" s="53">
        <f>((B175-B176)/B175)*100</f>
        <v/>
      </c>
      <c r="I175" s="53">
        <f>((B175-C175)/B175)*100</f>
        <v/>
      </c>
      <c r="J175" s="53">
        <f>((C175-B176)/C175)*100</f>
        <v/>
      </c>
      <c r="K175" s="54" t="n"/>
      <c r="L175" s="55" t="n">
        <v>1.78095238095238</v>
      </c>
      <c r="M175" s="120" t="inlineStr">
        <is>
          <t>Normal</t>
        </is>
      </c>
      <c r="N175" s="55" t="n">
        <v>9.970000000000001</v>
      </c>
      <c r="O175" s="57">
        <f>N175/C175</f>
        <v/>
      </c>
      <c r="P175" s="58">
        <f>(Boosters_IOS!B175*100)/Boosters_And!N175</f>
        <v/>
      </c>
      <c r="Q175" s="58">
        <f>Boosters_IOS!B175/(C175+D175)</f>
        <v/>
      </c>
      <c r="R175" s="58">
        <f>Boosters_IOS!N175/B175</f>
        <v/>
      </c>
      <c r="S175" s="55" t="n">
        <v>6.7047619047619</v>
      </c>
      <c r="T175" s="55" t="n">
        <v>121</v>
      </c>
      <c r="U175" s="51" t="n">
        <v>158611.906872143</v>
      </c>
      <c r="V175" s="122" t="n">
        <v>0.001331018518518518</v>
      </c>
      <c r="W175" s="133" t="n">
        <v>380</v>
      </c>
      <c r="X175" s="133" t="n"/>
      <c r="Y175" s="133">
        <f>W175/C175</f>
        <v/>
      </c>
      <c r="Z175" s="133" t="n"/>
      <c r="AA175" s="133" t="n"/>
      <c r="AB175" s="132" t="n"/>
      <c r="AC175" s="132" t="n"/>
      <c r="AD175" s="132" t="n"/>
      <c r="AE175" s="132" t="n"/>
      <c r="AF175" s="132" t="n"/>
      <c r="AG175" s="132" t="n"/>
      <c r="AH175" s="132" t="n"/>
      <c r="AI175" s="132" t="n"/>
      <c r="AJ175" s="132">
        <f>AB175+AC175+AD175+AE175+AF175+AG175+AH175+AI175</f>
        <v/>
      </c>
      <c r="AK175" s="59">
        <f>AL175/C175</f>
        <v/>
      </c>
      <c r="AL175" s="55" t="n">
        <v>13760</v>
      </c>
    </row>
    <row r="176" ht="22.5" customHeight="1" s="150">
      <c r="A176" s="34" t="n">
        <v>174</v>
      </c>
      <c r="B176" s="50" t="n">
        <v>271</v>
      </c>
      <c r="C176" s="50" t="n">
        <v>271</v>
      </c>
      <c r="D176" s="50" t="n">
        <v>62</v>
      </c>
      <c r="E176" s="50" t="n">
        <v>41</v>
      </c>
      <c r="F176" s="51">
        <f>(C176*100)/B176</f>
        <v/>
      </c>
      <c r="G176" s="51">
        <f>(D176*100)/B176</f>
        <v/>
      </c>
      <c r="H176" s="53">
        <f>((B176-B177)/B176)*100</f>
        <v/>
      </c>
      <c r="I176" s="53">
        <f>((B176-C176)/B176)*100</f>
        <v/>
      </c>
      <c r="J176" s="53">
        <f>((C176-B177)/C176)*100</f>
        <v/>
      </c>
      <c r="K176" s="54" t="n"/>
      <c r="L176" s="55" t="n">
        <v>1.14285714285714</v>
      </c>
      <c r="M176" s="128" t="inlineStr">
        <is>
          <t>Normal</t>
        </is>
      </c>
      <c r="N176" s="55" t="n">
        <v>4.99</v>
      </c>
      <c r="O176" s="57">
        <f>N176/C176</f>
        <v/>
      </c>
      <c r="P176" s="58">
        <f>(Boosters_IOS!B176*100)/Boosters_And!N176</f>
        <v/>
      </c>
      <c r="Q176" s="58">
        <f>Boosters_IOS!B176/(C176+D176)</f>
        <v/>
      </c>
      <c r="R176" s="58">
        <f>Boosters_IOS!N176/B176</f>
        <v/>
      </c>
      <c r="S176" s="55" t="n">
        <v>7.45714285714285</v>
      </c>
      <c r="T176" s="55" t="n">
        <v>75</v>
      </c>
      <c r="U176" s="51" t="n">
        <v>178743.725666755</v>
      </c>
      <c r="V176" s="122" t="n">
        <v>0.00150462962962963</v>
      </c>
      <c r="W176" s="133" t="n">
        <v>328</v>
      </c>
      <c r="X176" s="133" t="n"/>
      <c r="Y176" s="133">
        <f>W176/C176</f>
        <v/>
      </c>
      <c r="Z176" s="133" t="n"/>
      <c r="AA176" s="133" t="n"/>
      <c r="AB176" s="132" t="n"/>
      <c r="AC176" s="132" t="n"/>
      <c r="AD176" s="132" t="n"/>
      <c r="AE176" s="132" t="n"/>
      <c r="AF176" s="132" t="n"/>
      <c r="AG176" s="132" t="n"/>
      <c r="AH176" s="132" t="n"/>
      <c r="AI176" s="132" t="n"/>
      <c r="AJ176" s="132">
        <f>AB176+AC176+AD176+AE176+AF176+AG176+AH176+AI176</f>
        <v/>
      </c>
      <c r="AK176" s="59">
        <f>AL176/C176</f>
        <v/>
      </c>
      <c r="AL176" s="55" t="n">
        <v>20965</v>
      </c>
    </row>
    <row r="177" ht="22.5" customHeight="1" s="150">
      <c r="A177" s="34" t="n">
        <v>175</v>
      </c>
      <c r="B177" s="50" t="n">
        <v>276</v>
      </c>
      <c r="C177" s="50" t="n">
        <v>261</v>
      </c>
      <c r="D177" s="50" t="n">
        <v>181</v>
      </c>
      <c r="E177" s="50" t="n">
        <v>150</v>
      </c>
      <c r="F177" s="51">
        <f>(C177*100)/B177</f>
        <v/>
      </c>
      <c r="G177" s="51">
        <f>(D177*100)/B177</f>
        <v/>
      </c>
      <c r="H177" s="53">
        <f>((B177-B178)/B177)*100</f>
        <v/>
      </c>
      <c r="I177" s="53">
        <f>((B177-C177)/B177)*100</f>
        <v/>
      </c>
      <c r="J177" s="53">
        <f>((C177-B178)/C177)*100</f>
        <v/>
      </c>
      <c r="K177" s="54" t="n"/>
      <c r="L177" s="55" t="n">
        <v>1.75247524752475</v>
      </c>
      <c r="M177" s="129" t="inlineStr">
        <is>
          <t>Hard</t>
        </is>
      </c>
      <c r="N177" s="55" t="n">
        <v>44.51000000000001</v>
      </c>
      <c r="O177" s="57">
        <f>N177/C177</f>
        <v/>
      </c>
      <c r="P177" s="58">
        <f>(Boosters_IOS!B177*100)/Boosters_And!N177</f>
        <v/>
      </c>
      <c r="Q177" s="58">
        <f>Boosters_IOS!B177/(C177+D177)</f>
        <v/>
      </c>
      <c r="R177" s="58">
        <f>Boosters_IOS!N177/B177</f>
        <v/>
      </c>
      <c r="S177" s="55" t="n">
        <v>9.574257425742569</v>
      </c>
      <c r="T177" s="55" t="n">
        <v>150</v>
      </c>
      <c r="U177" s="51" t="n">
        <v>163319.218761979</v>
      </c>
      <c r="V177" s="122" t="n">
        <v>0.001041666666666667</v>
      </c>
      <c r="W177" s="133" t="n">
        <v>335</v>
      </c>
      <c r="X177" s="133" t="n"/>
      <c r="Y177" s="133">
        <f>W177/C177</f>
        <v/>
      </c>
      <c r="Z177" s="133" t="n"/>
      <c r="AA177" s="133" t="n"/>
      <c r="AB177" s="132" t="n"/>
      <c r="AC177" s="132" t="n"/>
      <c r="AD177" s="132" t="n"/>
      <c r="AE177" s="132" t="n"/>
      <c r="AF177" s="132" t="n"/>
      <c r="AG177" s="132" t="n"/>
      <c r="AH177" s="132" t="n"/>
      <c r="AI177" s="132" t="n"/>
      <c r="AJ177" s="132">
        <f>AB177+AC177+AD177+AE177+AF177+AG177+AH177+AI177</f>
        <v/>
      </c>
      <c r="AK177" s="59">
        <f>AL177/C177</f>
        <v/>
      </c>
      <c r="AL177" s="55" t="n">
        <v>24595</v>
      </c>
    </row>
    <row r="178" ht="22.5" customHeight="1" s="150">
      <c r="A178" s="34" t="n">
        <v>176</v>
      </c>
      <c r="B178" s="50" t="n">
        <v>250</v>
      </c>
      <c r="C178" s="50" t="n">
        <v>235</v>
      </c>
      <c r="D178" s="50" t="n">
        <v>129</v>
      </c>
      <c r="E178" s="50" t="n">
        <v>124</v>
      </c>
      <c r="F178" s="51">
        <f>(C178*100)/B178</f>
        <v/>
      </c>
      <c r="G178" s="51">
        <f>(D178*100)/B178</f>
        <v/>
      </c>
      <c r="H178" s="53">
        <f>((B178-B179)/B178)*100</f>
        <v/>
      </c>
      <c r="I178" s="53">
        <f>((B178-C178)/B178)*100</f>
        <v/>
      </c>
      <c r="J178" s="53">
        <f>((C178-B179)/C178)*100</f>
        <v/>
      </c>
      <c r="K178" s="54" t="n"/>
      <c r="L178" s="55" t="n">
        <v>1.79120879120879</v>
      </c>
      <c r="M178" s="127" t="inlineStr">
        <is>
          <t>Hard</t>
        </is>
      </c>
      <c r="N178" s="55" t="n">
        <v>33.8</v>
      </c>
      <c r="O178" s="57">
        <f>N178/C178</f>
        <v/>
      </c>
      <c r="P178" s="58">
        <f>(Boosters_IOS!B178*100)/Boosters_And!N178</f>
        <v/>
      </c>
      <c r="Q178" s="58">
        <f>Boosters_IOS!B178/(C178+D178)</f>
        <v/>
      </c>
      <c r="R178" s="58">
        <f>Boosters_IOS!N178/B178</f>
        <v/>
      </c>
      <c r="S178" s="55" t="n">
        <v>8.23076923076923</v>
      </c>
      <c r="T178" s="55" t="n">
        <v>129</v>
      </c>
      <c r="U178" s="51" t="n">
        <v>175829.061318528</v>
      </c>
      <c r="V178" s="122" t="n">
        <v>0.001388888888888889</v>
      </c>
      <c r="W178" s="133" t="n">
        <v>161</v>
      </c>
      <c r="X178" s="133" t="n"/>
      <c r="Y178" s="133">
        <f>W178/C178</f>
        <v/>
      </c>
      <c r="Z178" s="133" t="n"/>
      <c r="AA178" s="133" t="n"/>
      <c r="AB178" s="132" t="n"/>
      <c r="AC178" s="132" t="n"/>
      <c r="AD178" s="132" t="n"/>
      <c r="AE178" s="132" t="n"/>
      <c r="AF178" s="132" t="n"/>
      <c r="AG178" s="132" t="n"/>
      <c r="AH178" s="132" t="n"/>
      <c r="AI178" s="132" t="n"/>
      <c r="AJ178" s="132">
        <f>AB178+AC178+AD178+AE178+AF178+AG178+AH178+AI178</f>
        <v/>
      </c>
      <c r="AK178" s="59">
        <f>AL178/C178</f>
        <v/>
      </c>
      <c r="AL178" s="55" t="n">
        <v>28550</v>
      </c>
    </row>
    <row r="179" ht="22.5" customHeight="1" s="150">
      <c r="A179" s="34" t="n">
        <v>177</v>
      </c>
      <c r="B179" s="50" t="n">
        <v>242</v>
      </c>
      <c r="C179" s="50" t="n">
        <v>209</v>
      </c>
      <c r="D179" s="50" t="n">
        <v>168</v>
      </c>
      <c r="E179" s="50" t="n">
        <v>160</v>
      </c>
      <c r="F179" s="51">
        <f>(C179*100)/B179</f>
        <v/>
      </c>
      <c r="G179" s="51">
        <f>(D179*100)/B179</f>
        <v/>
      </c>
      <c r="H179" s="53">
        <f>((B179-B180)/B179)*100</f>
        <v/>
      </c>
      <c r="I179" s="53">
        <f>((B179-C179)/B179)*100</f>
        <v/>
      </c>
      <c r="J179" s="53">
        <f>((C179-B180)/C179)*100</f>
        <v/>
      </c>
      <c r="K179" s="54" t="n"/>
      <c r="L179" s="55" t="n">
        <v>2.82716049382716</v>
      </c>
      <c r="M179" s="120" t="inlineStr">
        <is>
          <t>Normal</t>
        </is>
      </c>
      <c r="N179" s="55" t="n">
        <v>115.97</v>
      </c>
      <c r="O179" s="57">
        <f>N179/C179</f>
        <v/>
      </c>
      <c r="P179" s="58">
        <f>(Boosters_IOS!B179*100)/Boosters_And!N179</f>
        <v/>
      </c>
      <c r="Q179" s="58">
        <f>Boosters_IOS!B179/(C179+D179)</f>
        <v/>
      </c>
      <c r="R179" s="58">
        <f>Boosters_IOS!N179/B179</f>
        <v/>
      </c>
      <c r="S179" s="55" t="n">
        <v>7.12345679012345</v>
      </c>
      <c r="T179" s="55" t="n">
        <v>137</v>
      </c>
      <c r="U179" s="51" t="n">
        <v>125583.343173872</v>
      </c>
      <c r="V179" s="122" t="n">
        <v>0.002199074074074074</v>
      </c>
      <c r="W179" s="133" t="n">
        <v>313</v>
      </c>
      <c r="X179" s="133" t="n"/>
      <c r="Y179" s="133">
        <f>W179/C179</f>
        <v/>
      </c>
      <c r="Z179" s="133" t="n"/>
      <c r="AA179" s="133" t="n"/>
      <c r="AB179" s="132" t="n"/>
      <c r="AC179" s="132" t="n"/>
      <c r="AD179" s="132" t="n"/>
      <c r="AE179" s="132" t="n"/>
      <c r="AF179" s="132" t="n"/>
      <c r="AG179" s="132" t="n"/>
      <c r="AH179" s="132" t="n"/>
      <c r="AI179" s="132" t="n"/>
      <c r="AJ179" s="132">
        <f>AB179+AC179+AD179+AE179+AF179+AG179+AH179+AI179</f>
        <v/>
      </c>
      <c r="AK179" s="59">
        <f>AL179/C179</f>
        <v/>
      </c>
      <c r="AL179" s="55" t="n">
        <v>25590</v>
      </c>
    </row>
    <row r="180" ht="22.5" customHeight="1" s="150">
      <c r="A180" s="34" t="n">
        <v>178</v>
      </c>
      <c r="B180" s="50" t="n">
        <v>217</v>
      </c>
      <c r="C180" s="50" t="n">
        <v>204</v>
      </c>
      <c r="D180" s="50" t="n">
        <v>101</v>
      </c>
      <c r="E180" s="50" t="n">
        <v>98</v>
      </c>
      <c r="F180" s="51">
        <f>(C180*100)/B180</f>
        <v/>
      </c>
      <c r="G180" s="51">
        <f>(D180*100)/B180</f>
        <v/>
      </c>
      <c r="H180" s="53">
        <f>((B180-B181)/B180)*100</f>
        <v/>
      </c>
      <c r="I180" s="53">
        <f>((B180-C180)/B180)*100</f>
        <v/>
      </c>
      <c r="J180" s="53">
        <f>((C180-B181)/C180)*100</f>
        <v/>
      </c>
      <c r="K180" s="54" t="n"/>
      <c r="L180" s="55" t="n">
        <v>1.27848101265822</v>
      </c>
      <c r="M180" s="128" t="inlineStr">
        <is>
          <t>Normal</t>
        </is>
      </c>
      <c r="N180" s="55" t="n">
        <v>18.47</v>
      </c>
      <c r="O180" s="57">
        <f>N180/C180</f>
        <v/>
      </c>
      <c r="P180" s="58">
        <f>(Boosters_IOS!B180*100)/Boosters_And!N180</f>
        <v/>
      </c>
      <c r="Q180" s="58">
        <f>Boosters_IOS!B180/(C180+D180)</f>
        <v/>
      </c>
      <c r="R180" s="58">
        <f>Boosters_IOS!N180/B180</f>
        <v/>
      </c>
      <c r="S180" s="55" t="n">
        <v>7.56962025316455</v>
      </c>
      <c r="T180" s="55" t="n">
        <v>98</v>
      </c>
      <c r="U180" s="51" t="n">
        <v>128910.703359016</v>
      </c>
      <c r="V180" s="122" t="n">
        <v>0.001736111111111111</v>
      </c>
      <c r="W180" s="133" t="n">
        <v>339</v>
      </c>
      <c r="X180" s="133" t="n"/>
      <c r="Y180" s="133">
        <f>W180/C180</f>
        <v/>
      </c>
      <c r="Z180" s="133" t="n"/>
      <c r="AA180" s="133" t="n"/>
      <c r="AB180" s="132" t="n"/>
      <c r="AC180" s="132" t="n"/>
      <c r="AD180" s="132" t="n"/>
      <c r="AE180" s="132" t="n"/>
      <c r="AF180" s="132" t="n"/>
      <c r="AG180" s="132" t="n"/>
      <c r="AH180" s="132" t="n"/>
      <c r="AI180" s="132" t="n"/>
      <c r="AJ180" s="132">
        <f>AB180+AC180+AD180+AE180+AF180+AG180+AH180+AI180</f>
        <v/>
      </c>
      <c r="AK180" s="59">
        <f>AL180/C180</f>
        <v/>
      </c>
      <c r="AL180" s="55" t="n">
        <v>22435</v>
      </c>
    </row>
    <row r="181" ht="22.5" customHeight="1" s="150">
      <c r="A181" s="34" t="n">
        <v>179</v>
      </c>
      <c r="B181" s="50" t="n">
        <v>204</v>
      </c>
      <c r="C181" s="50" t="n">
        <v>201</v>
      </c>
      <c r="D181" s="50" t="n">
        <v>108</v>
      </c>
      <c r="E181" s="50" t="n">
        <v>83</v>
      </c>
      <c r="F181" s="51">
        <f>(C181*100)/B181</f>
        <v/>
      </c>
      <c r="G181" s="51">
        <f>(D181*100)/B181</f>
        <v/>
      </c>
      <c r="H181" s="53">
        <f>((B181-B182)/B181)*100</f>
        <v/>
      </c>
      <c r="I181" s="53">
        <f>((B181-C181)/B181)*100</f>
        <v/>
      </c>
      <c r="J181" s="53">
        <f>((C181-B182)/C181)*100</f>
        <v/>
      </c>
      <c r="K181" s="54" t="n"/>
      <c r="L181" s="55" t="n">
        <v>1.48717948717948</v>
      </c>
      <c r="M181" s="120" t="inlineStr">
        <is>
          <t>Normal</t>
        </is>
      </c>
      <c r="N181" s="55" t="n">
        <v>45.16</v>
      </c>
      <c r="O181" s="57">
        <f>N181/C181</f>
        <v/>
      </c>
      <c r="P181" s="58">
        <f>(Boosters_IOS!B181*100)/Boosters_And!N181</f>
        <v/>
      </c>
      <c r="Q181" s="58">
        <f>Boosters_IOS!B181/(C181+D181)</f>
        <v/>
      </c>
      <c r="R181" s="58">
        <f>Boosters_IOS!N181/B181</f>
        <v/>
      </c>
      <c r="S181" s="55" t="n">
        <v>10.7692307692307</v>
      </c>
      <c r="T181" s="55" t="n">
        <v>113</v>
      </c>
      <c r="U181" s="51" t="n">
        <v>137654.696403697</v>
      </c>
      <c r="V181" s="122" t="n">
        <v>0.001099537037037037</v>
      </c>
      <c r="W181" s="133" t="n">
        <v>452</v>
      </c>
      <c r="X181" s="133" t="n"/>
      <c r="Y181" s="133">
        <f>W181/C181</f>
        <v/>
      </c>
      <c r="Z181" s="133" t="n"/>
      <c r="AA181" s="133" t="n"/>
      <c r="AB181" s="132" t="n"/>
      <c r="AC181" s="132" t="n"/>
      <c r="AD181" s="132" t="n"/>
      <c r="AE181" s="132" t="n"/>
      <c r="AF181" s="132" t="n"/>
      <c r="AG181" s="132" t="n"/>
      <c r="AH181" s="132" t="n"/>
      <c r="AI181" s="132" t="n"/>
      <c r="AJ181" s="132">
        <f>AB181+AC181+AD181+AE181+AF181+AG181+AH181+AI181</f>
        <v/>
      </c>
      <c r="AK181" s="59">
        <f>AL181/C181</f>
        <v/>
      </c>
      <c r="AL181" s="55" t="n">
        <v>21505</v>
      </c>
    </row>
    <row r="182" ht="22.5" customHeight="1" s="150">
      <c r="A182" s="34" t="n">
        <v>180</v>
      </c>
      <c r="B182" s="50" t="n">
        <v>201</v>
      </c>
      <c r="C182" s="50" t="n">
        <v>199</v>
      </c>
      <c r="D182" s="50" t="n">
        <v>31</v>
      </c>
      <c r="E182" s="50" t="n">
        <v>10</v>
      </c>
      <c r="F182" s="51">
        <f>(C182*100)/B182</f>
        <v/>
      </c>
      <c r="G182" s="51">
        <f>(D182*100)/B182</f>
        <v/>
      </c>
      <c r="H182" s="53">
        <f>((B182-B183)/B182)*100</f>
        <v/>
      </c>
      <c r="I182" s="53">
        <f>((B182-C182)/B182)*100</f>
        <v/>
      </c>
      <c r="J182" s="53">
        <f>((C182-B183)/C182)*100</f>
        <v/>
      </c>
      <c r="K182" s="54" t="n"/>
      <c r="L182" s="55" t="n">
        <v>1.02597402597402</v>
      </c>
      <c r="M182" s="128" t="inlineStr">
        <is>
          <t>Normal</t>
        </is>
      </c>
      <c r="N182" s="55" t="n">
        <v>0</v>
      </c>
      <c r="O182" s="57">
        <f>N182/C182</f>
        <v/>
      </c>
      <c r="P182" s="58">
        <f>(Boosters_IOS!B182*100)/Boosters_And!N182</f>
        <v/>
      </c>
      <c r="Q182" s="58">
        <f>Boosters_IOS!B182/(C182+D182)</f>
        <v/>
      </c>
      <c r="R182" s="58">
        <f>Boosters_IOS!N182/B182</f>
        <v/>
      </c>
      <c r="S182" s="55" t="n">
        <v>8.935064935064929</v>
      </c>
      <c r="T182" s="55" t="n">
        <v>83</v>
      </c>
      <c r="U182" s="51" t="n">
        <v>145560.40102964</v>
      </c>
      <c r="V182" s="122" t="n">
        <v>0.001041666666666667</v>
      </c>
      <c r="W182" s="133" t="n">
        <v>232</v>
      </c>
      <c r="X182" s="133" t="n"/>
      <c r="Y182" s="133">
        <f>W182/C182</f>
        <v/>
      </c>
      <c r="Z182" s="133" t="n"/>
      <c r="AA182" s="133" t="n"/>
      <c r="AB182" s="132" t="n"/>
      <c r="AC182" s="132" t="n"/>
      <c r="AD182" s="132" t="n"/>
      <c r="AE182" s="132" t="n"/>
      <c r="AF182" s="132" t="n"/>
      <c r="AG182" s="132" t="n"/>
      <c r="AH182" s="132" t="n"/>
      <c r="AI182" s="132" t="n"/>
      <c r="AJ182" s="132">
        <f>AB182+AC182+AD182+AE182+AF182+AG182+AH182+AI182</f>
        <v/>
      </c>
      <c r="AK182" s="59">
        <f>AL182/C182</f>
        <v/>
      </c>
      <c r="AL182" s="55" t="n">
        <v>25000</v>
      </c>
    </row>
    <row r="183" ht="22.5" customHeight="1" s="150">
      <c r="A183" s="34" t="n">
        <v>181</v>
      </c>
      <c r="B183" s="50" t="n">
        <v>199</v>
      </c>
      <c r="C183" s="50" t="n">
        <v>193</v>
      </c>
      <c r="D183" s="50" t="n">
        <v>124</v>
      </c>
      <c r="E183" s="50" t="n">
        <v>93</v>
      </c>
      <c r="F183" s="51">
        <f>(C183*100)/B183</f>
        <v/>
      </c>
      <c r="G183" s="51">
        <f>(D183*100)/B183</f>
        <v/>
      </c>
      <c r="H183" s="53">
        <f>((B183-B184)/B183)*100</f>
        <v/>
      </c>
      <c r="I183" s="53">
        <f>((B183-C183)/B183)*100</f>
        <v/>
      </c>
      <c r="J183" s="53">
        <f>((C183-B184)/C183)*100</f>
        <v/>
      </c>
      <c r="K183" s="54" t="n"/>
      <c r="L183" s="55" t="n">
        <v>2.05333333333333</v>
      </c>
      <c r="M183" s="129" t="inlineStr">
        <is>
          <t>Hard</t>
        </is>
      </c>
      <c r="N183" s="55" t="n">
        <v>26.81</v>
      </c>
      <c r="O183" s="57">
        <f>N183/C183</f>
        <v/>
      </c>
      <c r="P183" s="58">
        <f>(Boosters_IOS!B183*100)/Boosters_And!N183</f>
        <v/>
      </c>
      <c r="Q183" s="58">
        <f>Boosters_IOS!B183/(C183+D183)</f>
        <v/>
      </c>
      <c r="R183" s="58">
        <f>Boosters_IOS!N183/B183</f>
        <v/>
      </c>
      <c r="S183" s="55" t="n">
        <v>8.30666666666666</v>
      </c>
      <c r="T183" s="55" t="n">
        <v>111</v>
      </c>
      <c r="U183" s="51" t="n">
        <v>112738.185249827</v>
      </c>
      <c r="V183" s="122" t="n">
        <v>0.001909722222222222</v>
      </c>
      <c r="W183" s="133" t="n">
        <v>470</v>
      </c>
      <c r="X183" s="133" t="n"/>
      <c r="Y183" s="133">
        <f>W183/C183</f>
        <v/>
      </c>
      <c r="Z183" s="133" t="n"/>
      <c r="AA183" s="133" t="n"/>
      <c r="AB183" s="132" t="n"/>
      <c r="AC183" s="132" t="n"/>
      <c r="AD183" s="132" t="n"/>
      <c r="AE183" s="132" t="n"/>
      <c r="AF183" s="132" t="n"/>
      <c r="AG183" s="132" t="n"/>
      <c r="AH183" s="132" t="n"/>
      <c r="AI183" s="132" t="n"/>
      <c r="AJ183" s="132">
        <f>AB183+AC183+AD183+AE183+AF183+AG183+AH183+AI183</f>
        <v/>
      </c>
      <c r="AK183" s="59">
        <f>AL183/C183</f>
        <v/>
      </c>
      <c r="AL183" s="55" t="n">
        <v>22090</v>
      </c>
    </row>
    <row r="184" ht="22.5" customHeight="1" s="150">
      <c r="A184" s="34" t="n">
        <v>182</v>
      </c>
      <c r="B184" s="50" t="n">
        <v>193</v>
      </c>
      <c r="C184" s="50" t="n">
        <v>193</v>
      </c>
      <c r="D184" s="50" t="n">
        <v>119</v>
      </c>
      <c r="E184" s="50" t="n">
        <v>103</v>
      </c>
      <c r="F184" s="51">
        <f>(C184*100)/B184</f>
        <v/>
      </c>
      <c r="G184" s="51">
        <f>(D184*100)/B184</f>
        <v/>
      </c>
      <c r="H184" s="53">
        <f>((B184-B185)/B184)*100</f>
        <v/>
      </c>
      <c r="I184" s="53">
        <f>((B184-C184)/B184)*100</f>
        <v/>
      </c>
      <c r="J184" s="53">
        <f>((C184-B185)/C184)*100</f>
        <v/>
      </c>
      <c r="K184" s="54" t="n"/>
      <c r="L184" s="55" t="n">
        <v>1.66666666666666</v>
      </c>
      <c r="M184" s="127" t="inlineStr">
        <is>
          <t>Hard</t>
        </is>
      </c>
      <c r="N184" s="55" t="n">
        <v>50.89</v>
      </c>
      <c r="O184" s="57">
        <f>N184/C184</f>
        <v/>
      </c>
      <c r="P184" s="58">
        <f>(Boosters_IOS!B184*100)/Boosters_And!N184</f>
        <v/>
      </c>
      <c r="Q184" s="58">
        <f>Boosters_IOS!B184/(C184+D184)</f>
        <v/>
      </c>
      <c r="R184" s="58">
        <f>Boosters_IOS!N184/B184</f>
        <v/>
      </c>
      <c r="S184" s="55" t="n">
        <v>4.72</v>
      </c>
      <c r="T184" s="55" t="n">
        <v>113</v>
      </c>
      <c r="U184" s="51" t="n">
        <v>112802.668974345</v>
      </c>
      <c r="V184" s="122" t="n">
        <v>0.001388888888888889</v>
      </c>
      <c r="W184" s="133" t="n">
        <v>421</v>
      </c>
      <c r="X184" s="133" t="n"/>
      <c r="Y184" s="133">
        <f>W184/C184</f>
        <v/>
      </c>
      <c r="Z184" s="133" t="n"/>
      <c r="AA184" s="133" t="n"/>
      <c r="AB184" s="132" t="n"/>
      <c r="AC184" s="132" t="n"/>
      <c r="AD184" s="132" t="n"/>
      <c r="AE184" s="132" t="n"/>
      <c r="AF184" s="132" t="n"/>
      <c r="AG184" s="132" t="n"/>
      <c r="AH184" s="132" t="n"/>
      <c r="AI184" s="132" t="n"/>
      <c r="AJ184" s="132">
        <f>AB184+AC184+AD184+AE184+AF184+AG184+AH184+AI184</f>
        <v/>
      </c>
      <c r="AK184" s="59">
        <f>AL184/C184</f>
        <v/>
      </c>
      <c r="AL184" s="55" t="n">
        <v>21975</v>
      </c>
    </row>
    <row r="185" ht="22.5" customHeight="1" s="150">
      <c r="A185" s="34" t="n">
        <v>183</v>
      </c>
      <c r="B185" s="50" t="n">
        <v>193</v>
      </c>
      <c r="C185" s="50" t="n">
        <v>193</v>
      </c>
      <c r="D185" s="50" t="n">
        <v>44</v>
      </c>
      <c r="E185" s="50" t="n">
        <v>21</v>
      </c>
      <c r="F185" s="51">
        <f>(C185*100)/B185</f>
        <v/>
      </c>
      <c r="G185" s="51">
        <f>(D185*100)/B185</f>
        <v/>
      </c>
      <c r="H185" s="53">
        <f>((B185-B186)/B185)*100</f>
        <v/>
      </c>
      <c r="I185" s="53">
        <f>((B185-C185)/B185)*100</f>
        <v/>
      </c>
      <c r="J185" s="53">
        <f>((C185-B186)/C185)*100</f>
        <v/>
      </c>
      <c r="K185" s="54" t="n"/>
      <c r="L185" s="55" t="n">
        <v>1.11999999999999</v>
      </c>
      <c r="M185" s="120" t="inlineStr">
        <is>
          <t>Normal</t>
        </is>
      </c>
      <c r="N185" s="55" t="n">
        <v>4.49</v>
      </c>
      <c r="O185" s="57">
        <f>N185/C185</f>
        <v/>
      </c>
      <c r="P185" s="58">
        <f>(Boosters_IOS!B185*100)/Boosters_And!N185</f>
        <v/>
      </c>
      <c r="Q185" s="58">
        <f>Boosters_IOS!B185/(C185+D185)</f>
        <v/>
      </c>
      <c r="R185" s="58">
        <f>Boosters_IOS!N185/B185</f>
        <v/>
      </c>
      <c r="S185" s="55" t="n">
        <v>11.3066666666666</v>
      </c>
      <c r="T185" s="55" t="n">
        <v>72</v>
      </c>
      <c r="U185" s="51" t="n">
        <v>114221.310913748</v>
      </c>
      <c r="V185" s="122" t="n">
        <v>0.00162037037037037</v>
      </c>
      <c r="W185" s="133" t="n">
        <v>348</v>
      </c>
      <c r="X185" s="133" t="n"/>
      <c r="Y185" s="133">
        <f>W185/C185</f>
        <v/>
      </c>
      <c r="Z185" s="133" t="n"/>
      <c r="AA185" s="133" t="n"/>
      <c r="AB185" s="132" t="n"/>
      <c r="AC185" s="132" t="n"/>
      <c r="AD185" s="132" t="n"/>
      <c r="AE185" s="132" t="n"/>
      <c r="AF185" s="132" t="n"/>
      <c r="AG185" s="132" t="n"/>
      <c r="AH185" s="132" t="n"/>
      <c r="AI185" s="132" t="n"/>
      <c r="AJ185" s="132">
        <f>AB185+AC185+AD185+AE185+AF185+AG185+AH185+AI185</f>
        <v/>
      </c>
      <c r="AK185" s="59">
        <f>AL185/C185</f>
        <v/>
      </c>
      <c r="AL185" s="55" t="n">
        <v>18345</v>
      </c>
    </row>
    <row r="186" ht="22.5" customHeight="1" s="150">
      <c r="A186" s="34" t="n">
        <v>184</v>
      </c>
      <c r="B186" s="50" t="n">
        <v>196</v>
      </c>
      <c r="C186" s="50" t="n">
        <v>196</v>
      </c>
      <c r="D186" s="50" t="n">
        <v>13</v>
      </c>
      <c r="E186" s="50" t="n">
        <v>15</v>
      </c>
      <c r="F186" s="51">
        <f>(C186*100)/B186</f>
        <v/>
      </c>
      <c r="G186" s="51">
        <f>(D186*100)/B186</f>
        <v/>
      </c>
      <c r="H186" s="134">
        <f>((B186-B187)/B186)*100</f>
        <v/>
      </c>
      <c r="I186" s="53">
        <f>((B186-C186)/B186)*100</f>
        <v/>
      </c>
      <c r="J186" s="53">
        <f>((C186-B187)/C186)*100</f>
        <v/>
      </c>
      <c r="K186" s="54" t="n"/>
      <c r="L186" s="55" t="n">
        <v>1.06578947368421</v>
      </c>
      <c r="M186" s="128" t="inlineStr">
        <is>
          <t>Normal</t>
        </is>
      </c>
      <c r="N186" s="55" t="n">
        <v>6.49</v>
      </c>
      <c r="O186" s="57">
        <f>N186/C186</f>
        <v/>
      </c>
      <c r="P186" s="58">
        <f>(Boosters_IOS!B186*100)/Boosters_And!N186</f>
        <v/>
      </c>
      <c r="Q186" s="58">
        <f>Boosters_IOS!B186/(C186+D186)</f>
        <v/>
      </c>
      <c r="R186" s="58">
        <f>Boosters_IOS!N186/B186</f>
        <v/>
      </c>
      <c r="S186" s="55" t="n">
        <v>5.11842105263157</v>
      </c>
      <c r="T186" s="55" t="n">
        <v>57</v>
      </c>
      <c r="U186" s="51" t="n">
        <v>126821.430684623</v>
      </c>
      <c r="V186" s="122" t="n">
        <v>0.001388888888888889</v>
      </c>
      <c r="W186" s="133" t="n">
        <v>371</v>
      </c>
      <c r="X186" s="133" t="n"/>
      <c r="Y186" s="133">
        <f>W186/C186</f>
        <v/>
      </c>
      <c r="Z186" s="133" t="n"/>
      <c r="AA186" s="133" t="n"/>
      <c r="AB186" s="132" t="n"/>
      <c r="AC186" s="132" t="n"/>
      <c r="AD186" s="132" t="n"/>
      <c r="AE186" s="132" t="n"/>
      <c r="AF186" s="132" t="n"/>
      <c r="AG186" s="132" t="n"/>
      <c r="AH186" s="132" t="n"/>
      <c r="AI186" s="132" t="n"/>
      <c r="AJ186" s="132">
        <f>AB186+AC186+AD186+AE186+AF186+AG186+AH186+AI186</f>
        <v/>
      </c>
      <c r="AK186" s="59">
        <f>AL186/C186</f>
        <v/>
      </c>
      <c r="AL186" s="55" t="n">
        <v>20345</v>
      </c>
    </row>
    <row r="187" ht="22.5" customHeight="1" s="150">
      <c r="A187" s="34" t="n">
        <v>185</v>
      </c>
      <c r="B187" s="50" t="n">
        <v>196</v>
      </c>
      <c r="C187" s="50" t="n">
        <v>193</v>
      </c>
      <c r="D187" s="50" t="n">
        <v>41</v>
      </c>
      <c r="E187" s="50" t="n">
        <v>26</v>
      </c>
      <c r="F187" s="51">
        <f>(C187*100)/B187</f>
        <v/>
      </c>
      <c r="G187" s="51">
        <f>(D187*100)/B187</f>
        <v/>
      </c>
      <c r="H187" s="53">
        <f>((B187-B188)/B187)*100</f>
        <v/>
      </c>
      <c r="I187" s="53">
        <f>((B187-C187)/B187)*100</f>
        <v/>
      </c>
      <c r="J187" s="53">
        <f>((C187-B188)/C187)*100</f>
        <v/>
      </c>
      <c r="K187" s="54" t="n"/>
      <c r="L187" s="55" t="n">
        <v>1.10666666666666</v>
      </c>
      <c r="M187" s="120" t="inlineStr">
        <is>
          <t>Normal</t>
        </is>
      </c>
      <c r="N187" s="55" t="n">
        <v>0</v>
      </c>
      <c r="O187" s="57">
        <f>N187/C187</f>
        <v/>
      </c>
      <c r="P187" s="58">
        <f>(Boosters_IOS!B187*100)/Boosters_And!N187</f>
        <v/>
      </c>
      <c r="Q187" s="58">
        <f>Boosters_IOS!B187/(C187+D187)</f>
        <v/>
      </c>
      <c r="R187" s="58">
        <f>Boosters_IOS!N187/B187</f>
        <v/>
      </c>
      <c r="S187" s="55" t="n">
        <v>4.69333333333333</v>
      </c>
      <c r="T187" s="55" t="n">
        <v>83</v>
      </c>
      <c r="U187" s="51" t="n">
        <v>120179.607059239</v>
      </c>
      <c r="V187" s="122" t="n">
        <v>0.001273148148148148</v>
      </c>
      <c r="W187" s="133" t="n">
        <v>507</v>
      </c>
      <c r="X187" s="133" t="n"/>
      <c r="Y187" s="133">
        <f>W187/C187</f>
        <v/>
      </c>
      <c r="Z187" s="133" t="n"/>
      <c r="AA187" s="133" t="n"/>
      <c r="AB187" s="132" t="n"/>
      <c r="AC187" s="132" t="n"/>
      <c r="AD187" s="132" t="n"/>
      <c r="AE187" s="132" t="n"/>
      <c r="AF187" s="132" t="n"/>
      <c r="AG187" s="132" t="n"/>
      <c r="AH187" s="132" t="n"/>
      <c r="AI187" s="132" t="n"/>
      <c r="AJ187" s="132">
        <f>AB187+AC187+AD187+AE187+AF187+AG187+AH187+AI187</f>
        <v/>
      </c>
      <c r="AK187" s="59">
        <f>AL187/C187</f>
        <v/>
      </c>
      <c r="AL187" s="55" t="n">
        <v>21335</v>
      </c>
    </row>
    <row r="188" ht="22.5" customHeight="1" s="150">
      <c r="A188" s="34" t="n">
        <v>186</v>
      </c>
      <c r="B188" s="50" t="n">
        <v>193</v>
      </c>
      <c r="C188" s="50" t="n">
        <v>191</v>
      </c>
      <c r="D188" s="50" t="n">
        <v>98</v>
      </c>
      <c r="E188" s="50" t="n">
        <v>72</v>
      </c>
      <c r="F188" s="51">
        <f>(C188*100)/B188</f>
        <v/>
      </c>
      <c r="G188" s="51">
        <f>(D188*100)/B188</f>
        <v/>
      </c>
      <c r="H188" s="53">
        <f>((B188-B189)/B188)*100</f>
        <v/>
      </c>
      <c r="I188" s="53">
        <f>((B188-C188)/B188)*100</f>
        <v/>
      </c>
      <c r="J188" s="53">
        <f>((C188-B189)/C188)*100</f>
        <v/>
      </c>
      <c r="K188" s="54" t="n"/>
      <c r="L188" s="55" t="n">
        <v>1.58108108108108</v>
      </c>
      <c r="M188" s="127" t="inlineStr">
        <is>
          <t>Hard</t>
        </is>
      </c>
      <c r="N188" s="55" t="n">
        <v>25.82</v>
      </c>
      <c r="O188" s="57">
        <f>N188/C188</f>
        <v/>
      </c>
      <c r="P188" s="58">
        <f>(Boosters_IOS!B188*100)/Boosters_And!N188</f>
        <v/>
      </c>
      <c r="Q188" s="58">
        <f>Boosters_IOS!B188/(C188+D188)</f>
        <v/>
      </c>
      <c r="R188" s="58">
        <f>Boosters_IOS!N188/B188</f>
        <v/>
      </c>
      <c r="S188" s="55" t="n">
        <v>5.87837837837837</v>
      </c>
      <c r="T188" s="55" t="n">
        <v>95</v>
      </c>
      <c r="U188" s="51" t="n">
        <v>117032.801302746</v>
      </c>
      <c r="V188" s="122" t="n">
        <v>0.001331018518518518</v>
      </c>
      <c r="W188" s="133" t="n">
        <v>454</v>
      </c>
      <c r="X188" s="133" t="n"/>
      <c r="Y188" s="133">
        <f>W188/C188</f>
        <v/>
      </c>
      <c r="Z188" s="133" t="n"/>
      <c r="AA188" s="133" t="n"/>
      <c r="AB188" s="132" t="n"/>
      <c r="AC188" s="132" t="n"/>
      <c r="AD188" s="132" t="n"/>
      <c r="AE188" s="132" t="n"/>
      <c r="AF188" s="132" t="n"/>
      <c r="AG188" s="132" t="n"/>
      <c r="AH188" s="132" t="n"/>
      <c r="AI188" s="132" t="n"/>
      <c r="AJ188" s="132">
        <f>AB188+AC188+AD188+AE188+AF188+AG188+AH188+AI188</f>
        <v/>
      </c>
      <c r="AK188" s="59">
        <f>AL188/C188</f>
        <v/>
      </c>
      <c r="AL188" s="55" t="n">
        <v>17375</v>
      </c>
    </row>
    <row r="189" ht="22.5" customHeight="1" s="150">
      <c r="A189" s="34" t="n">
        <v>187</v>
      </c>
      <c r="B189" s="50" t="n">
        <v>204</v>
      </c>
      <c r="C189" s="50" t="n">
        <v>188</v>
      </c>
      <c r="D189" s="50" t="n">
        <v>126</v>
      </c>
      <c r="E189" s="50" t="n">
        <v>93</v>
      </c>
      <c r="F189" s="51">
        <f>(C189*100)/B189</f>
        <v/>
      </c>
      <c r="G189" s="51">
        <f>(D189*100)/B189</f>
        <v/>
      </c>
      <c r="H189" s="53">
        <f>((B189-B190)/B189)*100</f>
        <v/>
      </c>
      <c r="I189" s="53">
        <f>((B189-C189)/B189)*100</f>
        <v/>
      </c>
      <c r="J189" s="53">
        <f>((C189-B190)/C189)*100</f>
        <v/>
      </c>
      <c r="K189" s="54" t="n"/>
      <c r="L189" s="55" t="n">
        <v>1.64383561643835</v>
      </c>
      <c r="M189" s="129" t="inlineStr">
        <is>
          <t>Hard</t>
        </is>
      </c>
      <c r="N189" s="55" t="n">
        <v>20.45</v>
      </c>
      <c r="O189" s="57">
        <f>N189/C189</f>
        <v/>
      </c>
      <c r="P189" s="58">
        <f>(Boosters_IOS!B189*100)/Boosters_And!N189</f>
        <v/>
      </c>
      <c r="Q189" s="58">
        <f>Boosters_IOS!B189/(C189+D189)</f>
        <v/>
      </c>
      <c r="R189" s="58">
        <f>Boosters_IOS!N189/B189</f>
        <v/>
      </c>
      <c r="S189" s="55" t="n">
        <v>5.54794520547945</v>
      </c>
      <c r="T189" s="55" t="n">
        <v>106</v>
      </c>
      <c r="U189" s="51" t="n">
        <v>104909.861093306</v>
      </c>
      <c r="V189" s="122" t="n">
        <v>0.001793981481481481</v>
      </c>
      <c r="W189" s="133" t="n">
        <v>680</v>
      </c>
      <c r="X189" s="133" t="n"/>
      <c r="Y189" s="133">
        <f>W189/C189</f>
        <v/>
      </c>
      <c r="Z189" s="133" t="n"/>
      <c r="AA189" s="133" t="n"/>
      <c r="AB189" s="132" t="n"/>
      <c r="AC189" s="132" t="n"/>
      <c r="AD189" s="132" t="n"/>
      <c r="AE189" s="132" t="n"/>
      <c r="AF189" s="132" t="n"/>
      <c r="AG189" s="132" t="n"/>
      <c r="AH189" s="132" t="n"/>
      <c r="AI189" s="132" t="n"/>
      <c r="AJ189" s="132">
        <f>AB189+AC189+AD189+AE189+AF189+AG189+AH189+AI189</f>
        <v/>
      </c>
      <c r="AK189" s="59">
        <f>AL189/C189</f>
        <v/>
      </c>
      <c r="AL189" s="55" t="n">
        <v>24380</v>
      </c>
    </row>
    <row r="190" ht="22.5" customHeight="1" s="150">
      <c r="A190" s="34" t="n">
        <v>188</v>
      </c>
      <c r="B190" s="50" t="n">
        <v>191</v>
      </c>
      <c r="C190" s="50" t="n">
        <v>191</v>
      </c>
      <c r="D190" s="50" t="n">
        <v>8</v>
      </c>
      <c r="E190" s="50" t="n">
        <v>8</v>
      </c>
      <c r="F190" s="51">
        <f>(C190*100)/B190</f>
        <v/>
      </c>
      <c r="G190" s="51">
        <f>(D190*100)/B190</f>
        <v/>
      </c>
      <c r="H190" s="53">
        <f>((B190-B191)/B190)*100</f>
        <v/>
      </c>
      <c r="I190" s="53">
        <f>((B190-C190)/B190)*100</f>
        <v/>
      </c>
      <c r="J190" s="53">
        <f>((C190-B191)/C190)*100</f>
        <v/>
      </c>
      <c r="K190" s="54" t="n"/>
      <c r="L190" s="55" t="n">
        <v>1.01351351351351</v>
      </c>
      <c r="M190" s="128" t="inlineStr">
        <is>
          <t>Normal</t>
        </is>
      </c>
      <c r="N190" s="55" t="n">
        <v>0</v>
      </c>
      <c r="O190" s="57">
        <f>N190/C190</f>
        <v/>
      </c>
      <c r="P190" s="58">
        <f>(Boosters_IOS!B190*100)/Boosters_And!N190</f>
        <v/>
      </c>
      <c r="Q190" s="58">
        <f>Boosters_IOS!B190/(C190+D190)</f>
        <v/>
      </c>
      <c r="R190" s="58">
        <f>Boosters_IOS!N190/B190</f>
        <v/>
      </c>
      <c r="S190" s="55" t="n">
        <v>4.82432432432432</v>
      </c>
      <c r="T190" s="55" t="n">
        <v>57</v>
      </c>
      <c r="U190" s="51" t="n">
        <v>120837.341049325</v>
      </c>
      <c r="V190" s="122" t="n">
        <v>0.00162037037037037</v>
      </c>
      <c r="W190" s="133" t="n">
        <v>687</v>
      </c>
      <c r="X190" s="133" t="n"/>
      <c r="Y190" s="133">
        <f>W190/C190</f>
        <v/>
      </c>
      <c r="Z190" s="133" t="n"/>
      <c r="AA190" s="133" t="n"/>
      <c r="AB190" s="132" t="n"/>
      <c r="AC190" s="132" t="n"/>
      <c r="AD190" s="132" t="n"/>
      <c r="AE190" s="132" t="n"/>
      <c r="AF190" s="132" t="n"/>
      <c r="AG190" s="132" t="n"/>
      <c r="AH190" s="132" t="n"/>
      <c r="AI190" s="132" t="n"/>
      <c r="AJ190" s="132">
        <f>AB190+AC190+AD190+AE190+AF190+AG190+AH190+AI190</f>
        <v/>
      </c>
      <c r="AK190" s="59">
        <f>AL190/C190</f>
        <v/>
      </c>
      <c r="AL190" s="55" t="n">
        <v>26975</v>
      </c>
    </row>
    <row r="191" ht="22.5" customHeight="1" s="150">
      <c r="A191" s="34" t="n">
        <v>189</v>
      </c>
      <c r="B191" s="50" t="n">
        <v>193</v>
      </c>
      <c r="C191" s="50" t="n">
        <v>173</v>
      </c>
      <c r="D191" s="50" t="n">
        <v>124</v>
      </c>
      <c r="E191" s="50" t="n">
        <v>126</v>
      </c>
      <c r="F191" s="51">
        <f>(C191*100)/B191</f>
        <v/>
      </c>
      <c r="G191" s="51">
        <f>(D191*100)/B191</f>
        <v/>
      </c>
      <c r="H191" s="53">
        <f>((B191-B192)/B191)*100</f>
        <v/>
      </c>
      <c r="I191" s="53">
        <f>((B191-C191)/B191)*100</f>
        <v/>
      </c>
      <c r="J191" s="53">
        <f>((C191-B192)/C191)*100</f>
        <v/>
      </c>
      <c r="K191" s="54" t="n"/>
      <c r="L191" s="55" t="n">
        <v>2.85074626865671</v>
      </c>
      <c r="M191" s="129" t="inlineStr">
        <is>
          <t>Hard</t>
        </is>
      </c>
      <c r="N191" s="55" t="n">
        <v>88.45</v>
      </c>
      <c r="O191" s="57">
        <f>N191/C191</f>
        <v/>
      </c>
      <c r="P191" s="58">
        <f>(Boosters_IOS!B191*100)/Boosters_And!N191</f>
        <v/>
      </c>
      <c r="Q191" s="58">
        <f>Boosters_IOS!B191/(C191+D191)</f>
        <v/>
      </c>
      <c r="R191" s="58">
        <f>Boosters_IOS!N191/B191</f>
        <v/>
      </c>
      <c r="S191" s="55" t="n">
        <v>6.56716417910447</v>
      </c>
      <c r="T191" s="55" t="n">
        <v>119</v>
      </c>
      <c r="U191" s="51" t="n">
        <v>105237.438413859</v>
      </c>
      <c r="V191" s="122" t="n">
        <v>0.002083333333333333</v>
      </c>
      <c r="W191" s="133" t="n">
        <v>580</v>
      </c>
      <c r="X191" s="133" t="n"/>
      <c r="Y191" s="133">
        <f>W191/C191</f>
        <v/>
      </c>
      <c r="Z191" s="133" t="n"/>
      <c r="AA191" s="133" t="n"/>
      <c r="AB191" s="132" t="n"/>
      <c r="AC191" s="132" t="n"/>
      <c r="AD191" s="132" t="n"/>
      <c r="AE191" s="132" t="n"/>
      <c r="AF191" s="132" t="n"/>
      <c r="AG191" s="132" t="n"/>
      <c r="AH191" s="132" t="n"/>
      <c r="AI191" s="132" t="n"/>
      <c r="AJ191" s="132">
        <f>AB191+AC191+AD191+AE191+AF191+AG191+AH191+AI191</f>
        <v/>
      </c>
      <c r="AK191" s="59">
        <f>AL191/C191</f>
        <v/>
      </c>
      <c r="AL191" s="55" t="n">
        <v>23675</v>
      </c>
    </row>
    <row r="192" ht="22.5" customHeight="1" s="150">
      <c r="A192" s="34" t="n">
        <v>190</v>
      </c>
      <c r="B192" s="50" t="n">
        <v>178</v>
      </c>
      <c r="C192" s="50" t="n">
        <v>178</v>
      </c>
      <c r="D192" s="50" t="n">
        <v>83</v>
      </c>
      <c r="E192" s="50" t="n">
        <v>36</v>
      </c>
      <c r="F192" s="51">
        <f>(C192*100)/B192</f>
        <v/>
      </c>
      <c r="G192" s="51">
        <f>(D192*100)/B192</f>
        <v/>
      </c>
      <c r="H192" s="53">
        <f>((B192-B193)/B192)*100</f>
        <v/>
      </c>
      <c r="I192" s="53">
        <f>((B192-C192)/B192)*100</f>
        <v/>
      </c>
      <c r="J192" s="53">
        <f>((C192-B193)/C192)*100</f>
        <v/>
      </c>
      <c r="K192" s="54" t="n"/>
      <c r="L192" s="55" t="n">
        <v>1.14492753623188</v>
      </c>
      <c r="M192" s="128" t="inlineStr">
        <is>
          <t>Normal</t>
        </is>
      </c>
      <c r="N192" s="55" t="n">
        <v>0</v>
      </c>
      <c r="O192" s="57">
        <f>N192/C192</f>
        <v/>
      </c>
      <c r="P192" s="58">
        <f>(Boosters_IOS!B192*100)/Boosters_And!N192</f>
        <v/>
      </c>
      <c r="Q192" s="58">
        <f>Boosters_IOS!B192/(C192+D192)</f>
        <v/>
      </c>
      <c r="R192" s="58">
        <f>Boosters_IOS!N192/B192</f>
        <v/>
      </c>
      <c r="S192" s="55" t="n">
        <v>10</v>
      </c>
      <c r="T192" s="55" t="n">
        <v>80</v>
      </c>
      <c r="U192" s="51" t="n">
        <v>97834.706839159</v>
      </c>
      <c r="V192" s="122" t="n">
        <v>0.001388888888888889</v>
      </c>
      <c r="W192" s="133" t="n">
        <v>506</v>
      </c>
      <c r="X192" s="133" t="n"/>
      <c r="Y192" s="133">
        <f>W192/C192</f>
        <v/>
      </c>
      <c r="Z192" s="133" t="n"/>
      <c r="AA192" s="133" t="n"/>
      <c r="AB192" s="132" t="n"/>
      <c r="AC192" s="132" t="n"/>
      <c r="AD192" s="132" t="n"/>
      <c r="AE192" s="132" t="n"/>
      <c r="AF192" s="132" t="n"/>
      <c r="AG192" s="132" t="n"/>
      <c r="AH192" s="132" t="n"/>
      <c r="AI192" s="132" t="n"/>
      <c r="AJ192" s="132">
        <f>AB192+AC192+AD192+AE192+AF192+AG192+AH192+AI192</f>
        <v/>
      </c>
      <c r="AK192" s="59">
        <f>AL192/C192</f>
        <v/>
      </c>
      <c r="AL192" s="55" t="n">
        <v>22820</v>
      </c>
    </row>
    <row r="193" ht="22.5" customHeight="1" s="150">
      <c r="A193" s="34" t="n">
        <v>191</v>
      </c>
      <c r="B193" s="50" t="n">
        <v>181</v>
      </c>
      <c r="C193" s="50" t="n">
        <v>181</v>
      </c>
      <c r="D193" s="50" t="n">
        <v>21</v>
      </c>
      <c r="E193" s="50" t="n">
        <v>21</v>
      </c>
      <c r="F193" s="51">
        <f>(C193*100)/B193</f>
        <v/>
      </c>
      <c r="G193" s="51">
        <f>(D193*100)/B193</f>
        <v/>
      </c>
      <c r="H193" s="53">
        <f>((B193-B194)/B193)*100</f>
        <v/>
      </c>
      <c r="I193" s="53">
        <f>((B193-C193)/B193)*100</f>
        <v/>
      </c>
      <c r="J193" s="53">
        <f>((C193-B194)/C193)*100</f>
        <v/>
      </c>
      <c r="K193" s="54" t="n"/>
      <c r="L193" s="55" t="n">
        <v>1.08571428571428</v>
      </c>
      <c r="M193" s="130" t="inlineStr">
        <is>
          <t>Very Hard</t>
        </is>
      </c>
      <c r="N193" s="55" t="n">
        <v>0</v>
      </c>
      <c r="O193" s="57">
        <f>N193/C193</f>
        <v/>
      </c>
      <c r="P193" s="58">
        <f>(Boosters_IOS!B193*100)/Boosters_And!N193</f>
        <v/>
      </c>
      <c r="Q193" s="58">
        <f>Boosters_IOS!B193/(C193+D193)</f>
        <v/>
      </c>
      <c r="R193" s="58">
        <f>Boosters_IOS!N193/B193</f>
        <v/>
      </c>
      <c r="S193" s="55" t="n">
        <v>3.78571428571428</v>
      </c>
      <c r="T193" s="55" t="n">
        <v>49</v>
      </c>
      <c r="U193" s="51" t="n">
        <v>107816.787394591</v>
      </c>
      <c r="V193" s="122" t="n">
        <v>0.001446759259259259</v>
      </c>
      <c r="W193" s="133" t="n">
        <v>808</v>
      </c>
      <c r="X193" s="133" t="n"/>
      <c r="Y193" s="133">
        <f>W193/C193</f>
        <v/>
      </c>
      <c r="Z193" s="133" t="n"/>
      <c r="AA193" s="133" t="n"/>
      <c r="AB193" s="132" t="n"/>
      <c r="AC193" s="132" t="n"/>
      <c r="AD193" s="132" t="n"/>
      <c r="AE193" s="132" t="n"/>
      <c r="AF193" s="132" t="n"/>
      <c r="AG193" s="132" t="n"/>
      <c r="AH193" s="132" t="n"/>
      <c r="AI193" s="132" t="n"/>
      <c r="AJ193" s="132">
        <f>AB193+AC193+AD193+AE193+AF193+AG193+AH193+AI193</f>
        <v/>
      </c>
      <c r="AK193" s="59">
        <f>AL193/C193</f>
        <v/>
      </c>
      <c r="AL193" s="55" t="n">
        <v>24150</v>
      </c>
    </row>
    <row r="194" ht="22.5" customHeight="1" s="150">
      <c r="A194" s="34" t="n">
        <v>192</v>
      </c>
      <c r="B194" s="50" t="n">
        <v>181</v>
      </c>
      <c r="C194" s="50" t="n">
        <v>181</v>
      </c>
      <c r="D194" s="50" t="n">
        <v>41</v>
      </c>
      <c r="E194" s="50" t="n">
        <v>21</v>
      </c>
      <c r="F194" s="51">
        <f>(C194*100)/B194</f>
        <v/>
      </c>
      <c r="G194" s="51">
        <f>(D194*100)/B194</f>
        <v/>
      </c>
      <c r="H194" s="53">
        <f>((B194-B195)/B194)*100</f>
        <v/>
      </c>
      <c r="I194" s="53">
        <f>((B194-C194)/B194)*100</f>
        <v/>
      </c>
      <c r="J194" s="53">
        <f>((C194-B195)/C194)*100</f>
        <v/>
      </c>
      <c r="K194" s="54" t="n"/>
      <c r="L194" s="55" t="n">
        <v>1.15714285714285</v>
      </c>
      <c r="M194" s="131" t="inlineStr">
        <is>
          <t>Very Hard</t>
        </is>
      </c>
      <c r="N194" s="55" t="n">
        <v>2.49</v>
      </c>
      <c r="O194" s="57">
        <f>N194/C194</f>
        <v/>
      </c>
      <c r="P194" s="58">
        <f>(Boosters_IOS!B194*100)/Boosters_And!N194</f>
        <v/>
      </c>
      <c r="Q194" s="58">
        <f>Boosters_IOS!B194/(C194+D194)</f>
        <v/>
      </c>
      <c r="R194" s="58">
        <f>Boosters_IOS!N194/B194</f>
        <v/>
      </c>
      <c r="S194" s="55" t="n">
        <v>5.34285714285714</v>
      </c>
      <c r="T194" s="55" t="n">
        <v>64</v>
      </c>
      <c r="U194" s="51" t="n">
        <v>105069.780730111</v>
      </c>
      <c r="V194" s="122" t="n">
        <v>0.001388888888888889</v>
      </c>
      <c r="W194" s="133" t="n">
        <v>479</v>
      </c>
      <c r="X194" s="133" t="n"/>
      <c r="Y194" s="133">
        <f>W194/C194</f>
        <v/>
      </c>
      <c r="Z194" s="133" t="n"/>
      <c r="AA194" s="133" t="n"/>
      <c r="AB194" s="132" t="n"/>
      <c r="AC194" s="132" t="n"/>
      <c r="AD194" s="132" t="n"/>
      <c r="AE194" s="132" t="n"/>
      <c r="AF194" s="132" t="n"/>
      <c r="AG194" s="132" t="n"/>
      <c r="AH194" s="132" t="n"/>
      <c r="AI194" s="132" t="n"/>
      <c r="AJ194" s="132">
        <f>AB194+AC194+AD194+AE194+AF194+AG194+AH194+AI194</f>
        <v/>
      </c>
      <c r="AK194" s="59">
        <f>AL194/C194</f>
        <v/>
      </c>
      <c r="AL194" s="55" t="n">
        <v>22895</v>
      </c>
    </row>
    <row r="195" ht="22.5" customHeight="1" s="150">
      <c r="A195" s="34" t="n">
        <v>193</v>
      </c>
      <c r="B195" s="50" t="n">
        <v>181</v>
      </c>
      <c r="C195" s="50" t="n">
        <v>173</v>
      </c>
      <c r="D195" s="50" t="n">
        <v>116</v>
      </c>
      <c r="E195" s="50" t="n">
        <v>59</v>
      </c>
      <c r="F195" s="51">
        <f>(C195*100)/B195</f>
        <v/>
      </c>
      <c r="G195" s="51">
        <f>(D195*100)/B195</f>
        <v/>
      </c>
      <c r="H195" s="53">
        <f>((B195-B196)/B195)*100</f>
        <v/>
      </c>
      <c r="I195" s="53">
        <f>((B195-C195)/B195)*100</f>
        <v/>
      </c>
      <c r="J195" s="53">
        <f>((C195-B196)/C195)*100</f>
        <v/>
      </c>
      <c r="K195" s="54" t="n"/>
      <c r="L195" s="55" t="n">
        <v>1.34328358208955</v>
      </c>
      <c r="M195" s="120" t="inlineStr">
        <is>
          <t>Normal</t>
        </is>
      </c>
      <c r="N195" s="55" t="n">
        <v>48.97</v>
      </c>
      <c r="O195" s="57">
        <f>N195/C195</f>
        <v/>
      </c>
      <c r="P195" s="58">
        <f>(Boosters_IOS!B195*100)/Boosters_And!N195</f>
        <v/>
      </c>
      <c r="Q195" s="58">
        <f>Boosters_IOS!B195/(C195+D195)</f>
        <v/>
      </c>
      <c r="R195" s="58">
        <f>Boosters_IOS!N195/B195</f>
        <v/>
      </c>
      <c r="S195" s="55" t="n">
        <v>7.16417910447761</v>
      </c>
      <c r="T195" s="55" t="n">
        <v>101</v>
      </c>
      <c r="U195" s="51" t="n">
        <v>107262.227363733</v>
      </c>
      <c r="V195" s="122" t="n">
        <v>0.0008680555555555555</v>
      </c>
      <c r="W195" s="133" t="n">
        <v>414</v>
      </c>
      <c r="X195" s="133" t="n"/>
      <c r="Y195" s="133">
        <f>W195/C195</f>
        <v/>
      </c>
      <c r="Z195" s="133" t="n"/>
      <c r="AA195" s="133" t="n"/>
      <c r="AB195" s="132" t="n"/>
      <c r="AC195" s="132" t="n"/>
      <c r="AD195" s="132" t="n"/>
      <c r="AE195" s="132" t="n"/>
      <c r="AF195" s="132" t="n"/>
      <c r="AG195" s="132" t="n"/>
      <c r="AH195" s="132" t="n"/>
      <c r="AI195" s="132" t="n"/>
      <c r="AJ195" s="132">
        <f>AB195+AC195+AD195+AE195+AF195+AG195+AH195+AI195</f>
        <v/>
      </c>
      <c r="AK195" s="59">
        <f>AL195/C195</f>
        <v/>
      </c>
      <c r="AL195" s="55" t="n">
        <v>16510</v>
      </c>
    </row>
    <row r="196" ht="22.5" customHeight="1" s="150">
      <c r="A196" s="34" t="n">
        <v>194</v>
      </c>
      <c r="B196" s="50" t="n">
        <v>175</v>
      </c>
      <c r="C196" s="50" t="n">
        <v>175</v>
      </c>
      <c r="D196" s="50" t="n">
        <v>77</v>
      </c>
      <c r="E196" s="50" t="n">
        <v>44</v>
      </c>
      <c r="F196" s="51">
        <f>(C196*100)/B196</f>
        <v/>
      </c>
      <c r="G196" s="51">
        <f>(D196*100)/B196</f>
        <v/>
      </c>
      <c r="H196" s="53">
        <f>((B196-B197)/B196)*100</f>
        <v/>
      </c>
      <c r="I196" s="53">
        <f>((B196-C196)/B196)*100</f>
        <v/>
      </c>
      <c r="J196" s="53">
        <f>((C196-B197)/C196)*100</f>
        <v/>
      </c>
      <c r="K196" s="54" t="n"/>
      <c r="L196" s="55" t="n">
        <v>1.10294117647058</v>
      </c>
      <c r="M196" s="128" t="inlineStr">
        <is>
          <t>Normal</t>
        </is>
      </c>
      <c r="N196" s="55" t="n">
        <v>21.97</v>
      </c>
      <c r="O196" s="57">
        <f>N196/C196</f>
        <v/>
      </c>
      <c r="P196" s="58">
        <f>(Boosters_IOS!B196*100)/Boosters_And!N196</f>
        <v/>
      </c>
      <c r="Q196" s="58">
        <f>Boosters_IOS!B196/(C196+D196)</f>
        <v/>
      </c>
      <c r="R196" s="58">
        <f>Boosters_IOS!N196/B196</f>
        <v/>
      </c>
      <c r="S196" s="55" t="n">
        <v>7.80882352941176</v>
      </c>
      <c r="T196" s="55" t="n">
        <v>80</v>
      </c>
      <c r="U196" s="51" t="n">
        <v>115529.040846979</v>
      </c>
      <c r="V196" s="122" t="n">
        <v>0.001273148148148148</v>
      </c>
      <c r="W196" s="133" t="n">
        <v>268</v>
      </c>
      <c r="X196" s="133" t="n"/>
      <c r="Y196" s="133">
        <f>W196/C196</f>
        <v/>
      </c>
      <c r="Z196" s="133" t="n"/>
      <c r="AA196" s="133" t="n"/>
      <c r="AB196" s="132" t="n"/>
      <c r="AC196" s="132" t="n"/>
      <c r="AD196" s="132" t="n"/>
      <c r="AE196" s="132" t="n"/>
      <c r="AF196" s="132" t="n"/>
      <c r="AG196" s="132" t="n"/>
      <c r="AH196" s="132" t="n"/>
      <c r="AI196" s="132" t="n"/>
      <c r="AJ196" s="132">
        <f>AB196+AC196+AD196+AE196+AF196+AG196+AH196+AI196</f>
        <v/>
      </c>
      <c r="AK196" s="59">
        <f>AL196/C196</f>
        <v/>
      </c>
      <c r="AL196" s="55" t="n">
        <v>14500</v>
      </c>
    </row>
    <row r="197" ht="22.5" customHeight="1" s="150">
      <c r="A197" s="34" t="n">
        <v>195</v>
      </c>
      <c r="B197" s="50" t="n">
        <v>175</v>
      </c>
      <c r="C197" s="50" t="n">
        <v>175</v>
      </c>
      <c r="D197" s="50" t="n">
        <v>113</v>
      </c>
      <c r="E197" s="50" t="n">
        <v>67</v>
      </c>
      <c r="F197" s="51">
        <f>(C197*100)/B197</f>
        <v/>
      </c>
      <c r="G197" s="51">
        <f>(D197*100)/B197</f>
        <v/>
      </c>
      <c r="H197" s="53">
        <f>((B197-B198)/B197)*100</f>
        <v/>
      </c>
      <c r="I197" s="53">
        <f>((B197-C197)/B197)*100</f>
        <v/>
      </c>
      <c r="J197" s="53">
        <f>((C197-B198)/C197)*100</f>
        <v/>
      </c>
      <c r="K197" s="54" t="n"/>
      <c r="L197" s="55" t="n">
        <v>1.26470588235294</v>
      </c>
      <c r="M197" s="120" t="inlineStr">
        <is>
          <t>Normal</t>
        </is>
      </c>
      <c r="N197" s="55" t="n">
        <v>42.87</v>
      </c>
      <c r="O197" s="57">
        <f>N197/C197</f>
        <v/>
      </c>
      <c r="P197" s="58">
        <f>(Boosters_IOS!B197*100)/Boosters_And!N197</f>
        <v/>
      </c>
      <c r="Q197" s="58">
        <f>Boosters_IOS!B197/(C197+D197)</f>
        <v/>
      </c>
      <c r="R197" s="58">
        <f>Boosters_IOS!N197/B197</f>
        <v/>
      </c>
      <c r="S197" s="55" t="n">
        <v>6.86764705882352</v>
      </c>
      <c r="T197" s="55" t="n">
        <v>101</v>
      </c>
      <c r="U197" s="51" t="n">
        <v>108332.657190737</v>
      </c>
      <c r="V197" s="122" t="n">
        <v>0.002488425925925926</v>
      </c>
      <c r="W197" s="133" t="n">
        <v>374</v>
      </c>
      <c r="X197" s="133" t="n"/>
      <c r="Y197" s="133">
        <f>W197/C197</f>
        <v/>
      </c>
      <c r="Z197" s="133" t="n"/>
      <c r="AA197" s="133" t="n"/>
      <c r="AB197" s="132" t="n"/>
      <c r="AC197" s="132" t="n"/>
      <c r="AD197" s="132" t="n"/>
      <c r="AE197" s="132" t="n"/>
      <c r="AF197" s="132" t="n"/>
      <c r="AG197" s="132" t="n"/>
      <c r="AH197" s="132" t="n"/>
      <c r="AI197" s="132" t="n"/>
      <c r="AJ197" s="132">
        <f>AB197+AC197+AD197+AE197+AF197+AG197+AH197+AI197</f>
        <v/>
      </c>
      <c r="AK197" s="59">
        <f>AL197/C197</f>
        <v/>
      </c>
      <c r="AL197" s="55" t="n">
        <v>14300</v>
      </c>
    </row>
    <row r="198" ht="22.5" customHeight="1" s="150">
      <c r="A198" s="34" t="n">
        <v>196</v>
      </c>
      <c r="B198" s="50" t="n">
        <v>175</v>
      </c>
      <c r="C198" s="50" t="n">
        <v>175</v>
      </c>
      <c r="D198" s="50" t="n">
        <v>44</v>
      </c>
      <c r="E198" s="50" t="n">
        <v>39</v>
      </c>
      <c r="F198" s="51">
        <f>(C198*100)/B198</f>
        <v/>
      </c>
      <c r="G198" s="51">
        <f>(D198*100)/B198</f>
        <v/>
      </c>
      <c r="H198" s="53">
        <f>((B198-B199)/B198)*100</f>
        <v/>
      </c>
      <c r="I198" s="53">
        <f>((B198-C198)/B198)*100</f>
        <v/>
      </c>
      <c r="J198" s="53">
        <f>((C198-B199)/C198)*100</f>
        <v/>
      </c>
      <c r="K198" s="54" t="n"/>
      <c r="L198" s="55" t="n">
        <v>1.14705882352941</v>
      </c>
      <c r="M198" s="127" t="inlineStr">
        <is>
          <t>Hard</t>
        </is>
      </c>
      <c r="N198" s="55" t="n">
        <v>0</v>
      </c>
      <c r="O198" s="57">
        <f>N198/C198</f>
        <v/>
      </c>
      <c r="P198" s="58">
        <f>(Boosters_IOS!B198*100)/Boosters_And!N198</f>
        <v/>
      </c>
      <c r="Q198" s="58">
        <f>Boosters_IOS!B198/(C198+D198)</f>
        <v/>
      </c>
      <c r="R198" s="58">
        <f>Boosters_IOS!N198/B198</f>
        <v/>
      </c>
      <c r="S198" s="55" t="n">
        <v>4.92647058823529</v>
      </c>
      <c r="T198" s="55" t="n">
        <v>67</v>
      </c>
      <c r="U198" s="51" t="n">
        <v>121487.33699247</v>
      </c>
      <c r="V198" s="122" t="n">
        <v>0.001388888888888889</v>
      </c>
      <c r="W198" s="133" t="n">
        <v>551</v>
      </c>
      <c r="X198" s="133" t="n"/>
      <c r="Y198" s="133">
        <f>W198/C198</f>
        <v/>
      </c>
      <c r="Z198" s="133" t="n"/>
      <c r="AA198" s="133" t="n"/>
      <c r="AB198" s="132" t="n"/>
      <c r="AC198" s="132" t="n"/>
      <c r="AD198" s="132" t="n"/>
      <c r="AE198" s="132" t="n"/>
      <c r="AF198" s="132" t="n"/>
      <c r="AG198" s="132" t="n"/>
      <c r="AH198" s="132" t="n"/>
      <c r="AI198" s="132" t="n"/>
      <c r="AJ198" s="132">
        <f>AB198+AC198+AD198+AE198+AF198+AG198+AH198+AI198</f>
        <v/>
      </c>
      <c r="AK198" s="59">
        <f>AL198/C198</f>
        <v/>
      </c>
      <c r="AL198" s="55" t="n">
        <v>14750</v>
      </c>
    </row>
    <row r="199" ht="22.5" customHeight="1" s="150">
      <c r="A199" s="34" t="n">
        <v>197</v>
      </c>
      <c r="B199" s="50" t="n">
        <v>178</v>
      </c>
      <c r="C199" s="50" t="n">
        <v>175</v>
      </c>
      <c r="D199" s="50" t="n">
        <v>85</v>
      </c>
      <c r="E199" s="50" t="n">
        <v>59</v>
      </c>
      <c r="F199" s="51">
        <f>(C199*100)/B199</f>
        <v/>
      </c>
      <c r="G199" s="51">
        <f>(D199*100)/B199</f>
        <v/>
      </c>
      <c r="H199" s="53">
        <f>((B199-B200)/B199)*100</f>
        <v/>
      </c>
      <c r="I199" s="53">
        <f>((B199-C199)/B199)*100</f>
        <v/>
      </c>
      <c r="J199" s="53">
        <f>((C199-B200)/C199)*100</f>
        <v/>
      </c>
      <c r="K199" s="54" t="n"/>
      <c r="L199" s="55" t="n">
        <v>1.33823529411764</v>
      </c>
      <c r="M199" s="129" t="inlineStr">
        <is>
          <t>Hard</t>
        </is>
      </c>
      <c r="N199" s="55" t="n">
        <v>0.99</v>
      </c>
      <c r="O199" s="57">
        <f>N199/C199</f>
        <v/>
      </c>
      <c r="P199" s="58">
        <f>(Boosters_IOS!B199*100)/Boosters_And!N199</f>
        <v/>
      </c>
      <c r="Q199" s="58">
        <f>Boosters_IOS!B199/(C199+D199)</f>
        <v/>
      </c>
      <c r="R199" s="58">
        <f>Boosters_IOS!N199/B199</f>
        <v/>
      </c>
      <c r="S199" s="55" t="n">
        <v>4.36764705882353</v>
      </c>
      <c r="T199" s="55" t="n">
        <v>80</v>
      </c>
      <c r="U199" s="51" t="n">
        <v>110486.413589648</v>
      </c>
      <c r="V199" s="122" t="n">
        <v>0.001736111111111111</v>
      </c>
      <c r="W199" s="133" t="n">
        <v>318</v>
      </c>
      <c r="X199" s="133" t="n"/>
      <c r="Y199" s="133">
        <f>W199/C199</f>
        <v/>
      </c>
      <c r="Z199" s="133" t="n"/>
      <c r="AA199" s="133" t="n"/>
      <c r="AB199" s="132" t="n"/>
      <c r="AC199" s="132" t="n"/>
      <c r="AD199" s="132" t="n"/>
      <c r="AE199" s="132" t="n"/>
      <c r="AF199" s="132" t="n"/>
      <c r="AG199" s="132" t="n"/>
      <c r="AH199" s="132" t="n"/>
      <c r="AI199" s="132" t="n"/>
      <c r="AJ199" s="132">
        <f>AB199+AC199+AD199+AE199+AF199+AG199+AH199+AI199</f>
        <v/>
      </c>
      <c r="AK199" s="59">
        <f>AL199/C199</f>
        <v/>
      </c>
      <c r="AL199" s="55" t="n">
        <v>13645</v>
      </c>
    </row>
    <row r="200" ht="22.5" customHeight="1" s="150">
      <c r="A200" s="34" t="n">
        <v>198</v>
      </c>
      <c r="B200" s="50" t="n">
        <v>178</v>
      </c>
      <c r="C200" s="50" t="n">
        <v>178</v>
      </c>
      <c r="D200" s="50" t="n">
        <v>57</v>
      </c>
      <c r="E200" s="50" t="n">
        <v>34</v>
      </c>
      <c r="F200" s="51">
        <f>(C200*100)/B200</f>
        <v/>
      </c>
      <c r="G200" s="51">
        <f>(D200*100)/B200</f>
        <v/>
      </c>
      <c r="H200" s="53">
        <f>((B200-B201)/B200)*100</f>
        <v/>
      </c>
      <c r="I200" s="53">
        <f>((B200-C200)/B200)*100</f>
        <v/>
      </c>
      <c r="J200" s="53">
        <f>((C200-B201)/C200)*100</f>
        <v/>
      </c>
      <c r="K200" s="54" t="n"/>
      <c r="L200" s="55" t="n">
        <v>1.20289855072463</v>
      </c>
      <c r="M200" s="128" t="inlineStr">
        <is>
          <t>Normal</t>
        </is>
      </c>
      <c r="N200" s="55" t="n">
        <v>19.01</v>
      </c>
      <c r="O200" s="57">
        <f>N200/C200</f>
        <v/>
      </c>
      <c r="P200" s="58">
        <f>(Boosters_IOS!B200*100)/Boosters_And!N200</f>
        <v/>
      </c>
      <c r="Q200" s="58">
        <f>Boosters_IOS!B200/(C200+D200)</f>
        <v/>
      </c>
      <c r="R200" s="58">
        <f>Boosters_IOS!N200/B200</f>
        <v/>
      </c>
      <c r="S200" s="55" t="n">
        <v>5.43478260869565</v>
      </c>
      <c r="T200" s="55" t="n">
        <v>72</v>
      </c>
      <c r="U200" s="51" t="n">
        <v>112885.208141729</v>
      </c>
      <c r="V200" s="122" t="n">
        <v>0.001388888888888889</v>
      </c>
      <c r="W200" s="133" t="n">
        <v>350</v>
      </c>
      <c r="X200" s="133" t="n"/>
      <c r="Y200" s="133">
        <f>W200/C200</f>
        <v/>
      </c>
      <c r="Z200" s="133" t="n"/>
      <c r="AA200" s="133" t="n"/>
      <c r="AB200" s="132" t="n"/>
      <c r="AC200" s="132" t="n"/>
      <c r="AD200" s="132" t="n"/>
      <c r="AE200" s="132" t="n"/>
      <c r="AF200" s="132" t="n"/>
      <c r="AG200" s="132" t="n"/>
      <c r="AH200" s="132" t="n"/>
      <c r="AI200" s="132" t="n"/>
      <c r="AJ200" s="132">
        <f>AB200+AC200+AD200+AE200+AF200+AG200+AH200+AI200</f>
        <v/>
      </c>
      <c r="AK200" s="59">
        <f>AL200/C200</f>
        <v/>
      </c>
      <c r="AL200" s="55" t="n">
        <v>18300</v>
      </c>
    </row>
    <row r="201" ht="22.5" customHeight="1" s="150">
      <c r="A201" s="34" t="n">
        <v>199</v>
      </c>
      <c r="B201" s="50" t="n">
        <v>178</v>
      </c>
      <c r="C201" s="50" t="n">
        <v>175</v>
      </c>
      <c r="D201" s="50" t="n">
        <v>44</v>
      </c>
      <c r="E201" s="50" t="n">
        <v>28</v>
      </c>
      <c r="F201" s="51">
        <f>(C201*100)/B201</f>
        <v/>
      </c>
      <c r="G201" s="51">
        <f>(D201*100)/B201</f>
        <v/>
      </c>
      <c r="H201" s="53">
        <f>((B201-B202)/B201)*100</f>
        <v/>
      </c>
      <c r="I201" s="53">
        <f>((B201-C201)/B201)*100</f>
        <v/>
      </c>
      <c r="J201" s="53">
        <f>((C201-B202)/C201)*100</f>
        <v/>
      </c>
      <c r="K201" s="54" t="n"/>
      <c r="L201" s="55" t="n">
        <v>1.08823529411764</v>
      </c>
      <c r="M201" s="120" t="inlineStr">
        <is>
          <t>Normal</t>
        </is>
      </c>
      <c r="N201" s="55" t="n">
        <v>10.98</v>
      </c>
      <c r="O201" s="57">
        <f>N201/C201</f>
        <v/>
      </c>
      <c r="P201" s="58">
        <f>(Boosters_IOS!B201*100)/Boosters_And!N201</f>
        <v/>
      </c>
      <c r="Q201" s="58">
        <f>Boosters_IOS!B201/(C201+D201)</f>
        <v/>
      </c>
      <c r="R201" s="58">
        <f>Boosters_IOS!N201/B201</f>
        <v/>
      </c>
      <c r="S201" s="55" t="n">
        <v>11.0294117647058</v>
      </c>
      <c r="T201" s="55" t="n">
        <v>62</v>
      </c>
      <c r="U201" s="51" t="n">
        <v>107094.569679986</v>
      </c>
      <c r="V201" s="122" t="n">
        <v>0.001388888888888889</v>
      </c>
      <c r="W201" s="133" t="n">
        <v>622</v>
      </c>
      <c r="X201" s="133" t="n"/>
      <c r="Y201" s="133">
        <f>W201/C201</f>
        <v/>
      </c>
      <c r="Z201" s="133" t="n"/>
      <c r="AA201" s="133" t="n"/>
      <c r="AB201" s="132" t="n"/>
      <c r="AC201" s="132" t="n"/>
      <c r="AD201" s="132" t="n"/>
      <c r="AE201" s="132" t="n"/>
      <c r="AF201" s="132" t="n"/>
      <c r="AG201" s="132" t="n"/>
      <c r="AH201" s="132" t="n"/>
      <c r="AI201" s="132" t="n"/>
      <c r="AJ201" s="132">
        <f>AB201+AC201+AD201+AE201+AF201+AG201+AH201+AI201</f>
        <v/>
      </c>
      <c r="AK201" s="59">
        <f>AL201/C201</f>
        <v/>
      </c>
      <c r="AL201" s="55" t="n">
        <v>21520</v>
      </c>
    </row>
    <row r="202" ht="22.5" customHeight="1" s="150">
      <c r="A202" s="34" t="n">
        <v>200</v>
      </c>
      <c r="B202" s="50" t="n">
        <v>186</v>
      </c>
      <c r="C202" s="50" t="n">
        <v>175</v>
      </c>
      <c r="D202" s="50" t="n">
        <v>121</v>
      </c>
      <c r="E202" s="50" t="n">
        <v>103</v>
      </c>
      <c r="F202" s="51">
        <f>(C202*100)/B202</f>
        <v/>
      </c>
      <c r="G202" s="51">
        <f>(D202*100)/B202</f>
        <v/>
      </c>
      <c r="H202" s="53">
        <f>((B202-B203)/B202)*100</f>
        <v/>
      </c>
      <c r="I202" s="53">
        <f>((B202-C202)/B202)*100</f>
        <v/>
      </c>
      <c r="J202" s="53">
        <f>((C202-B203)/C202)*100</f>
        <v/>
      </c>
      <c r="K202" s="54" t="n"/>
      <c r="L202" s="55" t="n">
        <v>1.86764705882352</v>
      </c>
      <c r="M202" s="128" t="inlineStr">
        <is>
          <t>Normal</t>
        </is>
      </c>
      <c r="N202" s="55" t="n">
        <v>25.05</v>
      </c>
      <c r="O202" s="57">
        <f>N202/C202</f>
        <v/>
      </c>
      <c r="P202" s="58">
        <f>(Boosters_IOS!B202*100)/Boosters_And!N202</f>
        <v/>
      </c>
      <c r="Q202" s="58">
        <f>Boosters_IOS!B202/(C202+D202)</f>
        <v/>
      </c>
      <c r="R202" s="58">
        <f>Boosters_IOS!N202/B202</f>
        <v/>
      </c>
      <c r="S202" s="55" t="n">
        <v>5.91176470588235</v>
      </c>
      <c r="T202" s="55" t="n">
        <v>103</v>
      </c>
      <c r="U202" s="51" t="n">
        <v>78515.38297347751</v>
      </c>
      <c r="V202" s="122" t="n">
        <v>0.002430555555555556</v>
      </c>
      <c r="W202" s="133" t="n">
        <v>194</v>
      </c>
      <c r="X202" s="133" t="n"/>
      <c r="Y202" s="133">
        <f>W202/C202</f>
        <v/>
      </c>
      <c r="Z202" s="133" t="n"/>
      <c r="AA202" s="133" t="n"/>
      <c r="AB202" s="132" t="n"/>
      <c r="AC202" s="132" t="n"/>
      <c r="AD202" s="132" t="n"/>
      <c r="AE202" s="132" t="n"/>
      <c r="AF202" s="132" t="n"/>
      <c r="AG202" s="132" t="n"/>
      <c r="AH202" s="132" t="n"/>
      <c r="AI202" s="132" t="n"/>
      <c r="AJ202" s="132">
        <f>AB202+AC202+AD202+AE202+AF202+AG202+AH202+AI202</f>
        <v/>
      </c>
      <c r="AK202" s="59">
        <f>AL202/C202</f>
        <v/>
      </c>
      <c r="AL202" s="55" t="n">
        <v>12880</v>
      </c>
    </row>
    <row r="203" ht="22.5" customHeight="1" s="150">
      <c r="A203" s="34" t="n">
        <v>201</v>
      </c>
      <c r="B203" s="50" t="n">
        <v>165</v>
      </c>
      <c r="C203" s="50" t="n">
        <v>165</v>
      </c>
      <c r="D203" s="50" t="n">
        <v>0</v>
      </c>
      <c r="E203" s="50" t="n">
        <v>0</v>
      </c>
      <c r="F203" s="51">
        <f>(C203*100)/B203</f>
        <v/>
      </c>
      <c r="G203" s="51">
        <f>(D203*100)/B203</f>
        <v/>
      </c>
      <c r="H203" s="53">
        <f>((B203-B204)/B203)*100</f>
        <v/>
      </c>
      <c r="I203" s="53">
        <f>((B203-C203)/B203)*100</f>
        <v/>
      </c>
      <c r="J203" s="53">
        <f>((C203-B204)/C203)*100</f>
        <v/>
      </c>
      <c r="K203" s="54" t="n"/>
      <c r="L203" s="55" t="n">
        <v>1</v>
      </c>
      <c r="M203" s="129" t="inlineStr">
        <is>
          <t>Hard</t>
        </is>
      </c>
      <c r="N203" s="55" t="n">
        <v>0</v>
      </c>
      <c r="O203" s="57">
        <f>N203/C203</f>
        <v/>
      </c>
      <c r="P203" s="58">
        <f>(Boosters_IOS!B203*100)/Boosters_And!N203</f>
        <v/>
      </c>
      <c r="Q203" s="58">
        <f>Boosters_IOS!B203/(C203+D203)</f>
        <v/>
      </c>
      <c r="R203" s="58">
        <f>Boosters_IOS!N203/B203</f>
        <v/>
      </c>
      <c r="S203" s="55" t="n">
        <v>13.109375</v>
      </c>
      <c r="T203" s="55" t="n">
        <v>41</v>
      </c>
      <c r="U203" s="51" t="n">
        <v>79985.61189249461</v>
      </c>
      <c r="V203" s="122" t="n"/>
      <c r="W203" s="133" t="n"/>
      <c r="X203" s="133" t="n"/>
      <c r="Y203" s="133" t="n"/>
      <c r="Z203" s="133" t="n"/>
      <c r="AA203" s="133" t="n"/>
      <c r="AB203" s="132" t="n"/>
      <c r="AC203" s="132" t="n"/>
      <c r="AD203" s="132" t="n"/>
      <c r="AE203" s="132" t="n"/>
      <c r="AF203" s="132" t="n"/>
      <c r="AG203" s="132" t="n"/>
      <c r="AH203" s="132" t="n"/>
      <c r="AI203" s="132" t="n"/>
      <c r="AJ203" s="132">
        <f>AB203+AC203+AD203+AE203+AF203+AG203+AH203+AI203</f>
        <v/>
      </c>
      <c r="AK203" s="59">
        <f>AL203/C203</f>
        <v/>
      </c>
      <c r="AL203" s="55" t="n"/>
    </row>
    <row r="204" ht="22.5" customHeight="1" s="150">
      <c r="A204" s="34" t="n">
        <v>202</v>
      </c>
      <c r="B204" s="50" t="n">
        <v>160</v>
      </c>
      <c r="C204" s="50" t="n">
        <v>160</v>
      </c>
      <c r="D204" s="50" t="n">
        <v>0</v>
      </c>
      <c r="E204" s="50" t="n">
        <v>0</v>
      </c>
      <c r="F204" s="51">
        <f>(C204*100)/B204</f>
        <v/>
      </c>
      <c r="G204" s="51">
        <f>(D204*100)/B204</f>
        <v/>
      </c>
      <c r="H204" s="53">
        <f>((B204-B205)/B204)*100</f>
        <v/>
      </c>
      <c r="I204" s="53">
        <f>((B204-C204)/B204)*100</f>
        <v/>
      </c>
      <c r="J204" s="53">
        <f>((C204-B205)/C204)*100</f>
        <v/>
      </c>
      <c r="K204" s="54" t="n"/>
      <c r="L204" s="55" t="n">
        <v>1</v>
      </c>
      <c r="M204" s="127" t="inlineStr">
        <is>
          <t>Hard</t>
        </is>
      </c>
      <c r="N204" s="55" t="n">
        <v>0</v>
      </c>
      <c r="O204" s="57">
        <f>N204/C204</f>
        <v/>
      </c>
      <c r="P204" s="58">
        <f>(Boosters_IOS!B204*100)/Boosters_And!N204</f>
        <v/>
      </c>
      <c r="Q204" s="58">
        <f>Boosters_IOS!B204/(C204+D204)</f>
        <v/>
      </c>
      <c r="R204" s="58">
        <f>Boosters_IOS!N204/B204</f>
        <v/>
      </c>
      <c r="S204" s="55" t="n">
        <v>3.46774193548387</v>
      </c>
      <c r="T204" s="55" t="n">
        <v>41</v>
      </c>
      <c r="U204" s="51" t="n">
        <v>86059.9787421181</v>
      </c>
      <c r="V204" s="122" t="n"/>
      <c r="W204" s="133" t="n"/>
      <c r="X204" s="133" t="n"/>
      <c r="Y204" s="133" t="n"/>
      <c r="Z204" s="133" t="n"/>
      <c r="AA204" s="133" t="n"/>
      <c r="AB204" s="132" t="n"/>
      <c r="AC204" s="132" t="n"/>
      <c r="AD204" s="132" t="n"/>
      <c r="AE204" s="132" t="n"/>
      <c r="AF204" s="132" t="n"/>
      <c r="AG204" s="132" t="n"/>
      <c r="AH204" s="132" t="n"/>
      <c r="AI204" s="132" t="n"/>
      <c r="AJ204" s="132">
        <f>AB204+AC204+AD204+AE204+AF204+AG204+AH204+AI204</f>
        <v/>
      </c>
      <c r="AK204" s="59">
        <f>AL204/C204</f>
        <v/>
      </c>
      <c r="AL204" s="55" t="n"/>
    </row>
    <row r="205" ht="22.5" customHeight="1" s="150">
      <c r="A205" s="34" t="n">
        <v>203</v>
      </c>
      <c r="B205" s="50" t="n">
        <v>162</v>
      </c>
      <c r="C205" s="50" t="n">
        <v>150</v>
      </c>
      <c r="D205" s="50" t="n">
        <v>83</v>
      </c>
      <c r="E205" s="50" t="n">
        <v>72</v>
      </c>
      <c r="F205" s="51">
        <f>(C205*100)/B205</f>
        <v/>
      </c>
      <c r="G205" s="51">
        <f>(D205*100)/B205</f>
        <v/>
      </c>
      <c r="H205" s="53">
        <f>((B205-B206)/B205)*100</f>
        <v/>
      </c>
      <c r="I205" s="53">
        <f>((B205-C205)/B205)*100</f>
        <v/>
      </c>
      <c r="J205" s="53">
        <f>((C205-B206)/C205)*100</f>
        <v/>
      </c>
      <c r="K205" s="54" t="n"/>
      <c r="L205" s="55" t="n">
        <v>1.6551724137931</v>
      </c>
      <c r="M205" s="120" t="inlineStr">
        <is>
          <t>Normal</t>
        </is>
      </c>
      <c r="N205" s="55" t="n">
        <v>56.41</v>
      </c>
      <c r="O205" s="57">
        <f>N205/C205</f>
        <v/>
      </c>
      <c r="P205" s="58">
        <f>(Boosters_IOS!B205*100)/Boosters_And!N205</f>
        <v/>
      </c>
      <c r="Q205" s="58">
        <f>Boosters_IOS!B205/(C205+D205)</f>
        <v/>
      </c>
      <c r="R205" s="58">
        <f>Boosters_IOS!N205/B205</f>
        <v/>
      </c>
      <c r="S205" s="55" t="n">
        <v>5.1551724137931</v>
      </c>
      <c r="T205" s="55" t="n">
        <v>77</v>
      </c>
      <c r="U205" s="51" t="n">
        <v>102361.464300343</v>
      </c>
      <c r="V205" s="122" t="n"/>
      <c r="W205" s="133" t="n"/>
      <c r="X205" s="133" t="n"/>
      <c r="Y205" s="133" t="n"/>
      <c r="Z205" s="133" t="n"/>
      <c r="AA205" s="133" t="n"/>
      <c r="AB205" s="132" t="n"/>
      <c r="AC205" s="132" t="n"/>
      <c r="AD205" s="132" t="n"/>
      <c r="AE205" s="132" t="n"/>
      <c r="AF205" s="132" t="n"/>
      <c r="AG205" s="132" t="n"/>
      <c r="AH205" s="132" t="n"/>
      <c r="AI205" s="132" t="n"/>
      <c r="AJ205" s="132">
        <f>AB205+AC205+AD205+AE205+AF205+AG205+AH205+AI205</f>
        <v/>
      </c>
      <c r="AK205" s="59">
        <f>AL205/C205</f>
        <v/>
      </c>
      <c r="AL205" s="55" t="n"/>
    </row>
    <row r="206" ht="22.5" customHeight="1" s="150">
      <c r="A206" s="34" t="n">
        <v>204</v>
      </c>
      <c r="B206" s="50" t="n">
        <v>152</v>
      </c>
      <c r="C206" s="50" t="n">
        <v>152</v>
      </c>
      <c r="D206" s="50" t="n">
        <v>64</v>
      </c>
      <c r="E206" s="50" t="n">
        <v>54</v>
      </c>
      <c r="F206" s="51">
        <f>(C206*100)/B206</f>
        <v/>
      </c>
      <c r="G206" s="51">
        <f>(D206*100)/B206</f>
        <v/>
      </c>
      <c r="H206" s="53">
        <f>((B206-B207)/B206)*100</f>
        <v/>
      </c>
      <c r="I206" s="53">
        <f>((B206-C206)/B206)*100</f>
        <v/>
      </c>
      <c r="J206" s="53">
        <f>((C206-B207)/C206)*100</f>
        <v/>
      </c>
      <c r="K206" s="54" t="n"/>
      <c r="L206" s="55" t="n">
        <v>1.25423728813559</v>
      </c>
      <c r="M206" s="128" t="inlineStr">
        <is>
          <t>Normal</t>
        </is>
      </c>
      <c r="N206" s="55" t="n">
        <v>5.99</v>
      </c>
      <c r="O206" s="57">
        <f>N206/C206</f>
        <v/>
      </c>
      <c r="P206" s="58">
        <f>(Boosters_IOS!B206*100)/Boosters_And!N206</f>
        <v/>
      </c>
      <c r="Q206" s="58">
        <f>Boosters_IOS!B206/(C206+D206)</f>
        <v/>
      </c>
      <c r="R206" s="58">
        <f>Boosters_IOS!N206/B206</f>
        <v/>
      </c>
      <c r="S206" s="55" t="n">
        <v>8.118644067796611</v>
      </c>
      <c r="T206" s="55" t="n">
        <v>72</v>
      </c>
      <c r="U206" s="51" t="n">
        <v>97796.016604448</v>
      </c>
      <c r="V206" s="122" t="n"/>
      <c r="W206" s="133" t="n"/>
      <c r="X206" s="133" t="n"/>
      <c r="Y206" s="133" t="n"/>
      <c r="Z206" s="133" t="n"/>
      <c r="AA206" s="133" t="n"/>
      <c r="AB206" s="132" t="n"/>
      <c r="AC206" s="132" t="n"/>
      <c r="AD206" s="132" t="n"/>
      <c r="AE206" s="132" t="n"/>
      <c r="AF206" s="132" t="n"/>
      <c r="AG206" s="132" t="n"/>
      <c r="AH206" s="132" t="n"/>
      <c r="AI206" s="132" t="n"/>
      <c r="AJ206" s="132">
        <f>AB206+AC206+AD206+AE206+AF206+AG206+AH206+AI206</f>
        <v/>
      </c>
      <c r="AK206" s="59">
        <f>AL206/C206</f>
        <v/>
      </c>
      <c r="AL206" s="55" t="n"/>
    </row>
    <row r="207" ht="22.5" customHeight="1" s="150">
      <c r="A207" s="34" t="n">
        <v>205</v>
      </c>
      <c r="B207" s="50" t="n">
        <v>152</v>
      </c>
      <c r="C207" s="50" t="n">
        <v>152</v>
      </c>
      <c r="D207" s="50" t="n">
        <v>10</v>
      </c>
      <c r="E207" s="50" t="n">
        <v>5</v>
      </c>
      <c r="F207" s="51">
        <f>(C207*100)/B207</f>
        <v/>
      </c>
      <c r="G207" s="51">
        <f>(D207*100)/B207</f>
        <v/>
      </c>
      <c r="H207" s="53">
        <f>((B207-B208)/B207)*100</f>
        <v/>
      </c>
      <c r="I207" s="53">
        <f>((B207-C207)/B207)*100</f>
        <v/>
      </c>
      <c r="J207" s="53">
        <f>((C207-B208)/C207)*100</f>
        <v/>
      </c>
      <c r="K207" s="54" t="n"/>
      <c r="L207" s="55" t="n">
        <v>1.03389830508474</v>
      </c>
      <c r="M207" s="120" t="inlineStr">
        <is>
          <t>Normal</t>
        </is>
      </c>
      <c r="N207" s="55" t="n">
        <v>0</v>
      </c>
      <c r="O207" s="57">
        <f>N207/C207</f>
        <v/>
      </c>
      <c r="P207" s="58">
        <f>(Boosters_IOS!B207*100)/Boosters_And!N207</f>
        <v/>
      </c>
      <c r="Q207" s="58">
        <f>Boosters_IOS!B207/(C207+D207)</f>
        <v/>
      </c>
      <c r="R207" s="58">
        <f>Boosters_IOS!N207/B207</f>
        <v/>
      </c>
      <c r="S207" s="55" t="n">
        <v>5.81355932203389</v>
      </c>
      <c r="T207" s="55" t="n">
        <v>54</v>
      </c>
      <c r="U207" s="51" t="n">
        <v>112137.196937317</v>
      </c>
      <c r="V207" s="122" t="n"/>
      <c r="W207" s="133" t="n"/>
      <c r="X207" s="133" t="n"/>
      <c r="Y207" s="133" t="n"/>
      <c r="Z207" s="133" t="n"/>
      <c r="AA207" s="133" t="n"/>
      <c r="AB207" s="132" t="n"/>
      <c r="AC207" s="132" t="n"/>
      <c r="AD207" s="132" t="n"/>
      <c r="AE207" s="132" t="n"/>
      <c r="AF207" s="132" t="n"/>
      <c r="AG207" s="132" t="n"/>
      <c r="AH207" s="132" t="n"/>
      <c r="AI207" s="132" t="n"/>
      <c r="AJ207" s="132">
        <f>AB207+AC207+AD207+AE207+AF207+AG207+AH207+AI207</f>
        <v/>
      </c>
      <c r="AK207" s="59">
        <f>AL207/C207</f>
        <v/>
      </c>
      <c r="AL207" s="55" t="n"/>
    </row>
    <row r="208" ht="22.5" customHeight="1" s="150">
      <c r="A208" s="34" t="n">
        <v>206</v>
      </c>
      <c r="B208" s="50" t="n">
        <v>152</v>
      </c>
      <c r="C208" s="50" t="n">
        <v>152</v>
      </c>
      <c r="D208" s="50" t="n">
        <v>26</v>
      </c>
      <c r="E208" s="50" t="n">
        <v>26</v>
      </c>
      <c r="F208" s="51">
        <f>(C208*100)/B208</f>
        <v/>
      </c>
      <c r="G208" s="51">
        <f>(D208*100)/B208</f>
        <v/>
      </c>
      <c r="H208" s="53">
        <f>((B208-B209)/B208)*100</f>
        <v/>
      </c>
      <c r="I208" s="53">
        <f>((B208-C208)/B208)*100</f>
        <v/>
      </c>
      <c r="J208" s="53">
        <f>((C208-B209)/C208)*100</f>
        <v/>
      </c>
      <c r="K208" s="54" t="n"/>
      <c r="L208" s="55" t="n">
        <v>1.10169491525423</v>
      </c>
      <c r="M208" s="128" t="inlineStr">
        <is>
          <t>Normal</t>
        </is>
      </c>
      <c r="N208" s="55" t="n">
        <v>0</v>
      </c>
      <c r="O208" s="57">
        <f>N208/C208</f>
        <v/>
      </c>
      <c r="P208" s="58">
        <f>(Boosters_IOS!B208*100)/Boosters_And!N208</f>
        <v/>
      </c>
      <c r="Q208" s="58">
        <f>Boosters_IOS!B208/(C208+D208)</f>
        <v/>
      </c>
      <c r="R208" s="58">
        <f>Boosters_IOS!N208/B208</f>
        <v/>
      </c>
      <c r="S208" s="55" t="n">
        <v>9.69491525423728</v>
      </c>
      <c r="T208" s="55" t="n">
        <v>62</v>
      </c>
      <c r="U208" s="51" t="n">
        <v>112588.583008945</v>
      </c>
      <c r="V208" s="122" t="n"/>
      <c r="W208" s="133" t="n"/>
      <c r="X208" s="133" t="n"/>
      <c r="Y208" s="133" t="n"/>
      <c r="Z208" s="133" t="n"/>
      <c r="AA208" s="133" t="n"/>
      <c r="AB208" s="132" t="n"/>
      <c r="AC208" s="132" t="n"/>
      <c r="AD208" s="132" t="n"/>
      <c r="AE208" s="132" t="n"/>
      <c r="AF208" s="132" t="n"/>
      <c r="AG208" s="132" t="n"/>
      <c r="AH208" s="132" t="n"/>
      <c r="AI208" s="132" t="n"/>
      <c r="AJ208" s="132">
        <f>AB208+AC208+AD208+AE208+AF208+AG208+AH208+AI208</f>
        <v/>
      </c>
      <c r="AK208" s="59">
        <f>AL208/C208</f>
        <v/>
      </c>
      <c r="AL208" s="55" t="n"/>
    </row>
    <row r="209" ht="22.5" customHeight="1" s="150">
      <c r="A209" s="34" t="n">
        <v>207</v>
      </c>
      <c r="B209" s="50" t="n">
        <v>157</v>
      </c>
      <c r="C209" s="50" t="n">
        <v>155</v>
      </c>
      <c r="D209" s="50" t="n">
        <v>57</v>
      </c>
      <c r="E209" s="50" t="n">
        <v>39</v>
      </c>
      <c r="F209" s="51">
        <f>(C209*100)/B209</f>
        <v/>
      </c>
      <c r="G209" s="51">
        <f>(D209*100)/B209</f>
        <v/>
      </c>
      <c r="H209" s="53">
        <f>((B209-B210)/B209)*100</f>
        <v/>
      </c>
      <c r="I209" s="53">
        <f>((B209-C209)/B209)*100</f>
        <v/>
      </c>
      <c r="J209" s="53">
        <f>((C209-B210)/C209)*100</f>
        <v/>
      </c>
      <c r="K209" s="54" t="n"/>
      <c r="L209" s="55" t="n">
        <v>1.18333333333333</v>
      </c>
      <c r="M209" s="120" t="inlineStr">
        <is>
          <t>Normal</t>
        </is>
      </c>
      <c r="N209" s="55" t="n">
        <v>4.99</v>
      </c>
      <c r="O209" s="57">
        <f>N209/C209</f>
        <v/>
      </c>
      <c r="P209" s="58">
        <f>(Boosters_IOS!B209*100)/Boosters_And!N209</f>
        <v/>
      </c>
      <c r="Q209" s="58">
        <f>Boosters_IOS!B209/(C209+D209)</f>
        <v/>
      </c>
      <c r="R209" s="58">
        <f>Boosters_IOS!N209/B209</f>
        <v/>
      </c>
      <c r="S209" s="55" t="n">
        <v>4.8</v>
      </c>
      <c r="T209" s="55" t="n">
        <v>67</v>
      </c>
      <c r="U209" s="51" t="n">
        <v>112885.208141729</v>
      </c>
      <c r="V209" s="122" t="n"/>
      <c r="W209" s="133" t="n"/>
      <c r="X209" s="133" t="n"/>
      <c r="Y209" s="133" t="n"/>
      <c r="Z209" s="133" t="n"/>
      <c r="AA209" s="133" t="n"/>
      <c r="AB209" s="132" t="n"/>
      <c r="AC209" s="132" t="n"/>
      <c r="AD209" s="132" t="n"/>
      <c r="AE209" s="132" t="n"/>
      <c r="AF209" s="132" t="n"/>
      <c r="AG209" s="132" t="n"/>
      <c r="AH209" s="132" t="n"/>
      <c r="AI209" s="132" t="n"/>
      <c r="AJ209" s="132">
        <f>AB209+AC209+AD209+AE209+AF209+AG209+AH209+AI209</f>
        <v/>
      </c>
      <c r="AK209" s="59">
        <f>AL209/C209</f>
        <v/>
      </c>
      <c r="AL209" s="55" t="n"/>
    </row>
    <row r="210" ht="22.5" customHeight="1" s="150">
      <c r="A210" s="34" t="n">
        <v>208</v>
      </c>
      <c r="B210" s="50" t="n">
        <v>157</v>
      </c>
      <c r="C210" s="50" t="n">
        <v>152</v>
      </c>
      <c r="D210" s="50" t="n">
        <v>62</v>
      </c>
      <c r="E210" s="50" t="n">
        <v>62</v>
      </c>
      <c r="F210" s="51">
        <f>(C210*100)/B210</f>
        <v/>
      </c>
      <c r="G210" s="51">
        <f>(D210*100)/B210</f>
        <v/>
      </c>
      <c r="H210" s="53">
        <f>((B210-B211)/B210)*100</f>
        <v/>
      </c>
      <c r="I210" s="53">
        <f>((B210-C210)/B210)*100</f>
        <v/>
      </c>
      <c r="J210" s="53">
        <f>((C210-B211)/C210)*100</f>
        <v/>
      </c>
      <c r="K210" s="54" t="n"/>
      <c r="L210" s="55" t="n">
        <v>1.40677966101694</v>
      </c>
      <c r="M210" s="127" t="inlineStr">
        <is>
          <t>Hard</t>
        </is>
      </c>
      <c r="N210" s="55" t="n">
        <v>2.49</v>
      </c>
      <c r="O210" s="57">
        <f>N210/C210</f>
        <v/>
      </c>
      <c r="P210" s="58">
        <f>(Boosters_IOS!B210*100)/Boosters_And!N210</f>
        <v/>
      </c>
      <c r="Q210" s="58">
        <f>Boosters_IOS!B210/(C210+D210)</f>
        <v/>
      </c>
      <c r="R210" s="58">
        <f>Boosters_IOS!N210/B210</f>
        <v/>
      </c>
      <c r="S210" s="55" t="n">
        <v>4.94915254237288</v>
      </c>
      <c r="T210" s="55" t="n">
        <v>67</v>
      </c>
      <c r="U210" s="51" t="n">
        <v>86034.1852523108</v>
      </c>
      <c r="V210" s="122" t="n"/>
      <c r="W210" s="133" t="n"/>
      <c r="X210" s="133" t="n"/>
      <c r="Y210" s="133" t="n"/>
      <c r="Z210" s="133" t="n"/>
      <c r="AA210" s="133" t="n"/>
      <c r="AB210" s="132" t="n"/>
      <c r="AC210" s="132" t="n"/>
      <c r="AD210" s="132" t="n"/>
      <c r="AE210" s="132" t="n"/>
      <c r="AF210" s="132" t="n"/>
      <c r="AG210" s="132" t="n"/>
      <c r="AH210" s="132" t="n"/>
      <c r="AI210" s="132" t="n"/>
      <c r="AJ210" s="132">
        <f>AB210+AC210+AD210+AE210+AF210+AG210+AH210+AI210</f>
        <v/>
      </c>
      <c r="AK210" s="59">
        <f>AL210/C210</f>
        <v/>
      </c>
      <c r="AL210" s="55" t="n"/>
    </row>
    <row r="211" ht="22.5" customHeight="1" s="150">
      <c r="A211" s="34" t="n">
        <v>209</v>
      </c>
      <c r="B211" s="50" t="n">
        <v>155</v>
      </c>
      <c r="C211" s="50" t="n">
        <v>152</v>
      </c>
      <c r="D211" s="50" t="n">
        <v>59</v>
      </c>
      <c r="E211" s="50" t="n">
        <v>54</v>
      </c>
      <c r="F211" s="51">
        <f>(C211*100)/B211</f>
        <v/>
      </c>
      <c r="G211" s="51">
        <f>(D211*100)/B211</f>
        <v/>
      </c>
      <c r="H211" s="53">
        <f>((B211-B212)/B211)*100</f>
        <v/>
      </c>
      <c r="I211" s="53">
        <f>((B211-C211)/B211)*100</f>
        <v/>
      </c>
      <c r="J211" s="53">
        <f>((C211-B212)/C211)*100</f>
        <v/>
      </c>
      <c r="K211" s="54" t="n"/>
      <c r="L211" s="55" t="n">
        <v>1.25423728813559</v>
      </c>
      <c r="M211" s="129" t="inlineStr">
        <is>
          <t>Hard</t>
        </is>
      </c>
      <c r="N211" s="55" t="n">
        <v>15.46</v>
      </c>
      <c r="O211" s="57">
        <f>N211/C211</f>
        <v/>
      </c>
      <c r="P211" s="58">
        <f>(Boosters_IOS!B211*100)/Boosters_And!N211</f>
        <v/>
      </c>
      <c r="Q211" s="58">
        <f>Boosters_IOS!B211/(C211+D211)</f>
        <v/>
      </c>
      <c r="R211" s="58">
        <f>Boosters_IOS!N211/B211</f>
        <v/>
      </c>
      <c r="S211" s="55" t="n">
        <v>6.1864406779661</v>
      </c>
      <c r="T211" s="55" t="n">
        <v>54</v>
      </c>
      <c r="U211" s="51" t="n">
        <v>99575.767401153</v>
      </c>
      <c r="V211" s="122" t="n"/>
      <c r="W211" s="133" t="n"/>
      <c r="X211" s="133" t="n"/>
      <c r="Y211" s="133" t="n"/>
      <c r="Z211" s="133" t="n"/>
      <c r="AA211" s="133" t="n"/>
      <c r="AB211" s="132" t="n"/>
      <c r="AC211" s="132" t="n"/>
      <c r="AD211" s="132" t="n"/>
      <c r="AE211" s="132" t="n"/>
      <c r="AF211" s="132" t="n"/>
      <c r="AG211" s="132" t="n"/>
      <c r="AH211" s="132" t="n"/>
      <c r="AI211" s="132" t="n"/>
      <c r="AJ211" s="132">
        <f>AB211+AC211+AD211+AE211+AF211+AG211+AH211+AI211</f>
        <v/>
      </c>
      <c r="AK211" s="59">
        <f>AL211/C211</f>
        <v/>
      </c>
      <c r="AL211" s="55" t="n"/>
    </row>
    <row r="212" ht="22.5" customHeight="1" s="150">
      <c r="A212" s="34" t="n">
        <v>210</v>
      </c>
      <c r="B212" s="50" t="n">
        <v>155</v>
      </c>
      <c r="C212" s="50" t="n">
        <v>150</v>
      </c>
      <c r="D212" s="50" t="n">
        <v>59</v>
      </c>
      <c r="E212" s="50" t="n">
        <v>108</v>
      </c>
      <c r="F212" s="51">
        <f>(C212*100)/B212</f>
        <v/>
      </c>
      <c r="G212" s="51">
        <f>(D212*100)/B212</f>
        <v/>
      </c>
      <c r="H212" s="53">
        <f>((B212-B213)/B212)*100</f>
        <v/>
      </c>
      <c r="I212" s="53">
        <f>((B212-C212)/B212)*100</f>
        <v/>
      </c>
      <c r="J212" s="53">
        <f>((C212-B213)/C212)*100</f>
        <v/>
      </c>
      <c r="K212" s="54" t="n"/>
      <c r="L212" s="55" t="n">
        <v>1.36206896551724</v>
      </c>
      <c r="M212" s="128" t="inlineStr">
        <is>
          <t>Normal</t>
        </is>
      </c>
      <c r="N212" s="55" t="n">
        <v>18.96</v>
      </c>
      <c r="O212" s="57">
        <f>N212/C212</f>
        <v/>
      </c>
      <c r="P212" s="58">
        <f>(Boosters_IOS!B212*100)/Boosters_And!N212</f>
        <v/>
      </c>
      <c r="Q212" s="58">
        <f>Boosters_IOS!B212/(C212+D212)</f>
        <v/>
      </c>
      <c r="R212" s="58">
        <f>Boosters_IOS!N212/B212</f>
        <v/>
      </c>
      <c r="S212" s="55" t="n">
        <v>4.32758620689655</v>
      </c>
      <c r="T212" s="55" t="n">
        <v>46</v>
      </c>
      <c r="U212" s="51" t="n">
        <v>118533.982409532</v>
      </c>
      <c r="V212" s="122" t="n"/>
      <c r="W212" s="133" t="n"/>
      <c r="X212" s="133" t="n"/>
      <c r="Y212" s="133" t="n"/>
      <c r="Z212" s="133" t="n"/>
      <c r="AA212" s="133" t="n"/>
      <c r="AB212" s="132" t="n"/>
      <c r="AC212" s="132" t="n"/>
      <c r="AD212" s="132" t="n"/>
      <c r="AE212" s="132" t="n"/>
      <c r="AF212" s="132" t="n"/>
      <c r="AG212" s="132" t="n"/>
      <c r="AH212" s="132" t="n"/>
      <c r="AI212" s="132" t="n"/>
      <c r="AJ212" s="132">
        <f>AB212+AC212+AD212+AE212+AF212+AG212+AH212+AI212</f>
        <v/>
      </c>
      <c r="AK212" s="59">
        <f>AL212/C212</f>
        <v/>
      </c>
      <c r="AL212" s="55" t="n"/>
    </row>
    <row r="213" ht="22.5" customHeight="1" s="150">
      <c r="A213" s="34" t="n">
        <v>211</v>
      </c>
      <c r="B213" s="50" t="n">
        <v>152</v>
      </c>
      <c r="C213" s="50" t="n">
        <v>144</v>
      </c>
      <c r="D213" s="50" t="n">
        <v>59</v>
      </c>
      <c r="E213" s="50" t="n">
        <v>28</v>
      </c>
      <c r="F213" s="51">
        <f>(C213*100)/B213</f>
        <v/>
      </c>
      <c r="G213" s="51">
        <f>(D213*100)/B213</f>
        <v/>
      </c>
      <c r="H213" s="53">
        <f>((B213-B214)/B213)*100</f>
        <v/>
      </c>
      <c r="I213" s="53">
        <f>((B213-C213)/B213)*100</f>
        <v/>
      </c>
      <c r="J213" s="53">
        <f>((C213-B214)/C213)*100</f>
        <v/>
      </c>
      <c r="K213" s="54" t="n"/>
      <c r="L213" s="55" t="n">
        <v>1.375</v>
      </c>
      <c r="M213" s="130" t="inlineStr">
        <is>
          <t>Very Hard</t>
        </is>
      </c>
      <c r="N213" s="55" t="n">
        <v>9.98</v>
      </c>
      <c r="O213" s="57">
        <f>N213/C213</f>
        <v/>
      </c>
      <c r="P213" s="58">
        <f>(Boosters_IOS!B213*100)/Boosters_And!N213</f>
        <v/>
      </c>
      <c r="Q213" s="58">
        <f>Boosters_IOS!B213/(C213+D213)</f>
        <v/>
      </c>
      <c r="R213" s="58">
        <f>Boosters_IOS!N213/B213</f>
        <v/>
      </c>
      <c r="S213" s="55" t="n">
        <v>8.83928571428571</v>
      </c>
      <c r="T213" s="55" t="n">
        <v>64</v>
      </c>
      <c r="U213" s="51" t="n">
        <v>120687.738808443</v>
      </c>
      <c r="V213" s="122" t="n"/>
      <c r="W213" s="133" t="n"/>
      <c r="X213" s="133" t="n"/>
      <c r="Y213" s="133" t="n"/>
      <c r="Z213" s="133" t="n"/>
      <c r="AA213" s="133" t="n"/>
      <c r="AB213" s="132" t="n"/>
      <c r="AC213" s="132" t="n"/>
      <c r="AD213" s="132" t="n"/>
      <c r="AE213" s="132" t="n"/>
      <c r="AF213" s="132" t="n"/>
      <c r="AG213" s="132" t="n"/>
      <c r="AH213" s="132" t="n"/>
      <c r="AI213" s="132" t="n"/>
      <c r="AJ213" s="132">
        <f>AB213+AC213+AD213+AE213+AF213+AG213+AH213+AI213</f>
        <v/>
      </c>
      <c r="AK213" s="59">
        <f>AL213/C213</f>
        <v/>
      </c>
      <c r="AL213" s="55" t="n"/>
    </row>
    <row r="214" ht="22.5" customHeight="1" s="150">
      <c r="A214" s="34" t="n">
        <v>212</v>
      </c>
      <c r="B214" s="50" t="n">
        <v>147</v>
      </c>
      <c r="C214" s="50" t="n">
        <v>147</v>
      </c>
      <c r="D214" s="50" t="n">
        <v>44</v>
      </c>
      <c r="E214" s="50" t="n">
        <v>54</v>
      </c>
      <c r="F214" s="51">
        <f>(C214*100)/B214</f>
        <v/>
      </c>
      <c r="G214" s="51">
        <f>(D214*100)/B214</f>
        <v/>
      </c>
      <c r="H214" s="53">
        <f>((B214-B215)/B214)*100</f>
        <v/>
      </c>
      <c r="I214" s="53">
        <f>((B214-C214)/B214)*100</f>
        <v/>
      </c>
      <c r="J214" s="53">
        <f>((C214-B215)/C214)*100</f>
        <v/>
      </c>
      <c r="K214" s="54" t="n"/>
      <c r="L214" s="55" t="n">
        <v>1.36842105263157</v>
      </c>
      <c r="M214" s="128" t="inlineStr">
        <is>
          <t>Normal</t>
        </is>
      </c>
      <c r="N214" s="55" t="n">
        <v>4.99</v>
      </c>
      <c r="O214" s="57">
        <f>N214/C214</f>
        <v/>
      </c>
      <c r="P214" s="58">
        <f>(Boosters_IOS!B214*100)/Boosters_And!N214</f>
        <v/>
      </c>
      <c r="Q214" s="58">
        <f>Boosters_IOS!B214/(C214+D214)</f>
        <v/>
      </c>
      <c r="R214" s="58">
        <f>Boosters_IOS!N214/B214</f>
        <v/>
      </c>
      <c r="S214" s="55" t="n">
        <v>8.91228070175438</v>
      </c>
      <c r="T214" s="55" t="n">
        <v>54</v>
      </c>
      <c r="U214" s="51" t="n">
        <v>124363.311105986</v>
      </c>
      <c r="V214" s="122" t="n"/>
      <c r="W214" s="133" t="n"/>
      <c r="X214" s="133" t="n"/>
      <c r="Y214" s="133" t="n"/>
      <c r="Z214" s="133" t="n"/>
      <c r="AA214" s="133" t="n"/>
      <c r="AB214" s="132" t="n"/>
      <c r="AC214" s="132" t="n"/>
      <c r="AD214" s="132" t="n"/>
      <c r="AE214" s="132" t="n"/>
      <c r="AF214" s="132" t="n"/>
      <c r="AG214" s="132" t="n"/>
      <c r="AH214" s="132" t="n"/>
      <c r="AI214" s="132" t="n"/>
      <c r="AJ214" s="132">
        <f>AB214+AC214+AD214+AE214+AF214+AG214+AH214+AI214</f>
        <v/>
      </c>
      <c r="AK214" s="59">
        <f>AL214/C214</f>
        <v/>
      </c>
      <c r="AL214" s="55" t="n"/>
    </row>
    <row r="215" ht="22.5" customHeight="1" s="150">
      <c r="A215" s="34" t="n">
        <v>213</v>
      </c>
      <c r="B215" s="50" t="n">
        <v>147</v>
      </c>
      <c r="C215" s="50" t="n">
        <v>142</v>
      </c>
      <c r="D215" s="50" t="n">
        <v>59</v>
      </c>
      <c r="E215" s="50" t="n">
        <v>49</v>
      </c>
      <c r="F215" s="51">
        <f>(C215*100)/B215</f>
        <v/>
      </c>
      <c r="G215" s="51">
        <f>(D215*100)/B215</f>
        <v/>
      </c>
      <c r="H215" s="53">
        <f>((B215-B216)/B215)*100</f>
        <v/>
      </c>
      <c r="I215" s="53">
        <f>((B215-C215)/B215)*100</f>
        <v/>
      </c>
      <c r="J215" s="53">
        <f>((C215-B216)/C215)*100</f>
        <v/>
      </c>
      <c r="K215" s="54" t="n"/>
      <c r="L215" s="55" t="n">
        <v>1.76363636363636</v>
      </c>
      <c r="M215" s="120" t="inlineStr">
        <is>
          <t>Normal</t>
        </is>
      </c>
      <c r="N215" s="55" t="n">
        <v>12.97</v>
      </c>
      <c r="O215" s="57">
        <f>N215/C215</f>
        <v/>
      </c>
      <c r="P215" s="58">
        <f>(Boosters_IOS!B215*100)/Boosters_And!N215</f>
        <v/>
      </c>
      <c r="Q215" s="58">
        <f>Boosters_IOS!B215/(C215+D215)</f>
        <v/>
      </c>
      <c r="R215" s="58">
        <f>Boosters_IOS!N215/B215</f>
        <v/>
      </c>
      <c r="S215" s="55" t="n">
        <v>6.67272727272727</v>
      </c>
      <c r="T215" s="55" t="n">
        <v>52</v>
      </c>
      <c r="U215" s="51" t="n">
        <v>119849.450389705</v>
      </c>
      <c r="V215" s="122" t="n"/>
      <c r="W215" s="133" t="n"/>
      <c r="X215" s="133" t="n"/>
      <c r="Y215" s="133" t="n"/>
      <c r="Z215" s="133" t="n"/>
      <c r="AA215" s="133" t="n"/>
      <c r="AB215" s="132" t="n"/>
      <c r="AC215" s="132" t="n"/>
      <c r="AD215" s="132" t="n"/>
      <c r="AE215" s="132" t="n"/>
      <c r="AF215" s="132" t="n"/>
      <c r="AG215" s="132" t="n"/>
      <c r="AH215" s="132" t="n"/>
      <c r="AI215" s="132" t="n"/>
      <c r="AJ215" s="132">
        <f>AB215+AC215+AD215+AE215+AF215+AG215+AH215+AI215</f>
        <v/>
      </c>
      <c r="AK215" s="59">
        <f>AL215/C215</f>
        <v/>
      </c>
      <c r="AL215" s="55" t="n"/>
    </row>
    <row r="216" ht="22.5" customHeight="1" s="150">
      <c r="A216" s="34" t="n">
        <v>214</v>
      </c>
      <c r="B216" s="50" t="n">
        <v>150</v>
      </c>
      <c r="C216" s="50" t="n">
        <v>137</v>
      </c>
      <c r="D216" s="50" t="n">
        <v>62</v>
      </c>
      <c r="E216" s="50" t="n">
        <v>64</v>
      </c>
      <c r="F216" s="51">
        <f>(C216*100)/B216</f>
        <v/>
      </c>
      <c r="G216" s="51">
        <f>(D216*100)/B216</f>
        <v/>
      </c>
      <c r="H216" s="53">
        <f>((B216-B217)/B216)*100</f>
        <v/>
      </c>
      <c r="I216" s="53">
        <f>((B216-C216)/B216)*100</f>
        <v/>
      </c>
      <c r="J216" s="53">
        <f>((C216-B217)/C216)*100</f>
        <v/>
      </c>
      <c r="K216" s="54" t="n"/>
      <c r="L216" s="55" t="n">
        <v>1.58490566037735</v>
      </c>
      <c r="M216" s="127" t="inlineStr">
        <is>
          <t>Hard</t>
        </is>
      </c>
      <c r="N216" s="55" t="n">
        <v>0</v>
      </c>
      <c r="O216" s="57">
        <f>N216/C216</f>
        <v/>
      </c>
      <c r="P216" s="58">
        <f>(Boosters_IOS!B216*100)/Boosters_And!N216</f>
        <v/>
      </c>
      <c r="Q216" s="58">
        <f>Boosters_IOS!B216/(C216+D216)</f>
        <v/>
      </c>
      <c r="R216" s="58">
        <f>Boosters_IOS!N216/B216</f>
        <v/>
      </c>
      <c r="S216" s="55" t="n">
        <v>4.50943396226415</v>
      </c>
      <c r="T216" s="55" t="n">
        <v>62</v>
      </c>
      <c r="U216" s="51" t="n">
        <v>114097.502162673</v>
      </c>
      <c r="V216" s="122" t="n"/>
      <c r="W216" s="133" t="n"/>
      <c r="X216" s="133" t="n"/>
      <c r="Y216" s="133" t="n"/>
      <c r="Z216" s="133" t="n"/>
      <c r="AA216" s="133" t="n"/>
      <c r="AB216" s="132" t="n"/>
      <c r="AC216" s="132" t="n"/>
      <c r="AD216" s="132" t="n"/>
      <c r="AE216" s="132" t="n"/>
      <c r="AF216" s="132" t="n"/>
      <c r="AG216" s="132" t="n"/>
      <c r="AH216" s="132" t="n"/>
      <c r="AI216" s="132" t="n"/>
      <c r="AJ216" s="132">
        <f>AB216+AC216+AD216+AE216+AF216+AG216+AH216+AI216</f>
        <v/>
      </c>
      <c r="AK216" s="59">
        <f>AL216/C216</f>
        <v/>
      </c>
      <c r="AL216" s="55" t="n"/>
    </row>
    <row r="217" ht="22.5" customHeight="1" s="150">
      <c r="A217" s="34" t="n">
        <v>215</v>
      </c>
      <c r="B217" s="50" t="n">
        <v>139</v>
      </c>
      <c r="C217" s="50" t="n">
        <v>139</v>
      </c>
      <c r="D217" s="50" t="n">
        <v>67</v>
      </c>
      <c r="E217" s="50" t="n">
        <v>34</v>
      </c>
      <c r="F217" s="51">
        <f>(C217*100)/B217</f>
        <v/>
      </c>
      <c r="G217" s="51">
        <f>(D217*100)/B217</f>
        <v/>
      </c>
      <c r="H217" s="53">
        <f>((B217-B218)/B217)*100</f>
        <v/>
      </c>
      <c r="I217" s="53">
        <f>((B217-C217)/B217)*100</f>
        <v/>
      </c>
      <c r="J217" s="53">
        <f>((C217-B218)/C217)*100</f>
        <v/>
      </c>
      <c r="K217" s="54" t="n"/>
      <c r="L217" s="55" t="n">
        <v>1.16666666666666</v>
      </c>
      <c r="M217" s="120" t="inlineStr">
        <is>
          <t>Normal</t>
        </is>
      </c>
      <c r="N217" s="55" t="n">
        <v>9.98</v>
      </c>
      <c r="O217" s="57">
        <f>N217/C217</f>
        <v/>
      </c>
      <c r="P217" s="58">
        <f>(Boosters_IOS!B217*100)/Boosters_And!N217</f>
        <v/>
      </c>
      <c r="Q217" s="58">
        <f>Boosters_IOS!B217/(C217+D217)</f>
        <v/>
      </c>
      <c r="R217" s="58">
        <f>Boosters_IOS!N217/B217</f>
        <v/>
      </c>
      <c r="S217" s="55" t="n">
        <v>5.18518518518518</v>
      </c>
      <c r="T217" s="55" t="n">
        <v>59</v>
      </c>
      <c r="U217" s="51" t="n">
        <v>93901.199643543</v>
      </c>
      <c r="V217" s="122" t="n"/>
      <c r="W217" s="133" t="n"/>
      <c r="X217" s="133" t="n"/>
      <c r="Y217" s="133" t="n"/>
      <c r="Z217" s="133" t="n"/>
      <c r="AA217" s="133" t="n"/>
      <c r="AB217" s="132" t="n"/>
      <c r="AC217" s="132" t="n"/>
      <c r="AD217" s="132" t="n"/>
      <c r="AE217" s="132" t="n"/>
      <c r="AF217" s="132" t="n"/>
      <c r="AG217" s="132" t="n"/>
      <c r="AH217" s="132" t="n"/>
      <c r="AI217" s="132" t="n"/>
      <c r="AJ217" s="132">
        <f>AB217+AC217+AD217+AE217+AF217+AG217+AH217+AI217</f>
        <v/>
      </c>
      <c r="AK217" s="59">
        <f>AL217/C217</f>
        <v/>
      </c>
      <c r="AL217" s="55" t="n"/>
    </row>
    <row r="218" ht="22.5" customHeight="1" s="150">
      <c r="A218" s="34" t="n">
        <v>216</v>
      </c>
      <c r="B218" s="50" t="n">
        <v>139</v>
      </c>
      <c r="C218" s="50" t="n">
        <v>139</v>
      </c>
      <c r="D218" s="50" t="n">
        <v>34</v>
      </c>
      <c r="E218" s="50" t="n">
        <v>18</v>
      </c>
      <c r="F218" s="51">
        <f>(C218*100)/B218</f>
        <v/>
      </c>
      <c r="G218" s="51">
        <f>(D218*100)/B218</f>
        <v/>
      </c>
      <c r="H218" s="53">
        <f>((B218-B219)/B218)*100</f>
        <v/>
      </c>
      <c r="I218" s="53">
        <f>((B218-C218)/B218)*100</f>
        <v/>
      </c>
      <c r="J218" s="53">
        <f>((C218-B219)/C218)*100</f>
        <v/>
      </c>
      <c r="K218" s="54" t="n"/>
      <c r="L218" s="55" t="n">
        <v>1.07407407407407</v>
      </c>
      <c r="M218" s="128" t="inlineStr">
        <is>
          <t>Normal</t>
        </is>
      </c>
      <c r="N218" s="55" t="n">
        <v>32.95</v>
      </c>
      <c r="O218" s="57">
        <f>N218/C218</f>
        <v/>
      </c>
      <c r="P218" s="58">
        <f>(Boosters_IOS!B218*100)/Boosters_And!N218</f>
        <v/>
      </c>
      <c r="Q218" s="58">
        <f>Boosters_IOS!B218/(C218+D218)</f>
        <v/>
      </c>
      <c r="R218" s="58">
        <f>Boosters_IOS!N218/B218</f>
        <v/>
      </c>
      <c r="S218" s="55" t="n">
        <v>13.5</v>
      </c>
      <c r="T218" s="55" t="n">
        <v>41</v>
      </c>
      <c r="U218" s="51" t="n">
        <v>142083.438603613</v>
      </c>
      <c r="V218" s="122" t="n"/>
      <c r="W218" s="133" t="n"/>
      <c r="X218" s="133" t="n"/>
      <c r="Y218" s="133" t="n"/>
      <c r="Z218" s="133" t="n"/>
      <c r="AA218" s="133" t="n"/>
      <c r="AB218" s="132" t="n"/>
      <c r="AC218" s="132" t="n"/>
      <c r="AD218" s="132" t="n"/>
      <c r="AE218" s="132" t="n"/>
      <c r="AF218" s="132" t="n"/>
      <c r="AG218" s="132" t="n"/>
      <c r="AH218" s="132" t="n"/>
      <c r="AI218" s="132" t="n"/>
      <c r="AJ218" s="132">
        <f>AB218+AC218+AD218+AE218+AF218+AG218+AH218+AI218</f>
        <v/>
      </c>
      <c r="AK218" s="59">
        <f>AL218/C218</f>
        <v/>
      </c>
      <c r="AL218" s="55" t="n"/>
    </row>
    <row r="219" ht="22.5" customHeight="1" s="150">
      <c r="A219" s="34" t="n">
        <v>217</v>
      </c>
      <c r="B219" s="50" t="n">
        <v>147</v>
      </c>
      <c r="C219" s="50" t="n">
        <v>142</v>
      </c>
      <c r="D219" s="50" t="n">
        <v>80</v>
      </c>
      <c r="E219" s="50" t="n">
        <v>67</v>
      </c>
      <c r="F219" s="51">
        <f>(C219*100)/B219</f>
        <v/>
      </c>
      <c r="G219" s="51">
        <f>(D219*100)/B219</f>
        <v/>
      </c>
      <c r="H219" s="53">
        <f>((B219-B220)/B219)*100</f>
        <v/>
      </c>
      <c r="I219" s="53">
        <f>((B219-C219)/B219)*100</f>
        <v/>
      </c>
      <c r="J219" s="53">
        <f>((C219-B220)/C219)*100</f>
        <v/>
      </c>
      <c r="K219" s="54" t="n"/>
      <c r="L219" s="55" t="n">
        <v>1.7090909090909</v>
      </c>
      <c r="M219" s="129" t="inlineStr">
        <is>
          <t>Hard</t>
        </is>
      </c>
      <c r="N219" s="55" t="n">
        <v>17.1</v>
      </c>
      <c r="O219" s="57">
        <f>N219/C219</f>
        <v/>
      </c>
      <c r="P219" s="58">
        <f>(Boosters_IOS!B219*100)/Boosters_And!N219</f>
        <v/>
      </c>
      <c r="Q219" s="58">
        <f>Boosters_IOS!B219/(C219+D219)</f>
        <v/>
      </c>
      <c r="R219" s="58">
        <f>Boosters_IOS!N219/B219</f>
        <v/>
      </c>
      <c r="S219" s="55" t="n">
        <v>6.89090909090909</v>
      </c>
      <c r="T219" s="55" t="n">
        <v>67</v>
      </c>
      <c r="U219" s="51" t="n">
        <v>122789.908227739</v>
      </c>
      <c r="V219" s="122" t="n"/>
      <c r="W219" s="133" t="n"/>
      <c r="X219" s="133" t="n"/>
      <c r="Y219" s="133" t="n"/>
      <c r="Z219" s="133" t="n"/>
      <c r="AA219" s="133" t="n"/>
      <c r="AB219" s="132" t="n"/>
      <c r="AC219" s="132" t="n"/>
      <c r="AD219" s="132" t="n"/>
      <c r="AE219" s="132" t="n"/>
      <c r="AF219" s="132" t="n"/>
      <c r="AG219" s="132" t="n"/>
      <c r="AH219" s="132" t="n"/>
      <c r="AI219" s="132" t="n"/>
      <c r="AJ219" s="132">
        <f>AB219+AC219+AD219+AE219+AF219+AG219+AH219+AI219</f>
        <v/>
      </c>
      <c r="AK219" s="59">
        <f>AL219/C219</f>
        <v/>
      </c>
      <c r="AL219" s="55" t="n"/>
    </row>
    <row r="220" ht="22.5" customHeight="1" s="150">
      <c r="A220" s="34" t="n">
        <v>218</v>
      </c>
      <c r="B220" s="50" t="n">
        <v>139</v>
      </c>
      <c r="C220" s="50" t="n">
        <v>129</v>
      </c>
      <c r="D220" s="50" t="n">
        <v>49</v>
      </c>
      <c r="E220" s="50" t="n">
        <v>59</v>
      </c>
      <c r="F220" s="51">
        <f>(C220*100)/B220</f>
        <v/>
      </c>
      <c r="G220" s="51">
        <f>(D220*100)/B220</f>
        <v/>
      </c>
      <c r="H220" s="53">
        <f>((B220-B221)/B220)*100</f>
        <v/>
      </c>
      <c r="I220" s="53">
        <f>((B220-C220)/B220)*100</f>
        <v/>
      </c>
      <c r="J220" s="53">
        <f>((C220-B221)/C220)*100</f>
        <v/>
      </c>
      <c r="K220" s="54" t="n"/>
      <c r="L220" s="55" t="n">
        <v>1.64</v>
      </c>
      <c r="M220" s="128" t="inlineStr">
        <is>
          <t>Normal</t>
        </is>
      </c>
      <c r="N220" s="55" t="n">
        <v>16.95</v>
      </c>
      <c r="O220" s="57">
        <f>N220/C220</f>
        <v/>
      </c>
      <c r="P220" s="58">
        <f>(Boosters_IOS!B220*100)/Boosters_And!N220</f>
        <v/>
      </c>
      <c r="Q220" s="58">
        <f>Boosters_IOS!B220/(C220+D220)</f>
        <v/>
      </c>
      <c r="R220" s="58">
        <f>Boosters_IOS!N220/B220</f>
        <v/>
      </c>
      <c r="S220" s="55" t="n">
        <v>4.89999999999999</v>
      </c>
      <c r="T220" s="55" t="n">
        <v>46</v>
      </c>
      <c r="U220" s="51" t="n">
        <v>115722.492020534</v>
      </c>
      <c r="V220" s="122" t="n"/>
      <c r="W220" s="133" t="n"/>
      <c r="X220" s="133" t="n"/>
      <c r="Y220" s="133" t="n"/>
      <c r="Z220" s="133" t="n"/>
      <c r="AA220" s="133" t="n"/>
      <c r="AB220" s="132" t="n"/>
      <c r="AC220" s="132" t="n"/>
      <c r="AD220" s="132" t="n"/>
      <c r="AE220" s="132" t="n"/>
      <c r="AF220" s="132" t="n"/>
      <c r="AG220" s="132" t="n"/>
      <c r="AH220" s="132" t="n"/>
      <c r="AI220" s="132" t="n"/>
      <c r="AJ220" s="132">
        <f>AB220+AC220+AD220+AE220+AF220+AG220+AH220+AI220</f>
        <v/>
      </c>
      <c r="AK220" s="59">
        <f>AL220/C220</f>
        <v/>
      </c>
      <c r="AL220" s="55" t="n"/>
    </row>
    <row r="221" ht="22.5" customHeight="1" s="150">
      <c r="A221" s="34" t="n">
        <v>219</v>
      </c>
      <c r="B221" s="50" t="n">
        <v>129</v>
      </c>
      <c r="C221" s="50" t="n">
        <v>129</v>
      </c>
      <c r="D221" s="50" t="n">
        <v>3</v>
      </c>
      <c r="E221" s="50" t="n">
        <v>0</v>
      </c>
      <c r="F221" s="51">
        <f>(C221*100)/B221</f>
        <v/>
      </c>
      <c r="G221" s="51">
        <f>(D221*100)/B221</f>
        <v/>
      </c>
      <c r="H221" s="53">
        <f>((B221-B222)/B221)*100</f>
        <v/>
      </c>
      <c r="I221" s="53">
        <f>((B221-C221)/B221)*100</f>
        <v/>
      </c>
      <c r="J221" s="53">
        <f>((C221-B222)/C221)*100</f>
        <v/>
      </c>
      <c r="K221" s="54" t="n"/>
      <c r="L221" s="55" t="n">
        <v>1</v>
      </c>
      <c r="M221" s="120" t="inlineStr">
        <is>
          <t>Normal</t>
        </is>
      </c>
      <c r="N221" s="55" t="n">
        <v>0</v>
      </c>
      <c r="O221" s="57">
        <f>N221/C221</f>
        <v/>
      </c>
      <c r="P221" s="58">
        <f>(Boosters_IOS!B221*100)/Boosters_And!N221</f>
        <v/>
      </c>
      <c r="Q221" s="58">
        <f>Boosters_IOS!B221/(C221+D221)</f>
        <v/>
      </c>
      <c r="R221" s="58">
        <f>Boosters_IOS!N221/B221</f>
        <v/>
      </c>
      <c r="S221" s="55" t="n">
        <v>5.14</v>
      </c>
      <c r="T221" s="55" t="n">
        <v>21</v>
      </c>
      <c r="U221" s="51" t="n">
        <v>120004.211328549</v>
      </c>
      <c r="V221" s="122" t="n"/>
      <c r="W221" s="133" t="n"/>
      <c r="X221" s="133" t="n"/>
      <c r="Y221" s="133" t="n"/>
      <c r="Z221" s="133" t="n"/>
      <c r="AA221" s="133" t="n"/>
      <c r="AB221" s="132" t="n"/>
      <c r="AC221" s="132" t="n"/>
      <c r="AD221" s="132" t="n"/>
      <c r="AE221" s="132" t="n"/>
      <c r="AF221" s="132" t="n"/>
      <c r="AG221" s="132" t="n"/>
      <c r="AH221" s="132" t="n"/>
      <c r="AI221" s="132" t="n"/>
      <c r="AJ221" s="132">
        <f>AB221+AC221+AD221+AE221+AF221+AG221+AH221+AI221</f>
        <v/>
      </c>
      <c r="AK221" s="59">
        <f>AL221/C221</f>
        <v/>
      </c>
      <c r="AL221" s="55" t="n"/>
    </row>
    <row r="222" ht="22.5" customHeight="1" s="150">
      <c r="A222" s="34" t="n">
        <v>220</v>
      </c>
      <c r="B222" s="50" t="n">
        <v>129</v>
      </c>
      <c r="C222" s="50" t="n">
        <v>126</v>
      </c>
      <c r="D222" s="50" t="n">
        <v>41</v>
      </c>
      <c r="E222" s="50" t="n">
        <v>44</v>
      </c>
      <c r="F222" s="51">
        <f>(C222*100)/B222</f>
        <v/>
      </c>
      <c r="G222" s="51">
        <f>(D222*100)/B222</f>
        <v/>
      </c>
      <c r="H222" s="53">
        <f>((B222-B223)/B222)*100</f>
        <v/>
      </c>
      <c r="I222" s="53">
        <f>((B222-C222)/B222)*100</f>
        <v/>
      </c>
      <c r="J222" s="53">
        <f>((C222-B223)/C222)*100</f>
        <v/>
      </c>
      <c r="K222" s="54" t="n"/>
      <c r="L222" s="55" t="n">
        <v>1.26530612244897</v>
      </c>
      <c r="M222" s="127" t="inlineStr">
        <is>
          <t>Hard</t>
        </is>
      </c>
      <c r="N222" s="55" t="n">
        <v>11.97</v>
      </c>
      <c r="O222" s="57">
        <f>N222/C222</f>
        <v/>
      </c>
      <c r="P222" s="58">
        <f>(Boosters_IOS!B222*100)/Boosters_And!N222</f>
        <v/>
      </c>
      <c r="Q222" s="58">
        <f>Boosters_IOS!B222/(C222+D222)</f>
        <v/>
      </c>
      <c r="R222" s="58">
        <f>Boosters_IOS!N222/B222</f>
        <v/>
      </c>
      <c r="S222" s="55" t="n">
        <v>6.6938775510204</v>
      </c>
      <c r="T222" s="55" t="n">
        <v>44</v>
      </c>
      <c r="U222" s="51" t="n">
        <v>116599.470673983</v>
      </c>
      <c r="V222" s="122" t="n"/>
      <c r="W222" s="133" t="n"/>
      <c r="X222" s="133" t="n"/>
      <c r="Y222" s="133" t="n"/>
      <c r="Z222" s="133" t="n"/>
      <c r="AA222" s="133" t="n"/>
      <c r="AB222" s="132" t="n"/>
      <c r="AC222" s="132" t="n"/>
      <c r="AD222" s="132" t="n"/>
      <c r="AE222" s="132" t="n"/>
      <c r="AF222" s="132" t="n"/>
      <c r="AG222" s="132" t="n"/>
      <c r="AH222" s="132" t="n"/>
      <c r="AI222" s="132" t="n"/>
      <c r="AJ222" s="132">
        <f>AB222+AC222+AD222+AE222+AF222+AG222+AH222+AI222</f>
        <v/>
      </c>
      <c r="AK222" s="59">
        <f>AL222/C222</f>
        <v/>
      </c>
      <c r="AL222" s="55" t="n"/>
    </row>
    <row r="223" ht="22.5" customHeight="1" s="150">
      <c r="A223" s="34" t="n">
        <v>221</v>
      </c>
      <c r="B223" s="50" t="n">
        <v>126</v>
      </c>
      <c r="C223" s="50" t="n">
        <v>126</v>
      </c>
      <c r="D223" s="50" t="n">
        <v>36</v>
      </c>
      <c r="E223" s="50" t="n">
        <v>15</v>
      </c>
      <c r="F223" s="51">
        <f>(C223*100)/B223</f>
        <v/>
      </c>
      <c r="G223" s="51">
        <f>(D223*100)/B223</f>
        <v/>
      </c>
      <c r="H223" s="53">
        <f>((B223-B224)/B223)*100</f>
        <v/>
      </c>
      <c r="I223" s="53">
        <f>((B223-C223)/B223)*100</f>
        <v/>
      </c>
      <c r="J223" s="53">
        <f>((C223-B224)/C223)*100</f>
        <v/>
      </c>
      <c r="K223" s="54" t="n"/>
      <c r="L223" s="55" t="n">
        <v>1.12244897959183</v>
      </c>
      <c r="M223" s="129" t="inlineStr">
        <is>
          <t>Hard</t>
        </is>
      </c>
      <c r="N223" s="55" t="n">
        <v>2.49</v>
      </c>
      <c r="O223" s="57">
        <f>N223/C223</f>
        <v/>
      </c>
      <c r="P223" s="58">
        <f>(Boosters_IOS!B223*100)/Boosters_And!N223</f>
        <v/>
      </c>
      <c r="Q223" s="58">
        <f>Boosters_IOS!B223/(C223+D223)</f>
        <v/>
      </c>
      <c r="R223" s="58">
        <f>Boosters_IOS!N223/B223</f>
        <v/>
      </c>
      <c r="S223" s="55" t="n">
        <v>10.3469387755102</v>
      </c>
      <c r="T223" s="55" t="n">
        <v>36</v>
      </c>
      <c r="U223" s="51" t="n">
        <v>113401.077937875</v>
      </c>
      <c r="V223" s="122" t="n"/>
      <c r="W223" s="133" t="n"/>
      <c r="X223" s="133" t="n"/>
      <c r="Y223" s="133" t="n"/>
      <c r="Z223" s="133" t="n"/>
      <c r="AA223" s="133" t="n"/>
      <c r="AB223" s="132" t="n"/>
      <c r="AC223" s="132" t="n"/>
      <c r="AD223" s="132" t="n"/>
      <c r="AE223" s="132" t="n"/>
      <c r="AF223" s="132" t="n"/>
      <c r="AG223" s="132" t="n"/>
      <c r="AH223" s="132" t="n"/>
      <c r="AI223" s="132" t="n"/>
      <c r="AJ223" s="132">
        <f>AB223+AC223+AD223+AE223+AF223+AG223+AH223+AI223</f>
        <v/>
      </c>
      <c r="AK223" s="59">
        <f>AL223/C223</f>
        <v/>
      </c>
      <c r="AL223" s="55" t="n"/>
    </row>
    <row r="224" ht="22.5" customHeight="1" s="150">
      <c r="A224" s="34" t="n">
        <v>222</v>
      </c>
      <c r="B224" s="50" t="n">
        <v>132</v>
      </c>
      <c r="C224" s="50" t="n">
        <v>129</v>
      </c>
      <c r="D224" s="50" t="n">
        <v>67</v>
      </c>
      <c r="E224" s="50" t="n">
        <v>75</v>
      </c>
      <c r="F224" s="51">
        <f>(C224*100)/B224</f>
        <v/>
      </c>
      <c r="G224" s="51">
        <f>(D224*100)/B224</f>
        <v/>
      </c>
      <c r="H224" s="53">
        <f>((B224-B225)/B224)*100</f>
        <v/>
      </c>
      <c r="I224" s="53">
        <f>((B224-C224)/B224)*100</f>
        <v/>
      </c>
      <c r="J224" s="53">
        <f>((C224-B225)/C224)*100</f>
        <v/>
      </c>
      <c r="K224" s="54" t="n"/>
      <c r="L224" s="55" t="n">
        <v>1.8</v>
      </c>
      <c r="M224" s="128" t="inlineStr">
        <is>
          <t>Normal</t>
        </is>
      </c>
      <c r="N224" s="55" t="n">
        <v>12.48</v>
      </c>
      <c r="O224" s="57">
        <f>N224/C224</f>
        <v/>
      </c>
      <c r="P224" s="58">
        <f>(Boosters_IOS!B224*100)/Boosters_And!N224</f>
        <v/>
      </c>
      <c r="Q224" s="58">
        <f>Boosters_IOS!B224/(C224+D224)</f>
        <v/>
      </c>
      <c r="R224" s="58">
        <f>Boosters_IOS!N224/B224</f>
        <v/>
      </c>
      <c r="S224" s="55" t="n">
        <v>6.9</v>
      </c>
      <c r="T224" s="55" t="n">
        <v>59</v>
      </c>
      <c r="U224" s="51" t="n">
        <v>102129.322892077</v>
      </c>
      <c r="V224" s="122" t="n"/>
      <c r="W224" s="133" t="n"/>
      <c r="X224" s="133" t="n"/>
      <c r="Y224" s="133" t="n"/>
      <c r="Z224" s="133" t="n"/>
      <c r="AA224" s="133" t="n"/>
      <c r="AB224" s="132" t="n"/>
      <c r="AC224" s="132" t="n"/>
      <c r="AD224" s="132" t="n"/>
      <c r="AE224" s="132" t="n"/>
      <c r="AF224" s="132" t="n"/>
      <c r="AG224" s="132" t="n"/>
      <c r="AH224" s="132" t="n"/>
      <c r="AI224" s="132" t="n"/>
      <c r="AJ224" s="132">
        <f>AB224+AC224+AD224+AE224+AF224+AG224+AH224+AI224</f>
        <v/>
      </c>
      <c r="AK224" s="59">
        <f>AL224/C224</f>
        <v/>
      </c>
      <c r="AL224" s="55" t="n"/>
    </row>
    <row r="225" ht="22.5" customHeight="1" s="150">
      <c r="A225" s="34" t="n">
        <v>223</v>
      </c>
      <c r="B225" s="50" t="n">
        <v>126</v>
      </c>
      <c r="C225" s="50" t="n">
        <v>124</v>
      </c>
      <c r="D225" s="50" t="n">
        <v>72</v>
      </c>
      <c r="E225" s="50" t="n">
        <v>64</v>
      </c>
      <c r="F225" s="51">
        <f>(C225*100)/B225</f>
        <v/>
      </c>
      <c r="G225" s="51">
        <f>(D225*100)/B225</f>
        <v/>
      </c>
      <c r="H225" s="53">
        <f>((B225-B226)/B225)*100</f>
        <v/>
      </c>
      <c r="I225" s="53">
        <f>((B225-C225)/B225)*100</f>
        <v/>
      </c>
      <c r="J225" s="53">
        <f>((C225-B226)/C225)*100</f>
        <v/>
      </c>
      <c r="K225" s="54" t="n"/>
      <c r="L225" s="55" t="n">
        <v>2.08333333333333</v>
      </c>
      <c r="M225" s="120" t="inlineStr">
        <is>
          <t>Normal</t>
        </is>
      </c>
      <c r="N225" s="55" t="n">
        <v>27.85</v>
      </c>
      <c r="O225" s="57">
        <f>N225/C225</f>
        <v/>
      </c>
      <c r="P225" s="58">
        <f>(Boosters_IOS!B225*100)/Boosters_And!N225</f>
        <v/>
      </c>
      <c r="Q225" s="58">
        <f>Boosters_IOS!B225/(C225+D225)</f>
        <v/>
      </c>
      <c r="R225" s="58">
        <f>Boosters_IOS!N225/B225</f>
        <v/>
      </c>
      <c r="S225" s="55" t="n">
        <v>6.52083333333333</v>
      </c>
      <c r="T225" s="55" t="n">
        <v>54</v>
      </c>
      <c r="U225" s="51" t="n">
        <v>96209.716981298</v>
      </c>
      <c r="V225" s="122" t="n"/>
      <c r="W225" s="133" t="n"/>
      <c r="X225" s="133" t="n"/>
      <c r="Y225" s="133" t="n"/>
      <c r="Z225" s="133" t="n"/>
      <c r="AA225" s="133" t="n"/>
      <c r="AB225" s="132" t="n"/>
      <c r="AC225" s="132" t="n"/>
      <c r="AD225" s="132" t="n"/>
      <c r="AE225" s="132" t="n"/>
      <c r="AF225" s="132" t="n"/>
      <c r="AG225" s="132" t="n"/>
      <c r="AH225" s="132" t="n"/>
      <c r="AI225" s="132" t="n"/>
      <c r="AJ225" s="132">
        <f>AB225+AC225+AD225+AE225+AF225+AG225+AH225+AI225</f>
        <v/>
      </c>
      <c r="AK225" s="59">
        <f>AL225/C225</f>
        <v/>
      </c>
      <c r="AL225" s="55" t="n"/>
    </row>
    <row r="226" ht="22.5" customHeight="1" s="150">
      <c r="A226" s="34" t="n">
        <v>224</v>
      </c>
      <c r="B226" s="50" t="n">
        <v>121</v>
      </c>
      <c r="C226" s="50" t="n">
        <v>121</v>
      </c>
      <c r="D226" s="50" t="n">
        <v>44</v>
      </c>
      <c r="E226" s="50" t="n">
        <v>39</v>
      </c>
      <c r="F226" s="51">
        <f>(C226*100)/B226</f>
        <v/>
      </c>
      <c r="G226" s="51">
        <f>(D226*100)/B226</f>
        <v/>
      </c>
      <c r="H226" s="53">
        <f>((B226-B227)/B226)*100</f>
        <v/>
      </c>
      <c r="I226" s="53">
        <f>((B226-C226)/B226)*100</f>
        <v/>
      </c>
      <c r="J226" s="53">
        <f>((C226-B227)/C226)*100</f>
        <v/>
      </c>
      <c r="K226" s="54" t="n"/>
      <c r="L226" s="55" t="n">
        <v>1.29787234042553</v>
      </c>
      <c r="M226" s="128" t="inlineStr">
        <is>
          <t>Normal</t>
        </is>
      </c>
      <c r="N226" s="55" t="n">
        <v>8.48</v>
      </c>
      <c r="O226" s="57">
        <f>N226/C226</f>
        <v/>
      </c>
      <c r="P226" s="58">
        <f>(Boosters_IOS!B226*100)/Boosters_And!N226</f>
        <v/>
      </c>
      <c r="Q226" s="58">
        <f>Boosters_IOS!B226/(C226+D226)</f>
        <v/>
      </c>
      <c r="R226" s="58">
        <f>Boosters_IOS!N226/B226</f>
        <v/>
      </c>
      <c r="S226" s="55" t="n">
        <v>12.7872340425531</v>
      </c>
      <c r="T226" s="55" t="n">
        <v>52</v>
      </c>
      <c r="U226" s="51" t="n">
        <v>118572.672644243</v>
      </c>
      <c r="V226" s="122" t="n"/>
      <c r="W226" s="133" t="n"/>
      <c r="X226" s="133" t="n"/>
      <c r="Y226" s="133" t="n"/>
      <c r="Z226" s="133" t="n"/>
      <c r="AA226" s="133" t="n"/>
      <c r="AB226" s="132" t="n"/>
      <c r="AC226" s="132" t="n"/>
      <c r="AD226" s="132" t="n"/>
      <c r="AE226" s="132" t="n"/>
      <c r="AF226" s="132" t="n"/>
      <c r="AG226" s="132" t="n"/>
      <c r="AH226" s="132" t="n"/>
      <c r="AI226" s="132" t="n"/>
      <c r="AJ226" s="132">
        <f>AB226+AC226+AD226+AE226+AF226+AG226+AH226+AI226</f>
        <v/>
      </c>
      <c r="AK226" s="59">
        <f>AL226/C226</f>
        <v/>
      </c>
      <c r="AL226" s="55" t="n"/>
    </row>
    <row r="227" ht="22.5" customHeight="1" s="150">
      <c r="A227" s="34" t="n">
        <v>225</v>
      </c>
      <c r="B227" s="50" t="n">
        <v>124</v>
      </c>
      <c r="C227" s="50" t="n">
        <v>121</v>
      </c>
      <c r="D227" s="50" t="n">
        <v>75</v>
      </c>
      <c r="E227" s="50" t="n">
        <v>70</v>
      </c>
      <c r="F227" s="51">
        <f>(C227*100)/B227</f>
        <v/>
      </c>
      <c r="G227" s="51">
        <f>(D227*100)/B227</f>
        <v/>
      </c>
      <c r="H227" s="53">
        <f>((B227-B228)/B227)*100</f>
        <v/>
      </c>
      <c r="I227" s="53">
        <f>((B227-C227)/B227)*100</f>
        <v/>
      </c>
      <c r="J227" s="53">
        <f>((C227-B228)/C227)*100</f>
        <v/>
      </c>
      <c r="K227" s="54" t="n"/>
      <c r="L227" s="55" t="n">
        <v>2.14893617021276</v>
      </c>
      <c r="M227" s="120" t="inlineStr">
        <is>
          <t>Normal</t>
        </is>
      </c>
      <c r="N227" s="55" t="n">
        <v>49.81</v>
      </c>
      <c r="O227" s="57">
        <f>N227/C227</f>
        <v/>
      </c>
      <c r="P227" s="58">
        <f>(Boosters_IOS!B227*100)/Boosters_And!N227</f>
        <v/>
      </c>
      <c r="Q227" s="58">
        <f>Boosters_IOS!B227/(C227+D227)</f>
        <v/>
      </c>
      <c r="R227" s="58">
        <f>Boosters_IOS!N227/B227</f>
        <v/>
      </c>
      <c r="S227" s="55" t="n">
        <v>5.89361702127659</v>
      </c>
      <c r="T227" s="55" t="n">
        <v>70</v>
      </c>
      <c r="U227" s="51" t="n">
        <v>102232.496851306</v>
      </c>
      <c r="V227" s="122" t="n"/>
      <c r="W227" s="133" t="n"/>
      <c r="X227" s="133" t="n"/>
      <c r="Y227" s="133" t="n"/>
      <c r="Z227" s="133" t="n"/>
      <c r="AA227" s="133" t="n"/>
      <c r="AB227" s="132" t="n"/>
      <c r="AC227" s="132" t="n"/>
      <c r="AD227" s="132" t="n"/>
      <c r="AE227" s="132" t="n"/>
      <c r="AF227" s="132" t="n"/>
      <c r="AG227" s="132" t="n"/>
      <c r="AH227" s="132" t="n"/>
      <c r="AI227" s="132" t="n"/>
      <c r="AJ227" s="132">
        <f>AB227+AC227+AD227+AE227+AF227+AG227+AH227+AI227</f>
        <v/>
      </c>
      <c r="AK227" s="59">
        <f>AL227/C227</f>
        <v/>
      </c>
      <c r="AL227" s="55" t="n"/>
    </row>
    <row r="228" ht="22.5" customHeight="1" s="150">
      <c r="A228" s="34" t="n">
        <v>226</v>
      </c>
      <c r="B228" s="50" t="n">
        <v>121</v>
      </c>
      <c r="C228" s="50" t="n">
        <v>121</v>
      </c>
      <c r="D228" s="50" t="n">
        <v>57</v>
      </c>
      <c r="E228" s="50" t="n">
        <v>36</v>
      </c>
      <c r="F228" s="51">
        <f>(C228*100)/B228</f>
        <v/>
      </c>
      <c r="G228" s="51">
        <f>(D228*100)/B228</f>
        <v/>
      </c>
      <c r="H228" s="53">
        <f>((B228-B229)/B228)*100</f>
        <v/>
      </c>
      <c r="I228" s="53">
        <f>((B228-C228)/B228)*100</f>
        <v/>
      </c>
      <c r="J228" s="53">
        <f>((C228-B229)/C228)*100</f>
        <v/>
      </c>
      <c r="K228" s="54" t="n"/>
      <c r="L228" s="55" t="n">
        <v>1.42553191489361</v>
      </c>
      <c r="M228" s="127" t="inlineStr">
        <is>
          <t>Hard</t>
        </is>
      </c>
      <c r="N228" s="55" t="n">
        <v>0</v>
      </c>
      <c r="O228" s="57">
        <f>N228/C228</f>
        <v/>
      </c>
      <c r="P228" s="58">
        <f>(Boosters_IOS!B228*100)/Boosters_And!N228</f>
        <v/>
      </c>
      <c r="Q228" s="58">
        <f>Boosters_IOS!B228/(C228+D228)</f>
        <v/>
      </c>
      <c r="R228" s="58">
        <f>Boosters_IOS!N228/B228</f>
        <v/>
      </c>
      <c r="S228" s="55" t="n">
        <v>11.2765957446808</v>
      </c>
      <c r="T228" s="55" t="n">
        <v>49</v>
      </c>
      <c r="U228" s="51" t="n">
        <v>105056.883985208</v>
      </c>
      <c r="V228" s="122" t="n"/>
      <c r="W228" s="133" t="n"/>
      <c r="X228" s="133" t="n"/>
      <c r="Y228" s="133" t="n"/>
      <c r="Z228" s="133" t="n"/>
      <c r="AA228" s="133" t="n"/>
      <c r="AB228" s="132" t="n"/>
      <c r="AC228" s="132" t="n"/>
      <c r="AD228" s="132" t="n"/>
      <c r="AE228" s="132" t="n"/>
      <c r="AF228" s="132" t="n"/>
      <c r="AG228" s="132" t="n"/>
      <c r="AH228" s="132" t="n"/>
      <c r="AI228" s="132" t="n"/>
      <c r="AJ228" s="132">
        <f>AB228+AC228+AD228+AE228+AF228+AG228+AH228+AI228</f>
        <v/>
      </c>
      <c r="AK228" s="59">
        <f>AL228/C228</f>
        <v/>
      </c>
      <c r="AL228" s="55" t="n"/>
    </row>
    <row r="229" ht="22.5" customHeight="1" s="150">
      <c r="A229" s="34" t="n">
        <v>227</v>
      </c>
      <c r="B229" s="50" t="n">
        <v>121</v>
      </c>
      <c r="C229" s="50" t="n">
        <v>121</v>
      </c>
      <c r="D229" s="50" t="n">
        <v>44</v>
      </c>
      <c r="E229" s="50" t="n">
        <v>34</v>
      </c>
      <c r="F229" s="51">
        <f>(C229*100)/B229</f>
        <v/>
      </c>
      <c r="G229" s="51">
        <f>(D229*100)/B229</f>
        <v/>
      </c>
      <c r="H229" s="53">
        <f>((B229-B230)/B229)*100</f>
        <v/>
      </c>
      <c r="I229" s="53">
        <f>((B229-C229)/B229)*100</f>
        <v/>
      </c>
      <c r="J229" s="53">
        <f>((C229-B230)/C229)*100</f>
        <v/>
      </c>
      <c r="K229" s="54" t="n"/>
      <c r="L229" s="55" t="n">
        <v>1.34042553191489</v>
      </c>
      <c r="M229" s="129" t="inlineStr">
        <is>
          <t>Hard</t>
        </is>
      </c>
      <c r="N229" s="55" t="n">
        <v>0</v>
      </c>
      <c r="O229" s="57">
        <f>N229/C229</f>
        <v/>
      </c>
      <c r="P229" s="58">
        <f>(Boosters_IOS!B229*100)/Boosters_And!N229</f>
        <v/>
      </c>
      <c r="Q229" s="58">
        <f>Boosters_IOS!B229/(C229+D229)</f>
        <v/>
      </c>
      <c r="R229" s="58">
        <f>Boosters_IOS!N229/B229</f>
        <v/>
      </c>
      <c r="S229" s="55" t="n">
        <v>5.29787234042553</v>
      </c>
      <c r="T229" s="55" t="n">
        <v>34</v>
      </c>
      <c r="U229" s="51" t="n">
        <v>105714.617975294</v>
      </c>
      <c r="V229" s="122" t="n"/>
      <c r="W229" s="133" t="n"/>
      <c r="X229" s="133" t="n"/>
      <c r="Y229" s="133" t="n"/>
      <c r="Z229" s="133" t="n"/>
      <c r="AA229" s="133" t="n"/>
      <c r="AB229" s="132" t="n"/>
      <c r="AC229" s="132" t="n"/>
      <c r="AD229" s="132" t="n"/>
      <c r="AE229" s="132" t="n"/>
      <c r="AF229" s="132" t="n"/>
      <c r="AG229" s="132" t="n"/>
      <c r="AH229" s="132" t="n"/>
      <c r="AI229" s="132" t="n"/>
      <c r="AJ229" s="132">
        <f>AB229+AC229+AD229+AE229+AF229+AG229+AH229+AI229</f>
        <v/>
      </c>
      <c r="AK229" s="59">
        <f>AL229/C229</f>
        <v/>
      </c>
      <c r="AL229" s="55" t="n"/>
    </row>
    <row r="230" ht="22.5" customHeight="1" s="150">
      <c r="A230" s="34" t="n">
        <v>228</v>
      </c>
      <c r="B230" s="50" t="n">
        <v>121</v>
      </c>
      <c r="C230" s="50" t="n">
        <v>121</v>
      </c>
      <c r="D230" s="50" t="n">
        <v>0</v>
      </c>
      <c r="E230" s="50" t="n">
        <v>0</v>
      </c>
      <c r="F230" s="51">
        <f>(C230*100)/B230</f>
        <v/>
      </c>
      <c r="G230" s="51">
        <f>(D230*100)/B230</f>
        <v/>
      </c>
      <c r="H230" s="53">
        <f>((B230-B231)/B230)*100</f>
        <v/>
      </c>
      <c r="I230" s="53">
        <f>((B230-C230)/B230)*100</f>
        <v/>
      </c>
      <c r="J230" s="53">
        <f>((C230-B231)/C230)*100</f>
        <v/>
      </c>
      <c r="K230" s="54" t="n"/>
      <c r="L230" s="55" t="n">
        <v>1</v>
      </c>
      <c r="M230" s="128" t="inlineStr">
        <is>
          <t>Normal</t>
        </is>
      </c>
      <c r="N230" s="55" t="n">
        <v>0</v>
      </c>
      <c r="O230" s="57">
        <f>N230/C230</f>
        <v/>
      </c>
      <c r="P230" s="58">
        <f>(Boosters_IOS!B230*100)/Boosters_And!N230</f>
        <v/>
      </c>
      <c r="Q230" s="58">
        <f>Boosters_IOS!B230/(C230+D230)</f>
        <v/>
      </c>
      <c r="R230" s="58">
        <f>Boosters_IOS!N230/B230</f>
        <v/>
      </c>
      <c r="S230" s="55" t="n">
        <v>4.1063829787234</v>
      </c>
      <c r="T230" s="55" t="n">
        <v>18</v>
      </c>
      <c r="U230" s="51" t="n">
        <v>119385.167573173</v>
      </c>
      <c r="V230" s="122" t="n"/>
      <c r="W230" s="133" t="n"/>
      <c r="X230" s="133" t="n"/>
      <c r="Y230" s="133" t="n"/>
      <c r="Z230" s="133" t="n"/>
      <c r="AA230" s="133" t="n"/>
      <c r="AB230" s="132" t="n"/>
      <c r="AC230" s="132" t="n"/>
      <c r="AD230" s="132" t="n"/>
      <c r="AE230" s="132" t="n"/>
      <c r="AF230" s="132" t="n"/>
      <c r="AG230" s="132" t="n"/>
      <c r="AH230" s="132" t="n"/>
      <c r="AI230" s="132" t="n"/>
      <c r="AJ230" s="132">
        <f>AB230+AC230+AD230+AE230+AF230+AG230+AH230+AI230</f>
        <v/>
      </c>
      <c r="AK230" s="59">
        <f>AL230/C230</f>
        <v/>
      </c>
      <c r="AL230" s="55" t="n"/>
    </row>
    <row r="231" ht="22.5" customHeight="1" s="150">
      <c r="A231" s="34" t="n">
        <v>229</v>
      </c>
      <c r="B231" s="50" t="n">
        <v>121</v>
      </c>
      <c r="C231" s="50" t="n">
        <v>119</v>
      </c>
      <c r="D231" s="50" t="n">
        <v>49</v>
      </c>
      <c r="E231" s="50" t="n">
        <v>34</v>
      </c>
      <c r="F231" s="51">
        <f>(C231*100)/B231</f>
        <v/>
      </c>
      <c r="G231" s="51">
        <f>(D231*100)/B231</f>
        <v/>
      </c>
      <c r="H231" s="53">
        <f>((B231-B232)/B231)*100</f>
        <v/>
      </c>
      <c r="I231" s="53">
        <f>((B231-C231)/B231)*100</f>
        <v/>
      </c>
      <c r="J231" s="53">
        <f>((C231-B232)/C231)*100</f>
        <v/>
      </c>
      <c r="K231" s="54" t="n"/>
      <c r="L231" s="55" t="n">
        <v>1.41304347826086</v>
      </c>
      <c r="M231" s="130" t="inlineStr">
        <is>
          <t>Very Hard</t>
        </is>
      </c>
      <c r="N231" s="55" t="n">
        <v>5.98</v>
      </c>
      <c r="O231" s="57">
        <f>N231/C231</f>
        <v/>
      </c>
      <c r="P231" s="58">
        <f>(Boosters_IOS!B231*100)/Boosters_And!N231</f>
        <v/>
      </c>
      <c r="Q231" s="58">
        <f>Boosters_IOS!B231/(C231+D231)</f>
        <v/>
      </c>
      <c r="R231" s="58">
        <f>Boosters_IOS!N231/B231</f>
        <v/>
      </c>
      <c r="S231" s="55" t="n">
        <v>4.08695652173913</v>
      </c>
      <c r="T231" s="55" t="n">
        <v>39</v>
      </c>
      <c r="U231" s="51" t="n">
        <v>118108.389827711</v>
      </c>
      <c r="V231" s="122" t="n"/>
      <c r="W231" s="133" t="n"/>
      <c r="X231" s="133" t="n"/>
      <c r="Y231" s="133" t="n"/>
      <c r="Z231" s="133" t="n"/>
      <c r="AA231" s="133" t="n"/>
      <c r="AB231" s="132" t="n"/>
      <c r="AC231" s="132" t="n"/>
      <c r="AD231" s="132" t="n"/>
      <c r="AE231" s="132" t="n"/>
      <c r="AF231" s="132" t="n"/>
      <c r="AG231" s="132" t="n"/>
      <c r="AH231" s="132" t="n"/>
      <c r="AI231" s="132" t="n"/>
      <c r="AJ231" s="132">
        <f>AB231+AC231+AD231+AE231+AF231+AG231+AH231+AI231</f>
        <v/>
      </c>
      <c r="AK231" s="59">
        <f>AL231/C231</f>
        <v/>
      </c>
      <c r="AL231" s="55" t="n"/>
    </row>
    <row r="232" ht="22.5" customHeight="1" s="150">
      <c r="A232" s="34" t="n">
        <v>230</v>
      </c>
      <c r="B232" s="50" t="n">
        <v>119</v>
      </c>
      <c r="C232" s="50" t="n">
        <v>119</v>
      </c>
      <c r="D232" s="50" t="n">
        <v>62</v>
      </c>
      <c r="E232" s="50" t="n">
        <v>36</v>
      </c>
      <c r="F232" s="51">
        <f>(C232*100)/B232</f>
        <v/>
      </c>
      <c r="G232" s="51">
        <f>(D232*100)/B232</f>
        <v/>
      </c>
      <c r="H232" s="53">
        <f>((B232-B233)/B232)*100</f>
        <v/>
      </c>
      <c r="I232" s="53">
        <f>((B232-C232)/B232)*100</f>
        <v/>
      </c>
      <c r="J232" s="53">
        <f>((C232-B233)/C232)*100</f>
        <v/>
      </c>
      <c r="K232" s="54" t="n"/>
      <c r="L232" s="55" t="n">
        <v>1.39130434782608</v>
      </c>
      <c r="M232" s="128" t="inlineStr">
        <is>
          <t>Normal</t>
        </is>
      </c>
      <c r="N232" s="55" t="n">
        <v>22.71</v>
      </c>
      <c r="O232" s="57">
        <f>N232/C232</f>
        <v/>
      </c>
      <c r="P232" s="58">
        <f>(Boosters_IOS!B232*100)/Boosters_And!N232</f>
        <v/>
      </c>
      <c r="Q232" s="58">
        <f>Boosters_IOS!B232/(C232+D232)</f>
        <v/>
      </c>
      <c r="R232" s="58">
        <f>Boosters_IOS!N232/B232</f>
        <v/>
      </c>
      <c r="S232" s="55" t="n">
        <v>5.95652173913043</v>
      </c>
      <c r="T232" s="55" t="n">
        <v>59</v>
      </c>
      <c r="U232" s="51" t="n">
        <v>99820.80555432259</v>
      </c>
      <c r="V232" s="122" t="n"/>
      <c r="W232" s="133" t="n"/>
      <c r="X232" s="133" t="n"/>
      <c r="Y232" s="133" t="n"/>
      <c r="Z232" s="133" t="n"/>
      <c r="AA232" s="133" t="n"/>
      <c r="AB232" s="132" t="n"/>
      <c r="AC232" s="132" t="n"/>
      <c r="AD232" s="132" t="n"/>
      <c r="AE232" s="132" t="n"/>
      <c r="AF232" s="132" t="n"/>
      <c r="AG232" s="132" t="n"/>
      <c r="AH232" s="132" t="n"/>
      <c r="AI232" s="132" t="n"/>
      <c r="AJ232" s="132">
        <f>AB232+AC232+AD232+AE232+AF232+AG232+AH232+AI232</f>
        <v/>
      </c>
      <c r="AK232" s="59">
        <f>AL232/C232</f>
        <v/>
      </c>
      <c r="AL232" s="55" t="n"/>
    </row>
    <row r="233" ht="22.5" customHeight="1" s="150">
      <c r="A233" s="34" t="n">
        <v>231</v>
      </c>
      <c r="B233" s="50" t="n">
        <v>119</v>
      </c>
      <c r="C233" s="50" t="n">
        <v>119</v>
      </c>
      <c r="D233" s="50" t="n">
        <v>75</v>
      </c>
      <c r="E233" s="50" t="n">
        <v>46</v>
      </c>
      <c r="F233" s="51">
        <f>(C233*100)/B233</f>
        <v/>
      </c>
      <c r="G233" s="51">
        <f>(D233*100)/B233</f>
        <v/>
      </c>
      <c r="H233" s="53">
        <f>((B233-B234)/B233)*100</f>
        <v/>
      </c>
      <c r="I233" s="53">
        <f>((B233-C233)/B233)*100</f>
        <v/>
      </c>
      <c r="J233" s="53">
        <f>((C233-B234)/C233)*100</f>
        <v/>
      </c>
      <c r="K233" s="54" t="n"/>
      <c r="L233" s="55" t="n">
        <v>1.47826086956521</v>
      </c>
      <c r="M233" s="129" t="inlineStr">
        <is>
          <t>Hard</t>
        </is>
      </c>
      <c r="N233" s="55" t="n">
        <v>5.99</v>
      </c>
      <c r="O233" s="57">
        <f>N233/C233</f>
        <v/>
      </c>
      <c r="P233" s="58">
        <f>(Boosters_IOS!B233*100)/Boosters_And!N233</f>
        <v/>
      </c>
      <c r="Q233" s="58">
        <f>Boosters_IOS!B233/(C233+D233)</f>
        <v/>
      </c>
      <c r="R233" s="58">
        <f>Boosters_IOS!N233/B233</f>
        <v/>
      </c>
      <c r="S233" s="55" t="n">
        <v>6.95652173913043</v>
      </c>
      <c r="T233" s="55" t="n">
        <v>67</v>
      </c>
      <c r="U233" s="51" t="n">
        <v>106836.634781913</v>
      </c>
      <c r="V233" s="122" t="n"/>
      <c r="W233" s="133" t="n"/>
      <c r="X233" s="133" t="n"/>
      <c r="Y233" s="133" t="n"/>
      <c r="Z233" s="133" t="n"/>
      <c r="AA233" s="133" t="n"/>
      <c r="AB233" s="132" t="n"/>
      <c r="AC233" s="132" t="n"/>
      <c r="AD233" s="132" t="n"/>
      <c r="AE233" s="132" t="n"/>
      <c r="AF233" s="132" t="n"/>
      <c r="AG233" s="132" t="n"/>
      <c r="AH233" s="132" t="n"/>
      <c r="AI233" s="132" t="n"/>
      <c r="AJ233" s="132">
        <f>AB233+AC233+AD233+AE233+AF233+AG233+AH233+AI233</f>
        <v/>
      </c>
      <c r="AK233" s="59">
        <f>AL233/C233</f>
        <v/>
      </c>
      <c r="AL233" s="55" t="n"/>
    </row>
    <row r="234" ht="22.5" customHeight="1" s="150">
      <c r="A234" s="34" t="n">
        <v>232</v>
      </c>
      <c r="B234" s="50" t="n">
        <v>119</v>
      </c>
      <c r="C234" s="50" t="n">
        <v>119</v>
      </c>
      <c r="D234" s="50" t="n">
        <v>41</v>
      </c>
      <c r="E234" s="50" t="n">
        <v>23</v>
      </c>
      <c r="F234" s="51">
        <f>(C234*100)/B234</f>
        <v/>
      </c>
      <c r="G234" s="51">
        <f>(D234*100)/B234</f>
        <v/>
      </c>
      <c r="H234" s="53">
        <f>((B234-B235)/B234)*100</f>
        <v/>
      </c>
      <c r="I234" s="53">
        <f>((B234-C234)/B234)*100</f>
        <v/>
      </c>
      <c r="J234" s="53">
        <f>((C234-B235)/C234)*100</f>
        <v/>
      </c>
      <c r="K234" s="54" t="n"/>
      <c r="L234" s="55" t="n">
        <v>1.13043478260869</v>
      </c>
      <c r="M234" s="128" t="inlineStr">
        <is>
          <t>Normal</t>
        </is>
      </c>
      <c r="N234" s="55" t="n">
        <v>0</v>
      </c>
      <c r="O234" s="57">
        <f>N234/C234</f>
        <v/>
      </c>
      <c r="P234" s="58">
        <f>(Boosters_IOS!B234*100)/Boosters_And!N234</f>
        <v/>
      </c>
      <c r="Q234" s="58">
        <f>Boosters_IOS!B234/(C234+D234)</f>
        <v/>
      </c>
      <c r="R234" s="58">
        <f>Boosters_IOS!N234/B234</f>
        <v/>
      </c>
      <c r="S234" s="55" t="n">
        <v>3.78260869565217</v>
      </c>
      <c r="T234" s="55" t="n">
        <v>52</v>
      </c>
      <c r="U234" s="51" t="n">
        <v>107507.265516903</v>
      </c>
      <c r="V234" s="122" t="n"/>
      <c r="W234" s="133" t="n"/>
      <c r="X234" s="133" t="n"/>
      <c r="Y234" s="133" t="n"/>
      <c r="Z234" s="133" t="n"/>
      <c r="AA234" s="133" t="n"/>
      <c r="AB234" s="132" t="n"/>
      <c r="AC234" s="132" t="n"/>
      <c r="AD234" s="132" t="n"/>
      <c r="AE234" s="132" t="n"/>
      <c r="AF234" s="132" t="n"/>
      <c r="AG234" s="132" t="n"/>
      <c r="AH234" s="132" t="n"/>
      <c r="AI234" s="132" t="n"/>
      <c r="AJ234" s="132">
        <f>AB234+AC234+AD234+AE234+AF234+AG234+AH234+AI234</f>
        <v/>
      </c>
      <c r="AK234" s="59">
        <f>AL234/C234</f>
        <v/>
      </c>
      <c r="AL234" s="55" t="n"/>
    </row>
    <row r="235" ht="22.5" customHeight="1" s="150">
      <c r="A235" s="34" t="n">
        <v>233</v>
      </c>
      <c r="B235" s="50" t="n">
        <v>119</v>
      </c>
      <c r="C235" s="50" t="n">
        <v>119</v>
      </c>
      <c r="D235" s="50" t="n">
        <v>46</v>
      </c>
      <c r="E235" s="50" t="n">
        <v>36</v>
      </c>
      <c r="F235" s="51">
        <f>(C235*100)/B235</f>
        <v/>
      </c>
      <c r="G235" s="51">
        <f>(D235*100)/B235</f>
        <v/>
      </c>
      <c r="H235" s="53">
        <f>((B235-B236)/B235)*100</f>
        <v/>
      </c>
      <c r="I235" s="53">
        <f>((B235-C235)/B235)*100</f>
        <v/>
      </c>
      <c r="J235" s="53">
        <f>((C235-B236)/C235)*100</f>
        <v/>
      </c>
      <c r="K235" s="54" t="n"/>
      <c r="L235" s="55" t="n">
        <v>1.21739130434782</v>
      </c>
      <c r="M235" s="120" t="inlineStr">
        <is>
          <t>Normal</t>
        </is>
      </c>
      <c r="N235" s="55" t="n">
        <v>4.99</v>
      </c>
      <c r="O235" s="57">
        <f>N235/C235</f>
        <v/>
      </c>
      <c r="P235" s="58">
        <f>(Boosters_IOS!B235*100)/Boosters_And!N235</f>
        <v/>
      </c>
      <c r="Q235" s="58">
        <f>Boosters_IOS!B235/(C235+D235)</f>
        <v/>
      </c>
      <c r="R235" s="58">
        <f>Boosters_IOS!N235/B235</f>
        <v/>
      </c>
      <c r="S235" s="55" t="n">
        <v>6.52173913043478</v>
      </c>
      <c r="T235" s="55" t="n">
        <v>46</v>
      </c>
      <c r="U235" s="51" t="n">
        <v>107610.439476132</v>
      </c>
      <c r="V235" s="122" t="n"/>
      <c r="W235" s="133" t="n"/>
      <c r="X235" s="133" t="n"/>
      <c r="Y235" s="133" t="n"/>
      <c r="Z235" s="133" t="n"/>
      <c r="AA235" s="133" t="n"/>
      <c r="AB235" s="132" t="n"/>
      <c r="AC235" s="132" t="n"/>
      <c r="AD235" s="132" t="n"/>
      <c r="AE235" s="132" t="n"/>
      <c r="AF235" s="132" t="n"/>
      <c r="AG235" s="132" t="n"/>
      <c r="AH235" s="132" t="n"/>
      <c r="AI235" s="132" t="n"/>
      <c r="AJ235" s="132">
        <f>AB235+AC235+AD235+AE235+AF235+AG235+AH235+AI235</f>
        <v/>
      </c>
      <c r="AK235" s="59">
        <f>AL235/C235</f>
        <v/>
      </c>
      <c r="AL235" s="55" t="n"/>
    </row>
    <row r="236" ht="22.5" customHeight="1" s="150">
      <c r="A236" s="34" t="n">
        <v>234</v>
      </c>
      <c r="B236" s="50" t="n">
        <v>119</v>
      </c>
      <c r="C236" s="50" t="n">
        <v>119</v>
      </c>
      <c r="D236" s="50" t="n">
        <v>28</v>
      </c>
      <c r="E236" s="50" t="n">
        <v>21</v>
      </c>
      <c r="F236" s="51">
        <f>(C236*100)/B236</f>
        <v/>
      </c>
      <c r="G236" s="51">
        <f>(D236*100)/B236</f>
        <v/>
      </c>
      <c r="H236" s="53">
        <f>((B236-B237)/B236)*100</f>
        <v/>
      </c>
      <c r="I236" s="53">
        <f>((B236-C236)/B236)*100</f>
        <v/>
      </c>
      <c r="J236" s="53">
        <f>((C236-B237)/C236)*100</f>
        <v/>
      </c>
      <c r="K236" s="54" t="n"/>
      <c r="L236" s="55" t="n">
        <v>1.06521739130434</v>
      </c>
      <c r="M236" s="127" t="inlineStr">
        <is>
          <t>Hard</t>
        </is>
      </c>
      <c r="N236" s="55" t="n">
        <v>1.99</v>
      </c>
      <c r="O236" s="57">
        <f>N236/C236</f>
        <v/>
      </c>
      <c r="P236" s="58">
        <f>(Boosters_IOS!B236*100)/Boosters_And!N236</f>
        <v/>
      </c>
      <c r="Q236" s="58">
        <f>Boosters_IOS!B236/(C236+D236)</f>
        <v/>
      </c>
      <c r="R236" s="58">
        <f>Boosters_IOS!N236/B236</f>
        <v/>
      </c>
      <c r="S236" s="55" t="n">
        <v>3.67391304347826</v>
      </c>
      <c r="T236" s="55" t="n">
        <v>39</v>
      </c>
      <c r="U236" s="51" t="n">
        <v>114058.811927962</v>
      </c>
      <c r="V236" s="122" t="n"/>
      <c r="W236" s="133" t="n"/>
      <c r="X236" s="133" t="n"/>
      <c r="Y236" s="133" t="n"/>
      <c r="Z236" s="133" t="n"/>
      <c r="AA236" s="133" t="n"/>
      <c r="AB236" s="132" t="n"/>
      <c r="AC236" s="132" t="n"/>
      <c r="AD236" s="132" t="n"/>
      <c r="AE236" s="132" t="n"/>
      <c r="AF236" s="132" t="n"/>
      <c r="AG236" s="132" t="n"/>
      <c r="AH236" s="132" t="n"/>
      <c r="AI236" s="132" t="n"/>
      <c r="AJ236" s="132">
        <f>AB236+AC236+AD236+AE236+AF236+AG236+AH236+AI236</f>
        <v/>
      </c>
      <c r="AK236" s="59">
        <f>AL236/C236</f>
        <v/>
      </c>
      <c r="AL236" s="55" t="n"/>
    </row>
    <row r="237" ht="22.5" customHeight="1" s="150">
      <c r="A237" s="34" t="n">
        <v>235</v>
      </c>
      <c r="B237" s="50" t="n">
        <v>119</v>
      </c>
      <c r="C237" s="50" t="n">
        <v>119</v>
      </c>
      <c r="D237" s="50" t="n">
        <v>3</v>
      </c>
      <c r="E237" s="50" t="n">
        <v>0</v>
      </c>
      <c r="F237" s="51">
        <f>(C237*100)/B237</f>
        <v/>
      </c>
      <c r="G237" s="51">
        <f>(D237*100)/B237</f>
        <v/>
      </c>
      <c r="H237" s="53">
        <f>((B237-B238)/B237)*100</f>
        <v/>
      </c>
      <c r="I237" s="53">
        <f>((B237-C237)/B237)*100</f>
        <v/>
      </c>
      <c r="J237" s="53">
        <f>((C237-B238)/C237)*100</f>
        <v/>
      </c>
      <c r="K237" s="54" t="n"/>
      <c r="L237" s="55" t="n">
        <v>1</v>
      </c>
      <c r="M237" s="120" t="inlineStr">
        <is>
          <t>Normal</t>
        </is>
      </c>
      <c r="N237" s="55" t="n">
        <v>0</v>
      </c>
      <c r="O237" s="57">
        <f>N237/C237</f>
        <v/>
      </c>
      <c r="P237" s="58">
        <f>(Boosters_IOS!B237*100)/Boosters_And!N237</f>
        <v/>
      </c>
      <c r="Q237" s="58">
        <f>Boosters_IOS!B237/(C237+D237)</f>
        <v/>
      </c>
      <c r="R237" s="58">
        <f>Boosters_IOS!N237/B237</f>
        <v/>
      </c>
      <c r="S237" s="55" t="n">
        <v>7.52173913043478</v>
      </c>
      <c r="T237" s="55" t="n">
        <v>26</v>
      </c>
      <c r="U237" s="51" t="n">
        <v>120313.733206237</v>
      </c>
      <c r="V237" s="122" t="n"/>
      <c r="W237" s="133" t="n"/>
      <c r="X237" s="133" t="n"/>
      <c r="Y237" s="133" t="n"/>
      <c r="Z237" s="133" t="n"/>
      <c r="AA237" s="133" t="n"/>
      <c r="AB237" s="132" t="n"/>
      <c r="AC237" s="132" t="n"/>
      <c r="AD237" s="132" t="n"/>
      <c r="AE237" s="132" t="n"/>
      <c r="AF237" s="132" t="n"/>
      <c r="AG237" s="132" t="n"/>
      <c r="AH237" s="132" t="n"/>
      <c r="AI237" s="132" t="n"/>
      <c r="AJ237" s="132">
        <f>AB237+AC237+AD237+AE237+AF237+AG237+AH237+AI237</f>
        <v/>
      </c>
      <c r="AK237" s="59">
        <f>AL237/C237</f>
        <v/>
      </c>
      <c r="AL237" s="55" t="n"/>
    </row>
    <row r="238" ht="22.5" customHeight="1" s="150">
      <c r="A238" s="34" t="n">
        <v>236</v>
      </c>
      <c r="B238" s="50" t="n">
        <v>119</v>
      </c>
      <c r="C238" s="50" t="n">
        <v>119</v>
      </c>
      <c r="D238" s="50" t="n">
        <v>83</v>
      </c>
      <c r="E238" s="50" t="n">
        <v>59</v>
      </c>
      <c r="F238" s="51">
        <f>(C238*100)/B238</f>
        <v/>
      </c>
      <c r="G238" s="51">
        <f>(D238*100)/B238</f>
        <v/>
      </c>
      <c r="H238" s="53">
        <f>((B238-B239)/B238)*100</f>
        <v/>
      </c>
      <c r="I238" s="53">
        <f>((B238-C238)/B238)*100</f>
        <v/>
      </c>
      <c r="J238" s="53">
        <f>((C238-B239)/C238)*100</f>
        <v/>
      </c>
      <c r="K238" s="54" t="n"/>
      <c r="L238" s="55" t="n">
        <v>2.02173913043478</v>
      </c>
      <c r="M238" s="128" t="inlineStr">
        <is>
          <t>Normal</t>
        </is>
      </c>
      <c r="N238" s="55" t="n">
        <v>6.98</v>
      </c>
      <c r="O238" s="57">
        <f>N238/C238</f>
        <v/>
      </c>
      <c r="P238" s="58">
        <f>(Boosters_IOS!B238*100)/Boosters_And!N238</f>
        <v/>
      </c>
      <c r="Q238" s="58">
        <f>Boosters_IOS!B238/(C238+D238)</f>
        <v/>
      </c>
      <c r="R238" s="58">
        <f>Boosters_IOS!N238/B238</f>
        <v/>
      </c>
      <c r="S238" s="55" t="n">
        <v>5.28260869565217</v>
      </c>
      <c r="T238" s="55" t="n">
        <v>72</v>
      </c>
      <c r="U238" s="51" t="n">
        <v>102232.496851306</v>
      </c>
      <c r="V238" s="122" t="n"/>
      <c r="W238" s="133" t="n"/>
      <c r="X238" s="133" t="n"/>
      <c r="Y238" s="133" t="n"/>
      <c r="Z238" s="133" t="n"/>
      <c r="AA238" s="133" t="n"/>
      <c r="AB238" s="132" t="n"/>
      <c r="AC238" s="132" t="n"/>
      <c r="AD238" s="132" t="n"/>
      <c r="AE238" s="132" t="n"/>
      <c r="AF238" s="132" t="n"/>
      <c r="AG238" s="132" t="n"/>
      <c r="AH238" s="132" t="n"/>
      <c r="AI238" s="132" t="n"/>
      <c r="AJ238" s="132">
        <f>AB238+AC238+AD238+AE238+AF238+AG238+AH238+AI238</f>
        <v/>
      </c>
      <c r="AK238" s="59">
        <f>AL238/C238</f>
        <v/>
      </c>
      <c r="AL238" s="55" t="n"/>
    </row>
    <row r="239" ht="22.5" customHeight="1" s="150">
      <c r="A239" s="34" t="n">
        <v>237</v>
      </c>
      <c r="B239" s="50" t="n">
        <v>121</v>
      </c>
      <c r="C239" s="50" t="n">
        <v>119</v>
      </c>
      <c r="D239" s="50" t="n">
        <v>59</v>
      </c>
      <c r="E239" s="50" t="n">
        <v>36</v>
      </c>
      <c r="F239" s="51">
        <f>(C239*100)/B239</f>
        <v/>
      </c>
      <c r="G239" s="51">
        <f>(D239*100)/B239</f>
        <v/>
      </c>
      <c r="H239" s="53">
        <f>((B239-B240)/B239)*100</f>
        <v/>
      </c>
      <c r="I239" s="53">
        <f>((B239-C239)/B239)*100</f>
        <v/>
      </c>
      <c r="J239" s="53">
        <f>((C239-B240)/C239)*100</f>
        <v/>
      </c>
      <c r="K239" s="54" t="n"/>
      <c r="L239" s="55" t="n">
        <v>1.21739130434782</v>
      </c>
      <c r="M239" s="120" t="inlineStr">
        <is>
          <t>Normal</t>
        </is>
      </c>
      <c r="N239" s="55" t="n">
        <v>4.99</v>
      </c>
      <c r="O239" s="57">
        <f>N239/C239</f>
        <v/>
      </c>
      <c r="P239" s="58">
        <f>(Boosters_IOS!B239*100)/Boosters_And!N239</f>
        <v/>
      </c>
      <c r="Q239" s="58">
        <f>Boosters_IOS!B239/(C239+D239)</f>
        <v/>
      </c>
      <c r="R239" s="58">
        <f>Boosters_IOS!N239/B239</f>
        <v/>
      </c>
      <c r="S239" s="55" t="n">
        <v>9.5</v>
      </c>
      <c r="T239" s="55" t="n">
        <v>59</v>
      </c>
      <c r="U239" s="51" t="n">
        <v>105250.335158763</v>
      </c>
      <c r="V239" s="122" t="n"/>
      <c r="W239" s="133" t="n"/>
      <c r="X239" s="133" t="n"/>
      <c r="Y239" s="133" t="n"/>
      <c r="Z239" s="133" t="n"/>
      <c r="AA239" s="133" t="n"/>
      <c r="AB239" s="132" t="n"/>
      <c r="AC239" s="132" t="n"/>
      <c r="AD239" s="132" t="n"/>
      <c r="AE239" s="132" t="n"/>
      <c r="AF239" s="132" t="n"/>
      <c r="AG239" s="132" t="n"/>
      <c r="AH239" s="132" t="n"/>
      <c r="AI239" s="132" t="n"/>
      <c r="AJ239" s="132">
        <f>AB239+AC239+AD239+AE239+AF239+AG239+AH239+AI239</f>
        <v/>
      </c>
      <c r="AK239" s="59">
        <f>AL239/C239</f>
        <v/>
      </c>
      <c r="AL239" s="55" t="n"/>
    </row>
    <row r="240" ht="22.5" customHeight="1" s="150">
      <c r="A240" s="34" t="n">
        <v>238</v>
      </c>
      <c r="B240" s="50" t="n">
        <v>119</v>
      </c>
      <c r="C240" s="50" t="n">
        <v>113</v>
      </c>
      <c r="D240" s="50" t="n">
        <v>67</v>
      </c>
      <c r="E240" s="50" t="n">
        <v>54</v>
      </c>
      <c r="F240" s="51">
        <f>(C240*100)/B240</f>
        <v/>
      </c>
      <c r="G240" s="51">
        <f>(D240*100)/B240</f>
        <v/>
      </c>
      <c r="H240" s="53">
        <f>((B240-B241)/B240)*100</f>
        <v/>
      </c>
      <c r="I240" s="53">
        <f>((B240-C240)/B240)*100</f>
        <v/>
      </c>
      <c r="J240" s="53">
        <f>((C240-B241)/C240)*100</f>
        <v/>
      </c>
      <c r="K240" s="54" t="n"/>
      <c r="L240" s="55" t="n">
        <v>1.56818181818181</v>
      </c>
      <c r="M240" s="128" t="inlineStr">
        <is>
          <t>Normal</t>
        </is>
      </c>
      <c r="N240" s="55" t="n">
        <v>0</v>
      </c>
      <c r="O240" s="57">
        <f>N240/C240</f>
        <v/>
      </c>
      <c r="P240" s="58">
        <f>(Boosters_IOS!B240*100)/Boosters_And!N240</f>
        <v/>
      </c>
      <c r="Q240" s="58">
        <f>Boosters_IOS!B240/(C240+D240)</f>
        <v/>
      </c>
      <c r="R240" s="58">
        <f>Boosters_IOS!N240/B240</f>
        <v/>
      </c>
      <c r="S240" s="55" t="n">
        <v>5.54545454545454</v>
      </c>
      <c r="T240" s="55" t="n">
        <v>59</v>
      </c>
      <c r="U240" s="51" t="n">
        <v>80849.6938010398</v>
      </c>
      <c r="V240" s="122" t="n"/>
      <c r="W240" s="133" t="n"/>
      <c r="X240" s="133" t="n"/>
      <c r="Y240" s="133" t="n"/>
      <c r="Z240" s="133" t="n"/>
      <c r="AA240" s="133" t="n"/>
      <c r="AB240" s="132" t="n"/>
      <c r="AC240" s="132" t="n"/>
      <c r="AD240" s="132" t="n"/>
      <c r="AE240" s="132" t="n"/>
      <c r="AF240" s="132" t="n"/>
      <c r="AG240" s="132" t="n"/>
      <c r="AH240" s="132" t="n"/>
      <c r="AI240" s="132" t="n"/>
      <c r="AJ240" s="132">
        <f>AB240+AC240+AD240+AE240+AF240+AG240+AH240+AI240</f>
        <v/>
      </c>
      <c r="AK240" s="59">
        <f>AL240/C240</f>
        <v/>
      </c>
      <c r="AL240" s="55" t="n"/>
    </row>
    <row r="241" ht="22.5" customHeight="1" s="150">
      <c r="A241" s="34" t="n">
        <v>239</v>
      </c>
      <c r="B241" s="50" t="n">
        <v>116</v>
      </c>
      <c r="C241" s="50" t="n">
        <v>116</v>
      </c>
      <c r="D241" s="50" t="n">
        <v>64</v>
      </c>
      <c r="E241" s="50" t="n">
        <v>34</v>
      </c>
      <c r="F241" s="51">
        <f>(C241*100)/B241</f>
        <v/>
      </c>
      <c r="G241" s="51">
        <f>(D241*100)/B241</f>
        <v/>
      </c>
      <c r="H241" s="53">
        <f>((B241-B242)/B241)*100</f>
        <v/>
      </c>
      <c r="I241" s="53">
        <f>((B241-C241)/B241)*100</f>
        <v/>
      </c>
      <c r="J241" s="53">
        <f>((C241-B242)/C241)*100</f>
        <v/>
      </c>
      <c r="K241" s="54" t="n"/>
      <c r="L241" s="55" t="n">
        <v>1.22222222222222</v>
      </c>
      <c r="M241" s="120" t="inlineStr">
        <is>
          <t>Normal</t>
        </is>
      </c>
      <c r="N241" s="55" t="n">
        <v>0</v>
      </c>
      <c r="O241" s="57">
        <f>N241/C241</f>
        <v/>
      </c>
      <c r="P241" s="58">
        <f>(Boosters_IOS!B241*100)/Boosters_And!N241</f>
        <v/>
      </c>
      <c r="Q241" s="58">
        <f>Boosters_IOS!B241/(C241+D241)</f>
        <v/>
      </c>
      <c r="R241" s="58">
        <f>Boosters_IOS!N241/B241</f>
        <v/>
      </c>
      <c r="S241" s="55" t="n">
        <v>9.511111111111109</v>
      </c>
      <c r="T241" s="55" t="n">
        <v>54</v>
      </c>
      <c r="U241" s="51" t="n">
        <v>79998.50863739831</v>
      </c>
      <c r="V241" s="122" t="n"/>
      <c r="W241" s="133" t="n"/>
      <c r="X241" s="133" t="n"/>
      <c r="Y241" s="133" t="n"/>
      <c r="Z241" s="133" t="n"/>
      <c r="AA241" s="133" t="n"/>
      <c r="AB241" s="132" t="n"/>
      <c r="AC241" s="132" t="n"/>
      <c r="AD241" s="132" t="n"/>
      <c r="AE241" s="132" t="n"/>
      <c r="AF241" s="132" t="n"/>
      <c r="AG241" s="132" t="n"/>
      <c r="AH241" s="132" t="n"/>
      <c r="AI241" s="132" t="n"/>
      <c r="AJ241" s="132">
        <f>AB241+AC241+AD241+AE241+AF241+AG241+AH241+AI241</f>
        <v/>
      </c>
      <c r="AK241" s="59">
        <f>AL241/C241</f>
        <v/>
      </c>
      <c r="AL241" s="55" t="n"/>
    </row>
    <row r="242" ht="22.5" customHeight="1" s="150">
      <c r="A242" s="34" t="n">
        <v>240</v>
      </c>
      <c r="B242" s="50" t="n">
        <v>116</v>
      </c>
      <c r="C242" s="50" t="n">
        <v>116</v>
      </c>
      <c r="D242" s="50" t="n">
        <v>59</v>
      </c>
      <c r="E242" s="50" t="n">
        <v>36</v>
      </c>
      <c r="F242" s="51">
        <f>(C242*100)/B242</f>
        <v/>
      </c>
      <c r="G242" s="51">
        <f>(D242*100)/B242</f>
        <v/>
      </c>
      <c r="H242" s="53">
        <f>((B242-B243)/B242)*100</f>
        <v/>
      </c>
      <c r="I242" s="53">
        <f>((B242-C242)/B242)*100</f>
        <v/>
      </c>
      <c r="J242" s="53">
        <f>((C242-B243)/C242)*100</f>
        <v/>
      </c>
      <c r="K242" s="54" t="n"/>
      <c r="L242" s="55" t="n">
        <v>1.15555555555555</v>
      </c>
      <c r="M242" s="127" t="inlineStr">
        <is>
          <t>Hard</t>
        </is>
      </c>
      <c r="N242" s="55" t="n">
        <v>3.48</v>
      </c>
      <c r="O242" s="57">
        <f>N242/C242</f>
        <v/>
      </c>
      <c r="P242" s="58">
        <f>(Boosters_IOS!B242*100)/Boosters_And!N242</f>
        <v/>
      </c>
      <c r="Q242" s="58">
        <f>Boosters_IOS!B242/(C242+D242)</f>
        <v/>
      </c>
      <c r="R242" s="58">
        <f>Boosters_IOS!N242/B242</f>
        <v/>
      </c>
      <c r="S242" s="55" t="n">
        <v>4.71111111111111</v>
      </c>
      <c r="T242" s="55" t="n">
        <v>52</v>
      </c>
      <c r="U242" s="51" t="n">
        <v>84821.8912313668</v>
      </c>
      <c r="V242" s="122" t="n"/>
      <c r="W242" s="133" t="n"/>
      <c r="X242" s="133" t="n"/>
      <c r="Y242" s="133" t="n"/>
      <c r="Z242" s="133" t="n"/>
      <c r="AA242" s="133" t="n"/>
      <c r="AB242" s="132" t="n"/>
      <c r="AC242" s="132" t="n"/>
      <c r="AD242" s="132" t="n"/>
      <c r="AE242" s="132" t="n"/>
      <c r="AF242" s="132" t="n"/>
      <c r="AG242" s="132" t="n"/>
      <c r="AH242" s="132" t="n"/>
      <c r="AI242" s="132" t="n"/>
      <c r="AJ242" s="132">
        <f>AB242+AC242+AD242+AE242+AF242+AG242+AH242+AI242</f>
        <v/>
      </c>
      <c r="AK242" s="59">
        <f>AL242/C242</f>
        <v/>
      </c>
      <c r="AL242" s="55" t="n"/>
    </row>
    <row r="243" ht="22.5" customHeight="1" s="150">
      <c r="A243" s="34" t="n">
        <v>241</v>
      </c>
      <c r="B243" s="50" t="n">
        <v>119</v>
      </c>
      <c r="C243" s="50" t="n">
        <v>116</v>
      </c>
      <c r="D243" s="50" t="n">
        <v>75</v>
      </c>
      <c r="E243" s="50" t="n">
        <v>39</v>
      </c>
      <c r="F243" s="51">
        <f>(C243*100)/B243</f>
        <v/>
      </c>
      <c r="G243" s="51">
        <f>(D243*100)/B243</f>
        <v/>
      </c>
      <c r="H243" s="53">
        <f>((B243-B244)/B243)*100</f>
        <v/>
      </c>
      <c r="I243" s="53">
        <f>((B243-C243)/B243)*100</f>
        <v/>
      </c>
      <c r="J243" s="53">
        <f>((C243-B244)/C243)*100</f>
        <v/>
      </c>
      <c r="K243" s="54" t="n"/>
      <c r="L243" s="55" t="n">
        <v>1.4</v>
      </c>
      <c r="M243" s="129" t="inlineStr">
        <is>
          <t>Hard</t>
        </is>
      </c>
      <c r="N243" s="55" t="n">
        <v>4.99</v>
      </c>
      <c r="O243" s="57">
        <f>N243/C243</f>
        <v/>
      </c>
      <c r="P243" s="58">
        <f>(Boosters_IOS!B243*100)/Boosters_And!N243</f>
        <v/>
      </c>
      <c r="Q243" s="58">
        <f>Boosters_IOS!B243/(C243+D243)</f>
        <v/>
      </c>
      <c r="R243" s="58">
        <f>Boosters_IOS!N243/B243</f>
        <v/>
      </c>
      <c r="S243" s="55" t="n">
        <v>3.24444444444444</v>
      </c>
      <c r="T243" s="55" t="n">
        <v>64</v>
      </c>
      <c r="U243" s="51" t="n">
        <v>75226.7130230444</v>
      </c>
      <c r="V243" s="122" t="n"/>
      <c r="W243" s="133" t="n"/>
      <c r="X243" s="133" t="n"/>
      <c r="Y243" s="133" t="n"/>
      <c r="Z243" s="133" t="n"/>
      <c r="AA243" s="133" t="n"/>
      <c r="AB243" s="132" t="n"/>
      <c r="AC243" s="132" t="n"/>
      <c r="AD243" s="132" t="n"/>
      <c r="AE243" s="132" t="n"/>
      <c r="AF243" s="132" t="n"/>
      <c r="AG243" s="132" t="n"/>
      <c r="AH243" s="132" t="n"/>
      <c r="AI243" s="132" t="n"/>
      <c r="AJ243" s="132">
        <f>AB243+AC243+AD243+AE243+AF243+AG243+AH243+AI243</f>
        <v/>
      </c>
      <c r="AK243" s="59">
        <f>AL243/C243</f>
        <v/>
      </c>
      <c r="AL243" s="55" t="n"/>
    </row>
    <row r="244" ht="22.5" customHeight="1" s="150">
      <c r="A244" s="34" t="n">
        <v>242</v>
      </c>
      <c r="B244" s="50" t="n">
        <v>119</v>
      </c>
      <c r="C244" s="50" t="n">
        <v>119</v>
      </c>
      <c r="D244" s="50" t="n">
        <v>64</v>
      </c>
      <c r="E244" s="50" t="n">
        <v>34</v>
      </c>
      <c r="F244" s="51">
        <f>(C244*100)/B244</f>
        <v/>
      </c>
      <c r="G244" s="51">
        <f>(D244*100)/B244</f>
        <v/>
      </c>
      <c r="H244" s="53">
        <f>((B244-B245)/B244)*100</f>
        <v/>
      </c>
      <c r="I244" s="53">
        <f>((B244-C244)/B244)*100</f>
        <v/>
      </c>
      <c r="J244" s="53">
        <f>((C244-B245)/C244)*100</f>
        <v/>
      </c>
      <c r="K244" s="54" t="n"/>
      <c r="L244" s="55" t="n">
        <v>1.32608695652173</v>
      </c>
      <c r="M244" s="127" t="inlineStr">
        <is>
          <t>Hard</t>
        </is>
      </c>
      <c r="N244" s="55" t="n">
        <v>4.99</v>
      </c>
      <c r="O244" s="57">
        <f>N244/C244</f>
        <v/>
      </c>
      <c r="P244" s="58">
        <f>(Boosters_IOS!B244*100)/Boosters_And!N244</f>
        <v/>
      </c>
      <c r="Q244" s="58">
        <f>Boosters_IOS!B244/(C244+D244)</f>
        <v/>
      </c>
      <c r="R244" s="58">
        <f>Boosters_IOS!N244/B244</f>
        <v/>
      </c>
      <c r="S244" s="55" t="n">
        <v>14.0652173913043</v>
      </c>
      <c r="T244" s="55" t="n">
        <v>52</v>
      </c>
      <c r="U244" s="51" t="n">
        <v>67785.291213633</v>
      </c>
      <c r="V244" s="122" t="n"/>
      <c r="W244" s="133" t="n"/>
      <c r="X244" s="133" t="n"/>
      <c r="Y244" s="133" t="n"/>
      <c r="Z244" s="133" t="n"/>
      <c r="AA244" s="133" t="n"/>
      <c r="AB244" s="132" t="n"/>
      <c r="AC244" s="132" t="n"/>
      <c r="AD244" s="132" t="n"/>
      <c r="AE244" s="132" t="n"/>
      <c r="AF244" s="132" t="n"/>
      <c r="AG244" s="132" t="n"/>
      <c r="AH244" s="132" t="n"/>
      <c r="AI244" s="132" t="n"/>
      <c r="AJ244" s="132">
        <f>AB244+AC244+AD244+AE244+AF244+AG244+AH244+AI244</f>
        <v/>
      </c>
      <c r="AK244" s="59">
        <f>AL244/C244</f>
        <v/>
      </c>
      <c r="AL244" s="55" t="n"/>
    </row>
    <row r="245" ht="22.5" customHeight="1" s="150">
      <c r="A245" s="34" t="n">
        <v>243</v>
      </c>
      <c r="B245" s="50" t="n">
        <v>121</v>
      </c>
      <c r="C245" s="50" t="n">
        <v>103</v>
      </c>
      <c r="D245" s="50" t="n">
        <v>85</v>
      </c>
      <c r="E245" s="50" t="n">
        <v>75</v>
      </c>
      <c r="F245" s="51">
        <f>(C245*100)/B245</f>
        <v/>
      </c>
      <c r="G245" s="51">
        <f>(D245*100)/B245</f>
        <v/>
      </c>
      <c r="H245" s="53">
        <f>((B245-B246)/B245)*100</f>
        <v/>
      </c>
      <c r="I245" s="53">
        <f>((B245-C245)/B245)*100</f>
        <v/>
      </c>
      <c r="J245" s="53">
        <f>((C245-B246)/C245)*100</f>
        <v/>
      </c>
      <c r="K245" s="54" t="n"/>
      <c r="L245" s="55" t="n">
        <v>2.69999999999999</v>
      </c>
      <c r="M245" s="120" t="inlineStr">
        <is>
          <t>Normal</t>
        </is>
      </c>
      <c r="N245" s="55" t="n">
        <v>62.43</v>
      </c>
      <c r="O245" s="57">
        <f>N245/C245</f>
        <v/>
      </c>
      <c r="P245" s="58">
        <f>(Boosters_IOS!B245*100)/Boosters_And!N245</f>
        <v/>
      </c>
      <c r="Q245" s="58">
        <f>Boosters_IOS!B245/(C245+D245)</f>
        <v/>
      </c>
      <c r="R245" s="58">
        <f>Boosters_IOS!N245/B245</f>
        <v/>
      </c>
      <c r="S245" s="55" t="n">
        <v>4.02499999999999</v>
      </c>
      <c r="T245" s="55" t="n">
        <v>83</v>
      </c>
      <c r="U245" s="51" t="n">
        <v>83093.72741427649</v>
      </c>
      <c r="V245" s="122" t="n"/>
      <c r="W245" s="133" t="n"/>
      <c r="X245" s="133" t="n"/>
      <c r="Y245" s="133" t="n"/>
      <c r="Z245" s="133" t="n"/>
      <c r="AA245" s="133" t="n"/>
      <c r="AB245" s="132" t="n"/>
      <c r="AC245" s="132" t="n"/>
      <c r="AD245" s="132" t="n"/>
      <c r="AE245" s="132" t="n"/>
      <c r="AF245" s="132" t="n"/>
      <c r="AG245" s="132" t="n"/>
      <c r="AH245" s="132" t="n"/>
      <c r="AI245" s="132" t="n"/>
      <c r="AJ245" s="132">
        <f>AB245+AC245+AD245+AE245+AF245+AG245+AH245+AI245</f>
        <v/>
      </c>
      <c r="AK245" s="59">
        <f>AL245/C245</f>
        <v/>
      </c>
      <c r="AL245" s="55" t="n"/>
    </row>
    <row r="246" ht="22.5" customHeight="1" s="150">
      <c r="A246" s="34" t="n">
        <v>244</v>
      </c>
      <c r="B246" s="50" t="n">
        <v>111</v>
      </c>
      <c r="C246" s="50" t="n">
        <v>111</v>
      </c>
      <c r="D246" s="50" t="n">
        <v>44</v>
      </c>
      <c r="E246" s="50" t="n">
        <v>21</v>
      </c>
      <c r="F246" s="51">
        <f>(C246*100)/B246</f>
        <v/>
      </c>
      <c r="G246" s="51">
        <f>(D246*100)/B246</f>
        <v/>
      </c>
      <c r="H246" s="53">
        <f>((B246-B247)/B246)*100</f>
        <v/>
      </c>
      <c r="I246" s="53">
        <f>((B246-C246)/B246)*100</f>
        <v/>
      </c>
      <c r="J246" s="53">
        <f>((C246-B247)/C246)*100</f>
        <v/>
      </c>
      <c r="K246" s="54" t="n"/>
      <c r="L246" s="55" t="n">
        <v>1.13953488372093</v>
      </c>
      <c r="M246" s="127" t="inlineStr">
        <is>
          <t>Hard</t>
        </is>
      </c>
      <c r="N246" s="55" t="n">
        <v>0</v>
      </c>
      <c r="O246" s="57">
        <f>N246/C246</f>
        <v/>
      </c>
      <c r="P246" s="58">
        <f>(Boosters_IOS!B246*100)/Boosters_And!N246</f>
        <v/>
      </c>
      <c r="Q246" s="58">
        <f>Boosters_IOS!B246/(C246+D246)</f>
        <v/>
      </c>
      <c r="R246" s="58">
        <f>Boosters_IOS!N246/B246</f>
        <v/>
      </c>
      <c r="S246" s="55" t="n">
        <v>5.48837209302325</v>
      </c>
      <c r="T246" s="55" t="n">
        <v>52</v>
      </c>
      <c r="U246" s="51" t="n">
        <v>85569.90243577911</v>
      </c>
      <c r="V246" s="122" t="n"/>
      <c r="W246" s="133" t="n"/>
      <c r="X246" s="133" t="n"/>
      <c r="Y246" s="133" t="n"/>
      <c r="Z246" s="133" t="n"/>
      <c r="AA246" s="133" t="n"/>
      <c r="AB246" s="132" t="n"/>
      <c r="AC246" s="132" t="n"/>
      <c r="AD246" s="132" t="n"/>
      <c r="AE246" s="132" t="n"/>
      <c r="AF246" s="132" t="n"/>
      <c r="AG246" s="132" t="n"/>
      <c r="AH246" s="132" t="n"/>
      <c r="AI246" s="132" t="n"/>
      <c r="AJ246" s="132">
        <f>AB246+AC246+AD246+AE246+AF246+AG246+AH246+AI246</f>
        <v/>
      </c>
      <c r="AK246" s="59">
        <f>AL246/C246</f>
        <v/>
      </c>
      <c r="AL246" s="55" t="n"/>
    </row>
    <row r="247" ht="22.5" customHeight="1" s="150">
      <c r="A247" s="34" t="n">
        <v>245</v>
      </c>
      <c r="B247" s="50" t="n">
        <v>111</v>
      </c>
      <c r="C247" s="50" t="n">
        <v>103</v>
      </c>
      <c r="D247" s="50" t="n">
        <v>54</v>
      </c>
      <c r="E247" s="50" t="n">
        <v>34</v>
      </c>
      <c r="F247" s="51">
        <f>(C247*100)/B247</f>
        <v/>
      </c>
      <c r="G247" s="51">
        <f>(D247*100)/B247</f>
        <v/>
      </c>
      <c r="H247" s="53">
        <f>((B247-B248)/B247)*100</f>
        <v/>
      </c>
      <c r="I247" s="53">
        <f>((B247-C247)/B247)*100</f>
        <v/>
      </c>
      <c r="J247" s="53">
        <f>((C247-B248)/C247)*100</f>
        <v/>
      </c>
      <c r="K247" s="54" t="n"/>
      <c r="L247" s="55" t="n">
        <v>1.4</v>
      </c>
      <c r="M247" s="120" t="inlineStr">
        <is>
          <t>Normal</t>
        </is>
      </c>
      <c r="N247" s="55" t="n">
        <v>11.98</v>
      </c>
      <c r="O247" s="57">
        <f>N247/C247</f>
        <v/>
      </c>
      <c r="P247" s="58">
        <f>(Boosters_IOS!B247*100)/Boosters_And!N247</f>
        <v/>
      </c>
      <c r="Q247" s="58">
        <f>Boosters_IOS!B247/(C247+D247)</f>
        <v/>
      </c>
      <c r="R247" s="58">
        <f>Boosters_IOS!N247/B247</f>
        <v/>
      </c>
      <c r="S247" s="55" t="n">
        <v>4.325</v>
      </c>
      <c r="T247" s="55" t="n">
        <v>59</v>
      </c>
      <c r="U247" s="51" t="n">
        <v>79263.3941778897</v>
      </c>
      <c r="V247" s="122" t="n"/>
      <c r="W247" s="133" t="n"/>
      <c r="X247" s="133" t="n"/>
      <c r="Y247" s="133" t="n"/>
      <c r="Z247" s="133" t="n"/>
      <c r="AA247" s="133" t="n"/>
      <c r="AB247" s="132" t="n"/>
      <c r="AC247" s="132" t="n"/>
      <c r="AD247" s="132" t="n"/>
      <c r="AE247" s="132" t="n"/>
      <c r="AF247" s="132" t="n"/>
      <c r="AG247" s="132" t="n"/>
      <c r="AH247" s="132" t="n"/>
      <c r="AI247" s="132" t="n"/>
      <c r="AJ247" s="132">
        <f>AB247+AC247+AD247+AE247+AF247+AG247+AH247+AI247</f>
        <v/>
      </c>
      <c r="AK247" s="59">
        <f>AL247/C247</f>
        <v/>
      </c>
      <c r="AL247" s="55" t="n"/>
    </row>
    <row r="248" ht="22.5" customHeight="1" s="150">
      <c r="A248" s="34" t="n">
        <v>246</v>
      </c>
      <c r="B248" s="50" t="n">
        <v>111</v>
      </c>
      <c r="C248" s="50" t="n">
        <v>111</v>
      </c>
      <c r="D248" s="50" t="n">
        <v>39</v>
      </c>
      <c r="E248" s="50" t="n">
        <v>21</v>
      </c>
      <c r="F248" s="51">
        <f>(C248*100)/B248</f>
        <v/>
      </c>
      <c r="G248" s="51">
        <f>(D248*100)/B248</f>
        <v/>
      </c>
      <c r="H248" s="53">
        <f>((B248-B249)/B248)*100</f>
        <v/>
      </c>
      <c r="I248" s="53">
        <f>((B248-C248)/B248)*100</f>
        <v/>
      </c>
      <c r="J248" s="53">
        <f>((C248-B249)/C248)*100</f>
        <v/>
      </c>
      <c r="K248" s="54" t="n"/>
      <c r="L248" s="55" t="n">
        <v>1.27906976744186</v>
      </c>
      <c r="M248" s="127" t="inlineStr">
        <is>
          <t>Hard</t>
        </is>
      </c>
      <c r="N248" s="55" t="n">
        <v>0</v>
      </c>
      <c r="O248" s="57">
        <f>N248/C248</f>
        <v/>
      </c>
      <c r="P248" s="58">
        <f>(Boosters_IOS!B248*100)/Boosters_And!N248</f>
        <v/>
      </c>
      <c r="Q248" s="58">
        <f>Boosters_IOS!B248/(C248+D248)</f>
        <v/>
      </c>
      <c r="R248" s="58">
        <f>Boosters_IOS!N248/B248</f>
        <v/>
      </c>
      <c r="S248" s="55" t="n">
        <v>4.90697674418604</v>
      </c>
      <c r="T248" s="55" t="n">
        <v>54</v>
      </c>
      <c r="U248" s="51" t="n">
        <v>80746.5198418105</v>
      </c>
      <c r="V248" s="122" t="n"/>
      <c r="W248" s="133" t="n"/>
      <c r="X248" s="133" t="n"/>
      <c r="Y248" s="133" t="n"/>
      <c r="Z248" s="133" t="n"/>
      <c r="AA248" s="133" t="n"/>
      <c r="AB248" s="132" t="n"/>
      <c r="AC248" s="132" t="n"/>
      <c r="AD248" s="132" t="n"/>
      <c r="AE248" s="132" t="n"/>
      <c r="AF248" s="132" t="n"/>
      <c r="AG248" s="132" t="n"/>
      <c r="AH248" s="132" t="n"/>
      <c r="AI248" s="132" t="n"/>
      <c r="AJ248" s="132">
        <f>AB248+AC248+AD248+AE248+AF248+AG248+AH248+AI248</f>
        <v/>
      </c>
      <c r="AK248" s="59">
        <f>AL248/C248</f>
        <v/>
      </c>
      <c r="AL248" s="55" t="n"/>
    </row>
    <row r="249" ht="22.5" customHeight="1" s="150">
      <c r="A249" s="34" t="n">
        <v>247</v>
      </c>
      <c r="B249" s="50" t="n">
        <v>111</v>
      </c>
      <c r="C249" s="50" t="n">
        <v>108</v>
      </c>
      <c r="D249" s="50" t="n">
        <v>57</v>
      </c>
      <c r="E249" s="50" t="n">
        <v>26</v>
      </c>
      <c r="F249" s="51">
        <f>(C249*100)/B249</f>
        <v/>
      </c>
      <c r="G249" s="51">
        <f>(D249*100)/B249</f>
        <v/>
      </c>
      <c r="H249" s="53">
        <f>((B249-B250)/B249)*100</f>
        <v/>
      </c>
      <c r="I249" s="53">
        <f>((B249-C249)/B249)*100</f>
        <v/>
      </c>
      <c r="J249" s="53">
        <f>((C249-B250)/C249)*100</f>
        <v/>
      </c>
      <c r="K249" s="54" t="n"/>
      <c r="L249" s="55" t="n">
        <v>1.3095238095238</v>
      </c>
      <c r="M249" s="120" t="inlineStr">
        <is>
          <t>Normal</t>
        </is>
      </c>
      <c r="N249" s="55" t="n">
        <v>1.99</v>
      </c>
      <c r="O249" s="57">
        <f>N249/C249</f>
        <v/>
      </c>
      <c r="P249" s="58">
        <f>(Boosters_IOS!B249*100)/Boosters_And!N249</f>
        <v/>
      </c>
      <c r="Q249" s="58">
        <f>Boosters_IOS!B249/(C249+D249)</f>
        <v/>
      </c>
      <c r="R249" s="58">
        <f>Boosters_IOS!N249/B249</f>
        <v/>
      </c>
      <c r="S249" s="55" t="n">
        <v>7.9047619047619</v>
      </c>
      <c r="T249" s="55" t="n">
        <v>52</v>
      </c>
      <c r="U249" s="51" t="n">
        <v>69410.281071494</v>
      </c>
      <c r="V249" s="122" t="n"/>
      <c r="W249" s="133" t="n"/>
      <c r="X249" s="133" t="n"/>
      <c r="Y249" s="133" t="n"/>
      <c r="Z249" s="133" t="n"/>
      <c r="AA249" s="133" t="n"/>
      <c r="AB249" s="132" t="n"/>
      <c r="AC249" s="132" t="n"/>
      <c r="AD249" s="132" t="n"/>
      <c r="AE249" s="132" t="n"/>
      <c r="AF249" s="132" t="n"/>
      <c r="AG249" s="132" t="n"/>
      <c r="AH249" s="132" t="n"/>
      <c r="AI249" s="132" t="n"/>
      <c r="AJ249" s="132">
        <f>AB249+AC249+AD249+AE249+AF249+AG249+AH249+AI249</f>
        <v/>
      </c>
      <c r="AK249" s="59">
        <f>AL249/C249</f>
        <v/>
      </c>
      <c r="AL249" s="55" t="n"/>
    </row>
    <row r="250" ht="22.5" customHeight="1" s="150">
      <c r="A250" s="34" t="n">
        <v>248</v>
      </c>
      <c r="B250" s="50" t="n">
        <v>108</v>
      </c>
      <c r="C250" s="50" t="n">
        <v>108</v>
      </c>
      <c r="D250" s="50" t="n">
        <v>49</v>
      </c>
      <c r="E250" s="50" t="n">
        <v>28</v>
      </c>
      <c r="F250" s="51">
        <f>(C250*100)/B250</f>
        <v/>
      </c>
      <c r="G250" s="51">
        <f>(D250*100)/B250</f>
        <v/>
      </c>
      <c r="H250" s="53">
        <f>((B250-B251)/B250)*100</f>
        <v/>
      </c>
      <c r="I250" s="53">
        <f>((B250-C250)/B250)*100</f>
        <v/>
      </c>
      <c r="J250" s="53">
        <f>((C250-B251)/C250)*100</f>
        <v/>
      </c>
      <c r="K250" s="54" t="n"/>
      <c r="L250" s="55" t="n">
        <v>1.4047619047619</v>
      </c>
      <c r="M250" s="128" t="inlineStr">
        <is>
          <t>Normal</t>
        </is>
      </c>
      <c r="N250" s="55" t="n">
        <v>5.99</v>
      </c>
      <c r="O250" s="57">
        <f>N250/C250</f>
        <v/>
      </c>
      <c r="P250" s="58">
        <f>(Boosters_IOS!B250*100)/Boosters_And!N250</f>
        <v/>
      </c>
      <c r="Q250" s="58">
        <f>Boosters_IOS!B250/(C250+D250)</f>
        <v/>
      </c>
      <c r="R250" s="58">
        <f>Boosters_IOS!N250/B250</f>
        <v/>
      </c>
      <c r="S250" s="55" t="n">
        <v>4.92857142857142</v>
      </c>
      <c r="T250" s="55" t="n">
        <v>57</v>
      </c>
      <c r="U250" s="51" t="n">
        <v>79934.02491288001</v>
      </c>
      <c r="V250" s="122" t="n"/>
      <c r="W250" s="133" t="n"/>
      <c r="X250" s="133" t="n"/>
      <c r="Y250" s="133" t="n"/>
      <c r="Z250" s="133" t="n"/>
      <c r="AA250" s="133" t="n"/>
      <c r="AB250" s="132" t="n"/>
      <c r="AC250" s="132" t="n"/>
      <c r="AD250" s="132" t="n"/>
      <c r="AE250" s="132" t="n"/>
      <c r="AF250" s="132" t="n"/>
      <c r="AG250" s="132" t="n"/>
      <c r="AH250" s="132" t="n"/>
      <c r="AI250" s="132" t="n"/>
      <c r="AJ250" s="132">
        <f>AB250+AC250+AD250+AE250+AF250+AG250+AH250+AI250</f>
        <v/>
      </c>
      <c r="AK250" s="59">
        <f>AL250/C250</f>
        <v/>
      </c>
      <c r="AL250" s="55" t="n"/>
    </row>
    <row r="251" ht="22.5" customHeight="1" s="150">
      <c r="A251" s="34" t="n">
        <v>249</v>
      </c>
      <c r="B251" s="50" t="n">
        <v>108</v>
      </c>
      <c r="C251" s="50" t="n">
        <v>106</v>
      </c>
      <c r="D251" s="50" t="n">
        <v>52</v>
      </c>
      <c r="E251" s="50" t="n">
        <v>26</v>
      </c>
      <c r="F251" s="51">
        <f>(C251*100)/B251</f>
        <v/>
      </c>
      <c r="G251" s="51">
        <f>(D251*100)/B251</f>
        <v/>
      </c>
      <c r="H251" s="53">
        <f>((B251-B252)/B251)*100</f>
        <v/>
      </c>
      <c r="I251" s="53">
        <f>((B251-C251)/B251)*100</f>
        <v/>
      </c>
      <c r="J251" s="53">
        <f>((C251-B252)/C251)*100</f>
        <v/>
      </c>
      <c r="K251" s="54" t="n"/>
      <c r="L251" s="55" t="n">
        <v>1.17073170731707</v>
      </c>
      <c r="M251" s="120" t="inlineStr">
        <is>
          <t>Normal</t>
        </is>
      </c>
      <c r="N251" s="55" t="n">
        <v>9.98</v>
      </c>
      <c r="O251" s="57">
        <f>N251/C251</f>
        <v/>
      </c>
      <c r="P251" s="58">
        <f>(Boosters_IOS!B251*100)/Boosters_And!N251</f>
        <v/>
      </c>
      <c r="Q251" s="58">
        <f>Boosters_IOS!B251/(C251+D251)</f>
        <v/>
      </c>
      <c r="R251" s="58">
        <f>Boosters_IOS!N251/B251</f>
        <v/>
      </c>
      <c r="S251" s="55" t="n">
        <v>4</v>
      </c>
      <c r="T251" s="55" t="n">
        <v>54</v>
      </c>
      <c r="U251" s="51" t="n">
        <v>81262.38963795691</v>
      </c>
      <c r="V251" s="122" t="n"/>
      <c r="W251" s="133" t="n"/>
      <c r="X251" s="133" t="n"/>
      <c r="Y251" s="133" t="n"/>
      <c r="Z251" s="133" t="n"/>
      <c r="AA251" s="133" t="n"/>
      <c r="AB251" s="132" t="n"/>
      <c r="AC251" s="132" t="n"/>
      <c r="AD251" s="132" t="n"/>
      <c r="AE251" s="132" t="n"/>
      <c r="AF251" s="132" t="n"/>
      <c r="AG251" s="132" t="n"/>
      <c r="AH251" s="132" t="n"/>
      <c r="AI251" s="132" t="n"/>
      <c r="AJ251" s="132">
        <f>AB251+AC251+AD251+AE251+AF251+AG251+AH251+AI251</f>
        <v/>
      </c>
      <c r="AK251" s="59">
        <f>AL251/C251</f>
        <v/>
      </c>
      <c r="AL251" s="55" t="n"/>
    </row>
    <row r="252" ht="22.5" customHeight="1" s="150">
      <c r="A252" s="34" t="n">
        <v>250</v>
      </c>
      <c r="B252" s="50" t="n">
        <v>106</v>
      </c>
      <c r="C252" s="50" t="n">
        <v>101</v>
      </c>
      <c r="D252" s="50" t="n">
        <v>41</v>
      </c>
      <c r="E252" s="50" t="n">
        <v>26</v>
      </c>
      <c r="F252" s="51">
        <f>(C252*100)/B252</f>
        <v/>
      </c>
      <c r="G252" s="51">
        <f>(D252*100)/B252</f>
        <v/>
      </c>
      <c r="H252" s="53">
        <f>((B252-B253)/B252)*100</f>
        <v/>
      </c>
      <c r="I252" s="53">
        <f>((B252-C252)/B252)*100</f>
        <v/>
      </c>
      <c r="J252" s="53">
        <f>((C252-B253)/C252)*100</f>
        <v/>
      </c>
      <c r="K252" s="54" t="n"/>
      <c r="L252" s="55" t="n">
        <v>1.17948717948717</v>
      </c>
      <c r="M252" s="127" t="inlineStr">
        <is>
          <t>Hard</t>
        </is>
      </c>
      <c r="N252" s="55" t="n">
        <v>0</v>
      </c>
      <c r="O252" s="57">
        <f>N252/C252</f>
        <v/>
      </c>
      <c r="P252" s="58">
        <f>(Boosters_IOS!B252*100)/Boosters_And!N252</f>
        <v/>
      </c>
      <c r="Q252" s="58">
        <f>Boosters_IOS!B252/(C252+D252)</f>
        <v/>
      </c>
      <c r="R252" s="58">
        <f>Boosters_IOS!N252/B252</f>
        <v/>
      </c>
      <c r="S252" s="55" t="n">
        <v>5.05128205128205</v>
      </c>
      <c r="T252" s="55" t="n">
        <v>46</v>
      </c>
      <c r="U252" s="51" t="n">
        <v>71731.69515415269</v>
      </c>
      <c r="V252" s="122" t="n"/>
      <c r="W252" s="133" t="n"/>
      <c r="X252" s="133" t="n"/>
      <c r="Y252" s="133" t="n"/>
      <c r="Z252" s="133" t="n"/>
      <c r="AA252" s="133" t="n"/>
      <c r="AB252" s="132" t="n"/>
      <c r="AC252" s="132" t="n"/>
      <c r="AD252" s="132" t="n"/>
      <c r="AE252" s="132" t="n"/>
      <c r="AF252" s="132" t="n"/>
      <c r="AG252" s="132" t="n"/>
      <c r="AH252" s="132" t="n"/>
      <c r="AI252" s="132" t="n"/>
      <c r="AJ252" s="132">
        <f>AB252+AC252+AD252+AE252+AF252+AG252+AH252+AI252</f>
        <v/>
      </c>
      <c r="AK252" s="59">
        <f>AL252/C252</f>
        <v/>
      </c>
      <c r="AL252" s="55" t="n"/>
    </row>
    <row r="253" ht="22.5" customHeight="1" s="150">
      <c r="A253" s="34" t="n">
        <v>251</v>
      </c>
      <c r="B253" s="50" t="n">
        <v>98</v>
      </c>
      <c r="C253" s="50" t="n">
        <v>98</v>
      </c>
      <c r="D253" s="50" t="n">
        <v>0</v>
      </c>
      <c r="E253" s="50" t="n">
        <v>0</v>
      </c>
      <c r="F253" s="51">
        <f>(C253*100)/B253</f>
        <v/>
      </c>
      <c r="G253" s="51">
        <f>(D253*100)/B253</f>
        <v/>
      </c>
      <c r="H253" s="53">
        <f>((B253-B254)/B253)*100</f>
        <v/>
      </c>
      <c r="I253" s="53">
        <f>((B253-C253)/B253)*100</f>
        <v/>
      </c>
      <c r="J253" s="53">
        <f>((C253-B254)/C253)*100</f>
        <v/>
      </c>
      <c r="K253" s="54" t="n"/>
      <c r="L253" s="55" t="n">
        <v>1.02631578947368</v>
      </c>
      <c r="M253" s="129" t="inlineStr">
        <is>
          <t>Hard</t>
        </is>
      </c>
      <c r="N253" s="55" t="n">
        <v>0</v>
      </c>
      <c r="O253" s="57">
        <f>N253/C253</f>
        <v/>
      </c>
      <c r="P253" s="58">
        <f>(Boosters_IOS!B253*100)/Boosters_And!N253</f>
        <v/>
      </c>
      <c r="Q253" s="58">
        <f>Boosters_IOS!B253/(C253+D253)</f>
        <v/>
      </c>
      <c r="R253" s="58">
        <f>Boosters_IOS!N253/B253</f>
        <v/>
      </c>
      <c r="S253" s="55" t="n">
        <v>5.34210526315789</v>
      </c>
      <c r="T253" s="55" t="n">
        <v>18</v>
      </c>
      <c r="U253" s="51" t="n">
        <v>76735.6321767725</v>
      </c>
      <c r="V253" s="122" t="n"/>
      <c r="W253" s="133" t="n"/>
      <c r="X253" s="133" t="n"/>
      <c r="Y253" s="133" t="n"/>
      <c r="Z253" s="133" t="n"/>
      <c r="AA253" s="133" t="n"/>
      <c r="AB253" s="132" t="n"/>
      <c r="AC253" s="132" t="n"/>
      <c r="AD253" s="132" t="n"/>
      <c r="AE253" s="132" t="n"/>
      <c r="AF253" s="132" t="n"/>
      <c r="AG253" s="132" t="n"/>
      <c r="AH253" s="132" t="n"/>
      <c r="AI253" s="132" t="n"/>
      <c r="AJ253" s="132">
        <f>AB253+AC253+AD253+AE253+AF253+AG253+AH253+AI253</f>
        <v/>
      </c>
      <c r="AK253" s="59">
        <f>AL253/C253</f>
        <v/>
      </c>
      <c r="AL253" s="55" t="n"/>
    </row>
    <row r="254" ht="22.5" customHeight="1" s="150">
      <c r="A254" s="34" t="n">
        <v>252</v>
      </c>
      <c r="B254" s="50" t="n">
        <v>101</v>
      </c>
      <c r="C254" s="50" t="n">
        <v>101</v>
      </c>
      <c r="D254" s="50" t="n">
        <v>0</v>
      </c>
      <c r="E254" s="50" t="n">
        <v>0</v>
      </c>
      <c r="F254" s="51">
        <f>(C254*100)/B254</f>
        <v/>
      </c>
      <c r="G254" s="51">
        <f>(D254*100)/B254</f>
        <v/>
      </c>
      <c r="H254" s="53">
        <f>((B254-B255)/B254)*100</f>
        <v/>
      </c>
      <c r="I254" s="53">
        <f>((B254-C254)/B254)*100</f>
        <v/>
      </c>
      <c r="J254" s="53">
        <f>((C254-B255)/C254)*100</f>
        <v/>
      </c>
      <c r="K254" s="54" t="n"/>
      <c r="L254" s="55" t="n">
        <v>1.02564102564102</v>
      </c>
      <c r="M254" s="128" t="inlineStr">
        <is>
          <t>Normal</t>
        </is>
      </c>
      <c r="N254" s="55" t="n">
        <v>0</v>
      </c>
      <c r="O254" s="57">
        <f>N254/C254</f>
        <v/>
      </c>
      <c r="P254" s="58">
        <f>(Boosters_IOS!B254*100)/Boosters_And!N254</f>
        <v/>
      </c>
      <c r="Q254" s="58">
        <f>Boosters_IOS!B254/(C254+D254)</f>
        <v/>
      </c>
      <c r="R254" s="58">
        <f>Boosters_IOS!N254/B254</f>
        <v/>
      </c>
      <c r="S254" s="55" t="n">
        <v>4.64102564102564</v>
      </c>
      <c r="T254" s="55" t="n">
        <v>18</v>
      </c>
      <c r="U254" s="51" t="n">
        <v>90393.2850297476</v>
      </c>
      <c r="V254" s="122" t="n"/>
      <c r="W254" s="133" t="n"/>
      <c r="X254" s="133" t="n"/>
      <c r="Y254" s="133" t="n"/>
      <c r="Z254" s="133" t="n"/>
      <c r="AA254" s="133" t="n"/>
      <c r="AB254" s="132" t="n"/>
      <c r="AC254" s="132" t="n"/>
      <c r="AD254" s="132" t="n"/>
      <c r="AE254" s="132" t="n"/>
      <c r="AF254" s="132" t="n"/>
      <c r="AG254" s="132" t="n"/>
      <c r="AH254" s="132" t="n"/>
      <c r="AI254" s="132" t="n"/>
      <c r="AJ254" s="132">
        <f>AB254+AC254+AD254+AE254+AF254+AG254+AH254+AI254</f>
        <v/>
      </c>
      <c r="AK254" s="59">
        <f>AL254/C254</f>
        <v/>
      </c>
      <c r="AL254" s="55" t="n"/>
    </row>
    <row r="255" ht="22.5" customHeight="1" s="150">
      <c r="A255" s="34" t="n">
        <v>253</v>
      </c>
      <c r="B255" s="50" t="n">
        <v>106</v>
      </c>
      <c r="C255" s="50" t="n">
        <v>103</v>
      </c>
      <c r="D255" s="50" t="n">
        <v>41</v>
      </c>
      <c r="E255" s="50" t="n">
        <v>31</v>
      </c>
      <c r="F255" s="51">
        <f>(C255*100)/B255</f>
        <v/>
      </c>
      <c r="G255" s="51">
        <f>(D255*100)/B255</f>
        <v/>
      </c>
      <c r="H255" s="53">
        <f>((B255-B256)/B255)*100</f>
        <v/>
      </c>
      <c r="I255" s="53">
        <f>((B255-C255)/B255)*100</f>
        <v/>
      </c>
      <c r="J255" s="53">
        <f>((C255-B256)/C255)*100</f>
        <v/>
      </c>
      <c r="K255" s="54" t="n"/>
      <c r="L255" s="55" t="n">
        <v>1.37499999999999</v>
      </c>
      <c r="M255" s="120" t="inlineStr">
        <is>
          <t>Normal</t>
        </is>
      </c>
      <c r="N255" s="55" t="n">
        <v>4.99</v>
      </c>
      <c r="O255" s="57">
        <f>N255/C255</f>
        <v/>
      </c>
      <c r="P255" s="58">
        <f>(Boosters_IOS!B255*100)/Boosters_And!N255</f>
        <v/>
      </c>
      <c r="Q255" s="58">
        <f>Boosters_IOS!B255/(C255+D255)</f>
        <v/>
      </c>
      <c r="R255" s="58">
        <f>Boosters_IOS!N255/B255</f>
        <v/>
      </c>
      <c r="S255" s="55" t="n">
        <v>6.325</v>
      </c>
      <c r="T255" s="55" t="n">
        <v>44</v>
      </c>
      <c r="U255" s="51" t="n">
        <v>93269.2591432636</v>
      </c>
      <c r="V255" s="122" t="n"/>
      <c r="W255" s="133" t="n"/>
      <c r="X255" s="133" t="n"/>
      <c r="Y255" s="133" t="n"/>
      <c r="Z255" s="133" t="n"/>
      <c r="AA255" s="133" t="n"/>
      <c r="AB255" s="132" t="n"/>
      <c r="AC255" s="132" t="n"/>
      <c r="AD255" s="132" t="n"/>
      <c r="AE255" s="132" t="n"/>
      <c r="AF255" s="132" t="n"/>
      <c r="AG255" s="132" t="n"/>
      <c r="AH255" s="132" t="n"/>
      <c r="AI255" s="132" t="n"/>
      <c r="AJ255" s="132">
        <f>AB255+AC255+AD255+AE255+AF255+AG255+AH255+AI255</f>
        <v/>
      </c>
      <c r="AK255" s="59">
        <f>AL255/C255</f>
        <v/>
      </c>
      <c r="AL255" s="55" t="n"/>
    </row>
    <row r="256" ht="22.5" customHeight="1" s="150">
      <c r="A256" s="34" t="n">
        <v>254</v>
      </c>
      <c r="B256" s="50" t="n">
        <v>108</v>
      </c>
      <c r="C256" s="50" t="n">
        <v>108</v>
      </c>
      <c r="D256" s="50" t="n">
        <v>31</v>
      </c>
      <c r="E256" s="50" t="n">
        <v>18</v>
      </c>
      <c r="F256" s="51">
        <f>(C256*100)/B256</f>
        <v/>
      </c>
      <c r="G256" s="51">
        <f>(D256*100)/B256</f>
        <v/>
      </c>
      <c r="H256" s="53">
        <f>((B256-B257)/B256)*100</f>
        <v/>
      </c>
      <c r="I256" s="53">
        <f>((B256-C256)/B256)*100</f>
        <v/>
      </c>
      <c r="J256" s="53">
        <f>((C256-B257)/C256)*100</f>
        <v/>
      </c>
      <c r="K256" s="54" t="n"/>
      <c r="L256" s="55" t="n">
        <v>1.14285714285714</v>
      </c>
      <c r="M256" s="128" t="inlineStr">
        <is>
          <t>Normal</t>
        </is>
      </c>
      <c r="N256" s="55" t="n">
        <v>0</v>
      </c>
      <c r="O256" s="57">
        <f>N256/C256</f>
        <v/>
      </c>
      <c r="P256" s="58">
        <f>(Boosters_IOS!B256*100)/Boosters_And!N256</f>
        <v/>
      </c>
      <c r="Q256" s="58">
        <f>Boosters_IOS!B256/(C256+D256)</f>
        <v/>
      </c>
      <c r="R256" s="58">
        <f>Boosters_IOS!N256/B256</f>
        <v/>
      </c>
      <c r="S256" s="55" t="n">
        <v>3.57142857142857</v>
      </c>
      <c r="T256" s="55" t="n">
        <v>39</v>
      </c>
      <c r="U256" s="51" t="n">
        <v>90793.0841217611</v>
      </c>
      <c r="V256" s="122" t="n"/>
      <c r="W256" s="133" t="n"/>
      <c r="X256" s="133" t="n"/>
      <c r="Y256" s="133" t="n"/>
      <c r="Z256" s="133" t="n"/>
      <c r="AA256" s="133" t="n"/>
      <c r="AB256" s="132" t="n"/>
      <c r="AC256" s="132" t="n"/>
      <c r="AD256" s="132" t="n"/>
      <c r="AE256" s="132" t="n"/>
      <c r="AF256" s="132" t="n"/>
      <c r="AG256" s="132" t="n"/>
      <c r="AH256" s="132" t="n"/>
      <c r="AI256" s="132" t="n"/>
      <c r="AJ256" s="132">
        <f>AB256+AC256+AD256+AE256+AF256+AG256+AH256+AI256</f>
        <v/>
      </c>
      <c r="AK256" s="59">
        <f>AL256/C256</f>
        <v/>
      </c>
      <c r="AL256" s="55" t="n"/>
    </row>
    <row r="257" ht="22.5" customHeight="1" s="150">
      <c r="A257" s="34" t="n">
        <v>255</v>
      </c>
      <c r="B257" s="50" t="n">
        <v>116</v>
      </c>
      <c r="C257" s="50" t="n">
        <v>108</v>
      </c>
      <c r="D257" s="50" t="n">
        <v>49</v>
      </c>
      <c r="E257" s="50" t="n">
        <v>36</v>
      </c>
      <c r="F257" s="51">
        <f>(C257*100)/B257</f>
        <v/>
      </c>
      <c r="G257" s="51">
        <f>(D257*100)/B257</f>
        <v/>
      </c>
      <c r="H257" s="53">
        <f>((B257-B258)/B257)*100</f>
        <v/>
      </c>
      <c r="I257" s="53">
        <f>((B257-C257)/B257)*100</f>
        <v/>
      </c>
      <c r="J257" s="53">
        <f>((C257-B258)/C257)*100</f>
        <v/>
      </c>
      <c r="K257" s="54" t="n"/>
      <c r="L257" s="55" t="n">
        <v>1.02380952380952</v>
      </c>
      <c r="M257" s="120" t="inlineStr">
        <is>
          <t>Normal</t>
        </is>
      </c>
      <c r="N257" s="55" t="n">
        <v>16.47</v>
      </c>
      <c r="O257" s="57">
        <f>N257/C257</f>
        <v/>
      </c>
      <c r="P257" s="58">
        <f>(Boosters_IOS!B257*100)/Boosters_And!N257</f>
        <v/>
      </c>
      <c r="Q257" s="58">
        <f>Boosters_IOS!B257/(C257+D257)</f>
        <v/>
      </c>
      <c r="R257" s="58">
        <f>Boosters_IOS!N257/B257</f>
        <v/>
      </c>
      <c r="S257" s="55" t="n">
        <v>5.57142857142857</v>
      </c>
      <c r="T257" s="55" t="n">
        <v>46</v>
      </c>
      <c r="U257" s="51" t="n">
        <v>78386.4155244409</v>
      </c>
      <c r="V257" s="122" t="n"/>
      <c r="W257" s="133" t="n"/>
      <c r="X257" s="133" t="n"/>
      <c r="Y257" s="133" t="n"/>
      <c r="Z257" s="133" t="n"/>
      <c r="AA257" s="133" t="n"/>
      <c r="AB257" s="132" t="n"/>
      <c r="AC257" s="132" t="n"/>
      <c r="AD257" s="132" t="n"/>
      <c r="AE257" s="132" t="n"/>
      <c r="AF257" s="132" t="n"/>
      <c r="AG257" s="132" t="n"/>
      <c r="AH257" s="132" t="n"/>
      <c r="AI257" s="132" t="n"/>
      <c r="AJ257" s="132">
        <f>AB257+AC257+AD257+AE257+AF257+AG257+AH257+AI257</f>
        <v/>
      </c>
      <c r="AK257" s="59">
        <f>AL257/C257</f>
        <v/>
      </c>
      <c r="AL257" s="55" t="n"/>
    </row>
    <row r="258" ht="22.5" customHeight="1" s="150">
      <c r="A258" s="34" t="n">
        <v>256</v>
      </c>
      <c r="B258" s="50" t="n">
        <v>111</v>
      </c>
      <c r="C258" s="50" t="n">
        <v>108</v>
      </c>
      <c r="D258" s="50" t="n">
        <v>28</v>
      </c>
      <c r="E258" s="50" t="n">
        <v>18</v>
      </c>
      <c r="F258" s="51">
        <f>(C258*100)/B258</f>
        <v/>
      </c>
      <c r="G258" s="51">
        <f>(D258*100)/B258</f>
        <v/>
      </c>
      <c r="H258" s="53">
        <f>((B258-B259)/B258)*100</f>
        <v/>
      </c>
      <c r="I258" s="53">
        <f>((B258-C258)/B258)*100</f>
        <v/>
      </c>
      <c r="J258" s="53">
        <f>((C258-B259)/C258)*100</f>
        <v/>
      </c>
      <c r="K258" s="54" t="n"/>
      <c r="L258" s="55" t="n">
        <v>1.11904761904761</v>
      </c>
      <c r="M258" s="128" t="inlineStr">
        <is>
          <t>Normal</t>
        </is>
      </c>
      <c r="N258" s="55" t="n">
        <v>4.99</v>
      </c>
      <c r="O258" s="57">
        <f>N258/C258</f>
        <v/>
      </c>
      <c r="P258" s="58">
        <f>(Boosters_IOS!B258*100)/Boosters_And!N258</f>
        <v/>
      </c>
      <c r="Q258" s="58">
        <f>Boosters_IOS!B258/(C258+D258)</f>
        <v/>
      </c>
      <c r="R258" s="58">
        <f>Boosters_IOS!N258/B258</f>
        <v/>
      </c>
      <c r="S258" s="55" t="n">
        <v>6.11904761904761</v>
      </c>
      <c r="T258" s="55" t="n">
        <v>31</v>
      </c>
      <c r="U258" s="51" t="n">
        <v>84422.09213935339</v>
      </c>
      <c r="V258" s="122" t="n"/>
      <c r="W258" s="133" t="n"/>
      <c r="X258" s="133" t="n"/>
      <c r="Y258" s="133" t="n"/>
      <c r="Z258" s="133" t="n"/>
      <c r="AA258" s="133" t="n"/>
      <c r="AB258" s="132" t="n"/>
      <c r="AC258" s="132" t="n"/>
      <c r="AD258" s="132" t="n"/>
      <c r="AE258" s="132" t="n"/>
      <c r="AF258" s="132" t="n"/>
      <c r="AG258" s="132" t="n"/>
      <c r="AH258" s="132" t="n"/>
      <c r="AI258" s="132" t="n"/>
      <c r="AJ258" s="132">
        <f>AB258+AC258+AD258+AE258+AF258+AG258+AH258+AI258</f>
        <v/>
      </c>
      <c r="AK258" s="59">
        <f>AL258/C258</f>
        <v/>
      </c>
      <c r="AL258" s="55" t="n"/>
    </row>
    <row r="259" ht="22.5" customHeight="1" s="150">
      <c r="A259" s="34" t="n">
        <v>257</v>
      </c>
      <c r="B259" s="50" t="n">
        <v>108</v>
      </c>
      <c r="C259" s="50" t="n">
        <v>106</v>
      </c>
      <c r="D259" s="50" t="n">
        <v>64</v>
      </c>
      <c r="E259" s="50" t="n">
        <v>57</v>
      </c>
      <c r="F259" s="51">
        <f>(C259*100)/B259</f>
        <v/>
      </c>
      <c r="G259" s="51">
        <f>(D259*100)/B259</f>
        <v/>
      </c>
      <c r="H259" s="53">
        <f>((B259-B260)/B259)*100</f>
        <v/>
      </c>
      <c r="I259" s="53">
        <f>((B259-C259)/B259)*100</f>
        <v/>
      </c>
      <c r="J259" s="53">
        <f>((C259-B260)/C259)*100</f>
        <v/>
      </c>
      <c r="K259" s="54" t="n"/>
      <c r="L259" s="55" t="n">
        <v>2</v>
      </c>
      <c r="M259" s="129" t="inlineStr">
        <is>
          <t>Hard</t>
        </is>
      </c>
      <c r="N259" s="55" t="n">
        <v>45.93</v>
      </c>
      <c r="O259" s="57">
        <f>N259/C259</f>
        <v/>
      </c>
      <c r="P259" s="58">
        <f>(Boosters_IOS!B259*100)/Boosters_And!N259</f>
        <v/>
      </c>
      <c r="Q259" s="58">
        <f>Boosters_IOS!B259/(C259+D259)</f>
        <v/>
      </c>
      <c r="R259" s="58">
        <f>Boosters_IOS!N259/B259</f>
        <v/>
      </c>
      <c r="S259" s="55" t="n">
        <v>3.70731707317073</v>
      </c>
      <c r="T259" s="55" t="n">
        <v>57</v>
      </c>
      <c r="U259" s="51" t="n">
        <v>103070.785270044</v>
      </c>
      <c r="V259" s="122" t="n"/>
      <c r="W259" s="133" t="n"/>
      <c r="X259" s="133" t="n"/>
      <c r="Y259" s="133" t="n"/>
      <c r="Z259" s="133" t="n"/>
      <c r="AA259" s="133" t="n"/>
      <c r="AB259" s="132" t="n"/>
      <c r="AC259" s="132" t="n"/>
      <c r="AD259" s="132" t="n"/>
      <c r="AE259" s="132" t="n"/>
      <c r="AF259" s="132" t="n"/>
      <c r="AG259" s="132" t="n"/>
      <c r="AH259" s="132" t="n"/>
      <c r="AI259" s="132" t="n"/>
      <c r="AJ259" s="132">
        <f>AB259+AC259+AD259+AE259+AF259+AG259+AH259+AI259</f>
        <v/>
      </c>
      <c r="AK259" s="59">
        <f>AL259/C259</f>
        <v/>
      </c>
      <c r="AL259" s="55" t="n"/>
    </row>
    <row r="260" ht="22.5" customHeight="1" s="150">
      <c r="A260" s="34" t="n">
        <v>258</v>
      </c>
      <c r="B260" s="50" t="n">
        <v>108</v>
      </c>
      <c r="C260" s="50" t="n">
        <v>103</v>
      </c>
      <c r="D260" s="50" t="n">
        <v>41</v>
      </c>
      <c r="E260" s="50" t="n">
        <v>34</v>
      </c>
      <c r="F260" s="51">
        <f>(C260*100)/B260</f>
        <v/>
      </c>
      <c r="G260" s="51">
        <f>(D260*100)/B260</f>
        <v/>
      </c>
      <c r="H260" s="53">
        <f>((B260-B261)/B260)*100</f>
        <v/>
      </c>
      <c r="I260" s="53">
        <f>((B260-C260)/B260)*100</f>
        <v/>
      </c>
      <c r="J260" s="53">
        <f>((C260-B261)/C260)*100</f>
        <v/>
      </c>
      <c r="K260" s="54" t="n"/>
      <c r="L260" s="55" t="n">
        <v>1.3</v>
      </c>
      <c r="M260" s="127" t="inlineStr">
        <is>
          <t>Hard</t>
        </is>
      </c>
      <c r="N260" s="55" t="n">
        <v>0</v>
      </c>
      <c r="O260" s="57">
        <f>N260/C260</f>
        <v/>
      </c>
      <c r="P260" s="58">
        <f>(Boosters_IOS!B260*100)/Boosters_And!N260</f>
        <v/>
      </c>
      <c r="Q260" s="58">
        <f>Boosters_IOS!B260/(C260+D260)</f>
        <v/>
      </c>
      <c r="R260" s="58">
        <f>Boosters_IOS!N260/B260</f>
        <v/>
      </c>
      <c r="S260" s="55" t="n">
        <v>11.7</v>
      </c>
      <c r="T260" s="55" t="n">
        <v>36</v>
      </c>
      <c r="U260" s="51" t="n">
        <v>98660.09851299319</v>
      </c>
      <c r="V260" s="122" t="n"/>
      <c r="W260" s="133" t="n"/>
      <c r="X260" s="133" t="n"/>
      <c r="Y260" s="133" t="n"/>
      <c r="Z260" s="133" t="n"/>
      <c r="AA260" s="133" t="n"/>
      <c r="AB260" s="132" t="n"/>
      <c r="AC260" s="132" t="n"/>
      <c r="AD260" s="132" t="n"/>
      <c r="AE260" s="132" t="n"/>
      <c r="AF260" s="132" t="n"/>
      <c r="AG260" s="132" t="n"/>
      <c r="AH260" s="132" t="n"/>
      <c r="AI260" s="132" t="n"/>
      <c r="AJ260" s="132">
        <f>AB260+AC260+AD260+AE260+AF260+AG260+AH260+AI260</f>
        <v/>
      </c>
      <c r="AK260" s="59">
        <f>AL260/C260</f>
        <v/>
      </c>
      <c r="AL260" s="55" t="n"/>
    </row>
    <row r="261" ht="22.5" customHeight="1" s="150">
      <c r="A261" s="34" t="n">
        <v>259</v>
      </c>
      <c r="B261" s="50" t="n">
        <v>103</v>
      </c>
      <c r="C261" s="50" t="n">
        <v>103</v>
      </c>
      <c r="D261" s="50" t="n">
        <v>8</v>
      </c>
      <c r="E261" s="50" t="n">
        <v>8</v>
      </c>
      <c r="F261" s="51">
        <f>(C261*100)/B261</f>
        <v/>
      </c>
      <c r="G261" s="51">
        <f>(D261*100)/B261</f>
        <v/>
      </c>
      <c r="H261" s="53">
        <f>((B261-B262)/B261)*100</f>
        <v/>
      </c>
      <c r="I261" s="53">
        <f>((B261-C261)/B261)*100</f>
        <v/>
      </c>
      <c r="J261" s="53">
        <f>((C261-B262)/C261)*100</f>
        <v/>
      </c>
      <c r="K261" s="54" t="n"/>
      <c r="L261" s="55" t="n">
        <v>1.125</v>
      </c>
      <c r="M261" s="120" t="inlineStr">
        <is>
          <t>Normal</t>
        </is>
      </c>
      <c r="N261" s="55" t="n">
        <v>0</v>
      </c>
      <c r="O261" s="57">
        <f>N261/C261</f>
        <v/>
      </c>
      <c r="P261" s="58">
        <f>(Boosters_IOS!B261*100)/Boosters_And!N261</f>
        <v/>
      </c>
      <c r="Q261" s="58">
        <f>Boosters_IOS!B261/(C261+D261)</f>
        <v/>
      </c>
      <c r="R261" s="58">
        <f>Boosters_IOS!N261/B261</f>
        <v/>
      </c>
      <c r="S261" s="55" t="n">
        <v>6.45</v>
      </c>
      <c r="T261" s="55" t="n">
        <v>23</v>
      </c>
      <c r="U261" s="51" t="n">
        <v>102954.714565911</v>
      </c>
      <c r="V261" s="122" t="n"/>
      <c r="W261" s="133" t="n"/>
      <c r="X261" s="133" t="n"/>
      <c r="Y261" s="133" t="n"/>
      <c r="Z261" s="133" t="n"/>
      <c r="AA261" s="133" t="n"/>
      <c r="AB261" s="132" t="n"/>
      <c r="AC261" s="132" t="n"/>
      <c r="AD261" s="132" t="n"/>
      <c r="AE261" s="132" t="n"/>
      <c r="AF261" s="132" t="n"/>
      <c r="AG261" s="132" t="n"/>
      <c r="AH261" s="132" t="n"/>
      <c r="AI261" s="132" t="n"/>
      <c r="AJ261" s="132">
        <f>AB261+AC261+AD261+AE261+AF261+AG261+AH261+AI261</f>
        <v/>
      </c>
      <c r="AK261" s="59">
        <f>AL261/C261</f>
        <v/>
      </c>
      <c r="AL261" s="55" t="n"/>
    </row>
    <row r="262" ht="22.5" customHeight="1" s="150">
      <c r="A262" s="34" t="n">
        <v>260</v>
      </c>
      <c r="B262" s="50" t="n">
        <v>101</v>
      </c>
      <c r="C262" s="50" t="n">
        <v>101</v>
      </c>
      <c r="D262" s="50" t="n">
        <v>36</v>
      </c>
      <c r="E262" s="50" t="n">
        <v>23</v>
      </c>
      <c r="F262" s="51">
        <f>(C262*100)/B262</f>
        <v/>
      </c>
      <c r="G262" s="51">
        <f>(D262*100)/B262</f>
        <v/>
      </c>
      <c r="H262" s="53">
        <f>((B262-B263)/B262)*100</f>
        <v/>
      </c>
      <c r="I262" s="53">
        <f>((B262-C262)/B262)*100</f>
        <v/>
      </c>
      <c r="J262" s="53">
        <f>((C262-B263)/C262)*100</f>
        <v/>
      </c>
      <c r="K262" s="54" t="n"/>
      <c r="L262" s="55" t="n">
        <v>1.33333333333333</v>
      </c>
      <c r="M262" s="128" t="inlineStr">
        <is>
          <t>Normal</t>
        </is>
      </c>
      <c r="N262" s="55" t="n">
        <v>0</v>
      </c>
      <c r="O262" s="57">
        <f>N262/C262</f>
        <v/>
      </c>
      <c r="P262" s="58">
        <f>(Boosters_IOS!B262*100)/Boosters_And!N262</f>
        <v/>
      </c>
      <c r="Q262" s="58">
        <f>Boosters_IOS!B262/(C262+D262)</f>
        <v/>
      </c>
      <c r="R262" s="58">
        <f>Boosters_IOS!N262/B262</f>
        <v/>
      </c>
      <c r="S262" s="55" t="n">
        <v>3.99999999999999</v>
      </c>
      <c r="T262" s="55" t="n">
        <v>36</v>
      </c>
      <c r="U262" s="51" t="n">
        <v>95616.46671572961</v>
      </c>
      <c r="V262" s="122" t="n"/>
      <c r="W262" s="133" t="n"/>
      <c r="X262" s="133" t="n"/>
      <c r="Y262" s="133" t="n"/>
      <c r="Z262" s="133" t="n"/>
      <c r="AA262" s="133" t="n"/>
      <c r="AB262" s="132" t="n"/>
      <c r="AC262" s="132" t="n"/>
      <c r="AD262" s="132" t="n"/>
      <c r="AE262" s="132" t="n"/>
      <c r="AF262" s="132" t="n"/>
      <c r="AG262" s="132" t="n"/>
      <c r="AH262" s="132" t="n"/>
      <c r="AI262" s="132" t="n"/>
      <c r="AJ262" s="132">
        <f>AB262+AC262+AD262+AE262+AF262+AG262+AH262+AI262</f>
        <v/>
      </c>
      <c r="AK262" s="59">
        <f>AL262/C262</f>
        <v/>
      </c>
      <c r="AL262" s="55" t="n"/>
    </row>
    <row r="263" ht="22.5" customHeight="1" s="150">
      <c r="A263" s="34" t="n">
        <v>261</v>
      </c>
      <c r="B263" s="50" t="n">
        <v>101</v>
      </c>
      <c r="C263" s="50" t="n">
        <v>101</v>
      </c>
      <c r="D263" s="50" t="n">
        <v>23</v>
      </c>
      <c r="E263" s="50" t="n">
        <v>18</v>
      </c>
      <c r="F263" s="51">
        <f>(C263*100)/B263</f>
        <v/>
      </c>
      <c r="G263" s="51">
        <f>(D263*100)/B263</f>
        <v/>
      </c>
      <c r="H263" s="53">
        <f>((B263-B264)/B263)*100</f>
        <v/>
      </c>
      <c r="I263" s="53">
        <f>((B263-C263)/B263)*100</f>
        <v/>
      </c>
      <c r="J263" s="53">
        <f>((C263-B264)/C263)*100</f>
        <v/>
      </c>
      <c r="K263" s="54" t="n"/>
      <c r="L263" s="55" t="n">
        <v>1.17948717948717</v>
      </c>
      <c r="M263" s="120" t="inlineStr">
        <is>
          <t>Normal</t>
        </is>
      </c>
      <c r="N263" s="55" t="n">
        <v>13.97</v>
      </c>
      <c r="O263" s="57">
        <f>N263/C263</f>
        <v/>
      </c>
      <c r="P263" s="58">
        <f>(Boosters_IOS!B263*100)/Boosters_And!N263</f>
        <v/>
      </c>
      <c r="Q263" s="58">
        <f>Boosters_IOS!B263/(C263+D263)</f>
        <v/>
      </c>
      <c r="R263" s="58">
        <f>Boosters_IOS!N263/B263</f>
        <v/>
      </c>
      <c r="S263" s="55" t="n">
        <v>8.02564102564102</v>
      </c>
      <c r="T263" s="55" t="n">
        <v>31</v>
      </c>
      <c r="U263" s="51" t="n">
        <v>102683.882922934</v>
      </c>
      <c r="V263" s="122" t="n"/>
      <c r="W263" s="133" t="n"/>
      <c r="X263" s="133" t="n"/>
      <c r="Y263" s="133" t="n"/>
      <c r="Z263" s="133" t="n"/>
      <c r="AA263" s="133" t="n"/>
      <c r="AB263" s="132" t="n"/>
      <c r="AC263" s="132" t="n"/>
      <c r="AD263" s="132" t="n"/>
      <c r="AE263" s="132" t="n"/>
      <c r="AF263" s="132" t="n"/>
      <c r="AG263" s="132" t="n"/>
      <c r="AH263" s="132" t="n"/>
      <c r="AI263" s="132" t="n"/>
      <c r="AJ263" s="132">
        <f>AB263+AC263+AD263+AE263+AF263+AG263+AH263+AI263</f>
        <v/>
      </c>
      <c r="AK263" s="59">
        <f>AL263/C263</f>
        <v/>
      </c>
      <c r="AL263" s="55" t="n"/>
    </row>
    <row r="264" ht="22.5" customHeight="1" s="150">
      <c r="A264" s="34" t="n">
        <v>262</v>
      </c>
      <c r="B264" s="50" t="n">
        <v>101</v>
      </c>
      <c r="C264" s="50" t="n">
        <v>101</v>
      </c>
      <c r="D264" s="50" t="n">
        <v>34</v>
      </c>
      <c r="E264" s="50" t="n">
        <v>34</v>
      </c>
      <c r="F264" s="51">
        <f>(C264*100)/B264</f>
        <v/>
      </c>
      <c r="G264" s="51">
        <f>(D264*100)/B264</f>
        <v/>
      </c>
      <c r="H264" s="53">
        <f>((B264-B265)/B264)*100</f>
        <v/>
      </c>
      <c r="I264" s="53">
        <f>((B264-C264)/B264)*100</f>
        <v/>
      </c>
      <c r="J264" s="53">
        <f>((C264-B265)/C264)*100</f>
        <v/>
      </c>
      <c r="K264" s="54" t="n"/>
      <c r="L264" s="55" t="n">
        <v>1.15384615384615</v>
      </c>
      <c r="M264" s="128" t="inlineStr">
        <is>
          <t>Normal</t>
        </is>
      </c>
      <c r="N264" s="55" t="n">
        <v>0</v>
      </c>
      <c r="O264" s="57">
        <f>N264/C264</f>
        <v/>
      </c>
      <c r="P264" s="58">
        <f>(Boosters_IOS!B264*100)/Boosters_And!N264</f>
        <v/>
      </c>
      <c r="Q264" s="58">
        <f>Boosters_IOS!B264/(C264+D264)</f>
        <v/>
      </c>
      <c r="R264" s="58">
        <f>Boosters_IOS!N264/B264</f>
        <v/>
      </c>
      <c r="S264" s="55" t="n">
        <v>6.56410256410256</v>
      </c>
      <c r="T264" s="55" t="n">
        <v>28</v>
      </c>
      <c r="U264" s="51" t="n">
        <v>93320.8461228783</v>
      </c>
      <c r="V264" s="122" t="n"/>
      <c r="W264" s="133" t="n"/>
      <c r="X264" s="133" t="n"/>
      <c r="Y264" s="133" t="n"/>
      <c r="Z264" s="133" t="n"/>
      <c r="AA264" s="133" t="n"/>
      <c r="AB264" s="132" t="n"/>
      <c r="AC264" s="132" t="n"/>
      <c r="AD264" s="132" t="n"/>
      <c r="AE264" s="132" t="n"/>
      <c r="AF264" s="132" t="n"/>
      <c r="AG264" s="132" t="n"/>
      <c r="AH264" s="132" t="n"/>
      <c r="AI264" s="132" t="n"/>
      <c r="AJ264" s="132">
        <f>AB264+AC264+AD264+AE264+AF264+AG264+AH264+AI264</f>
        <v/>
      </c>
      <c r="AK264" s="59">
        <f>AL264/C264</f>
        <v/>
      </c>
      <c r="AL264" s="55" t="n"/>
    </row>
    <row r="265" ht="22.5" customHeight="1" s="150">
      <c r="A265" s="34" t="n">
        <v>263</v>
      </c>
      <c r="B265" s="50" t="n">
        <v>101</v>
      </c>
      <c r="C265" s="50" t="n">
        <v>98</v>
      </c>
      <c r="D265" s="50" t="n">
        <v>18</v>
      </c>
      <c r="E265" s="50" t="n">
        <v>10</v>
      </c>
      <c r="F265" s="51">
        <f>(C265*100)/B265</f>
        <v/>
      </c>
      <c r="G265" s="51">
        <f>(D265*100)/B265</f>
        <v/>
      </c>
      <c r="H265" s="53">
        <f>((B265-B266)/B265)*100</f>
        <v/>
      </c>
      <c r="I265" s="53">
        <f>((B265-C265)/B265)*100</f>
        <v/>
      </c>
      <c r="J265" s="53">
        <f>((C265-B266)/C265)*100</f>
        <v/>
      </c>
      <c r="K265" s="54" t="n"/>
      <c r="L265" s="55" t="n">
        <v>1.13157894736842</v>
      </c>
      <c r="M265" s="120" t="inlineStr">
        <is>
          <t>Normal</t>
        </is>
      </c>
      <c r="N265" s="55" t="n">
        <v>6.49</v>
      </c>
      <c r="O265" s="57">
        <f>N265/C265</f>
        <v/>
      </c>
      <c r="P265" s="58">
        <f>(Boosters_IOS!B265*100)/Boosters_And!N265</f>
        <v/>
      </c>
      <c r="Q265" s="58">
        <f>Boosters_IOS!B265/(C265+D265)</f>
        <v/>
      </c>
      <c r="R265" s="58">
        <f>Boosters_IOS!N265/B265</f>
        <v/>
      </c>
      <c r="S265" s="55" t="n">
        <v>9.210526315789471</v>
      </c>
      <c r="T265" s="55" t="n">
        <v>23</v>
      </c>
      <c r="U265" s="51" t="n">
        <v>90857.5678462794</v>
      </c>
      <c r="V265" s="122" t="n"/>
      <c r="W265" s="133" t="n"/>
      <c r="X265" s="133" t="n"/>
      <c r="Y265" s="133" t="n"/>
      <c r="Z265" s="133" t="n"/>
      <c r="AA265" s="133" t="n"/>
      <c r="AB265" s="132" t="n"/>
      <c r="AC265" s="132" t="n"/>
      <c r="AD265" s="132" t="n"/>
      <c r="AE265" s="132" t="n"/>
      <c r="AF265" s="132" t="n"/>
      <c r="AG265" s="132" t="n"/>
      <c r="AH265" s="132" t="n"/>
      <c r="AI265" s="132" t="n"/>
      <c r="AJ265" s="132">
        <f>AB265+AC265+AD265+AE265+AF265+AG265+AH265+AI265</f>
        <v/>
      </c>
      <c r="AK265" s="59">
        <f>AL265/C265</f>
        <v/>
      </c>
      <c r="AL265" s="55" t="n"/>
    </row>
    <row r="266" ht="22.5" customHeight="1" s="150">
      <c r="A266" s="34" t="n">
        <v>264</v>
      </c>
      <c r="B266" s="50" t="n">
        <v>98</v>
      </c>
      <c r="C266" s="50" t="n">
        <v>95</v>
      </c>
      <c r="D266" s="50" t="n">
        <v>34</v>
      </c>
      <c r="E266" s="50" t="n">
        <v>34</v>
      </c>
      <c r="F266" s="51">
        <f>(C266*100)/B266</f>
        <v/>
      </c>
      <c r="G266" s="51">
        <f>(D266*100)/B266</f>
        <v/>
      </c>
      <c r="H266" s="53">
        <f>((B266-B267)/B266)*100</f>
        <v/>
      </c>
      <c r="I266" s="53">
        <f>((B266-C266)/B266)*100</f>
        <v/>
      </c>
      <c r="J266" s="53">
        <f>((C266-B267)/C266)*100</f>
        <v/>
      </c>
      <c r="K266" s="54" t="n"/>
      <c r="L266" s="55" t="n">
        <v>1.45945945945945</v>
      </c>
      <c r="M266" s="128" t="inlineStr">
        <is>
          <t>Normal</t>
        </is>
      </c>
      <c r="N266" s="55" t="n">
        <v>4.99</v>
      </c>
      <c r="O266" s="57">
        <f>N266/C266</f>
        <v/>
      </c>
      <c r="P266" s="58">
        <f>(Boosters_IOS!B266*100)/Boosters_And!N266</f>
        <v/>
      </c>
      <c r="Q266" s="58">
        <f>Boosters_IOS!B266/(C266+D266)</f>
        <v/>
      </c>
      <c r="R266" s="58">
        <f>Boosters_IOS!N266/B266</f>
        <v/>
      </c>
      <c r="S266" s="55" t="n">
        <v>3.59459459459459</v>
      </c>
      <c r="T266" s="55" t="n">
        <v>36</v>
      </c>
      <c r="U266" s="51" t="n">
        <v>87917.1100082451</v>
      </c>
      <c r="V266" s="122" t="n"/>
      <c r="W266" s="133" t="n"/>
      <c r="X266" s="133" t="n"/>
      <c r="Y266" s="133" t="n"/>
      <c r="Z266" s="133" t="n"/>
      <c r="AA266" s="133" t="n"/>
      <c r="AB266" s="132" t="n"/>
      <c r="AC266" s="132" t="n"/>
      <c r="AD266" s="132" t="n"/>
      <c r="AE266" s="132" t="n"/>
      <c r="AF266" s="132" t="n"/>
      <c r="AG266" s="132" t="n"/>
      <c r="AH266" s="132" t="n"/>
      <c r="AI266" s="132" t="n"/>
      <c r="AJ266" s="132">
        <f>AB266+AC266+AD266+AE266+AF266+AG266+AH266+AI266</f>
        <v/>
      </c>
      <c r="AK266" s="59">
        <f>AL266/C266</f>
        <v/>
      </c>
      <c r="AL266" s="55" t="n"/>
    </row>
    <row r="267" ht="22.5" customHeight="1" s="150">
      <c r="A267" s="34" t="n">
        <v>265</v>
      </c>
      <c r="B267" s="50" t="n">
        <v>101</v>
      </c>
      <c r="C267" s="50" t="n">
        <v>98</v>
      </c>
      <c r="D267" s="50" t="n">
        <v>54</v>
      </c>
      <c r="E267" s="50" t="n">
        <v>49</v>
      </c>
      <c r="F267" s="51">
        <f>(C267*100)/B267</f>
        <v/>
      </c>
      <c r="G267" s="51">
        <f>(D267*100)/B267</f>
        <v/>
      </c>
      <c r="H267" s="53">
        <f>((B267-B268)/B267)*100</f>
        <v/>
      </c>
      <c r="I267" s="53">
        <f>((B267-C267)/B267)*100</f>
        <v/>
      </c>
      <c r="J267" s="53">
        <f>((C267-B268)/C267)*100</f>
        <v/>
      </c>
      <c r="K267" s="54" t="n"/>
      <c r="L267" s="55" t="n">
        <v>1.89473684210526</v>
      </c>
      <c r="M267" s="129" t="inlineStr">
        <is>
          <t>Hard</t>
        </is>
      </c>
      <c r="N267" s="55" t="n">
        <v>24.44</v>
      </c>
      <c r="O267" s="57">
        <f>N267/C267</f>
        <v/>
      </c>
      <c r="P267" s="58">
        <f>(Boosters_IOS!B267*100)/Boosters_And!N267</f>
        <v/>
      </c>
      <c r="Q267" s="58">
        <f>Boosters_IOS!B267/(C267+D267)</f>
        <v/>
      </c>
      <c r="R267" s="58">
        <f>Boosters_IOS!N267/B267</f>
        <v/>
      </c>
      <c r="S267" s="55" t="n">
        <v>6.6578947368421</v>
      </c>
      <c r="T267" s="55" t="n">
        <v>44</v>
      </c>
      <c r="U267" s="135" t="n">
        <v>85440.9349867425</v>
      </c>
      <c r="V267" s="122" t="n"/>
      <c r="W267" s="133" t="n"/>
      <c r="X267" s="133" t="n"/>
      <c r="Y267" s="133" t="n"/>
      <c r="Z267" s="133" t="n"/>
      <c r="AA267" s="133" t="n"/>
      <c r="AB267" s="132" t="n"/>
      <c r="AC267" s="132" t="n"/>
      <c r="AD267" s="132" t="n"/>
      <c r="AE267" s="132" t="n"/>
      <c r="AF267" s="132" t="n"/>
      <c r="AG267" s="132" t="n"/>
      <c r="AH267" s="132" t="n"/>
      <c r="AI267" s="132" t="n"/>
      <c r="AJ267" s="132">
        <f>AB267+AC267+AD267+AE267+AF267+AG267+AH267+AI267</f>
        <v/>
      </c>
      <c r="AK267" s="59">
        <f>AL267/C267</f>
        <v/>
      </c>
      <c r="AL267" s="55" t="n"/>
    </row>
    <row r="268" ht="22.5" customHeight="1" s="150">
      <c r="A268" s="34" t="n">
        <v>266</v>
      </c>
      <c r="B268" s="50" t="n">
        <v>98</v>
      </c>
      <c r="C268" s="50" t="n">
        <v>98</v>
      </c>
      <c r="D268" s="50" t="n">
        <v>23</v>
      </c>
      <c r="E268" s="50" t="n">
        <v>15</v>
      </c>
      <c r="F268" s="51">
        <f>(C268*100)/B268</f>
        <v/>
      </c>
      <c r="G268" s="51">
        <f>(D268*100)/B268</f>
        <v/>
      </c>
      <c r="H268" s="53">
        <f>((B268-B269)/B268)*100</f>
        <v/>
      </c>
      <c r="I268" s="53">
        <f>((B268-C268)/B268)*100</f>
        <v/>
      </c>
      <c r="J268" s="53">
        <f>((C268-B269)/C268)*100</f>
        <v/>
      </c>
      <c r="K268" s="54" t="n"/>
      <c r="L268" s="55" t="n">
        <v>1.13157894736842</v>
      </c>
      <c r="M268" s="128" t="inlineStr">
        <is>
          <t>Normal</t>
        </is>
      </c>
      <c r="N268" s="55" t="n">
        <v>1.99</v>
      </c>
      <c r="O268" s="57">
        <f>N268/C268</f>
        <v/>
      </c>
      <c r="P268" s="58">
        <f>(Boosters_IOS!B268*100)/Boosters_And!N268</f>
        <v/>
      </c>
      <c r="Q268" s="58">
        <f>Boosters_IOS!B268/(C268+D268)</f>
        <v/>
      </c>
      <c r="R268" s="58">
        <f>Boosters_IOS!N268/B268</f>
        <v/>
      </c>
      <c r="S268" s="55" t="n">
        <v>4.6578947368421</v>
      </c>
      <c r="T268" s="55" t="n">
        <v>26</v>
      </c>
      <c r="U268" s="135" t="n">
        <v>92985.5307553832</v>
      </c>
      <c r="V268" s="122" t="n"/>
      <c r="W268" s="133" t="n"/>
      <c r="X268" s="133" t="n"/>
      <c r="Y268" s="133" t="n"/>
      <c r="Z268" s="133" t="n"/>
      <c r="AA268" s="133" t="n"/>
      <c r="AB268" s="132" t="n"/>
      <c r="AC268" s="132" t="n"/>
      <c r="AD268" s="132" t="n"/>
      <c r="AE268" s="132" t="n"/>
      <c r="AF268" s="132" t="n"/>
      <c r="AG268" s="132" t="n"/>
      <c r="AH268" s="132" t="n"/>
      <c r="AI268" s="132" t="n"/>
      <c r="AJ268" s="132">
        <f>AB268+AC268+AD268+AE268+AF268+AG268+AH268+AI268</f>
        <v/>
      </c>
      <c r="AK268" s="59">
        <f>AL268/C268</f>
        <v/>
      </c>
      <c r="AL268" s="55" t="n"/>
    </row>
    <row r="269" ht="22.5" customHeight="1" s="150">
      <c r="A269" s="34" t="n">
        <v>267</v>
      </c>
      <c r="B269" s="50" t="n">
        <v>98</v>
      </c>
      <c r="C269" s="50" t="n">
        <v>95</v>
      </c>
      <c r="D269" s="50" t="n">
        <v>49</v>
      </c>
      <c r="E269" s="50" t="n">
        <v>31</v>
      </c>
      <c r="F269" s="51">
        <f>(C269*100)/B269</f>
        <v/>
      </c>
      <c r="G269" s="51">
        <f>(D269*100)/B269</f>
        <v/>
      </c>
      <c r="H269" s="53">
        <f>((B269-B270)/B269)*100</f>
        <v/>
      </c>
      <c r="I269" s="53">
        <f>((B269-C269)/B269)*100</f>
        <v/>
      </c>
      <c r="J269" s="53">
        <f>((C269-B270)/C269)*100</f>
        <v/>
      </c>
      <c r="K269" s="54" t="n"/>
      <c r="L269" s="55" t="n">
        <v>1.24324324324324</v>
      </c>
      <c r="M269" s="120" t="inlineStr">
        <is>
          <t>Normal</t>
        </is>
      </c>
      <c r="N269" s="55" t="n">
        <v>2.49</v>
      </c>
      <c r="O269" s="57">
        <f>N269/C269</f>
        <v/>
      </c>
      <c r="P269" s="58">
        <f>(Boosters_IOS!B269*100)/Boosters_And!N269</f>
        <v/>
      </c>
      <c r="Q269" s="58">
        <f>Boosters_IOS!B269/(C269+D269)</f>
        <v/>
      </c>
      <c r="R269" s="58">
        <f>Boosters_IOS!N269/B269</f>
        <v/>
      </c>
      <c r="S269" s="55" t="n">
        <v>4.75675675675675</v>
      </c>
      <c r="T269" s="55" t="n">
        <v>44</v>
      </c>
      <c r="U269" s="135" t="n">
        <v>79650.2965249995</v>
      </c>
      <c r="V269" s="122" t="n"/>
      <c r="W269" s="133" t="n"/>
      <c r="X269" s="133" t="n"/>
      <c r="Y269" s="133" t="n"/>
      <c r="Z269" s="133" t="n"/>
      <c r="AA269" s="133" t="n"/>
      <c r="AB269" s="132" t="n"/>
      <c r="AC269" s="132" t="n"/>
      <c r="AD269" s="132" t="n"/>
      <c r="AE269" s="132" t="n"/>
      <c r="AF269" s="132" t="n"/>
      <c r="AG269" s="132" t="n"/>
      <c r="AH269" s="132" t="n"/>
      <c r="AI269" s="132" t="n"/>
      <c r="AJ269" s="132">
        <f>AB269+AC269+AD269+AE269+AF269+AG269+AH269+AI269</f>
        <v/>
      </c>
      <c r="AK269" s="59">
        <f>AL269/C269</f>
        <v/>
      </c>
      <c r="AL269" s="55" t="n"/>
    </row>
    <row r="270" ht="22.5" customHeight="1" s="150">
      <c r="A270" s="34" t="n">
        <v>268</v>
      </c>
      <c r="B270" s="50" t="n">
        <v>98</v>
      </c>
      <c r="C270" s="50" t="n">
        <v>98</v>
      </c>
      <c r="D270" s="50" t="n">
        <v>28</v>
      </c>
      <c r="E270" s="50" t="n">
        <v>36</v>
      </c>
      <c r="F270" s="51">
        <f>(C270*100)/B270</f>
        <v/>
      </c>
      <c r="G270" s="51">
        <f>(D270*100)/B270</f>
        <v/>
      </c>
      <c r="H270" s="53">
        <f>((B270-B271)/B270)*100</f>
        <v/>
      </c>
      <c r="I270" s="53">
        <f>((B270-C270)/B270)*100</f>
        <v/>
      </c>
      <c r="J270" s="53">
        <f>((C270-B271)/C270)*100</f>
        <v/>
      </c>
      <c r="K270" s="54" t="n"/>
      <c r="L270" s="55" t="n">
        <v>1.39473684210526</v>
      </c>
      <c r="M270" s="127" t="inlineStr">
        <is>
          <t>Hard</t>
        </is>
      </c>
      <c r="N270" s="55" t="n">
        <v>0</v>
      </c>
      <c r="O270" s="57">
        <f>N270/C270</f>
        <v/>
      </c>
      <c r="P270" s="58">
        <f>(Boosters_IOS!B270*100)/Boosters_And!N270</f>
        <v/>
      </c>
      <c r="Q270" s="58">
        <f>Boosters_IOS!B270/(C270+D270)</f>
        <v/>
      </c>
      <c r="R270" s="58">
        <f>Boosters_IOS!N270/B270</f>
        <v/>
      </c>
      <c r="S270" s="55" t="n">
        <v>23.3684210526315</v>
      </c>
      <c r="T270" s="55" t="n">
        <v>31</v>
      </c>
      <c r="U270" s="135" t="n">
        <v>76825.9093910981</v>
      </c>
      <c r="V270" s="122" t="n"/>
      <c r="W270" s="133" t="n"/>
      <c r="X270" s="133" t="n"/>
      <c r="Y270" s="133" t="n"/>
      <c r="Z270" s="133" t="n"/>
      <c r="AA270" s="133" t="n"/>
      <c r="AB270" s="132" t="n"/>
      <c r="AC270" s="132" t="n"/>
      <c r="AD270" s="132" t="n"/>
      <c r="AE270" s="132" t="n"/>
      <c r="AF270" s="132" t="n"/>
      <c r="AG270" s="132" t="n"/>
      <c r="AH270" s="132" t="n"/>
      <c r="AI270" s="132" t="n"/>
      <c r="AJ270" s="132">
        <f>AB270+AC270+AD270+AE270+AF270+AG270+AH270+AI270</f>
        <v/>
      </c>
      <c r="AK270" s="59">
        <f>AL270/C270</f>
        <v/>
      </c>
      <c r="AL270" s="55" t="n"/>
    </row>
    <row r="271" ht="22.5" customHeight="1" s="150">
      <c r="A271" s="34" t="n">
        <v>269</v>
      </c>
      <c r="B271" s="50" t="n">
        <v>95</v>
      </c>
      <c r="C271" s="50" t="n">
        <v>95</v>
      </c>
      <c r="D271" s="50" t="n">
        <v>46</v>
      </c>
      <c r="E271" s="50" t="n">
        <v>49</v>
      </c>
      <c r="F271" s="51">
        <f>(C271*100)/B271</f>
        <v/>
      </c>
      <c r="G271" s="51">
        <f>(D271*100)/B271</f>
        <v/>
      </c>
      <c r="H271" s="53">
        <f>((B271-B272)/B271)*100</f>
        <v/>
      </c>
      <c r="I271" s="53">
        <f>((B271-C271)/B271)*100</f>
        <v/>
      </c>
      <c r="J271" s="53">
        <f>((C271-B272)/C271)*100</f>
        <v/>
      </c>
      <c r="K271" s="54" t="n"/>
      <c r="L271" s="55" t="n">
        <v>1.54054054054054</v>
      </c>
      <c r="M271" s="120" t="inlineStr">
        <is>
          <t>Normal</t>
        </is>
      </c>
      <c r="N271" s="55" t="n">
        <v>9.970000000000001</v>
      </c>
      <c r="O271" s="57">
        <f>N271/C271</f>
        <v/>
      </c>
      <c r="P271" s="58">
        <f>(Boosters_IOS!B271*100)/Boosters_And!N271</f>
        <v/>
      </c>
      <c r="Q271" s="58">
        <f>Boosters_IOS!B271/(C271+D271)</f>
        <v/>
      </c>
      <c r="R271" s="58">
        <f>Boosters_IOS!N271/B271</f>
        <v/>
      </c>
      <c r="S271" s="55" t="n">
        <v>19.2702702702702</v>
      </c>
      <c r="T271" s="55" t="n">
        <v>44</v>
      </c>
      <c r="U271" s="135" t="n">
        <v>38767.6151803997</v>
      </c>
      <c r="V271" s="122" t="n"/>
      <c r="W271" s="133" t="n"/>
      <c r="X271" s="133" t="n"/>
      <c r="Y271" s="133" t="n"/>
      <c r="Z271" s="133" t="n"/>
      <c r="AA271" s="133" t="n"/>
      <c r="AB271" s="132" t="n"/>
      <c r="AC271" s="132" t="n"/>
      <c r="AD271" s="132" t="n"/>
      <c r="AE271" s="132" t="n"/>
      <c r="AF271" s="132" t="n"/>
      <c r="AG271" s="132" t="n"/>
      <c r="AH271" s="132" t="n"/>
      <c r="AI271" s="132" t="n"/>
      <c r="AJ271" s="132">
        <f>AB271+AC271+AD271+AE271+AF271+AG271+AH271+AI271</f>
        <v/>
      </c>
      <c r="AK271" s="59">
        <f>AL271/C271</f>
        <v/>
      </c>
      <c r="AL271" s="55" t="n"/>
    </row>
    <row r="272" ht="22.5" customHeight="1" s="150">
      <c r="A272" s="34" t="n">
        <v>270</v>
      </c>
      <c r="B272" s="50" t="n">
        <v>95</v>
      </c>
      <c r="C272" s="50" t="n">
        <v>95</v>
      </c>
      <c r="D272" s="50" t="n">
        <v>3</v>
      </c>
      <c r="E272" s="50" t="n">
        <v>0</v>
      </c>
      <c r="F272" s="51">
        <f>(C272*100)/B272</f>
        <v/>
      </c>
      <c r="G272" s="51">
        <f>(D272*100)/B272</f>
        <v/>
      </c>
      <c r="H272" s="53">
        <f>((B272-B273)/B272)*100</f>
        <v/>
      </c>
      <c r="I272" s="53">
        <f>((B272-C272)/B272)*100</f>
        <v/>
      </c>
      <c r="J272" s="53">
        <f>((C272-B273)/C272)*100</f>
        <v/>
      </c>
      <c r="K272" s="54" t="n"/>
      <c r="L272" s="55" t="n">
        <v>0.999999999999999</v>
      </c>
      <c r="M272" s="128" t="inlineStr">
        <is>
          <t>Normal</t>
        </is>
      </c>
      <c r="N272" s="55" t="n">
        <v>2.49</v>
      </c>
      <c r="O272" s="57">
        <f>N272/C272</f>
        <v/>
      </c>
      <c r="P272" s="58">
        <f>(Boosters_IOS!B272*100)/Boosters_And!N272</f>
        <v/>
      </c>
      <c r="Q272" s="58">
        <f>Boosters_IOS!B272/(C272+D272)</f>
        <v/>
      </c>
      <c r="R272" s="58">
        <f>Boosters_IOS!N272/B272</f>
        <v/>
      </c>
      <c r="S272" s="55" t="n">
        <v>9.1081081081081</v>
      </c>
      <c r="T272" s="55" t="n">
        <v>21</v>
      </c>
      <c r="U272" s="135" t="n">
        <v>43500.7205600426</v>
      </c>
      <c r="V272" s="122" t="n"/>
      <c r="W272" s="133" t="n"/>
      <c r="X272" s="133" t="n"/>
      <c r="Y272" s="133" t="n"/>
      <c r="Z272" s="133" t="n"/>
      <c r="AA272" s="133" t="n"/>
      <c r="AB272" s="132" t="n"/>
      <c r="AC272" s="132" t="n"/>
      <c r="AD272" s="132" t="n"/>
      <c r="AE272" s="132" t="n"/>
      <c r="AF272" s="132" t="n"/>
      <c r="AG272" s="132" t="n"/>
      <c r="AH272" s="132" t="n"/>
      <c r="AI272" s="132" t="n"/>
      <c r="AJ272" s="132">
        <f>AB272+AC272+AD272+AE272+AF272+AG272+AH272+AI272</f>
        <v/>
      </c>
      <c r="AK272" s="59">
        <f>AL272/C272</f>
        <v/>
      </c>
      <c r="AL272" s="55" t="n"/>
    </row>
    <row r="273" ht="22.5" customHeight="1" s="150">
      <c r="A273" s="34" t="n">
        <v>271</v>
      </c>
      <c r="B273" s="50" t="n">
        <v>101</v>
      </c>
      <c r="C273" s="50" t="n">
        <v>98</v>
      </c>
      <c r="D273" s="50" t="n">
        <v>34</v>
      </c>
      <c r="E273" s="50" t="n">
        <v>44</v>
      </c>
      <c r="F273" s="51">
        <f>(C273*100)/B273</f>
        <v/>
      </c>
      <c r="G273" s="51">
        <f>(D273*100)/B273</f>
        <v/>
      </c>
      <c r="H273" s="53">
        <f>((B273-B274)/B273)*100</f>
        <v/>
      </c>
      <c r="I273" s="53">
        <f>((B273-C273)/B273)*100</f>
        <v/>
      </c>
      <c r="J273" s="53">
        <f>((C273-B274)/C273)*100</f>
        <v/>
      </c>
      <c r="K273" s="54" t="n"/>
      <c r="L273" s="55" t="n">
        <v>1.21052631578947</v>
      </c>
      <c r="M273" s="129" t="inlineStr">
        <is>
          <t>Hard</t>
        </is>
      </c>
      <c r="N273" s="55" t="n">
        <v>5.99</v>
      </c>
      <c r="O273" s="57">
        <f>N273/C273</f>
        <v/>
      </c>
      <c r="P273" s="58">
        <f>(Boosters_IOS!B273*100)/Boosters_And!N273</f>
        <v/>
      </c>
      <c r="Q273" s="58">
        <f>Boosters_IOS!B273/(C273+D273)</f>
        <v/>
      </c>
      <c r="R273" s="58">
        <f>Boosters_IOS!N273/B273</f>
        <v/>
      </c>
      <c r="S273" s="55" t="n">
        <v>7.78947368421052</v>
      </c>
      <c r="T273" s="55" t="n">
        <v>31</v>
      </c>
      <c r="U273" s="135" t="n">
        <v>46969.9449391269</v>
      </c>
      <c r="V273" s="122" t="n"/>
      <c r="W273" s="133" t="n"/>
      <c r="X273" s="133" t="n"/>
      <c r="Y273" s="133" t="n"/>
      <c r="Z273" s="133" t="n"/>
      <c r="AA273" s="133" t="n"/>
      <c r="AB273" s="132" t="n"/>
      <c r="AC273" s="132" t="n"/>
      <c r="AD273" s="132" t="n"/>
      <c r="AE273" s="132" t="n"/>
      <c r="AF273" s="132" t="n"/>
      <c r="AG273" s="132" t="n"/>
      <c r="AH273" s="132" t="n"/>
      <c r="AI273" s="132" t="n"/>
      <c r="AJ273" s="132">
        <f>AB273+AC273+AD273+AE273+AF273+AG273+AH273+AI273</f>
        <v/>
      </c>
      <c r="AK273" s="59">
        <f>AL273/C273</f>
        <v/>
      </c>
      <c r="AL273" s="55" t="n"/>
    </row>
    <row r="274" ht="22.5" customHeight="1" s="150">
      <c r="A274" s="34" t="n">
        <v>272</v>
      </c>
      <c r="B274" s="50" t="n">
        <v>98</v>
      </c>
      <c r="C274" s="50" t="n">
        <v>98</v>
      </c>
      <c r="D274" s="50" t="n">
        <v>34</v>
      </c>
      <c r="E274" s="50" t="n">
        <v>31</v>
      </c>
      <c r="F274" s="51">
        <f>(C274*100)/B274</f>
        <v/>
      </c>
      <c r="G274" s="51">
        <f>(D274*100)/B274</f>
        <v/>
      </c>
      <c r="H274" s="53">
        <f>((B274-B275)/B274)*100</f>
        <v/>
      </c>
      <c r="I274" s="53">
        <f>((B274-C274)/B274)*100</f>
        <v/>
      </c>
      <c r="J274" s="53">
        <f>((C274-B275)/C274)*100</f>
        <v/>
      </c>
      <c r="K274" s="54" t="n"/>
      <c r="L274" s="55" t="n">
        <v>1.31578947368421</v>
      </c>
      <c r="M274" s="128" t="inlineStr">
        <is>
          <t>Normal</t>
        </is>
      </c>
      <c r="N274" s="55" t="n">
        <v>0</v>
      </c>
      <c r="O274" s="57">
        <f>N274/C274</f>
        <v/>
      </c>
      <c r="P274" s="58">
        <f>(Boosters_IOS!B274*100)/Boosters_And!N274</f>
        <v/>
      </c>
      <c r="Q274" s="58">
        <f>Boosters_IOS!B274/(C274+D274)</f>
        <v/>
      </c>
      <c r="R274" s="58">
        <f>Boosters_IOS!N274/B274</f>
        <v/>
      </c>
      <c r="S274" s="55" t="n">
        <v>5.34210526315789</v>
      </c>
      <c r="T274" s="55" t="n">
        <v>34</v>
      </c>
      <c r="U274" s="135" t="n">
        <v>43191.1986823548</v>
      </c>
      <c r="V274" s="122" t="n"/>
      <c r="W274" s="133" t="n"/>
      <c r="X274" s="133" t="n"/>
      <c r="Y274" s="133" t="n"/>
      <c r="Z274" s="133" t="n"/>
      <c r="AA274" s="133" t="n"/>
      <c r="AB274" s="132" t="n"/>
      <c r="AC274" s="132" t="n"/>
      <c r="AD274" s="132" t="n"/>
      <c r="AE274" s="132" t="n"/>
      <c r="AF274" s="132" t="n"/>
      <c r="AG274" s="132" t="n"/>
      <c r="AH274" s="132" t="n"/>
      <c r="AI274" s="132" t="n"/>
      <c r="AJ274" s="132">
        <f>AB274+AC274+AD274+AE274+AF274+AG274+AH274+AI274</f>
        <v/>
      </c>
      <c r="AK274" s="59">
        <f>AL274/C274</f>
        <v/>
      </c>
      <c r="AL274" s="55" t="n"/>
    </row>
    <row r="275" ht="22.5" customHeight="1" s="150">
      <c r="A275" s="34" t="n">
        <v>273</v>
      </c>
      <c r="B275" s="50" t="n">
        <v>98</v>
      </c>
      <c r="C275" s="50" t="n">
        <v>90</v>
      </c>
      <c r="D275" s="50" t="n">
        <v>44</v>
      </c>
      <c r="E275" s="50" t="n">
        <v>44</v>
      </c>
      <c r="F275" s="51">
        <f>(C275*100)/B275</f>
        <v/>
      </c>
      <c r="G275" s="51">
        <f>(D275*100)/B275</f>
        <v/>
      </c>
      <c r="H275" s="53">
        <f>((B275-B276)/B275)*100</f>
        <v/>
      </c>
      <c r="I275" s="53">
        <f>((B275-C275)/B275)*100</f>
        <v/>
      </c>
      <c r="J275" s="53">
        <f>((C275-B276)/C275)*100</f>
        <v/>
      </c>
      <c r="K275" s="54" t="n"/>
      <c r="L275" s="55" t="n">
        <v>1.4</v>
      </c>
      <c r="M275" s="129" t="inlineStr">
        <is>
          <t>Hard</t>
        </is>
      </c>
      <c r="N275" s="55" t="n">
        <v>6.98</v>
      </c>
      <c r="O275" s="57">
        <f>N275/C275</f>
        <v/>
      </c>
      <c r="P275" s="58">
        <f>(Boosters_IOS!B275*100)/Boosters_And!N275</f>
        <v/>
      </c>
      <c r="Q275" s="58">
        <f>Boosters_IOS!B275/(C275+D275)</f>
        <v/>
      </c>
      <c r="R275" s="58">
        <f>Boosters_IOS!N275/B275</f>
        <v/>
      </c>
      <c r="S275" s="55" t="n">
        <v>10.0571428571428</v>
      </c>
      <c r="T275" s="55" t="n">
        <v>44</v>
      </c>
      <c r="U275" s="135" t="n">
        <v>33247.8083616335</v>
      </c>
      <c r="V275" s="122" t="n"/>
      <c r="W275" s="133" t="n"/>
      <c r="X275" s="133" t="n"/>
      <c r="Y275" s="133" t="n"/>
      <c r="Z275" s="133" t="n"/>
      <c r="AA275" s="133" t="n"/>
      <c r="AB275" s="132" t="n"/>
      <c r="AC275" s="132" t="n"/>
      <c r="AD275" s="132" t="n"/>
      <c r="AE275" s="132" t="n"/>
      <c r="AF275" s="132" t="n"/>
      <c r="AG275" s="132" t="n"/>
      <c r="AH275" s="132" t="n"/>
      <c r="AI275" s="132" t="n"/>
      <c r="AJ275" s="132">
        <f>AB275+AC275+AD275+AE275+AF275+AG275+AH275+AI275</f>
        <v/>
      </c>
      <c r="AK275" s="59">
        <f>AL275/C275</f>
        <v/>
      </c>
      <c r="AL275" s="55" t="n"/>
    </row>
    <row r="276" ht="22.5" customHeight="1" s="150">
      <c r="A276" s="34" t="n">
        <v>274</v>
      </c>
      <c r="B276" s="50" t="n">
        <v>90</v>
      </c>
      <c r="C276" s="50" t="n">
        <v>88</v>
      </c>
      <c r="D276" s="50" t="n">
        <v>39</v>
      </c>
      <c r="E276" s="50" t="n">
        <v>28</v>
      </c>
      <c r="F276" s="51">
        <f>(C276*100)/B276</f>
        <v/>
      </c>
      <c r="G276" s="51">
        <f>(D276*100)/B276</f>
        <v/>
      </c>
      <c r="H276" s="53">
        <f>((B276-B277)/B276)*100</f>
        <v/>
      </c>
      <c r="I276" s="53">
        <f>((B276-C276)/B276)*100</f>
        <v/>
      </c>
      <c r="J276" s="53">
        <f>((C276-B277)/C276)*100</f>
        <v/>
      </c>
      <c r="K276" s="54" t="n"/>
      <c r="L276" s="55" t="n">
        <v>1.47058823529411</v>
      </c>
      <c r="M276" s="128" t="inlineStr">
        <is>
          <t>Normal</t>
        </is>
      </c>
      <c r="N276" s="55" t="n">
        <v>10.98</v>
      </c>
      <c r="O276" s="57">
        <f>N276/C276</f>
        <v/>
      </c>
      <c r="P276" s="58">
        <f>(Boosters_IOS!B276*100)/Boosters_And!N276</f>
        <v/>
      </c>
      <c r="Q276" s="58">
        <f>Boosters_IOS!B276/(C276+D276)</f>
        <v/>
      </c>
      <c r="R276" s="58">
        <f>Boosters_IOS!N276/B276</f>
        <v/>
      </c>
      <c r="S276" s="55" t="n">
        <v>8.23529411764706</v>
      </c>
      <c r="T276" s="55" t="n">
        <v>34</v>
      </c>
      <c r="U276" s="135" t="n">
        <v>38122.7779352167</v>
      </c>
      <c r="V276" s="122" t="n"/>
      <c r="W276" s="133" t="n"/>
      <c r="X276" s="133" t="n"/>
      <c r="Y276" s="133" t="n"/>
      <c r="Z276" s="133" t="n"/>
      <c r="AA276" s="133" t="n"/>
      <c r="AB276" s="132" t="n"/>
      <c r="AC276" s="132" t="n"/>
      <c r="AD276" s="132" t="n"/>
      <c r="AE276" s="132" t="n"/>
      <c r="AF276" s="132" t="n"/>
      <c r="AG276" s="132" t="n"/>
      <c r="AH276" s="132" t="n"/>
      <c r="AI276" s="132" t="n"/>
      <c r="AJ276" s="132">
        <f>AB276+AC276+AD276+AE276+AF276+AG276+AH276+AI276</f>
        <v/>
      </c>
      <c r="AK276" s="59">
        <f>AL276/C276</f>
        <v/>
      </c>
      <c r="AL276" s="55" t="n"/>
    </row>
    <row r="277" ht="22.5" customHeight="1" s="150">
      <c r="A277" s="34" t="n">
        <v>275</v>
      </c>
      <c r="B277" s="50" t="n">
        <v>90</v>
      </c>
      <c r="C277" s="50" t="n">
        <v>83</v>
      </c>
      <c r="D277" s="50" t="n">
        <v>49</v>
      </c>
      <c r="E277" s="50" t="n">
        <v>41</v>
      </c>
      <c r="F277" s="51">
        <f>(C277*100)/B277</f>
        <v/>
      </c>
      <c r="G277" s="51">
        <f>(D277*100)/B277</f>
        <v/>
      </c>
      <c r="H277" s="53">
        <f>((B277-B278)/B277)*100</f>
        <v/>
      </c>
      <c r="I277" s="53">
        <f>((B277-C277)/B277)*100</f>
        <v/>
      </c>
      <c r="J277" s="53">
        <f>((C277-B278)/C277)*100</f>
        <v/>
      </c>
      <c r="K277" s="54" t="n"/>
      <c r="L277" s="55" t="n">
        <v>1.625</v>
      </c>
      <c r="M277" s="130" t="inlineStr">
        <is>
          <t>Very Hard</t>
        </is>
      </c>
      <c r="N277" s="55" t="n">
        <v>15.47</v>
      </c>
      <c r="O277" s="57">
        <f>N277/C277</f>
        <v/>
      </c>
      <c r="P277" s="58">
        <f>(Boosters_IOS!B277*100)/Boosters_And!N277</f>
        <v/>
      </c>
      <c r="Q277" s="58">
        <f>Boosters_IOS!B277/(C277+D277)</f>
        <v/>
      </c>
      <c r="R277" s="58">
        <f>Boosters_IOS!N277/B277</f>
        <v/>
      </c>
      <c r="S277" s="55" t="n">
        <v>14</v>
      </c>
      <c r="T277" s="55" t="n">
        <v>46</v>
      </c>
      <c r="U277" s="135" t="n">
        <v>41411.4478856498</v>
      </c>
      <c r="V277" s="122" t="n"/>
      <c r="W277" s="133" t="n"/>
      <c r="X277" s="133" t="n"/>
      <c r="Y277" s="133" t="n"/>
      <c r="Z277" s="133" t="n"/>
      <c r="AA277" s="133" t="n"/>
      <c r="AB277" s="132" t="n"/>
      <c r="AC277" s="132" t="n"/>
      <c r="AD277" s="132" t="n"/>
      <c r="AE277" s="132" t="n"/>
      <c r="AF277" s="132" t="n"/>
      <c r="AG277" s="132" t="n"/>
      <c r="AH277" s="132" t="n"/>
      <c r="AI277" s="132" t="n"/>
      <c r="AJ277" s="132">
        <f>AB277+AC277+AD277+AE277+AF277+AG277+AH277+AI277</f>
        <v/>
      </c>
      <c r="AK277" s="59">
        <f>AL277/C277</f>
        <v/>
      </c>
      <c r="AL277" s="55" t="n"/>
    </row>
    <row r="278" ht="22.5" customHeight="1" s="150">
      <c r="A278" s="34" t="n">
        <v>276</v>
      </c>
      <c r="B278" s="50" t="n">
        <v>85</v>
      </c>
      <c r="C278" s="50" t="n">
        <v>83</v>
      </c>
      <c r="D278" s="50" t="n">
        <v>39</v>
      </c>
      <c r="E278" s="50" t="n">
        <v>31</v>
      </c>
      <c r="F278" s="51">
        <f>(C278*100)/B278</f>
        <v/>
      </c>
      <c r="G278" s="51">
        <f>(D278*100)/B278</f>
        <v/>
      </c>
      <c r="H278" s="53">
        <f>((B278-B279)/B278)*100</f>
        <v/>
      </c>
      <c r="I278" s="53">
        <f>((B278-C278)/B278)*100</f>
        <v/>
      </c>
      <c r="J278" s="53">
        <f>((C278-B279)/C278)*100</f>
        <v/>
      </c>
      <c r="K278" s="54" t="n"/>
      <c r="L278" s="55" t="n">
        <v>1.28125</v>
      </c>
      <c r="M278" s="127" t="inlineStr">
        <is>
          <t>Hard</t>
        </is>
      </c>
      <c r="N278" s="55" t="n">
        <v>20.98</v>
      </c>
      <c r="O278" s="57">
        <f>N278/C278</f>
        <v/>
      </c>
      <c r="P278" s="58">
        <f>(Boosters_IOS!B278*100)/Boosters_And!N278</f>
        <v/>
      </c>
      <c r="Q278" s="58">
        <f>Boosters_IOS!B278/(C278+D278)</f>
        <v/>
      </c>
      <c r="R278" s="58">
        <f>Boosters_IOS!N278/B278</f>
        <v/>
      </c>
      <c r="S278" s="55" t="n">
        <v>9</v>
      </c>
      <c r="T278" s="55" t="n">
        <v>34</v>
      </c>
      <c r="U278" s="135" t="n">
        <v>33260.7051065372</v>
      </c>
      <c r="V278" s="122" t="n"/>
      <c r="W278" s="133" t="n"/>
      <c r="X278" s="133" t="n"/>
      <c r="Y278" s="133" t="n"/>
      <c r="Z278" s="133" t="n"/>
      <c r="AA278" s="133" t="n"/>
      <c r="AB278" s="132" t="n"/>
      <c r="AC278" s="132" t="n"/>
      <c r="AD278" s="132" t="n"/>
      <c r="AE278" s="132" t="n"/>
      <c r="AF278" s="132" t="n"/>
      <c r="AG278" s="132" t="n"/>
      <c r="AH278" s="132" t="n"/>
      <c r="AI278" s="132" t="n"/>
      <c r="AJ278" s="132">
        <f>AB278+AC278+AD278+AE278+AF278+AG278+AH278+AI278</f>
        <v/>
      </c>
      <c r="AK278" s="59">
        <f>AL278/C278</f>
        <v/>
      </c>
      <c r="AL278" s="55" t="n"/>
    </row>
    <row r="279" ht="22.5" customHeight="1" s="150">
      <c r="A279" s="34" t="n">
        <v>277</v>
      </c>
      <c r="B279" s="50" t="n">
        <v>83</v>
      </c>
      <c r="C279" s="50" t="n">
        <v>80</v>
      </c>
      <c r="D279" s="50" t="n">
        <v>34</v>
      </c>
      <c r="E279" s="50" t="n">
        <v>26</v>
      </c>
      <c r="F279" s="51">
        <f>(C279*100)/B279</f>
        <v/>
      </c>
      <c r="G279" s="51">
        <f>(D279*100)/B279</f>
        <v/>
      </c>
      <c r="H279" s="53">
        <f>((B279-B280)/B279)*100</f>
        <v/>
      </c>
      <c r="I279" s="53">
        <f>((B279-C279)/B279)*100</f>
        <v/>
      </c>
      <c r="J279" s="53">
        <f>((C279-B280)/C279)*100</f>
        <v/>
      </c>
      <c r="K279" s="54" t="n"/>
      <c r="L279" s="55" t="n">
        <v>1.38709677419354</v>
      </c>
      <c r="M279" s="129" t="inlineStr">
        <is>
          <t>Hard</t>
        </is>
      </c>
      <c r="N279" s="55" t="n">
        <v>17.97</v>
      </c>
      <c r="O279" s="57">
        <f>N279/C279</f>
        <v/>
      </c>
      <c r="P279" s="58">
        <f>(Boosters_IOS!B279*100)/Boosters_And!N279</f>
        <v/>
      </c>
      <c r="Q279" s="58">
        <f>Boosters_IOS!B279/(C279+D279)</f>
        <v/>
      </c>
      <c r="R279" s="58">
        <f>Boosters_IOS!N279/B279</f>
        <v/>
      </c>
      <c r="S279" s="55" t="n">
        <v>101.58064516129</v>
      </c>
      <c r="T279" s="55" t="n">
        <v>34</v>
      </c>
      <c r="U279" s="135" t="n">
        <v>37245.7992817679</v>
      </c>
      <c r="V279" s="122" t="n"/>
      <c r="W279" s="133" t="n"/>
      <c r="X279" s="133" t="n"/>
      <c r="Y279" s="133" t="n"/>
      <c r="Z279" s="133" t="n"/>
      <c r="AA279" s="133" t="n"/>
      <c r="AB279" s="132" t="n"/>
      <c r="AC279" s="132" t="n"/>
      <c r="AD279" s="132" t="n"/>
      <c r="AE279" s="132" t="n"/>
      <c r="AF279" s="132" t="n"/>
      <c r="AG279" s="132" t="n"/>
      <c r="AH279" s="132" t="n"/>
      <c r="AI279" s="132" t="n"/>
      <c r="AJ279" s="132">
        <f>AB279+AC279+AD279+AE279+AF279+AG279+AH279+AI279</f>
        <v/>
      </c>
      <c r="AK279" s="59">
        <f>AL279/C279</f>
        <v/>
      </c>
      <c r="AL279" s="55" t="n"/>
    </row>
    <row r="280" ht="22.5" customHeight="1" s="150">
      <c r="A280" s="34" t="n">
        <v>278</v>
      </c>
      <c r="B280" s="50" t="n">
        <v>80</v>
      </c>
      <c r="C280" s="50" t="n">
        <v>77</v>
      </c>
      <c r="D280" s="50" t="n">
        <v>34</v>
      </c>
      <c r="E280" s="50" t="n">
        <v>10</v>
      </c>
      <c r="F280" s="51">
        <f>(C280*100)/B280</f>
        <v/>
      </c>
      <c r="G280" s="51">
        <f>(D280*100)/B280</f>
        <v/>
      </c>
      <c r="H280" s="53">
        <f>((B280-B281)/B280)*100</f>
        <v/>
      </c>
      <c r="I280" s="53">
        <f>((B280-C280)/B280)*100</f>
        <v/>
      </c>
      <c r="J280" s="53">
        <f>((C280-B281)/C280)*100</f>
        <v/>
      </c>
      <c r="K280" s="54" t="n"/>
      <c r="L280" s="55" t="n">
        <v>1.2</v>
      </c>
      <c r="M280" s="128" t="inlineStr">
        <is>
          <t>Normal</t>
        </is>
      </c>
      <c r="N280" s="55" t="n">
        <v>0</v>
      </c>
      <c r="O280" s="57">
        <f>N280/C280</f>
        <v/>
      </c>
      <c r="P280" s="58">
        <f>(Boosters_IOS!B280*100)/Boosters_And!N280</f>
        <v/>
      </c>
      <c r="Q280" s="58">
        <f>Boosters_IOS!B280/(C280+D280)</f>
        <v/>
      </c>
      <c r="R280" s="58">
        <f>Boosters_IOS!N280/B280</f>
        <v/>
      </c>
      <c r="S280" s="55" t="n">
        <v>5.9</v>
      </c>
      <c r="T280" s="55" t="n">
        <v>28</v>
      </c>
      <c r="U280" s="135" t="n">
        <v>26051.4247053916</v>
      </c>
      <c r="V280" s="122" t="n"/>
      <c r="W280" s="133" t="n"/>
      <c r="X280" s="133" t="n"/>
      <c r="Y280" s="133" t="n"/>
      <c r="Z280" s="133" t="n"/>
      <c r="AA280" s="133" t="n"/>
      <c r="AB280" s="132" t="n"/>
      <c r="AC280" s="132" t="n"/>
      <c r="AD280" s="132" t="n"/>
      <c r="AE280" s="132" t="n"/>
      <c r="AF280" s="132" t="n"/>
      <c r="AG280" s="132" t="n"/>
      <c r="AH280" s="132" t="n"/>
      <c r="AI280" s="132" t="n"/>
      <c r="AJ280" s="132">
        <f>AB280+AC280+AD280+AE280+AF280+AG280+AH280+AI280</f>
        <v/>
      </c>
      <c r="AK280" s="59">
        <f>AL280/C280</f>
        <v/>
      </c>
      <c r="AL280" s="55" t="n"/>
    </row>
    <row r="281" ht="22.5" customHeight="1" s="150">
      <c r="A281" s="34" t="n">
        <v>279</v>
      </c>
      <c r="B281" s="50" t="n">
        <v>77</v>
      </c>
      <c r="C281" s="50" t="n">
        <v>75</v>
      </c>
      <c r="D281" s="50" t="n">
        <v>41</v>
      </c>
      <c r="E281" s="50" t="n">
        <v>46</v>
      </c>
      <c r="F281" s="51">
        <f>(C281*100)/B281</f>
        <v/>
      </c>
      <c r="G281" s="51">
        <f>(D281*100)/B281</f>
        <v/>
      </c>
      <c r="H281" s="53">
        <f>((B281-B282)/B281)*100</f>
        <v/>
      </c>
      <c r="I281" s="53">
        <f>((B281-C281)/B281)*100</f>
        <v/>
      </c>
      <c r="J281" s="53">
        <f>((C281-B282)/C281)*100</f>
        <v/>
      </c>
      <c r="K281" s="54" t="n"/>
      <c r="L281" s="55" t="n">
        <v>1.3103448275862</v>
      </c>
      <c r="M281" s="120" t="inlineStr">
        <is>
          <t>Normal</t>
        </is>
      </c>
      <c r="N281" s="55" t="n">
        <v>19.96</v>
      </c>
      <c r="O281" s="57">
        <f>N281/C281</f>
        <v/>
      </c>
      <c r="P281" s="58">
        <f>(Boosters_IOS!B281*100)/Boosters_And!N281</f>
        <v/>
      </c>
      <c r="Q281" s="58">
        <f>Boosters_IOS!B281/(C281+D281)</f>
        <v/>
      </c>
      <c r="R281" s="58">
        <f>Boosters_IOS!N281/B281</f>
        <v/>
      </c>
      <c r="S281" s="55" t="n">
        <v>7.03448275862068</v>
      </c>
      <c r="T281" s="55" t="n">
        <v>36</v>
      </c>
      <c r="U281" s="135" t="n">
        <v>29378.7848905357</v>
      </c>
      <c r="V281" s="122" t="n"/>
      <c r="W281" s="133" t="n"/>
      <c r="X281" s="133" t="n"/>
      <c r="Y281" s="133" t="n"/>
      <c r="Z281" s="133" t="n"/>
      <c r="AA281" s="133" t="n"/>
      <c r="AB281" s="132" t="n"/>
      <c r="AC281" s="132" t="n"/>
      <c r="AD281" s="132" t="n"/>
      <c r="AE281" s="132" t="n"/>
      <c r="AF281" s="132" t="n"/>
      <c r="AG281" s="132" t="n"/>
      <c r="AH281" s="132" t="n"/>
      <c r="AI281" s="132" t="n"/>
      <c r="AJ281" s="132">
        <f>AB281+AC281+AD281+AE281+AF281+AG281+AH281+AI281</f>
        <v/>
      </c>
      <c r="AK281" s="59">
        <f>AL281/C281</f>
        <v/>
      </c>
      <c r="AL281" s="55" t="n"/>
    </row>
    <row r="282" ht="22.5" customHeight="1" s="150">
      <c r="A282" s="34" t="n">
        <v>280</v>
      </c>
      <c r="B282" s="50" t="n">
        <v>75</v>
      </c>
      <c r="C282" s="50" t="n">
        <v>75</v>
      </c>
      <c r="D282" s="50" t="n">
        <v>39</v>
      </c>
      <c r="E282" s="50" t="n">
        <v>18</v>
      </c>
      <c r="F282" s="51">
        <f>(C282*100)/B282</f>
        <v/>
      </c>
      <c r="G282" s="51">
        <f>(D282*100)/B282</f>
        <v/>
      </c>
      <c r="H282" s="53">
        <f>((B282-B283)/B282)*100</f>
        <v/>
      </c>
      <c r="I282" s="53">
        <f>((B282-C282)/B282)*100</f>
        <v/>
      </c>
      <c r="J282" s="53">
        <f>((C282-B283)/C282)*100</f>
        <v/>
      </c>
      <c r="K282" s="54" t="n"/>
      <c r="L282" s="55" t="n">
        <v>1.41379310344827</v>
      </c>
      <c r="M282" s="128" t="inlineStr">
        <is>
          <t>Normal</t>
        </is>
      </c>
      <c r="N282" s="55" t="n">
        <v>0</v>
      </c>
      <c r="O282" s="57">
        <f>N282/C282</f>
        <v/>
      </c>
      <c r="P282" s="58">
        <f>(Boosters_IOS!B282*100)/Boosters_And!N282</f>
        <v/>
      </c>
      <c r="Q282" s="58">
        <f>Boosters_IOS!B282/(C282+D282)</f>
        <v/>
      </c>
      <c r="R282" s="58">
        <f>Boosters_IOS!N282/B282</f>
        <v/>
      </c>
      <c r="S282" s="55" t="n">
        <v>3.62068965517241</v>
      </c>
      <c r="T282" s="55" t="n">
        <v>26</v>
      </c>
      <c r="U282" s="135" t="n">
        <v>22620.8905610183</v>
      </c>
      <c r="V282" s="122" t="n"/>
      <c r="W282" s="133" t="n"/>
      <c r="X282" s="133" t="n"/>
      <c r="Y282" s="133" t="n"/>
      <c r="Z282" s="133" t="n"/>
      <c r="AA282" s="133" t="n"/>
      <c r="AB282" s="132" t="n"/>
      <c r="AC282" s="132" t="n"/>
      <c r="AD282" s="132" t="n"/>
      <c r="AE282" s="132" t="n"/>
      <c r="AF282" s="132" t="n"/>
      <c r="AG282" s="132" t="n"/>
      <c r="AH282" s="132" t="n"/>
      <c r="AI282" s="132" t="n"/>
      <c r="AJ282" s="132">
        <f>AB282+AC282+AD282+AE282+AF282+AG282+AH282+AI282</f>
        <v/>
      </c>
      <c r="AK282" s="59">
        <f>AL282/C282</f>
        <v/>
      </c>
      <c r="AL282" s="55" t="n"/>
    </row>
    <row r="283" ht="22.5" customHeight="1" s="150">
      <c r="A283" s="34" t="n">
        <v>281</v>
      </c>
      <c r="B283" s="50" t="n">
        <v>77</v>
      </c>
      <c r="C283" s="50" t="n">
        <v>72</v>
      </c>
      <c r="D283" s="50" t="n">
        <v>44</v>
      </c>
      <c r="E283" s="50" t="n">
        <v>23</v>
      </c>
      <c r="F283" s="51">
        <f>(C283*100)/B283</f>
        <v/>
      </c>
      <c r="G283" s="51">
        <f>(D283*100)/B283</f>
        <v/>
      </c>
      <c r="H283" s="53">
        <f>((B283-B284)/B283)*100</f>
        <v/>
      </c>
      <c r="I283" s="53">
        <f>((B283-C283)/B283)*100</f>
        <v/>
      </c>
      <c r="J283" s="53">
        <f>((C283-B284)/C283)*100</f>
        <v/>
      </c>
      <c r="K283" s="54" t="n"/>
      <c r="L283" s="55" t="n">
        <v>1.46428571428571</v>
      </c>
      <c r="M283" s="130" t="inlineStr">
        <is>
          <t>Very Hard</t>
        </is>
      </c>
      <c r="N283" s="55" t="n">
        <v>17.97</v>
      </c>
      <c r="O283" s="57">
        <f>N283/C283</f>
        <v/>
      </c>
      <c r="P283" s="58">
        <f>(Boosters_IOS!B283*100)/Boosters_And!N283</f>
        <v/>
      </c>
      <c r="Q283" s="58">
        <f>Boosters_IOS!B283/(C283+D283)</f>
        <v/>
      </c>
      <c r="R283" s="58">
        <f>Boosters_IOS!N283/B283</f>
        <v/>
      </c>
      <c r="S283" s="55" t="n">
        <v>4.78571428571428</v>
      </c>
      <c r="T283" s="55" t="n">
        <v>31</v>
      </c>
      <c r="U283" s="135" t="n">
        <v>16997.9097830228</v>
      </c>
      <c r="V283" s="122" t="n"/>
      <c r="W283" s="133" t="n"/>
      <c r="X283" s="133" t="n"/>
      <c r="Y283" s="133" t="n"/>
      <c r="Z283" s="133" t="n"/>
      <c r="AA283" s="133" t="n"/>
      <c r="AB283" s="132" t="n"/>
      <c r="AC283" s="132" t="n"/>
      <c r="AD283" s="132" t="n"/>
      <c r="AE283" s="132" t="n"/>
      <c r="AF283" s="132" t="n"/>
      <c r="AG283" s="132" t="n"/>
      <c r="AH283" s="132" t="n"/>
      <c r="AI283" s="132" t="n"/>
      <c r="AJ283" s="132">
        <f>AB283+AC283+AD283+AE283+AF283+AG283+AH283+AI283</f>
        <v/>
      </c>
      <c r="AK283" s="59">
        <f>AL283/C283</f>
        <v/>
      </c>
      <c r="AL283" s="55" t="n"/>
    </row>
    <row r="284" ht="22.5" customHeight="1" s="150">
      <c r="A284" s="34" t="n">
        <v>282</v>
      </c>
      <c r="B284" s="50" t="n">
        <v>72</v>
      </c>
      <c r="C284" s="50" t="n">
        <v>72</v>
      </c>
      <c r="D284" s="50" t="n">
        <v>18</v>
      </c>
      <c r="E284" s="50" t="n">
        <v>13</v>
      </c>
      <c r="F284" s="51">
        <f>(C284*100)/B284</f>
        <v/>
      </c>
      <c r="G284" s="51">
        <f>(D284*100)/B284</f>
        <v/>
      </c>
      <c r="H284" s="53">
        <f>((B284-B285)/B284)*100</f>
        <v/>
      </c>
      <c r="I284" s="53">
        <f>((B284-C284)/B284)*100</f>
        <v/>
      </c>
      <c r="J284" s="53">
        <f>((C284-B285)/C284)*100</f>
        <v/>
      </c>
      <c r="K284" s="54" t="n"/>
      <c r="L284" s="55" t="n">
        <v>1.21428571428571</v>
      </c>
      <c r="M284" s="128" t="inlineStr">
        <is>
          <t>Normal</t>
        </is>
      </c>
      <c r="N284" s="55" t="n">
        <v>0</v>
      </c>
      <c r="O284" s="57">
        <f>N284/C284</f>
        <v/>
      </c>
      <c r="P284" s="58">
        <f>(Boosters_IOS!B284*100)/Boosters_And!N284</f>
        <v/>
      </c>
      <c r="Q284" s="58">
        <f>Boosters_IOS!B284/(C284+D284)</f>
        <v/>
      </c>
      <c r="R284" s="58">
        <f>Boosters_IOS!N284/B284</f>
        <v/>
      </c>
      <c r="S284" s="55" t="n">
        <v>4</v>
      </c>
      <c r="T284" s="55" t="n">
        <v>23</v>
      </c>
      <c r="U284" s="135" t="n">
        <v>16340.1757929362</v>
      </c>
      <c r="V284" s="122" t="n"/>
      <c r="W284" s="133" t="n"/>
      <c r="X284" s="133" t="n"/>
      <c r="Y284" s="133" t="n"/>
      <c r="Z284" s="133" t="n"/>
      <c r="AA284" s="133" t="n"/>
      <c r="AB284" s="132" t="n"/>
      <c r="AC284" s="132" t="n"/>
      <c r="AD284" s="132" t="n"/>
      <c r="AE284" s="132" t="n"/>
      <c r="AF284" s="132" t="n"/>
      <c r="AG284" s="132" t="n"/>
      <c r="AH284" s="132" t="n"/>
      <c r="AI284" s="132" t="n"/>
      <c r="AJ284" s="132">
        <f>AB284+AC284+AD284+AE284+AF284+AG284+AH284+AI284</f>
        <v/>
      </c>
      <c r="AK284" s="59">
        <f>AL284/C284</f>
        <v/>
      </c>
      <c r="AL284" s="55" t="n"/>
    </row>
    <row r="285" ht="22.5" customHeight="1" s="150">
      <c r="A285" s="34" t="n">
        <v>283</v>
      </c>
      <c r="B285" s="50" t="n">
        <v>72</v>
      </c>
      <c r="C285" s="50" t="n">
        <v>70</v>
      </c>
      <c r="D285" s="50" t="n">
        <v>28</v>
      </c>
      <c r="E285" s="50" t="n">
        <v>21</v>
      </c>
      <c r="F285" s="51">
        <f>(C285*100)/B285</f>
        <v/>
      </c>
      <c r="G285" s="51">
        <f>(D285*100)/B285</f>
        <v/>
      </c>
      <c r="H285" s="53">
        <f>((B285-B286)/B285)*100</f>
        <v/>
      </c>
      <c r="I285" s="53">
        <f>((B285-C285)/B285)*100</f>
        <v/>
      </c>
      <c r="J285" s="53">
        <f>((C285-B286)/C285)*100</f>
        <v/>
      </c>
      <c r="K285" s="54" t="n"/>
      <c r="L285" s="55" t="n">
        <v>1.59259259259259</v>
      </c>
      <c r="M285" s="129" t="inlineStr">
        <is>
          <t>Hard</t>
        </is>
      </c>
      <c r="N285" s="55" t="n">
        <v>4.99</v>
      </c>
      <c r="O285" s="57">
        <f>N285/C285</f>
        <v/>
      </c>
      <c r="P285" s="58">
        <f>(Boosters_IOS!B285*100)/Boosters_And!N285</f>
        <v/>
      </c>
      <c r="Q285" s="58">
        <f>Boosters_IOS!B285/(C285+D285)</f>
        <v/>
      </c>
      <c r="R285" s="58">
        <f>Boosters_IOS!N285/B285</f>
        <v/>
      </c>
      <c r="S285" s="55" t="n">
        <v>3.7037037037037</v>
      </c>
      <c r="T285" s="55" t="n">
        <v>28</v>
      </c>
      <c r="U285" s="135" t="n">
        <v>21086.1779174828</v>
      </c>
      <c r="V285" s="122" t="n"/>
      <c r="W285" s="133" t="n"/>
      <c r="X285" s="133" t="n"/>
      <c r="Y285" s="133" t="n"/>
      <c r="Z285" s="133" t="n"/>
      <c r="AA285" s="133" t="n"/>
      <c r="AB285" s="132" t="n"/>
      <c r="AC285" s="132" t="n"/>
      <c r="AD285" s="132" t="n"/>
      <c r="AE285" s="132" t="n"/>
      <c r="AF285" s="132" t="n"/>
      <c r="AG285" s="132" t="n"/>
      <c r="AH285" s="132" t="n"/>
      <c r="AI285" s="132" t="n"/>
      <c r="AJ285" s="132">
        <f>AB285+AC285+AD285+AE285+AF285+AG285+AH285+AI285</f>
        <v/>
      </c>
      <c r="AK285" s="59">
        <f>AL285/C285</f>
        <v/>
      </c>
      <c r="AL285" s="55" t="n"/>
    </row>
    <row r="286" ht="22.5" customHeight="1" s="150">
      <c r="A286" s="34" t="n">
        <v>284</v>
      </c>
      <c r="B286" s="50" t="n">
        <v>70</v>
      </c>
      <c r="C286" s="50" t="n">
        <v>70</v>
      </c>
      <c r="D286" s="50" t="n">
        <v>3</v>
      </c>
      <c r="E286" s="50" t="n">
        <v>3</v>
      </c>
      <c r="F286" s="51">
        <f>(C286*100)/B286</f>
        <v/>
      </c>
      <c r="G286" s="51">
        <f>(D286*100)/B286</f>
        <v/>
      </c>
      <c r="H286" s="53">
        <f>((B286-B287)/B286)*100</f>
        <v/>
      </c>
      <c r="I286" s="53">
        <f>((B286-C286)/B286)*100</f>
        <v/>
      </c>
      <c r="J286" s="53">
        <f>((C286-B287)/C286)*100</f>
        <v/>
      </c>
      <c r="K286" s="54" t="n"/>
      <c r="L286" s="55" t="n">
        <v>1.07407407407407</v>
      </c>
      <c r="M286" s="127" t="inlineStr">
        <is>
          <t>Hard</t>
        </is>
      </c>
      <c r="N286" s="55" t="n">
        <v>0</v>
      </c>
      <c r="O286" s="57">
        <f>N286/C286</f>
        <v/>
      </c>
      <c r="P286" s="58">
        <f>(Boosters_IOS!B286*100)/Boosters_And!N286</f>
        <v/>
      </c>
      <c r="Q286" s="58">
        <f>Boosters_IOS!B286/(C286+D286)</f>
        <v/>
      </c>
      <c r="R286" s="58">
        <f>Boosters_IOS!N286/B286</f>
        <v/>
      </c>
      <c r="S286" s="55" t="n">
        <v>9.888888888888889</v>
      </c>
      <c r="T286" s="55" t="n">
        <v>13</v>
      </c>
      <c r="U286" s="135" t="n">
        <v>25729.0060828002</v>
      </c>
      <c r="V286" s="122" t="n"/>
      <c r="W286" s="133" t="n"/>
      <c r="X286" s="133" t="n"/>
      <c r="Y286" s="133" t="n"/>
      <c r="Z286" s="133" t="n"/>
      <c r="AA286" s="133" t="n"/>
      <c r="AB286" s="132" t="n"/>
      <c r="AC286" s="132" t="n"/>
      <c r="AD286" s="132" t="n"/>
      <c r="AE286" s="132" t="n"/>
      <c r="AF286" s="132" t="n"/>
      <c r="AG286" s="132" t="n"/>
      <c r="AH286" s="132" t="n"/>
      <c r="AI286" s="132" t="n"/>
      <c r="AJ286" s="132">
        <f>AB286+AC286+AD286+AE286+AF286+AG286+AH286+AI286</f>
        <v/>
      </c>
      <c r="AK286" s="59">
        <f>AL286/C286</f>
        <v/>
      </c>
      <c r="AL286" s="55" t="n"/>
    </row>
    <row r="287" ht="22.5" customHeight="1" s="150">
      <c r="A287" s="34" t="n">
        <v>285</v>
      </c>
      <c r="B287" s="50" t="n">
        <v>72</v>
      </c>
      <c r="C287" s="50" t="n">
        <v>70</v>
      </c>
      <c r="D287" s="50" t="n">
        <v>39</v>
      </c>
      <c r="E287" s="50" t="n">
        <v>34</v>
      </c>
      <c r="F287" s="51">
        <f>(C287*100)/B287</f>
        <v/>
      </c>
      <c r="G287" s="51">
        <f>(D287*100)/B287</f>
        <v/>
      </c>
      <c r="H287" s="53">
        <f>((B287-B288)/B287)*100</f>
        <v/>
      </c>
      <c r="I287" s="53">
        <f>((B287-C287)/B287)*100</f>
        <v/>
      </c>
      <c r="J287" s="53">
        <f>((C287-B288)/C287)*100</f>
        <v/>
      </c>
      <c r="K287" s="54" t="n"/>
      <c r="L287" s="55" t="n">
        <v>1.44444444444444</v>
      </c>
      <c r="M287" s="120" t="inlineStr">
        <is>
          <t>Normal</t>
        </is>
      </c>
      <c r="N287" s="55" t="n">
        <v>19.98</v>
      </c>
      <c r="O287" s="57">
        <f>N287/C287</f>
        <v/>
      </c>
      <c r="P287" s="58">
        <f>(Boosters_IOS!B287*100)/Boosters_And!N287</f>
        <v/>
      </c>
      <c r="Q287" s="58">
        <f>Boosters_IOS!B287/(C287+D287)</f>
        <v/>
      </c>
      <c r="R287" s="58">
        <f>Boosters_IOS!N287/B287</f>
        <v/>
      </c>
      <c r="S287" s="55" t="n">
        <v>4.48148148148148</v>
      </c>
      <c r="T287" s="55" t="n">
        <v>28</v>
      </c>
      <c r="U287" s="135" t="n">
        <v>34292.4446988299</v>
      </c>
      <c r="V287" s="122" t="n"/>
      <c r="W287" s="133" t="n"/>
      <c r="X287" s="133" t="n"/>
      <c r="Y287" s="133" t="n"/>
      <c r="Z287" s="133" t="n"/>
      <c r="AA287" s="133" t="n"/>
      <c r="AB287" s="132" t="n"/>
      <c r="AC287" s="132" t="n"/>
      <c r="AD287" s="132" t="n"/>
      <c r="AE287" s="132" t="n"/>
      <c r="AF287" s="132" t="n"/>
      <c r="AG287" s="132" t="n"/>
      <c r="AH287" s="132" t="n"/>
      <c r="AI287" s="132" t="n"/>
      <c r="AJ287" s="132">
        <f>AB287+AC287+AD287+AE287+AF287+AG287+AH287+AI287</f>
        <v/>
      </c>
      <c r="AK287" s="59">
        <f>AL287/C287</f>
        <v/>
      </c>
      <c r="AL287" s="55" t="n"/>
    </row>
    <row r="288" ht="22.5" customHeight="1" s="150">
      <c r="A288" s="34" t="n">
        <v>286</v>
      </c>
      <c r="B288" s="50" t="n">
        <v>70</v>
      </c>
      <c r="C288" s="50" t="n">
        <v>70</v>
      </c>
      <c r="D288" s="50" t="n">
        <v>36</v>
      </c>
      <c r="E288" s="50" t="n">
        <v>23</v>
      </c>
      <c r="F288" s="51">
        <f>(C288*100)/B288</f>
        <v/>
      </c>
      <c r="G288" s="51">
        <f>(D288*100)/B288</f>
        <v/>
      </c>
      <c r="H288" s="53">
        <f>((B288-B289)/B288)*100</f>
        <v/>
      </c>
      <c r="I288" s="53">
        <f>((B288-C288)/B288)*100</f>
        <v/>
      </c>
      <c r="J288" s="53">
        <f>((C288-B289)/C288)*100</f>
        <v/>
      </c>
      <c r="K288" s="54" t="n"/>
      <c r="L288" s="55" t="n">
        <v>1.44444444444444</v>
      </c>
      <c r="M288" s="131" t="inlineStr">
        <is>
          <t>Very Hard</t>
        </is>
      </c>
      <c r="N288" s="55" t="n">
        <v>4.99</v>
      </c>
      <c r="O288" s="57">
        <f>N288/C288</f>
        <v/>
      </c>
      <c r="P288" s="58">
        <f>(Boosters_IOS!B288*100)/Boosters_And!N288</f>
        <v/>
      </c>
      <c r="Q288" s="58">
        <f>Boosters_IOS!B288/(C288+D288)</f>
        <v/>
      </c>
      <c r="R288" s="58">
        <f>Boosters_IOS!N288/B288</f>
        <v/>
      </c>
      <c r="S288" s="55" t="n">
        <v>8.22222222222222</v>
      </c>
      <c r="T288" s="55" t="n">
        <v>36</v>
      </c>
      <c r="U288" s="135" t="n">
        <v>42004.6981512181</v>
      </c>
      <c r="V288" s="122" t="n"/>
      <c r="W288" s="133" t="n"/>
      <c r="X288" s="133" t="n"/>
      <c r="Y288" s="133" t="n"/>
      <c r="Z288" s="133" t="n"/>
      <c r="AA288" s="133" t="n"/>
      <c r="AB288" s="132" t="n"/>
      <c r="AC288" s="132" t="n"/>
      <c r="AD288" s="132" t="n"/>
      <c r="AE288" s="132" t="n"/>
      <c r="AF288" s="132" t="n"/>
      <c r="AG288" s="132" t="n"/>
      <c r="AH288" s="132" t="n"/>
      <c r="AI288" s="132" t="n"/>
      <c r="AJ288" s="132">
        <f>AB288+AC288+AD288+AE288+AF288+AG288+AH288+AI288</f>
        <v/>
      </c>
      <c r="AK288" s="59">
        <f>AL288/C288</f>
        <v/>
      </c>
      <c r="AL288" s="55" t="n"/>
    </row>
    <row r="289" ht="22.5" customHeight="1" s="150">
      <c r="A289" s="34" t="n">
        <v>287</v>
      </c>
      <c r="B289" s="50" t="n">
        <v>72</v>
      </c>
      <c r="C289" s="50" t="n">
        <v>72</v>
      </c>
      <c r="D289" s="50" t="n">
        <v>39</v>
      </c>
      <c r="E289" s="50" t="n">
        <v>34</v>
      </c>
      <c r="F289" s="51">
        <f>(C289*100)/B289</f>
        <v/>
      </c>
      <c r="G289" s="51">
        <f>(D289*100)/B289</f>
        <v/>
      </c>
      <c r="H289" s="53">
        <f>((B289-B290)/B289)*100</f>
        <v/>
      </c>
      <c r="I289" s="53">
        <f>((B289-C289)/B289)*100</f>
        <v/>
      </c>
      <c r="J289" s="53">
        <f>((C289-B290)/C289)*100</f>
        <v/>
      </c>
      <c r="K289" s="54" t="n"/>
      <c r="L289" s="55" t="n">
        <v>1.39285714285714</v>
      </c>
      <c r="M289" s="120" t="inlineStr">
        <is>
          <t>Normal</t>
        </is>
      </c>
      <c r="N289" s="55" t="n">
        <v>29.98</v>
      </c>
      <c r="O289" s="57">
        <f>N289/C289</f>
        <v/>
      </c>
      <c r="P289" s="58">
        <f>(Boosters_IOS!B289*100)/Boosters_And!N289</f>
        <v/>
      </c>
      <c r="Q289" s="58">
        <f>Boosters_IOS!B289/(C289+D289)</f>
        <v/>
      </c>
      <c r="R289" s="58">
        <f>Boosters_IOS!N289/B289</f>
        <v/>
      </c>
      <c r="S289" s="55" t="n">
        <v>6.5</v>
      </c>
      <c r="T289" s="55" t="n">
        <v>28</v>
      </c>
      <c r="U289" s="135" t="n">
        <v>41940.2144266998</v>
      </c>
      <c r="V289" s="122" t="n"/>
      <c r="W289" s="133" t="n"/>
      <c r="X289" s="133" t="n"/>
      <c r="Y289" s="133" t="n"/>
      <c r="Z289" s="133" t="n"/>
      <c r="AA289" s="133" t="n"/>
      <c r="AB289" s="132" t="n"/>
      <c r="AC289" s="132" t="n"/>
      <c r="AD289" s="132" t="n"/>
      <c r="AE289" s="132" t="n"/>
      <c r="AF289" s="132" t="n"/>
      <c r="AG289" s="132" t="n"/>
      <c r="AH289" s="132" t="n"/>
      <c r="AI289" s="132" t="n"/>
      <c r="AJ289" s="132">
        <f>AB289+AC289+AD289+AE289+AF289+AG289+AH289+AI289</f>
        <v/>
      </c>
      <c r="AK289" s="59">
        <f>AL289/C289</f>
        <v/>
      </c>
      <c r="AL289" s="55" t="n"/>
    </row>
    <row r="290" ht="22.5" customHeight="1" s="150">
      <c r="A290" s="34" t="n">
        <v>288</v>
      </c>
      <c r="B290" s="50" t="n">
        <v>72</v>
      </c>
      <c r="C290" s="50" t="n">
        <v>72</v>
      </c>
      <c r="D290" s="50" t="n">
        <v>39</v>
      </c>
      <c r="E290" s="50" t="n">
        <v>18</v>
      </c>
      <c r="F290" s="51">
        <f>(C290*100)/B290</f>
        <v/>
      </c>
      <c r="G290" s="51">
        <f>(D290*100)/B290</f>
        <v/>
      </c>
      <c r="H290" s="53">
        <f>((B290-B291)/B290)*100</f>
        <v/>
      </c>
      <c r="I290" s="53">
        <f>((B290-C290)/B290)*100</f>
        <v/>
      </c>
      <c r="J290" s="53">
        <f>((C290-B291)/C290)*100</f>
        <v/>
      </c>
      <c r="K290" s="54" t="n"/>
      <c r="L290" s="55" t="n">
        <v>1.39285714285714</v>
      </c>
      <c r="M290" s="128" t="inlineStr">
        <is>
          <t>Normal</t>
        </is>
      </c>
      <c r="N290" s="55" t="n">
        <v>2.49</v>
      </c>
      <c r="O290" s="57">
        <f>N290/C290</f>
        <v/>
      </c>
      <c r="P290" s="58">
        <f>(Boosters_IOS!B290*100)/Boosters_And!N290</f>
        <v/>
      </c>
      <c r="Q290" s="58">
        <f>Boosters_IOS!B290/(C290+D290)</f>
        <v/>
      </c>
      <c r="R290" s="58">
        <f>Boosters_IOS!N290/B290</f>
        <v/>
      </c>
      <c r="S290" s="55" t="n">
        <v>4.96428571428571</v>
      </c>
      <c r="T290" s="55" t="n">
        <v>36</v>
      </c>
      <c r="U290" s="135" t="n">
        <v>34344.0316784445</v>
      </c>
      <c r="V290" s="122" t="n"/>
      <c r="W290" s="133" t="n"/>
      <c r="X290" s="133" t="n"/>
      <c r="Y290" s="133" t="n"/>
      <c r="Z290" s="133" t="n"/>
      <c r="AA290" s="133" t="n"/>
      <c r="AB290" s="132" t="n"/>
      <c r="AC290" s="132" t="n"/>
      <c r="AD290" s="132" t="n"/>
      <c r="AE290" s="132" t="n"/>
      <c r="AF290" s="132" t="n"/>
      <c r="AG290" s="132" t="n"/>
      <c r="AH290" s="132" t="n"/>
      <c r="AI290" s="132" t="n"/>
      <c r="AJ290" s="132">
        <f>AB290+AC290+AD290+AE290+AF290+AG290+AH290+AI290</f>
        <v/>
      </c>
      <c r="AK290" s="59">
        <f>AL290/C290</f>
        <v/>
      </c>
      <c r="AL290" s="55" t="n"/>
    </row>
    <row r="291" ht="22.5" customHeight="1" s="150">
      <c r="A291" s="34" t="n">
        <v>289</v>
      </c>
      <c r="B291" s="50" t="n">
        <v>72</v>
      </c>
      <c r="C291" s="50" t="n">
        <v>72</v>
      </c>
      <c r="D291" s="50" t="n">
        <v>23</v>
      </c>
      <c r="E291" s="50" t="n">
        <v>13</v>
      </c>
      <c r="F291" s="51">
        <f>(C291*100)/B291</f>
        <v/>
      </c>
      <c r="G291" s="51">
        <f>(D291*100)/B291</f>
        <v/>
      </c>
      <c r="H291" s="53">
        <f>((B291-B292)/B291)*100</f>
        <v/>
      </c>
      <c r="I291" s="53">
        <f>((B291-C291)/B291)*100</f>
        <v/>
      </c>
      <c r="J291" s="53">
        <f>((C291-B292)/C291)*100</f>
        <v/>
      </c>
      <c r="K291" s="54" t="n"/>
      <c r="L291" s="55" t="n">
        <v>1.17857142857142</v>
      </c>
      <c r="M291" s="129" t="inlineStr">
        <is>
          <t>Hard</t>
        </is>
      </c>
      <c r="N291" s="55" t="n">
        <v>2.99</v>
      </c>
      <c r="O291" s="57">
        <f>N291/C291</f>
        <v/>
      </c>
      <c r="P291" s="58">
        <f>(Boosters_IOS!B291*100)/Boosters_And!N291</f>
        <v/>
      </c>
      <c r="Q291" s="58">
        <f>Boosters_IOS!B291/(C291+D291)</f>
        <v/>
      </c>
      <c r="R291" s="58">
        <f>Boosters_IOS!N291/B291</f>
        <v/>
      </c>
      <c r="S291" s="55" t="n">
        <v>4.28571428571428</v>
      </c>
      <c r="T291" s="55" t="n">
        <v>28</v>
      </c>
      <c r="U291" s="135" t="n">
        <v>37929.3267616618</v>
      </c>
      <c r="V291" s="122" t="n"/>
      <c r="W291" s="133" t="n"/>
      <c r="X291" s="133" t="n"/>
      <c r="Y291" s="133" t="n"/>
      <c r="Z291" s="133" t="n"/>
      <c r="AA291" s="133" t="n"/>
      <c r="AB291" s="132" t="n"/>
      <c r="AC291" s="132" t="n"/>
      <c r="AD291" s="132" t="n"/>
      <c r="AE291" s="132" t="n"/>
      <c r="AF291" s="132" t="n"/>
      <c r="AG291" s="132" t="n"/>
      <c r="AH291" s="132" t="n"/>
      <c r="AI291" s="132" t="n"/>
      <c r="AJ291" s="132">
        <f>AB291+AC291+AD291+AE291+AF291+AG291+AH291+AI291</f>
        <v/>
      </c>
      <c r="AK291" s="59">
        <f>AL291/C291</f>
        <v/>
      </c>
      <c r="AL291" s="55" t="n"/>
    </row>
    <row r="292" ht="22.5" customHeight="1" s="150">
      <c r="A292" s="34" t="n">
        <v>290</v>
      </c>
      <c r="B292" s="50" t="n">
        <v>72</v>
      </c>
      <c r="C292" s="50" t="n">
        <v>70</v>
      </c>
      <c r="D292" s="50" t="n">
        <v>41</v>
      </c>
      <c r="E292" s="50" t="n">
        <v>34</v>
      </c>
      <c r="F292" s="51">
        <f>(C292*100)/B292</f>
        <v/>
      </c>
      <c r="G292" s="51">
        <f>(D292*100)/B292</f>
        <v/>
      </c>
      <c r="H292" s="53">
        <f>((B292-B293)/B292)*100</f>
        <v/>
      </c>
      <c r="I292" s="53">
        <f>((B292-C292)/B292)*100</f>
        <v/>
      </c>
      <c r="J292" s="53">
        <f>((C292-B293)/C292)*100</f>
        <v/>
      </c>
      <c r="K292" s="54" t="n"/>
      <c r="L292" s="55" t="n">
        <v>1.48148148148148</v>
      </c>
      <c r="M292" s="127" t="inlineStr">
        <is>
          <t>Hard</t>
        </is>
      </c>
      <c r="N292" s="55" t="n">
        <v>11.48</v>
      </c>
      <c r="O292" s="57">
        <f>N292/C292</f>
        <v/>
      </c>
      <c r="P292" s="58">
        <f>(Boosters_IOS!B292*100)/Boosters_And!N292</f>
        <v/>
      </c>
      <c r="Q292" s="58">
        <f>Boosters_IOS!B292/(C292+D292)</f>
        <v/>
      </c>
      <c r="R292" s="58">
        <f>Boosters_IOS!N292/B292</f>
        <v/>
      </c>
      <c r="S292" s="55" t="n">
        <v>4.44444444444444</v>
      </c>
      <c r="T292" s="55" t="n">
        <v>39</v>
      </c>
      <c r="U292" s="135" t="n">
        <v>35401.5647605446</v>
      </c>
      <c r="V292" s="122" t="n"/>
      <c r="W292" s="133" t="n"/>
      <c r="X292" s="133" t="n"/>
      <c r="Y292" s="133" t="n"/>
      <c r="Z292" s="133" t="n"/>
      <c r="AA292" s="133" t="n"/>
      <c r="AB292" s="132" t="n"/>
      <c r="AC292" s="132" t="n"/>
      <c r="AD292" s="132" t="n"/>
      <c r="AE292" s="132" t="n"/>
      <c r="AF292" s="132" t="n"/>
      <c r="AG292" s="132" t="n"/>
      <c r="AH292" s="132" t="n"/>
      <c r="AI292" s="132" t="n"/>
      <c r="AJ292" s="132">
        <f>AB292+AC292+AD292+AE292+AF292+AG292+AH292+AI292</f>
        <v/>
      </c>
      <c r="AK292" s="59">
        <f>AL292/C292</f>
        <v/>
      </c>
      <c r="AL292" s="55" t="n"/>
    </row>
    <row r="293" ht="22.5" customHeight="1" s="150">
      <c r="A293" s="34" t="n">
        <v>291</v>
      </c>
      <c r="B293" s="50" t="n">
        <v>70</v>
      </c>
      <c r="C293" s="50" t="n">
        <v>70</v>
      </c>
      <c r="D293" s="50" t="n">
        <v>13</v>
      </c>
      <c r="E293" s="50" t="n">
        <v>3</v>
      </c>
      <c r="F293" s="51">
        <f>(C293*100)/B293</f>
        <v/>
      </c>
      <c r="G293" s="51">
        <f>(D293*100)/B293</f>
        <v/>
      </c>
      <c r="H293" s="53">
        <f>((B293-B294)/B293)*100</f>
        <v/>
      </c>
      <c r="I293" s="53">
        <f>((B293-C293)/B293)*100</f>
        <v/>
      </c>
      <c r="J293" s="53">
        <f>((C293-B294)/C293)*100</f>
        <v/>
      </c>
      <c r="K293" s="54" t="n"/>
      <c r="L293" s="55" t="n">
        <v>1.07407407407407</v>
      </c>
      <c r="M293" s="120" t="inlineStr">
        <is>
          <t>Normal</t>
        </is>
      </c>
      <c r="N293" s="55" t="n">
        <v>12.99</v>
      </c>
      <c r="O293" s="57">
        <f>N293/C293</f>
        <v/>
      </c>
      <c r="P293" s="58">
        <f>(Boosters_IOS!B293*100)/Boosters_And!N293</f>
        <v/>
      </c>
      <c r="Q293" s="58">
        <f>Boosters_IOS!B293/(C293+D293)</f>
        <v/>
      </c>
      <c r="R293" s="58">
        <f>Boosters_IOS!N293/B293</f>
        <v/>
      </c>
      <c r="S293" s="55" t="n">
        <v>5.55555555555555</v>
      </c>
      <c r="T293" s="55" t="n">
        <v>23</v>
      </c>
      <c r="U293" s="135" t="n">
        <v>41604.8990592047</v>
      </c>
      <c r="V293" s="122" t="n"/>
      <c r="W293" s="133" t="n"/>
      <c r="X293" s="133" t="n"/>
      <c r="Y293" s="133" t="n"/>
      <c r="Z293" s="133" t="n"/>
      <c r="AA293" s="133" t="n"/>
      <c r="AB293" s="132" t="n"/>
      <c r="AC293" s="132" t="n"/>
      <c r="AD293" s="132" t="n"/>
      <c r="AE293" s="132" t="n"/>
      <c r="AF293" s="132" t="n"/>
      <c r="AG293" s="132" t="n"/>
      <c r="AH293" s="132" t="n"/>
      <c r="AI293" s="132" t="n"/>
      <c r="AJ293" s="132">
        <f>AB293+AC293+AD293+AE293+AF293+AG293+AH293+AI293</f>
        <v/>
      </c>
      <c r="AK293" s="59">
        <f>AL293/C293</f>
        <v/>
      </c>
      <c r="AL293" s="55" t="n"/>
    </row>
    <row r="294" ht="22.5" customHeight="1" s="150">
      <c r="A294" s="34" t="n">
        <v>292</v>
      </c>
      <c r="B294" s="50" t="n">
        <v>70</v>
      </c>
      <c r="C294" s="50" t="n">
        <v>70</v>
      </c>
      <c r="D294" s="50" t="n">
        <v>39</v>
      </c>
      <c r="E294" s="50" t="n">
        <v>21</v>
      </c>
      <c r="F294" s="51">
        <f>(C294*100)/B294</f>
        <v/>
      </c>
      <c r="G294" s="51">
        <f>(D294*100)/B294</f>
        <v/>
      </c>
      <c r="H294" s="53">
        <f>((B294-B295)/B294)*100</f>
        <v/>
      </c>
      <c r="I294" s="53">
        <f>((B294-C294)/B294)*100</f>
        <v/>
      </c>
      <c r="J294" s="53">
        <f>((C294-B295)/C294)*100</f>
        <v/>
      </c>
      <c r="K294" s="54" t="n"/>
      <c r="L294" s="55" t="n">
        <v>1.22222222222222</v>
      </c>
      <c r="M294" s="127" t="inlineStr">
        <is>
          <t>Hard</t>
        </is>
      </c>
      <c r="N294" s="55" t="n">
        <v>0</v>
      </c>
      <c r="O294" s="57">
        <f>N294/C294</f>
        <v/>
      </c>
      <c r="P294" s="58">
        <f>(Boosters_IOS!B294*100)/Boosters_And!N294</f>
        <v/>
      </c>
      <c r="Q294" s="58">
        <f>Boosters_IOS!B294/(C294+D294)</f>
        <v/>
      </c>
      <c r="R294" s="58">
        <f>Boosters_IOS!N294/B294</f>
        <v/>
      </c>
      <c r="S294" s="55" t="n">
        <v>7.25925925925925</v>
      </c>
      <c r="T294" s="55" t="n">
        <v>34</v>
      </c>
      <c r="U294" s="135" t="n">
        <v>35659.4996586178</v>
      </c>
      <c r="V294" s="122" t="n"/>
      <c r="W294" s="136" t="n"/>
      <c r="X294" s="137" t="n"/>
      <c r="Y294" s="136" t="n"/>
      <c r="Z294" s="136" t="n"/>
      <c r="AA294" s="136" t="n"/>
      <c r="AB294" s="132" t="n"/>
      <c r="AC294" s="132" t="n"/>
      <c r="AD294" s="132" t="n"/>
      <c r="AE294" s="132" t="n"/>
      <c r="AF294" s="132" t="n"/>
      <c r="AG294" s="132" t="n"/>
      <c r="AH294" s="132" t="n"/>
      <c r="AI294" s="132" t="n"/>
      <c r="AJ294" s="132">
        <f>AB294+AC294+AD294+AE294+AF294+AG294+AH294+AI294</f>
        <v/>
      </c>
      <c r="AK294" s="59">
        <f>AL294/C294</f>
        <v/>
      </c>
      <c r="AL294" s="55" t="n"/>
    </row>
    <row r="295" ht="22.5" customHeight="1" s="150">
      <c r="A295" s="34" t="n">
        <v>293</v>
      </c>
      <c r="B295" s="50" t="n">
        <v>72</v>
      </c>
      <c r="C295" s="50" t="n">
        <v>70</v>
      </c>
      <c r="D295" s="50" t="n">
        <v>39</v>
      </c>
      <c r="E295" s="50" t="n">
        <v>31</v>
      </c>
      <c r="F295" s="51">
        <f>(C295*100)/B295</f>
        <v/>
      </c>
      <c r="G295" s="51">
        <f>(D295*100)/B295</f>
        <v/>
      </c>
      <c r="H295" s="53">
        <f>((B295-B296)/B295)*100</f>
        <v/>
      </c>
      <c r="I295" s="53">
        <f>((B295-C295)/B295)*100</f>
        <v/>
      </c>
      <c r="J295" s="53">
        <f>((C295-B296)/C295)*100</f>
        <v/>
      </c>
      <c r="K295" s="54" t="n"/>
      <c r="L295" s="55" t="n">
        <v>1.4074074074074</v>
      </c>
      <c r="M295" s="130" t="inlineStr">
        <is>
          <t>Very Hard</t>
        </is>
      </c>
      <c r="N295" s="55" t="n">
        <v>14.97</v>
      </c>
      <c r="O295" s="57">
        <f>N295/C295</f>
        <v/>
      </c>
      <c r="P295" s="58">
        <f>(Boosters_IOS!B295*100)/Boosters_And!N295</f>
        <v/>
      </c>
      <c r="Q295" s="58">
        <f>Boosters_IOS!B295/(C295+D295)</f>
        <v/>
      </c>
      <c r="R295" s="58">
        <f>Boosters_IOS!N295/B295</f>
        <v/>
      </c>
      <c r="S295" s="55" t="n">
        <v>6.74074074074074</v>
      </c>
      <c r="T295" s="55" t="n">
        <v>34</v>
      </c>
      <c r="U295" s="135" t="n">
        <v>45022.5364586744</v>
      </c>
      <c r="V295" s="122" t="n"/>
      <c r="W295" s="136" t="n"/>
      <c r="X295" s="137" t="n"/>
      <c r="Y295" s="136" t="n"/>
      <c r="Z295" s="136" t="n"/>
      <c r="AA295" s="136" t="n"/>
      <c r="AB295" s="132" t="n"/>
      <c r="AC295" s="132" t="n"/>
      <c r="AD295" s="132" t="n"/>
      <c r="AE295" s="132" t="n"/>
      <c r="AF295" s="132" t="n"/>
      <c r="AG295" s="132" t="n"/>
      <c r="AH295" s="132" t="n"/>
      <c r="AI295" s="132" t="n"/>
      <c r="AJ295" s="132">
        <f>AB295+AC295+AD295+AE295+AF295+AG295+AH295+AI295</f>
        <v/>
      </c>
      <c r="AK295" s="59">
        <f>AL295/C295</f>
        <v/>
      </c>
      <c r="AL295" s="55" t="n"/>
    </row>
    <row r="296" ht="22.5" customHeight="1" s="150">
      <c r="A296" s="34" t="n">
        <v>294</v>
      </c>
      <c r="B296" s="50" t="n">
        <v>70</v>
      </c>
      <c r="C296" s="50" t="n">
        <v>70</v>
      </c>
      <c r="D296" s="50" t="n">
        <v>34</v>
      </c>
      <c r="E296" s="50" t="n">
        <v>36</v>
      </c>
      <c r="F296" s="51">
        <f>(C296*100)/B296</f>
        <v/>
      </c>
      <c r="G296" s="51">
        <f>(D296*100)/B296</f>
        <v/>
      </c>
      <c r="H296" s="53">
        <f>((B296-B297)/B296)*100</f>
        <v/>
      </c>
      <c r="I296" s="53">
        <f>((B296-C296)/B296)*100</f>
        <v/>
      </c>
      <c r="J296" s="53">
        <f>((C296-B297)/C296)*100</f>
        <v/>
      </c>
      <c r="K296" s="54" t="n"/>
      <c r="L296" s="55" t="n">
        <v>1.4074074074074</v>
      </c>
      <c r="M296" s="127" t="inlineStr">
        <is>
          <t>Hard</t>
        </is>
      </c>
      <c r="N296" s="55" t="n">
        <v>2.49</v>
      </c>
      <c r="O296" s="57">
        <f>N296/C296</f>
        <v/>
      </c>
      <c r="P296" s="58">
        <f>(Boosters_IOS!B296*100)/Boosters_And!N296</f>
        <v/>
      </c>
      <c r="Q296" s="58">
        <f>Boosters_IOS!B296/(C296+D296)</f>
        <v/>
      </c>
      <c r="R296" s="58">
        <f>Boosters_IOS!N296/B296</f>
        <v/>
      </c>
      <c r="S296" s="55" t="n">
        <v>3.66666666666666</v>
      </c>
      <c r="T296" s="55" t="n">
        <v>34</v>
      </c>
      <c r="U296" s="135" t="n">
        <v>32280.5524938591</v>
      </c>
      <c r="V296" s="122" t="n"/>
      <c r="W296" s="136" t="n"/>
      <c r="X296" s="137" t="n"/>
      <c r="Y296" s="136" t="n"/>
      <c r="Z296" s="136" t="n"/>
      <c r="AA296" s="136" t="n"/>
      <c r="AB296" s="132" t="n"/>
      <c r="AC296" s="132" t="n"/>
      <c r="AD296" s="132" t="n"/>
      <c r="AE296" s="132" t="n"/>
      <c r="AF296" s="132" t="n"/>
      <c r="AG296" s="132" t="n"/>
      <c r="AH296" s="132" t="n"/>
      <c r="AI296" s="132" t="n"/>
      <c r="AJ296" s="132">
        <f>AB296+AC296+AD296+AE296+AF296+AG296+AH296+AI296</f>
        <v/>
      </c>
      <c r="AK296" s="59">
        <f>AL296/C296</f>
        <v/>
      </c>
      <c r="AL296" s="55" t="n"/>
    </row>
    <row r="297" ht="22.5" customHeight="1" s="150">
      <c r="A297" s="34" t="n">
        <v>295</v>
      </c>
      <c r="B297" s="50" t="n">
        <v>70</v>
      </c>
      <c r="C297" s="50" t="n">
        <v>67</v>
      </c>
      <c r="D297" s="50" t="n">
        <v>39</v>
      </c>
      <c r="E297" s="50" t="n">
        <v>15</v>
      </c>
      <c r="F297" s="51">
        <f>(C297*100)/B297</f>
        <v/>
      </c>
      <c r="G297" s="51">
        <f>(D297*100)/B297</f>
        <v/>
      </c>
      <c r="H297" s="53">
        <f>((B297-B298)/B297)*100</f>
        <v/>
      </c>
      <c r="I297" s="53">
        <f>((B297-C297)/B297)*100</f>
        <v/>
      </c>
      <c r="J297" s="53">
        <f>((C297-B298)/C297)*100</f>
        <v/>
      </c>
      <c r="K297" s="54" t="n"/>
      <c r="L297" s="55" t="n">
        <v>1.11538461538461</v>
      </c>
      <c r="M297" s="129" t="inlineStr">
        <is>
          <t>Hard</t>
        </is>
      </c>
      <c r="N297" s="55" t="n">
        <v>0</v>
      </c>
      <c r="O297" s="57">
        <f>N297/C297</f>
        <v/>
      </c>
      <c r="P297" s="58">
        <f>(Boosters_IOS!B297*100)/Boosters_And!N297</f>
        <v/>
      </c>
      <c r="Q297" s="58">
        <f>Boosters_IOS!B297/(C297+D297)</f>
        <v/>
      </c>
      <c r="R297" s="58">
        <f>Boosters_IOS!N297/B297</f>
        <v/>
      </c>
      <c r="S297" s="55" t="n">
        <v>5.07692307692307</v>
      </c>
      <c r="T297" s="55" t="n">
        <v>31</v>
      </c>
      <c r="U297" s="135" t="n">
        <v>31700.1989731944</v>
      </c>
      <c r="V297" s="122" t="n"/>
      <c r="W297" s="136" t="n"/>
      <c r="X297" s="137" t="n"/>
      <c r="Y297" s="136" t="n"/>
      <c r="Z297" s="136" t="n"/>
      <c r="AA297" s="136" t="n"/>
      <c r="AB297" s="132" t="n"/>
      <c r="AC297" s="132" t="n"/>
      <c r="AD297" s="132" t="n"/>
      <c r="AE297" s="132" t="n"/>
      <c r="AF297" s="132" t="n"/>
      <c r="AG297" s="132" t="n"/>
      <c r="AH297" s="132" t="n"/>
      <c r="AI297" s="132" t="n"/>
      <c r="AJ297" s="132">
        <f>AB297+AC297+AD297+AE297+AF297+AG297+AH297+AI297</f>
        <v/>
      </c>
      <c r="AK297" s="59">
        <f>AL297/C297</f>
        <v/>
      </c>
      <c r="AL297" s="55" t="n"/>
    </row>
    <row r="298" ht="22.5" customHeight="1" s="150">
      <c r="A298" s="34" t="n">
        <v>296</v>
      </c>
      <c r="B298" s="50" t="n">
        <v>67</v>
      </c>
      <c r="C298" s="50" t="n">
        <v>67</v>
      </c>
      <c r="D298" s="50" t="n">
        <v>34</v>
      </c>
      <c r="E298" s="50" t="n">
        <v>13</v>
      </c>
      <c r="F298" s="51">
        <f>(C298*100)/B298</f>
        <v/>
      </c>
      <c r="G298" s="51">
        <f>(D298*100)/B298</f>
        <v/>
      </c>
      <c r="H298" s="53">
        <f>((B298-B299)/B298)*100</f>
        <v/>
      </c>
      <c r="I298" s="53">
        <f>((B298-C298)/B298)*100</f>
        <v/>
      </c>
      <c r="J298" s="53">
        <f>((C298-B299)/C298)*100</f>
        <v/>
      </c>
      <c r="K298" s="54" t="n"/>
      <c r="L298" s="55" t="n">
        <v>1.15384615384615</v>
      </c>
      <c r="M298" s="127" t="inlineStr">
        <is>
          <t>Hard</t>
        </is>
      </c>
      <c r="N298" s="55" t="n">
        <v>0</v>
      </c>
      <c r="O298" s="57">
        <f>N298/C298</f>
        <v/>
      </c>
      <c r="P298" s="58">
        <f>(Boosters_IOS!B298*100)/Boosters_And!N298</f>
        <v/>
      </c>
      <c r="Q298" s="58">
        <f>Boosters_IOS!B298/(C298+D298)</f>
        <v/>
      </c>
      <c r="R298" s="58">
        <f>Boosters_IOS!N298/B298</f>
        <v/>
      </c>
      <c r="S298" s="55" t="n">
        <v>4.92307692307692</v>
      </c>
      <c r="T298" s="55" t="n">
        <v>28</v>
      </c>
      <c r="U298" s="135" t="n">
        <v>24104.0162249391</v>
      </c>
      <c r="V298" s="122" t="n"/>
      <c r="W298" s="136" t="n"/>
      <c r="X298" s="137" t="n"/>
      <c r="Y298" s="136" t="n"/>
      <c r="Z298" s="136" t="n"/>
      <c r="AA298" s="136" t="n"/>
      <c r="AB298" s="132" t="n"/>
      <c r="AC298" s="132" t="n"/>
      <c r="AD298" s="132" t="n"/>
      <c r="AE298" s="132" t="n"/>
      <c r="AF298" s="132" t="n"/>
      <c r="AG298" s="132" t="n"/>
      <c r="AH298" s="132" t="n"/>
      <c r="AI298" s="132" t="n"/>
      <c r="AJ298" s="132">
        <f>AB298+AC298+AD298+AE298+AF298+AG298+AH298+AI298</f>
        <v/>
      </c>
      <c r="AK298" s="59">
        <f>AL298/C298</f>
        <v/>
      </c>
      <c r="AL298" s="55" t="n"/>
    </row>
    <row r="299" ht="22.5" customHeight="1" s="150">
      <c r="A299" s="34" t="n">
        <v>297</v>
      </c>
      <c r="B299" s="50" t="n">
        <v>67</v>
      </c>
      <c r="C299" s="50" t="n">
        <v>67</v>
      </c>
      <c r="D299" s="50" t="n">
        <v>28</v>
      </c>
      <c r="E299" s="50" t="n">
        <v>10</v>
      </c>
      <c r="F299" s="51">
        <f>(C299*100)/B299</f>
        <v/>
      </c>
      <c r="G299" s="51">
        <f>(D299*100)/B299</f>
        <v/>
      </c>
      <c r="H299" s="53">
        <f>((B299-B300)/B299)*100</f>
        <v/>
      </c>
      <c r="I299" s="53">
        <f>((B299-C299)/B299)*100</f>
        <v/>
      </c>
      <c r="J299" s="53">
        <f>((C299-B300)/C299)*100</f>
        <v/>
      </c>
      <c r="K299" s="54" t="n"/>
      <c r="L299" s="55" t="n">
        <v>1.23076923076923</v>
      </c>
      <c r="M299" s="120" t="inlineStr">
        <is>
          <t>Normal</t>
        </is>
      </c>
      <c r="N299" s="55" t="n">
        <v>2.49</v>
      </c>
      <c r="O299" s="57">
        <f>N299/C299</f>
        <v/>
      </c>
      <c r="P299" s="58">
        <f>(Boosters_IOS!B299*100)/Boosters_And!N299</f>
        <v/>
      </c>
      <c r="Q299" s="58">
        <f>Boosters_IOS!B299/(C299+D299)</f>
        <v/>
      </c>
      <c r="R299" s="58">
        <f>Boosters_IOS!N299/B299</f>
        <v/>
      </c>
      <c r="S299" s="55" t="n">
        <v>3.46153846153846</v>
      </c>
      <c r="T299" s="55" t="n">
        <v>26</v>
      </c>
      <c r="U299" s="135" t="n">
        <v>25264.7232662684</v>
      </c>
      <c r="V299" s="122" t="n"/>
      <c r="W299" s="136" t="n"/>
      <c r="X299" s="137" t="n"/>
      <c r="Y299" s="136" t="n"/>
      <c r="Z299" s="136" t="n"/>
      <c r="AA299" s="136" t="n"/>
      <c r="AB299" s="132" t="n"/>
      <c r="AC299" s="132" t="n"/>
      <c r="AD299" s="132" t="n"/>
      <c r="AE299" s="132" t="n"/>
      <c r="AF299" s="132" t="n"/>
      <c r="AG299" s="132" t="n"/>
      <c r="AH299" s="132" t="n"/>
      <c r="AI299" s="132" t="n"/>
      <c r="AJ299" s="132">
        <f>AB299+AC299+AD299+AE299+AF299+AG299+AH299+AI299</f>
        <v/>
      </c>
      <c r="AK299" s="59">
        <f>AL299/C299</f>
        <v/>
      </c>
      <c r="AL299" s="55" t="n"/>
    </row>
    <row r="300" ht="22.5" customHeight="1" s="150">
      <c r="A300" s="34" t="n">
        <v>298</v>
      </c>
      <c r="B300" s="50" t="n">
        <v>67</v>
      </c>
      <c r="C300" s="50" t="n">
        <v>67</v>
      </c>
      <c r="D300" s="50" t="n">
        <v>41</v>
      </c>
      <c r="E300" s="50" t="n">
        <v>39</v>
      </c>
      <c r="F300" s="51">
        <f>(C300*100)/B300</f>
        <v/>
      </c>
      <c r="G300" s="51">
        <f>(D300*100)/B300</f>
        <v/>
      </c>
      <c r="H300" s="53">
        <f>((B300-B301)/B300)*100</f>
        <v/>
      </c>
      <c r="I300" s="53">
        <f>((B300-C300)/B300)*100</f>
        <v/>
      </c>
      <c r="J300" s="53">
        <f>((C300-B301)/C300)*100</f>
        <v/>
      </c>
      <c r="K300" s="54" t="n"/>
      <c r="L300" s="55" t="n">
        <v>1.38461538461538</v>
      </c>
      <c r="M300" s="127" t="inlineStr">
        <is>
          <t>Hard</t>
        </is>
      </c>
      <c r="N300" s="55" t="n">
        <v>27.47</v>
      </c>
      <c r="O300" s="57">
        <f>N300/C300</f>
        <v/>
      </c>
      <c r="P300" s="58">
        <f>(Boosters_IOS!B300*100)/Boosters_And!N300</f>
        <v/>
      </c>
      <c r="Q300" s="58">
        <f>Boosters_IOS!B300/(C300+D300)</f>
        <v/>
      </c>
      <c r="R300" s="58">
        <f>Boosters_IOS!N300/B300</f>
        <v/>
      </c>
      <c r="S300" s="55" t="n">
        <v>6.15384615384615</v>
      </c>
      <c r="T300" s="55" t="n">
        <v>36</v>
      </c>
      <c r="U300" s="135" t="n">
        <v>45886.6183672196</v>
      </c>
      <c r="V300" s="122" t="n"/>
      <c r="W300" s="136" t="n"/>
      <c r="X300" s="137" t="n"/>
      <c r="Y300" s="136" t="n"/>
      <c r="Z300" s="136" t="n"/>
      <c r="AA300" s="136" t="n"/>
      <c r="AB300" s="132" t="n"/>
      <c r="AC300" s="132" t="n"/>
      <c r="AD300" s="132" t="n"/>
      <c r="AE300" s="132" t="n"/>
      <c r="AF300" s="132" t="n"/>
      <c r="AG300" s="132" t="n"/>
      <c r="AH300" s="132" t="n"/>
      <c r="AI300" s="132" t="n"/>
      <c r="AJ300" s="132">
        <f>AB300+AC300+AD300+AE300+AF300+AG300+AH300+AI300</f>
        <v/>
      </c>
      <c r="AK300" s="59">
        <f>AL300/C300</f>
        <v/>
      </c>
      <c r="AL300" s="55" t="n"/>
    </row>
    <row r="301" ht="22.5" customHeight="1" s="150">
      <c r="A301" s="34" t="n">
        <v>299</v>
      </c>
      <c r="B301" s="50" t="n">
        <v>64</v>
      </c>
      <c r="C301" s="50" t="n">
        <v>64</v>
      </c>
      <c r="D301" s="50" t="n">
        <v>36</v>
      </c>
      <c r="E301" s="50" t="n">
        <v>36</v>
      </c>
      <c r="F301" s="51">
        <f>(C301*100)/B301</f>
        <v/>
      </c>
      <c r="G301" s="51">
        <f>(D301*100)/B301</f>
        <v/>
      </c>
      <c r="H301" s="53">
        <f>((B301-B302)/B301)*100</f>
        <v/>
      </c>
      <c r="I301" s="53">
        <f>((B301-C301)/B301)*100</f>
        <v/>
      </c>
      <c r="J301" s="53">
        <f>((C301-B302)/C301)*100</f>
        <v/>
      </c>
      <c r="K301" s="54" t="n"/>
      <c r="L301" s="55" t="n">
        <v>1.6</v>
      </c>
      <c r="M301" s="130" t="inlineStr">
        <is>
          <t>Very Hard</t>
        </is>
      </c>
      <c r="N301" s="55" t="n">
        <v>10.98</v>
      </c>
      <c r="O301" s="57">
        <f>N301/C301</f>
        <v/>
      </c>
      <c r="P301" s="58">
        <f>(Boosters_IOS!B301*100)/Boosters_And!N301</f>
        <v/>
      </c>
      <c r="Q301" s="58">
        <f>Boosters_IOS!B301/(C301+D301)</f>
        <v/>
      </c>
      <c r="R301" s="58">
        <f>Boosters_IOS!N301/B301</f>
        <v/>
      </c>
      <c r="S301" s="55" t="n">
        <v>5.68</v>
      </c>
      <c r="T301" s="55" t="n">
        <v>34</v>
      </c>
      <c r="U301" s="135" t="n">
        <v>51612.7731044443</v>
      </c>
      <c r="V301" s="122" t="n"/>
      <c r="W301" s="136" t="n"/>
      <c r="X301" s="137" t="n"/>
      <c r="Y301" s="136" t="n"/>
      <c r="Z301" s="136" t="n"/>
      <c r="AA301" s="136" t="n"/>
      <c r="AB301" s="132" t="n"/>
      <c r="AC301" s="132" t="n"/>
      <c r="AD301" s="132" t="n"/>
      <c r="AE301" s="132" t="n"/>
      <c r="AF301" s="132" t="n"/>
      <c r="AG301" s="132" t="n"/>
      <c r="AH301" s="132" t="n"/>
      <c r="AI301" s="132" t="n"/>
      <c r="AJ301" s="132">
        <f>AB301+AC301+AD301+AE301+AF301+AG301+AH301+AI301</f>
        <v/>
      </c>
      <c r="AK301" s="59">
        <f>AL301/C301</f>
        <v/>
      </c>
      <c r="AL301" s="55" t="n"/>
    </row>
    <row r="302" ht="22.5" customHeight="1" s="150">
      <c r="A302" s="34" t="n">
        <v>300</v>
      </c>
      <c r="B302" s="50" t="n">
        <v>64</v>
      </c>
      <c r="C302" s="50" t="n">
        <v>64</v>
      </c>
      <c r="D302" s="50" t="n">
        <v>28</v>
      </c>
      <c r="E302" s="50" t="n">
        <v>18</v>
      </c>
      <c r="F302" s="51">
        <f>(C302*100)/B302</f>
        <v/>
      </c>
      <c r="G302" s="51">
        <f>(D302*100)/B302</f>
        <v/>
      </c>
      <c r="H302" s="53">
        <f>((B302-B303)/B302)*100</f>
        <v/>
      </c>
      <c r="I302" s="53">
        <f>((B302-C302)/B302)*100</f>
        <v/>
      </c>
      <c r="J302" s="53">
        <f>((C302-B303)/C302)*100</f>
        <v/>
      </c>
      <c r="K302" s="54" t="n"/>
      <c r="L302" s="55" t="n">
        <v>1.12</v>
      </c>
      <c r="M302" s="127" t="inlineStr">
        <is>
          <t>Hard</t>
        </is>
      </c>
      <c r="N302" s="55" t="n">
        <v>12.48</v>
      </c>
      <c r="O302" s="57">
        <f>N302/C302</f>
        <v/>
      </c>
      <c r="P302" s="58">
        <f>(Boosters_IOS!B302*100)/Boosters_And!N302</f>
        <v/>
      </c>
      <c r="Q302" s="58">
        <f>Boosters_IOS!B302/(C302+D302)</f>
        <v/>
      </c>
      <c r="R302" s="58">
        <f>Boosters_IOS!N302/B302</f>
        <v/>
      </c>
      <c r="S302" s="55" t="n">
        <v>5.88</v>
      </c>
      <c r="T302" s="55" t="n">
        <v>26</v>
      </c>
      <c r="U302" s="135" t="n">
        <v>41166.4097324803</v>
      </c>
      <c r="V302" s="122" t="n"/>
      <c r="W302" s="136" t="n"/>
      <c r="X302" s="137" t="n"/>
      <c r="Y302" s="136" t="n"/>
      <c r="Z302" s="136" t="n"/>
      <c r="AA302" s="136" t="n"/>
      <c r="AB302" s="132" t="n"/>
      <c r="AC302" s="132" t="n"/>
      <c r="AD302" s="132" t="n"/>
      <c r="AE302" s="132" t="n"/>
      <c r="AF302" s="132" t="n"/>
      <c r="AG302" s="132" t="n"/>
      <c r="AH302" s="132" t="n"/>
      <c r="AI302" s="132" t="n"/>
      <c r="AJ302" s="132">
        <f>AB302+AC302+AD302+AE302+AF302+AG302+AH302+AI302</f>
        <v/>
      </c>
      <c r="AK302" s="59">
        <f>AL302/C302</f>
        <v/>
      </c>
      <c r="AL302" s="55" t="n"/>
    </row>
    <row r="303" ht="22.5" customHeight="1" s="150">
      <c r="A303" s="34" t="n">
        <v>301</v>
      </c>
      <c r="B303" s="50" t="n"/>
      <c r="C303" s="50" t="n"/>
      <c r="D303" s="50" t="n"/>
      <c r="E303" s="50" t="n"/>
      <c r="F303" s="51" t="n"/>
      <c r="G303" s="51" t="n"/>
      <c r="H303" s="53" t="n"/>
      <c r="I303" s="53" t="n"/>
      <c r="J303" s="53" t="n"/>
      <c r="K303" s="111" t="n"/>
      <c r="L303" s="55" t="n"/>
      <c r="M303" s="138" t="inlineStr">
        <is>
          <t>Normal</t>
        </is>
      </c>
      <c r="N303" s="55" t="n"/>
      <c r="O303" s="57" t="n"/>
      <c r="P303" s="58" t="n"/>
      <c r="Q303" s="58" t="n"/>
      <c r="R303" s="58" t="n"/>
      <c r="S303" s="55" t="n"/>
      <c r="T303" s="55" t="n"/>
      <c r="U303" s="135" t="n"/>
      <c r="V303" s="122" t="n"/>
      <c r="W303" s="136" t="n"/>
      <c r="X303" s="137" t="n"/>
      <c r="Y303" s="136" t="n"/>
      <c r="Z303" s="136" t="n"/>
      <c r="AA303" s="136" t="n"/>
      <c r="AB303" s="132" t="n"/>
      <c r="AC303" s="132" t="n"/>
      <c r="AD303" s="132" t="n"/>
      <c r="AE303" s="132" t="n"/>
      <c r="AF303" s="132" t="n"/>
      <c r="AG303" s="132" t="n"/>
      <c r="AH303" s="132" t="n"/>
      <c r="AI303" s="132" t="n"/>
      <c r="AJ303" s="132" t="n"/>
      <c r="AK303" s="59" t="n"/>
      <c r="AL303" s="55" t="n"/>
    </row>
    <row r="304" ht="22.5" customHeight="1" s="150">
      <c r="A304" s="34" t="n">
        <v>302</v>
      </c>
      <c r="B304" s="50" t="n"/>
      <c r="C304" s="50" t="n"/>
      <c r="D304" s="50" t="n"/>
      <c r="E304" s="50" t="n"/>
      <c r="F304" s="51" t="n"/>
      <c r="G304" s="51" t="n"/>
      <c r="H304" s="53" t="n"/>
      <c r="I304" s="53" t="n"/>
      <c r="J304" s="53" t="n"/>
      <c r="K304" s="111" t="n"/>
      <c r="L304" s="55" t="n"/>
      <c r="M304" s="139" t="inlineStr">
        <is>
          <t>Normal</t>
        </is>
      </c>
      <c r="N304" s="55" t="n"/>
      <c r="O304" s="57" t="n"/>
      <c r="P304" s="58" t="n"/>
      <c r="Q304" s="58" t="n"/>
      <c r="R304" s="58" t="n"/>
      <c r="S304" s="55" t="n"/>
      <c r="T304" s="55" t="n"/>
      <c r="U304" s="135" t="n"/>
      <c r="V304" s="122" t="n"/>
      <c r="W304" s="136" t="n"/>
      <c r="X304" s="137" t="n"/>
      <c r="Y304" s="136" t="n"/>
      <c r="Z304" s="136" t="n"/>
      <c r="AA304" s="136" t="n"/>
      <c r="AB304" s="132" t="n"/>
      <c r="AC304" s="132" t="n"/>
      <c r="AD304" s="132" t="n"/>
      <c r="AE304" s="132" t="n"/>
      <c r="AF304" s="132" t="n"/>
      <c r="AG304" s="132" t="n"/>
      <c r="AH304" s="132" t="n"/>
      <c r="AI304" s="132" t="n"/>
      <c r="AJ304" s="132" t="n"/>
      <c r="AK304" s="59" t="n"/>
      <c r="AL304" s="55" t="n"/>
    </row>
    <row r="305" ht="22.5" customHeight="1" s="150">
      <c r="A305" s="34" t="n">
        <v>303</v>
      </c>
      <c r="B305" s="50" t="n"/>
      <c r="C305" s="50" t="n"/>
      <c r="D305" s="50" t="n"/>
      <c r="E305" s="50" t="n"/>
      <c r="F305" s="51" t="n"/>
      <c r="G305" s="51" t="n"/>
      <c r="H305" s="53" t="n"/>
      <c r="I305" s="53" t="n"/>
      <c r="J305" s="53" t="n"/>
      <c r="K305" s="111" t="n"/>
      <c r="L305" s="55" t="n"/>
      <c r="M305" s="140" t="inlineStr">
        <is>
          <t>Hard</t>
        </is>
      </c>
      <c r="N305" s="55" t="n"/>
      <c r="O305" s="57" t="n"/>
      <c r="P305" s="58" t="n"/>
      <c r="Q305" s="58" t="n"/>
      <c r="R305" s="58" t="n"/>
      <c r="S305" s="55" t="n"/>
      <c r="T305" s="55" t="n"/>
      <c r="U305" s="135" t="n"/>
      <c r="V305" s="122" t="n"/>
      <c r="W305" s="136" t="n"/>
      <c r="X305" s="137" t="n"/>
      <c r="Y305" s="136" t="n"/>
      <c r="Z305" s="136" t="n"/>
      <c r="AA305" s="136" t="n"/>
      <c r="AB305" s="132" t="n"/>
      <c r="AC305" s="132" t="n"/>
      <c r="AD305" s="132" t="n"/>
      <c r="AE305" s="132" t="n"/>
      <c r="AF305" s="132" t="n"/>
      <c r="AG305" s="132" t="n"/>
      <c r="AH305" s="132" t="n"/>
      <c r="AI305" s="132" t="n"/>
      <c r="AJ305" s="132" t="n"/>
      <c r="AK305" s="59" t="n"/>
      <c r="AL305" s="55" t="n"/>
    </row>
    <row r="306" ht="22.5" customHeight="1" s="150">
      <c r="A306" s="34" t="n">
        <v>304</v>
      </c>
      <c r="B306" s="50" t="n"/>
      <c r="C306" s="50" t="n"/>
      <c r="D306" s="50" t="n"/>
      <c r="E306" s="50" t="n"/>
      <c r="F306" s="51" t="n"/>
      <c r="G306" s="51" t="n"/>
      <c r="H306" s="53" t="n"/>
      <c r="I306" s="53" t="n"/>
      <c r="J306" s="53" t="n"/>
      <c r="K306" s="111" t="n"/>
      <c r="L306" s="55" t="n"/>
      <c r="M306" s="141" t="inlineStr">
        <is>
          <t>Hard</t>
        </is>
      </c>
      <c r="N306" s="55" t="n"/>
      <c r="O306" s="57" t="n"/>
      <c r="P306" s="58" t="n"/>
      <c r="Q306" s="58" t="n"/>
      <c r="R306" s="58" t="n"/>
      <c r="S306" s="55" t="n"/>
      <c r="T306" s="55" t="n"/>
      <c r="U306" s="135" t="n"/>
      <c r="V306" s="122" t="n"/>
      <c r="W306" s="136" t="n"/>
      <c r="X306" s="137" t="n"/>
      <c r="Y306" s="136" t="n"/>
      <c r="Z306" s="136" t="n"/>
      <c r="AA306" s="136" t="n"/>
      <c r="AB306" s="132" t="n"/>
      <c r="AC306" s="132" t="n"/>
      <c r="AD306" s="132" t="n"/>
      <c r="AE306" s="132" t="n"/>
      <c r="AF306" s="132" t="n"/>
      <c r="AG306" s="132" t="n"/>
      <c r="AH306" s="132" t="n"/>
      <c r="AI306" s="132" t="n"/>
      <c r="AJ306" s="132" t="n"/>
      <c r="AK306" s="59" t="n"/>
      <c r="AL306" s="55" t="n"/>
    </row>
    <row r="307" ht="22.5" customHeight="1" s="150">
      <c r="A307" s="34" t="n">
        <v>305</v>
      </c>
      <c r="B307" s="50" t="n"/>
      <c r="C307" s="50" t="n"/>
      <c r="D307" s="50" t="n"/>
      <c r="E307" s="50" t="n"/>
      <c r="F307" s="51" t="n"/>
      <c r="G307" s="51" t="n"/>
      <c r="H307" s="53" t="n"/>
      <c r="I307" s="53" t="n"/>
      <c r="J307" s="53" t="n"/>
      <c r="K307" s="111" t="n"/>
      <c r="L307" s="55" t="n"/>
      <c r="M307" s="140" t="inlineStr">
        <is>
          <t>Hard</t>
        </is>
      </c>
      <c r="N307" s="55" t="n"/>
      <c r="O307" s="57" t="n"/>
      <c r="P307" s="58" t="n"/>
      <c r="Q307" s="58" t="n"/>
      <c r="R307" s="58" t="n"/>
      <c r="S307" s="55" t="n"/>
      <c r="T307" s="55" t="n"/>
      <c r="U307" s="135" t="n"/>
      <c r="V307" s="122" t="n"/>
      <c r="W307" s="136" t="n"/>
      <c r="X307" s="137" t="n"/>
      <c r="Y307" s="136" t="n"/>
      <c r="Z307" s="136" t="n"/>
      <c r="AA307" s="136" t="n"/>
      <c r="AB307" s="132" t="n"/>
      <c r="AC307" s="132" t="n"/>
      <c r="AD307" s="132" t="n"/>
      <c r="AE307" s="132" t="n"/>
      <c r="AF307" s="132" t="n"/>
      <c r="AG307" s="132" t="n"/>
      <c r="AH307" s="132" t="n"/>
      <c r="AI307" s="132" t="n"/>
      <c r="AJ307" s="132" t="n"/>
      <c r="AK307" s="59" t="n"/>
      <c r="AL307" s="55" t="n"/>
    </row>
    <row r="308" ht="22.5" customHeight="1" s="150">
      <c r="A308" s="34" t="n">
        <v>306</v>
      </c>
      <c r="B308" s="50" t="n"/>
      <c r="C308" s="50" t="n"/>
      <c r="D308" s="50" t="n"/>
      <c r="E308" s="50" t="n"/>
      <c r="F308" s="51" t="n"/>
      <c r="G308" s="51" t="n"/>
      <c r="H308" s="53" t="n"/>
      <c r="I308" s="53" t="n"/>
      <c r="J308" s="53" t="n"/>
      <c r="K308" s="111" t="n"/>
      <c r="L308" s="55" t="n"/>
      <c r="M308" s="139" t="inlineStr">
        <is>
          <t>Normal</t>
        </is>
      </c>
      <c r="N308" s="55" t="n"/>
      <c r="O308" s="57" t="n"/>
      <c r="P308" s="58" t="n"/>
      <c r="Q308" s="58" t="n"/>
      <c r="R308" s="58" t="n"/>
      <c r="S308" s="55" t="n"/>
      <c r="T308" s="55" t="n"/>
      <c r="U308" s="135" t="n"/>
      <c r="V308" s="122" t="n"/>
      <c r="W308" s="136" t="n"/>
      <c r="X308" s="137" t="n"/>
      <c r="Y308" s="136" t="n"/>
      <c r="Z308" s="136" t="n"/>
      <c r="AA308" s="136" t="n"/>
      <c r="AB308" s="132" t="n"/>
      <c r="AC308" s="132" t="n"/>
      <c r="AD308" s="132" t="n"/>
      <c r="AE308" s="132" t="n"/>
      <c r="AF308" s="132" t="n"/>
      <c r="AG308" s="132" t="n"/>
      <c r="AH308" s="132" t="n"/>
      <c r="AI308" s="132" t="n"/>
      <c r="AJ308" s="132" t="n"/>
      <c r="AK308" s="59" t="n"/>
      <c r="AL308" s="55" t="n"/>
    </row>
    <row r="309" ht="22.5" customHeight="1" s="150">
      <c r="A309" s="34" t="n">
        <v>307</v>
      </c>
      <c r="B309" s="50" t="n"/>
      <c r="C309" s="50" t="n"/>
      <c r="D309" s="50" t="n"/>
      <c r="E309" s="50" t="n"/>
      <c r="F309" s="51" t="n"/>
      <c r="G309" s="51" t="n"/>
      <c r="H309" s="53" t="n"/>
      <c r="I309" s="53" t="n"/>
      <c r="J309" s="53" t="n"/>
      <c r="K309" s="111" t="n"/>
      <c r="L309" s="55" t="n"/>
      <c r="M309" s="140" t="inlineStr">
        <is>
          <t>Hard</t>
        </is>
      </c>
      <c r="N309" s="55" t="n"/>
      <c r="O309" s="57" t="n"/>
      <c r="P309" s="58" t="n"/>
      <c r="Q309" s="58" t="n"/>
      <c r="R309" s="58" t="n"/>
      <c r="S309" s="55" t="n"/>
      <c r="T309" s="55" t="n"/>
      <c r="U309" s="135" t="n"/>
      <c r="V309" s="122" t="n"/>
      <c r="W309" s="136" t="n"/>
      <c r="X309" s="137" t="n"/>
      <c r="Y309" s="136" t="n"/>
      <c r="Z309" s="136" t="n"/>
      <c r="AA309" s="136" t="n"/>
      <c r="AB309" s="132" t="n"/>
      <c r="AC309" s="132" t="n"/>
      <c r="AD309" s="132" t="n"/>
      <c r="AE309" s="132" t="n"/>
      <c r="AF309" s="132" t="n"/>
      <c r="AG309" s="132" t="n"/>
      <c r="AH309" s="132" t="n"/>
      <c r="AI309" s="132" t="n"/>
      <c r="AJ309" s="132" t="n"/>
      <c r="AK309" s="59" t="n"/>
      <c r="AL309" s="55" t="n"/>
    </row>
    <row r="310" ht="22.5" customHeight="1" s="150">
      <c r="A310" s="34" t="n">
        <v>308</v>
      </c>
      <c r="B310" s="50" t="n"/>
      <c r="C310" s="50" t="n"/>
      <c r="D310" s="50" t="n"/>
      <c r="E310" s="50" t="n"/>
      <c r="F310" s="51" t="n"/>
      <c r="G310" s="51" t="n"/>
      <c r="H310" s="53" t="n"/>
      <c r="I310" s="53" t="n"/>
      <c r="J310" s="53" t="n"/>
      <c r="K310" s="111" t="n"/>
      <c r="L310" s="55" t="n"/>
      <c r="M310" s="139" t="inlineStr">
        <is>
          <t>Normal</t>
        </is>
      </c>
      <c r="N310" s="55" t="n"/>
      <c r="O310" s="57" t="n"/>
      <c r="P310" s="58" t="n"/>
      <c r="Q310" s="58" t="n"/>
      <c r="R310" s="58" t="n"/>
      <c r="S310" s="55" t="n"/>
      <c r="T310" s="55" t="n"/>
      <c r="U310" s="135" t="n"/>
      <c r="V310" s="122" t="n"/>
      <c r="W310" s="136" t="n"/>
      <c r="X310" s="137" t="n"/>
      <c r="Y310" s="136" t="n"/>
      <c r="Z310" s="136" t="n"/>
      <c r="AA310" s="136" t="n"/>
      <c r="AB310" s="132" t="n"/>
      <c r="AC310" s="132" t="n"/>
      <c r="AD310" s="132" t="n"/>
      <c r="AE310" s="132" t="n"/>
      <c r="AF310" s="132" t="n"/>
      <c r="AG310" s="132" t="n"/>
      <c r="AH310" s="132" t="n"/>
      <c r="AI310" s="132" t="n"/>
      <c r="AJ310" s="132" t="n"/>
      <c r="AK310" s="59" t="n"/>
      <c r="AL310" s="55" t="n"/>
    </row>
    <row r="311" ht="22.5" customHeight="1" s="150">
      <c r="A311" s="34" t="n">
        <v>309</v>
      </c>
      <c r="B311" s="50" t="n"/>
      <c r="C311" s="50" t="n"/>
      <c r="D311" s="50" t="n"/>
      <c r="E311" s="50" t="n"/>
      <c r="F311" s="51" t="n"/>
      <c r="G311" s="51" t="n"/>
      <c r="H311" s="53" t="n"/>
      <c r="I311" s="53" t="n"/>
      <c r="J311" s="53" t="n"/>
      <c r="K311" s="111" t="n"/>
      <c r="L311" s="55" t="n"/>
      <c r="M311" s="140" t="inlineStr">
        <is>
          <t>Hard</t>
        </is>
      </c>
      <c r="N311" s="55" t="n"/>
      <c r="O311" s="57" t="n"/>
      <c r="P311" s="58" t="n"/>
      <c r="Q311" s="58" t="n"/>
      <c r="R311" s="58" t="n"/>
      <c r="S311" s="55" t="n"/>
      <c r="T311" s="55" t="n"/>
      <c r="U311" s="135" t="n"/>
      <c r="V311" s="122" t="n"/>
      <c r="W311" s="136" t="n"/>
      <c r="X311" s="137" t="n"/>
      <c r="Y311" s="136" t="n"/>
      <c r="Z311" s="136" t="n"/>
      <c r="AA311" s="136" t="n"/>
      <c r="AB311" s="132" t="n"/>
      <c r="AC311" s="132" t="n"/>
      <c r="AD311" s="132" t="n"/>
      <c r="AE311" s="132" t="n"/>
      <c r="AF311" s="132" t="n"/>
      <c r="AG311" s="132" t="n"/>
      <c r="AH311" s="132" t="n"/>
      <c r="AI311" s="132" t="n"/>
      <c r="AJ311" s="132" t="n"/>
      <c r="AK311" s="59" t="n"/>
      <c r="AL311" s="55" t="n"/>
    </row>
    <row r="312" ht="22.5" customHeight="1" s="150">
      <c r="A312" s="34" t="n">
        <v>310</v>
      </c>
      <c r="B312" s="50" t="n"/>
      <c r="C312" s="50" t="n"/>
      <c r="D312" s="50" t="n"/>
      <c r="E312" s="50" t="n"/>
      <c r="F312" s="51" t="n"/>
      <c r="G312" s="51" t="n"/>
      <c r="H312" s="53" t="n"/>
      <c r="I312" s="53" t="n"/>
      <c r="J312" s="53" t="n"/>
      <c r="K312" s="111" t="n"/>
      <c r="L312" s="55" t="n"/>
      <c r="M312" s="139" t="inlineStr">
        <is>
          <t>Normal</t>
        </is>
      </c>
      <c r="N312" s="55" t="n"/>
      <c r="O312" s="57" t="n"/>
      <c r="P312" s="58" t="n"/>
      <c r="Q312" s="58" t="n"/>
      <c r="R312" s="58" t="n"/>
      <c r="S312" s="55" t="n"/>
      <c r="T312" s="55" t="n"/>
      <c r="U312" s="135" t="n"/>
      <c r="V312" s="122" t="n"/>
      <c r="W312" s="136" t="n"/>
      <c r="X312" s="137" t="n"/>
      <c r="Y312" s="136" t="n"/>
      <c r="Z312" s="136" t="n"/>
      <c r="AA312" s="136" t="n"/>
      <c r="AB312" s="132" t="n"/>
      <c r="AC312" s="132" t="n"/>
      <c r="AD312" s="132" t="n"/>
      <c r="AE312" s="132" t="n"/>
      <c r="AF312" s="132" t="n"/>
      <c r="AG312" s="132" t="n"/>
      <c r="AH312" s="132" t="n"/>
      <c r="AI312" s="132" t="n"/>
      <c r="AJ312" s="132" t="n"/>
      <c r="AK312" s="59" t="n"/>
      <c r="AL312" s="55" t="n"/>
    </row>
    <row r="313" ht="22.5" customHeight="1" s="150">
      <c r="A313" s="34" t="n">
        <v>311</v>
      </c>
      <c r="B313" s="50" t="n"/>
      <c r="C313" s="50" t="n"/>
      <c r="D313" s="50" t="n"/>
      <c r="E313" s="50" t="n"/>
      <c r="F313" s="51" t="n"/>
      <c r="G313" s="51" t="n"/>
      <c r="H313" s="53" t="n"/>
      <c r="I313" s="53" t="n"/>
      <c r="J313" s="53" t="n"/>
      <c r="K313" s="111" t="n"/>
      <c r="L313" s="55" t="n"/>
      <c r="M313" s="138" t="inlineStr">
        <is>
          <t>Normal</t>
        </is>
      </c>
      <c r="N313" s="55" t="n"/>
      <c r="O313" s="57" t="n"/>
      <c r="P313" s="58" t="n"/>
      <c r="Q313" s="58" t="n"/>
      <c r="R313" s="58" t="n"/>
      <c r="S313" s="55" t="n"/>
      <c r="T313" s="55" t="n"/>
      <c r="U313" s="135" t="n"/>
      <c r="V313" s="122" t="n"/>
      <c r="W313" s="136" t="n"/>
      <c r="X313" s="137" t="n"/>
      <c r="Y313" s="136" t="n"/>
      <c r="Z313" s="136" t="n"/>
      <c r="AA313" s="136" t="n"/>
      <c r="AB313" s="132" t="n"/>
      <c r="AC313" s="132" t="n"/>
      <c r="AD313" s="132" t="n"/>
      <c r="AE313" s="132" t="n"/>
      <c r="AF313" s="132" t="n"/>
      <c r="AG313" s="132" t="n"/>
      <c r="AH313" s="132" t="n"/>
      <c r="AI313" s="132" t="n"/>
      <c r="AJ313" s="132" t="n"/>
      <c r="AK313" s="59" t="n"/>
      <c r="AL313" s="55" t="n"/>
    </row>
    <row r="314" ht="22.5" customHeight="1" s="150">
      <c r="A314" s="34" t="n">
        <v>312</v>
      </c>
      <c r="B314" s="50" t="n"/>
      <c r="C314" s="50" t="n"/>
      <c r="D314" s="50" t="n"/>
      <c r="E314" s="50" t="n"/>
      <c r="F314" s="51" t="n"/>
      <c r="G314" s="51" t="n"/>
      <c r="H314" s="53" t="n"/>
      <c r="I314" s="53" t="n"/>
      <c r="J314" s="53" t="n"/>
      <c r="K314" s="111" t="n"/>
      <c r="L314" s="55" t="n"/>
      <c r="M314" s="139" t="inlineStr">
        <is>
          <t>Normal</t>
        </is>
      </c>
      <c r="N314" s="55" t="n"/>
      <c r="O314" s="57" t="n"/>
      <c r="P314" s="58" t="n"/>
      <c r="Q314" s="58" t="n"/>
      <c r="R314" s="58" t="n"/>
      <c r="S314" s="55" t="n"/>
      <c r="T314" s="55" t="n"/>
      <c r="U314" s="135" t="n"/>
      <c r="V314" s="122" t="n"/>
      <c r="W314" s="136" t="n"/>
      <c r="X314" s="137" t="n"/>
      <c r="Y314" s="136" t="n"/>
      <c r="Z314" s="136" t="n"/>
      <c r="AA314" s="136" t="n"/>
      <c r="AB314" s="132" t="n"/>
      <c r="AC314" s="132" t="n"/>
      <c r="AD314" s="132" t="n"/>
      <c r="AE314" s="132" t="n"/>
      <c r="AF314" s="132" t="n"/>
      <c r="AG314" s="132" t="n"/>
      <c r="AH314" s="132" t="n"/>
      <c r="AI314" s="132" t="n"/>
      <c r="AJ314" s="132" t="n"/>
      <c r="AK314" s="59" t="n"/>
      <c r="AL314" s="55" t="n"/>
    </row>
    <row r="315" ht="22.5" customHeight="1" s="150">
      <c r="A315" s="34" t="n">
        <v>313</v>
      </c>
      <c r="B315" s="50" t="n"/>
      <c r="C315" s="50" t="n"/>
      <c r="D315" s="50" t="n"/>
      <c r="E315" s="50" t="n"/>
      <c r="F315" s="51" t="n"/>
      <c r="G315" s="51" t="n"/>
      <c r="H315" s="53" t="n"/>
      <c r="I315" s="53" t="n"/>
      <c r="J315" s="53" t="n"/>
      <c r="K315" s="111" t="n"/>
      <c r="L315" s="55" t="n"/>
      <c r="M315" s="140" t="inlineStr">
        <is>
          <t>Hard</t>
        </is>
      </c>
      <c r="N315" s="55" t="n"/>
      <c r="O315" s="57" t="n"/>
      <c r="P315" s="58" t="n"/>
      <c r="Q315" s="58" t="n"/>
      <c r="R315" s="58" t="n"/>
      <c r="S315" s="55" t="n"/>
      <c r="T315" s="55" t="n"/>
      <c r="U315" s="135" t="n"/>
      <c r="V315" s="122" t="n"/>
      <c r="W315" s="136" t="n"/>
      <c r="X315" s="137" t="n"/>
      <c r="Y315" s="136" t="n"/>
      <c r="Z315" s="136" t="n"/>
      <c r="AA315" s="136" t="n"/>
      <c r="AB315" s="132" t="n"/>
      <c r="AC315" s="132" t="n"/>
      <c r="AD315" s="132" t="n"/>
      <c r="AE315" s="132" t="n"/>
      <c r="AF315" s="132" t="n"/>
      <c r="AG315" s="132" t="n"/>
      <c r="AH315" s="132" t="n"/>
      <c r="AI315" s="132" t="n"/>
      <c r="AJ315" s="132" t="n"/>
      <c r="AK315" s="59" t="n"/>
      <c r="AL315" s="55" t="n"/>
    </row>
    <row r="316" ht="22.5" customHeight="1" s="150">
      <c r="A316" s="34" t="n">
        <v>314</v>
      </c>
      <c r="B316" s="50" t="n"/>
      <c r="C316" s="50" t="n"/>
      <c r="D316" s="50" t="n"/>
      <c r="E316" s="50" t="n"/>
      <c r="F316" s="51" t="n"/>
      <c r="G316" s="51" t="n"/>
      <c r="H316" s="53" t="n"/>
      <c r="I316" s="53" t="n"/>
      <c r="J316" s="53" t="n"/>
      <c r="K316" s="111" t="n"/>
      <c r="L316" s="55" t="n"/>
      <c r="M316" s="141" t="inlineStr">
        <is>
          <t>Hard</t>
        </is>
      </c>
      <c r="N316" s="55" t="n"/>
      <c r="O316" s="57" t="n"/>
      <c r="P316" s="58" t="n"/>
      <c r="Q316" s="58" t="n"/>
      <c r="R316" s="58" t="n"/>
      <c r="S316" s="55" t="n"/>
      <c r="T316" s="55" t="n"/>
      <c r="U316" s="135" t="n"/>
      <c r="V316" s="122" t="n"/>
      <c r="W316" s="136" t="n"/>
      <c r="X316" s="137" t="n"/>
      <c r="Y316" s="136" t="n"/>
      <c r="Z316" s="136" t="n"/>
      <c r="AA316" s="136" t="n"/>
      <c r="AB316" s="132" t="n"/>
      <c r="AC316" s="132" t="n"/>
      <c r="AD316" s="132" t="n"/>
      <c r="AE316" s="132" t="n"/>
      <c r="AF316" s="132" t="n"/>
      <c r="AG316" s="132" t="n"/>
      <c r="AH316" s="132" t="n"/>
      <c r="AI316" s="132" t="n"/>
      <c r="AJ316" s="132" t="n"/>
      <c r="AK316" s="59" t="n"/>
      <c r="AL316" s="55" t="n"/>
    </row>
    <row r="317" ht="22.5" customHeight="1" s="150">
      <c r="A317" s="34" t="n">
        <v>315</v>
      </c>
      <c r="B317" s="50" t="n"/>
      <c r="C317" s="50" t="n"/>
      <c r="D317" s="50" t="n"/>
      <c r="E317" s="50" t="n"/>
      <c r="F317" s="51" t="n"/>
      <c r="G317" s="51" t="n"/>
      <c r="H317" s="53" t="n"/>
      <c r="I317" s="53" t="n"/>
      <c r="J317" s="53" t="n"/>
      <c r="K317" s="111" t="n"/>
      <c r="L317" s="55" t="n"/>
      <c r="M317" s="142" t="inlineStr">
        <is>
          <t>Very Hard</t>
        </is>
      </c>
      <c r="N317" s="55" t="n"/>
      <c r="O317" s="57" t="n"/>
      <c r="P317" s="58" t="n"/>
      <c r="Q317" s="58" t="n"/>
      <c r="R317" s="58" t="n"/>
      <c r="S317" s="55" t="n"/>
      <c r="T317" s="55" t="n"/>
      <c r="U317" s="135" t="n"/>
      <c r="V317" s="122" t="n"/>
      <c r="W317" s="136" t="n"/>
      <c r="X317" s="137" t="n"/>
      <c r="Y317" s="136" t="n"/>
      <c r="Z317" s="136" t="n"/>
      <c r="AA317" s="136" t="n"/>
      <c r="AB317" s="132" t="n"/>
      <c r="AC317" s="132" t="n"/>
      <c r="AD317" s="132" t="n"/>
      <c r="AE317" s="132" t="n"/>
      <c r="AF317" s="132" t="n"/>
      <c r="AG317" s="132" t="n"/>
      <c r="AH317" s="132" t="n"/>
      <c r="AI317" s="132" t="n"/>
      <c r="AJ317" s="132" t="n"/>
      <c r="AK317" s="59" t="n"/>
      <c r="AL317" s="55" t="n"/>
    </row>
    <row r="318" ht="22.5" customHeight="1" s="150">
      <c r="A318" s="34" t="n">
        <v>316</v>
      </c>
      <c r="B318" s="50" t="n"/>
      <c r="C318" s="50" t="n"/>
      <c r="D318" s="50" t="n"/>
      <c r="E318" s="50" t="n"/>
      <c r="F318" s="51" t="n"/>
      <c r="G318" s="51" t="n"/>
      <c r="H318" s="53" t="n"/>
      <c r="I318" s="53" t="n"/>
      <c r="J318" s="53" t="n"/>
      <c r="K318" s="111" t="n"/>
      <c r="L318" s="55" t="n"/>
      <c r="M318" s="139" t="inlineStr">
        <is>
          <t>Normal</t>
        </is>
      </c>
      <c r="N318" s="55" t="n"/>
      <c r="O318" s="57" t="n"/>
      <c r="P318" s="58" t="n"/>
      <c r="Q318" s="58" t="n"/>
      <c r="R318" s="58" t="n"/>
      <c r="S318" s="55" t="n"/>
      <c r="T318" s="55" t="n"/>
      <c r="U318" s="135" t="n"/>
      <c r="V318" s="122" t="n"/>
      <c r="W318" s="136" t="n"/>
      <c r="X318" s="137" t="n"/>
      <c r="Y318" s="136" t="n"/>
      <c r="Z318" s="136" t="n"/>
      <c r="AA318" s="136" t="n"/>
      <c r="AB318" s="132" t="n"/>
      <c r="AC318" s="132" t="n"/>
      <c r="AD318" s="132" t="n"/>
      <c r="AE318" s="132" t="n"/>
      <c r="AF318" s="132" t="n"/>
      <c r="AG318" s="132" t="n"/>
      <c r="AH318" s="132" t="n"/>
      <c r="AI318" s="132" t="n"/>
      <c r="AJ318" s="132" t="n"/>
      <c r="AK318" s="59" t="n"/>
      <c r="AL318" s="55" t="n"/>
    </row>
    <row r="319" ht="22.5" customHeight="1" s="150">
      <c r="A319" s="34" t="n">
        <v>317</v>
      </c>
      <c r="B319" s="50" t="n"/>
      <c r="C319" s="50" t="n"/>
      <c r="D319" s="50" t="n"/>
      <c r="E319" s="50" t="n"/>
      <c r="F319" s="51" t="n"/>
      <c r="G319" s="51" t="n"/>
      <c r="H319" s="53" t="n"/>
      <c r="I319" s="53" t="n"/>
      <c r="J319" s="53" t="n"/>
      <c r="K319" s="111" t="n"/>
      <c r="L319" s="55" t="n"/>
      <c r="M319" s="138" t="inlineStr">
        <is>
          <t>Normal</t>
        </is>
      </c>
      <c r="N319" s="55" t="n"/>
      <c r="O319" s="57" t="n"/>
      <c r="P319" s="58" t="n"/>
      <c r="Q319" s="58" t="n"/>
      <c r="R319" s="58" t="n"/>
      <c r="S319" s="55" t="n"/>
      <c r="T319" s="55" t="n"/>
      <c r="U319" s="135" t="n"/>
      <c r="V319" s="122" t="n"/>
      <c r="W319" s="136" t="n"/>
      <c r="X319" s="137" t="n"/>
      <c r="Y319" s="136" t="n"/>
      <c r="Z319" s="136" t="n"/>
      <c r="AA319" s="136" t="n"/>
      <c r="AB319" s="132" t="n"/>
      <c r="AC319" s="132" t="n"/>
      <c r="AD319" s="132" t="n"/>
      <c r="AE319" s="132" t="n"/>
      <c r="AF319" s="132" t="n"/>
      <c r="AG319" s="132" t="n"/>
      <c r="AH319" s="132" t="n"/>
      <c r="AI319" s="132" t="n"/>
      <c r="AJ319" s="132" t="n"/>
      <c r="AK319" s="59" t="n"/>
      <c r="AL319" s="55" t="n"/>
    </row>
    <row r="320" ht="22.5" customHeight="1" s="150">
      <c r="A320" s="34" t="n">
        <v>318</v>
      </c>
      <c r="B320" s="50" t="n"/>
      <c r="C320" s="50" t="n"/>
      <c r="D320" s="50" t="n"/>
      <c r="E320" s="50" t="n"/>
      <c r="F320" s="51" t="n"/>
      <c r="G320" s="51" t="n"/>
      <c r="H320" s="53" t="n"/>
      <c r="I320" s="53" t="n"/>
      <c r="J320" s="53" t="n"/>
      <c r="K320" s="111" t="n"/>
      <c r="L320" s="55" t="n"/>
      <c r="M320" s="141" t="inlineStr">
        <is>
          <t>Hard</t>
        </is>
      </c>
      <c r="N320" s="55" t="n"/>
      <c r="O320" s="57" t="n"/>
      <c r="P320" s="58" t="n"/>
      <c r="Q320" s="58" t="n"/>
      <c r="R320" s="58" t="n"/>
      <c r="S320" s="55" t="n"/>
      <c r="T320" s="55" t="n"/>
      <c r="U320" s="135" t="n"/>
      <c r="V320" s="122" t="n"/>
      <c r="W320" s="136" t="n"/>
      <c r="X320" s="137" t="n"/>
      <c r="Y320" s="136" t="n"/>
      <c r="Z320" s="136" t="n"/>
      <c r="AA320" s="136" t="n"/>
      <c r="AB320" s="132" t="n"/>
      <c r="AC320" s="132" t="n"/>
      <c r="AD320" s="132" t="n"/>
      <c r="AE320" s="132" t="n"/>
      <c r="AF320" s="132" t="n"/>
      <c r="AG320" s="132" t="n"/>
      <c r="AH320" s="132" t="n"/>
      <c r="AI320" s="132" t="n"/>
      <c r="AJ320" s="132" t="n"/>
      <c r="AK320" s="59" t="n"/>
      <c r="AL320" s="55" t="n"/>
    </row>
    <row r="321" ht="22.5" customHeight="1" s="150">
      <c r="A321" s="34" t="n">
        <v>319</v>
      </c>
      <c r="B321" s="50" t="n"/>
      <c r="C321" s="50" t="n"/>
      <c r="D321" s="50" t="n"/>
      <c r="E321" s="50" t="n"/>
      <c r="F321" s="51" t="n"/>
      <c r="G321" s="51" t="n"/>
      <c r="H321" s="53" t="n"/>
      <c r="I321" s="53" t="n"/>
      <c r="J321" s="53" t="n"/>
      <c r="K321" s="111" t="n"/>
      <c r="L321" s="55" t="n"/>
      <c r="M321" s="138" t="inlineStr">
        <is>
          <t>Normal</t>
        </is>
      </c>
      <c r="N321" s="55" t="n"/>
      <c r="O321" s="57" t="n"/>
      <c r="P321" s="58" t="n"/>
      <c r="Q321" s="58" t="n"/>
      <c r="R321" s="58" t="n"/>
      <c r="S321" s="55" t="n"/>
      <c r="T321" s="55" t="n"/>
      <c r="U321" s="135" t="n"/>
      <c r="V321" s="122" t="n"/>
      <c r="W321" s="136" t="n"/>
      <c r="X321" s="137" t="n"/>
      <c r="Y321" s="136" t="n"/>
      <c r="Z321" s="136" t="n"/>
      <c r="AA321" s="136" t="n"/>
      <c r="AB321" s="132" t="n"/>
      <c r="AC321" s="132" t="n"/>
      <c r="AD321" s="132" t="n"/>
      <c r="AE321" s="132" t="n"/>
      <c r="AF321" s="132" t="n"/>
      <c r="AG321" s="132" t="n"/>
      <c r="AH321" s="132" t="n"/>
      <c r="AI321" s="132" t="n"/>
      <c r="AJ321" s="132" t="n"/>
      <c r="AK321" s="59" t="n"/>
      <c r="AL321" s="55" t="n"/>
    </row>
    <row r="322" ht="22.5" customHeight="1" s="150">
      <c r="A322" s="34" t="n">
        <v>320</v>
      </c>
      <c r="B322" s="50" t="n"/>
      <c r="C322" s="50" t="n"/>
      <c r="D322" s="50" t="n"/>
      <c r="E322" s="50" t="n"/>
      <c r="F322" s="51" t="n"/>
      <c r="G322" s="51" t="n"/>
      <c r="H322" s="53" t="n"/>
      <c r="I322" s="53" t="n"/>
      <c r="J322" s="53" t="n"/>
      <c r="K322" s="111" t="n"/>
      <c r="L322" s="55" t="n"/>
      <c r="M322" s="139" t="inlineStr">
        <is>
          <t>Normal</t>
        </is>
      </c>
      <c r="N322" s="55" t="n"/>
      <c r="O322" s="57" t="n"/>
      <c r="P322" s="58" t="n"/>
      <c r="Q322" s="58" t="n"/>
      <c r="R322" s="58" t="n"/>
      <c r="S322" s="55" t="n"/>
      <c r="T322" s="55" t="n"/>
      <c r="U322" s="135" t="n"/>
      <c r="V322" s="122" t="n"/>
      <c r="W322" s="136" t="n"/>
      <c r="X322" s="137" t="n"/>
      <c r="Y322" s="136" t="n"/>
      <c r="Z322" s="136" t="n"/>
      <c r="AA322" s="136" t="n"/>
      <c r="AB322" s="132" t="n"/>
      <c r="AC322" s="132" t="n"/>
      <c r="AD322" s="132" t="n"/>
      <c r="AE322" s="132" t="n"/>
      <c r="AF322" s="132" t="n"/>
      <c r="AG322" s="132" t="n"/>
      <c r="AH322" s="132" t="n"/>
      <c r="AI322" s="132" t="n"/>
      <c r="AJ322" s="132" t="n"/>
      <c r="AK322" s="59" t="n"/>
      <c r="AL322" s="55" t="n"/>
    </row>
    <row r="323" ht="22.5" customHeight="1" s="150">
      <c r="A323" s="34" t="n">
        <v>321</v>
      </c>
      <c r="B323" s="50" t="n"/>
      <c r="C323" s="50" t="n"/>
      <c r="D323" s="50" t="n"/>
      <c r="E323" s="50" t="n"/>
      <c r="F323" s="51" t="n"/>
      <c r="G323" s="51" t="n"/>
      <c r="H323" s="53" t="n"/>
      <c r="I323" s="53" t="n"/>
      <c r="J323" s="53" t="n"/>
      <c r="K323" s="111" t="n"/>
      <c r="L323" s="55" t="n"/>
      <c r="M323" s="140" t="inlineStr">
        <is>
          <t>Hard</t>
        </is>
      </c>
      <c r="N323" s="55" t="n"/>
      <c r="O323" s="57" t="n"/>
      <c r="P323" s="58" t="n"/>
      <c r="Q323" s="58" t="n"/>
      <c r="R323" s="58" t="n"/>
      <c r="S323" s="55" t="n"/>
      <c r="T323" s="55" t="n"/>
      <c r="U323" s="135" t="n"/>
      <c r="V323" s="122" t="n"/>
      <c r="W323" s="136" t="n"/>
      <c r="X323" s="137" t="n"/>
      <c r="Y323" s="136" t="n"/>
      <c r="Z323" s="136" t="n"/>
      <c r="AA323" s="136" t="n"/>
      <c r="AB323" s="132" t="n"/>
      <c r="AC323" s="132" t="n"/>
      <c r="AD323" s="132" t="n"/>
      <c r="AE323" s="132" t="n"/>
      <c r="AF323" s="132" t="n"/>
      <c r="AG323" s="132" t="n"/>
      <c r="AH323" s="132" t="n"/>
      <c r="AI323" s="132" t="n"/>
      <c r="AJ323" s="132" t="n"/>
      <c r="AK323" s="59" t="n"/>
      <c r="AL323" s="55" t="n"/>
    </row>
    <row r="324" ht="22.5" customHeight="1" s="150">
      <c r="A324" s="34" t="n">
        <v>322</v>
      </c>
      <c r="B324" s="50" t="n"/>
      <c r="C324" s="50" t="n"/>
      <c r="D324" s="50" t="n"/>
      <c r="E324" s="50" t="n"/>
      <c r="F324" s="51" t="n"/>
      <c r="G324" s="51" t="n"/>
      <c r="H324" s="53" t="n"/>
      <c r="I324" s="53" t="n"/>
      <c r="J324" s="53" t="n"/>
      <c r="K324" s="111" t="n"/>
      <c r="L324" s="55" t="n"/>
      <c r="M324" s="143" t="inlineStr">
        <is>
          <t>Very Hard</t>
        </is>
      </c>
      <c r="N324" s="55" t="n"/>
      <c r="O324" s="57" t="n"/>
      <c r="P324" s="58" t="n"/>
      <c r="Q324" s="58" t="n"/>
      <c r="R324" s="58" t="n"/>
      <c r="S324" s="55" t="n"/>
      <c r="T324" s="55" t="n"/>
      <c r="U324" s="135" t="n"/>
      <c r="V324" s="122" t="n"/>
      <c r="W324" s="136" t="n"/>
      <c r="X324" s="137" t="n"/>
      <c r="Y324" s="136" t="n"/>
      <c r="Z324" s="136" t="n"/>
      <c r="AA324" s="136" t="n"/>
      <c r="AB324" s="132" t="n"/>
      <c r="AC324" s="132" t="n"/>
      <c r="AD324" s="132" t="n"/>
      <c r="AE324" s="132" t="n"/>
      <c r="AF324" s="132" t="n"/>
      <c r="AG324" s="132" t="n"/>
      <c r="AH324" s="132" t="n"/>
      <c r="AI324" s="132" t="n"/>
      <c r="AJ324" s="132" t="n"/>
      <c r="AK324" s="59" t="n"/>
      <c r="AL324" s="55" t="n"/>
    </row>
    <row r="325" ht="22.5" customHeight="1" s="150">
      <c r="A325" s="34" t="n">
        <v>323</v>
      </c>
      <c r="B325" s="50" t="n"/>
      <c r="C325" s="50" t="n"/>
      <c r="D325" s="50" t="n"/>
      <c r="E325" s="50" t="n"/>
      <c r="F325" s="51" t="n"/>
      <c r="G325" s="51" t="n"/>
      <c r="H325" s="53" t="n"/>
      <c r="I325" s="53" t="n"/>
      <c r="J325" s="53" t="n"/>
      <c r="K325" s="111" t="n"/>
      <c r="L325" s="55" t="n"/>
      <c r="M325" s="138" t="inlineStr">
        <is>
          <t>Normal</t>
        </is>
      </c>
      <c r="N325" s="55" t="n"/>
      <c r="O325" s="57" t="n"/>
      <c r="P325" s="58" t="n"/>
      <c r="Q325" s="58" t="n"/>
      <c r="R325" s="58" t="n"/>
      <c r="S325" s="55" t="n"/>
      <c r="T325" s="55" t="n"/>
      <c r="U325" s="135" t="n"/>
      <c r="V325" s="122" t="n"/>
      <c r="W325" s="136" t="n"/>
      <c r="X325" s="137" t="n"/>
      <c r="Y325" s="136" t="n"/>
      <c r="Z325" s="136" t="n"/>
      <c r="AA325" s="136" t="n"/>
      <c r="AB325" s="132" t="n"/>
      <c r="AC325" s="132" t="n"/>
      <c r="AD325" s="132" t="n"/>
      <c r="AE325" s="132" t="n"/>
      <c r="AF325" s="132" t="n"/>
      <c r="AG325" s="132" t="n"/>
      <c r="AH325" s="132" t="n"/>
      <c r="AI325" s="132" t="n"/>
      <c r="AJ325" s="132" t="n"/>
      <c r="AK325" s="59" t="n"/>
      <c r="AL325" s="55" t="n"/>
    </row>
    <row r="326" ht="22.5" customHeight="1" s="150">
      <c r="A326" s="34" t="n">
        <v>324</v>
      </c>
      <c r="B326" s="50" t="n"/>
      <c r="C326" s="50" t="n"/>
      <c r="D326" s="50" t="n"/>
      <c r="E326" s="50" t="n"/>
      <c r="F326" s="51" t="n"/>
      <c r="G326" s="51" t="n"/>
      <c r="H326" s="53" t="n"/>
      <c r="I326" s="53" t="n"/>
      <c r="J326" s="53" t="n"/>
      <c r="K326" s="111" t="n"/>
      <c r="L326" s="55" t="n"/>
      <c r="M326" s="139" t="inlineStr">
        <is>
          <t>Normal</t>
        </is>
      </c>
      <c r="N326" s="55" t="n"/>
      <c r="O326" s="57" t="n"/>
      <c r="P326" s="58" t="n"/>
      <c r="Q326" s="58" t="n"/>
      <c r="R326" s="58" t="n"/>
      <c r="S326" s="55" t="n"/>
      <c r="T326" s="55" t="n"/>
      <c r="U326" s="135" t="n"/>
      <c r="V326" s="122" t="n"/>
      <c r="W326" s="136" t="n"/>
      <c r="X326" s="137" t="n"/>
      <c r="Y326" s="136" t="n"/>
      <c r="Z326" s="136" t="n"/>
      <c r="AA326" s="136" t="n"/>
      <c r="AB326" s="132" t="n"/>
      <c r="AC326" s="132" t="n"/>
      <c r="AD326" s="132" t="n"/>
      <c r="AE326" s="132" t="n"/>
      <c r="AF326" s="132" t="n"/>
      <c r="AG326" s="132" t="n"/>
      <c r="AH326" s="132" t="n"/>
      <c r="AI326" s="132" t="n"/>
      <c r="AJ326" s="132" t="n"/>
      <c r="AK326" s="59" t="n"/>
      <c r="AL326" s="55" t="n"/>
    </row>
    <row r="327" ht="22.5" customHeight="1" s="150">
      <c r="A327" s="34" t="n">
        <v>325</v>
      </c>
      <c r="B327" s="50" t="n"/>
      <c r="C327" s="50" t="n"/>
      <c r="D327" s="50" t="n"/>
      <c r="E327" s="50" t="n"/>
      <c r="F327" s="51" t="n"/>
      <c r="G327" s="51" t="n"/>
      <c r="H327" s="53" t="n"/>
      <c r="I327" s="53" t="n"/>
      <c r="J327" s="53" t="n"/>
      <c r="K327" s="111" t="n"/>
      <c r="L327" s="55" t="n"/>
      <c r="M327" s="138" t="inlineStr">
        <is>
          <t>Normal</t>
        </is>
      </c>
      <c r="N327" s="55" t="n"/>
      <c r="O327" s="57" t="n"/>
      <c r="P327" s="58" t="n"/>
      <c r="Q327" s="58" t="n"/>
      <c r="R327" s="58" t="n"/>
      <c r="S327" s="55" t="n"/>
      <c r="T327" s="55" t="n"/>
      <c r="U327" s="135" t="n"/>
      <c r="V327" s="122" t="n"/>
      <c r="W327" s="136" t="n"/>
      <c r="X327" s="137" t="n"/>
      <c r="Y327" s="136" t="n"/>
      <c r="Z327" s="136" t="n"/>
      <c r="AA327" s="136" t="n"/>
      <c r="AB327" s="132" t="n"/>
      <c r="AC327" s="132" t="n"/>
      <c r="AD327" s="132" t="n"/>
      <c r="AE327" s="132" t="n"/>
      <c r="AF327" s="132" t="n"/>
      <c r="AG327" s="132" t="n"/>
      <c r="AH327" s="132" t="n"/>
      <c r="AI327" s="132" t="n"/>
      <c r="AJ327" s="132" t="n"/>
      <c r="AK327" s="59" t="n"/>
      <c r="AL327" s="55" t="n"/>
    </row>
    <row r="328" ht="22.5" customHeight="1" s="150">
      <c r="A328" s="34" t="n">
        <v>326</v>
      </c>
      <c r="B328" s="50" t="n"/>
      <c r="C328" s="50" t="n"/>
      <c r="D328" s="50" t="n"/>
      <c r="E328" s="50" t="n"/>
      <c r="F328" s="51" t="n"/>
      <c r="G328" s="51" t="n"/>
      <c r="H328" s="53" t="n"/>
      <c r="I328" s="53" t="n"/>
      <c r="J328" s="53" t="n"/>
      <c r="K328" s="111" t="n"/>
      <c r="L328" s="55" t="n"/>
      <c r="M328" s="139" t="inlineStr">
        <is>
          <t>Normal</t>
        </is>
      </c>
      <c r="N328" s="55" t="n"/>
      <c r="O328" s="57" t="n"/>
      <c r="P328" s="58" t="n"/>
      <c r="Q328" s="58" t="n"/>
      <c r="R328" s="58" t="n"/>
      <c r="S328" s="55" t="n"/>
      <c r="T328" s="55" t="n"/>
      <c r="U328" s="135" t="n"/>
      <c r="V328" s="122" t="n"/>
      <c r="W328" s="136" t="n"/>
      <c r="X328" s="137" t="n"/>
      <c r="Y328" s="136" t="n"/>
      <c r="Z328" s="136" t="n"/>
      <c r="AA328" s="136" t="n"/>
      <c r="AB328" s="132" t="n"/>
      <c r="AC328" s="132" t="n"/>
      <c r="AD328" s="132" t="n"/>
      <c r="AE328" s="132" t="n"/>
      <c r="AF328" s="132" t="n"/>
      <c r="AG328" s="132" t="n"/>
      <c r="AH328" s="132" t="n"/>
      <c r="AI328" s="132" t="n"/>
      <c r="AJ328" s="132" t="n"/>
      <c r="AK328" s="59" t="n"/>
      <c r="AL328" s="55" t="n"/>
    </row>
    <row r="329" ht="22.5" customHeight="1" s="150">
      <c r="A329" s="34" t="n">
        <v>327</v>
      </c>
      <c r="B329" s="50" t="n"/>
      <c r="C329" s="50" t="n"/>
      <c r="D329" s="50" t="n"/>
      <c r="E329" s="50" t="n"/>
      <c r="F329" s="51" t="n"/>
      <c r="G329" s="51" t="n"/>
      <c r="H329" s="53" t="n"/>
      <c r="I329" s="53" t="n"/>
      <c r="J329" s="53" t="n"/>
      <c r="K329" s="111" t="n"/>
      <c r="L329" s="55" t="n"/>
      <c r="M329" s="140" t="inlineStr">
        <is>
          <t>Hard</t>
        </is>
      </c>
      <c r="N329" s="55" t="n"/>
      <c r="O329" s="57" t="n"/>
      <c r="P329" s="58" t="n"/>
      <c r="Q329" s="58" t="n"/>
      <c r="R329" s="58" t="n"/>
      <c r="S329" s="55" t="n"/>
      <c r="T329" s="55" t="n"/>
      <c r="U329" s="135" t="n"/>
      <c r="V329" s="122" t="n"/>
      <c r="W329" s="136" t="n"/>
      <c r="X329" s="137" t="n"/>
      <c r="Y329" s="136" t="n"/>
      <c r="Z329" s="136" t="n"/>
      <c r="AA329" s="136" t="n"/>
      <c r="AB329" s="132" t="n"/>
      <c r="AC329" s="132" t="n"/>
      <c r="AD329" s="132" t="n"/>
      <c r="AE329" s="132" t="n"/>
      <c r="AF329" s="132" t="n"/>
      <c r="AG329" s="132" t="n"/>
      <c r="AH329" s="132" t="n"/>
      <c r="AI329" s="132" t="n"/>
      <c r="AJ329" s="132" t="n"/>
      <c r="AK329" s="59" t="n"/>
      <c r="AL329" s="55" t="n"/>
    </row>
    <row r="330" ht="22.5" customHeight="1" s="150">
      <c r="A330" s="34" t="n">
        <v>328</v>
      </c>
      <c r="B330" s="50" t="n"/>
      <c r="C330" s="50" t="n"/>
      <c r="D330" s="50" t="n"/>
      <c r="E330" s="50" t="n"/>
      <c r="F330" s="51" t="n"/>
      <c r="G330" s="51" t="n"/>
      <c r="H330" s="53" t="n"/>
      <c r="I330" s="53" t="n"/>
      <c r="J330" s="53" t="n"/>
      <c r="K330" s="111" t="n"/>
      <c r="L330" s="55" t="n"/>
      <c r="M330" s="139" t="inlineStr">
        <is>
          <t>Normal</t>
        </is>
      </c>
      <c r="N330" s="55" t="n"/>
      <c r="O330" s="57" t="n"/>
      <c r="P330" s="58" t="n"/>
      <c r="Q330" s="58" t="n"/>
      <c r="R330" s="58" t="n"/>
      <c r="S330" s="55" t="n"/>
      <c r="T330" s="55" t="n"/>
      <c r="U330" s="135" t="n"/>
      <c r="V330" s="122" t="n"/>
      <c r="W330" s="136" t="n"/>
      <c r="X330" s="137" t="n"/>
      <c r="Y330" s="136" t="n"/>
      <c r="Z330" s="136" t="n"/>
      <c r="AA330" s="136" t="n"/>
      <c r="AB330" s="132" t="n"/>
      <c r="AC330" s="132" t="n"/>
      <c r="AD330" s="132" t="n"/>
      <c r="AE330" s="132" t="n"/>
      <c r="AF330" s="132" t="n"/>
      <c r="AG330" s="132" t="n"/>
      <c r="AH330" s="132" t="n"/>
      <c r="AI330" s="132" t="n"/>
      <c r="AJ330" s="132" t="n"/>
      <c r="AK330" s="59" t="n"/>
      <c r="AL330" s="55" t="n"/>
    </row>
    <row r="331" ht="22.5" customHeight="1" s="150">
      <c r="A331" s="34" t="n">
        <v>329</v>
      </c>
      <c r="B331" s="50" t="n"/>
      <c r="C331" s="50" t="n"/>
      <c r="D331" s="50" t="n"/>
      <c r="E331" s="50" t="n"/>
      <c r="F331" s="51" t="n"/>
      <c r="G331" s="51" t="n"/>
      <c r="H331" s="53" t="n"/>
      <c r="I331" s="53" t="n"/>
      <c r="J331" s="53" t="n"/>
      <c r="K331" s="111" t="n"/>
      <c r="L331" s="55" t="n"/>
      <c r="M331" s="140" t="inlineStr">
        <is>
          <t>Hard</t>
        </is>
      </c>
      <c r="N331" s="55" t="n"/>
      <c r="O331" s="57" t="n"/>
      <c r="P331" s="58" t="n"/>
      <c r="Q331" s="58" t="n"/>
      <c r="R331" s="58" t="n"/>
      <c r="S331" s="55" t="n"/>
      <c r="T331" s="55" t="n"/>
      <c r="U331" s="135" t="n"/>
      <c r="V331" s="122" t="n"/>
      <c r="W331" s="136" t="n"/>
      <c r="X331" s="137" t="n"/>
      <c r="Y331" s="136" t="n"/>
      <c r="Z331" s="136" t="n"/>
      <c r="AA331" s="136" t="n"/>
      <c r="AB331" s="132" t="n"/>
      <c r="AC331" s="132" t="n"/>
      <c r="AD331" s="132" t="n"/>
      <c r="AE331" s="132" t="n"/>
      <c r="AF331" s="132" t="n"/>
      <c r="AG331" s="132" t="n"/>
      <c r="AH331" s="132" t="n"/>
      <c r="AI331" s="132" t="n"/>
      <c r="AJ331" s="132" t="n"/>
      <c r="AK331" s="59" t="n"/>
      <c r="AL331" s="55" t="n"/>
    </row>
    <row r="332" ht="22.5" customHeight="1" s="150">
      <c r="A332" s="34" t="n">
        <v>330</v>
      </c>
      <c r="B332" s="50" t="n"/>
      <c r="C332" s="50" t="n"/>
      <c r="D332" s="50" t="n"/>
      <c r="E332" s="50" t="n"/>
      <c r="F332" s="51" t="n"/>
      <c r="G332" s="51" t="n"/>
      <c r="H332" s="53" t="n"/>
      <c r="I332" s="53" t="n"/>
      <c r="J332" s="53" t="n"/>
      <c r="K332" s="111" t="n"/>
      <c r="L332" s="55" t="n"/>
      <c r="M332" s="141" t="inlineStr">
        <is>
          <t>Hard</t>
        </is>
      </c>
      <c r="N332" s="55" t="n"/>
      <c r="O332" s="57" t="n"/>
      <c r="P332" s="58" t="n"/>
      <c r="Q332" s="58" t="n"/>
      <c r="R332" s="58" t="n"/>
      <c r="S332" s="55" t="n"/>
      <c r="T332" s="55" t="n"/>
      <c r="U332" s="135" t="n"/>
      <c r="V332" s="122" t="n"/>
      <c r="W332" s="136" t="n"/>
      <c r="X332" s="137" t="n"/>
      <c r="Y332" s="136" t="n"/>
      <c r="Z332" s="136" t="n"/>
      <c r="AA332" s="136" t="n"/>
      <c r="AB332" s="132" t="n"/>
      <c r="AC332" s="132" t="n"/>
      <c r="AD332" s="132" t="n"/>
      <c r="AE332" s="132" t="n"/>
      <c r="AF332" s="132" t="n"/>
      <c r="AG332" s="132" t="n"/>
      <c r="AH332" s="132" t="n"/>
      <c r="AI332" s="132" t="n"/>
      <c r="AJ332" s="132" t="n"/>
      <c r="AK332" s="59" t="n"/>
      <c r="AL332" s="55" t="n"/>
    </row>
    <row r="333" ht="22.5" customHeight="1" s="150">
      <c r="A333" s="34" t="n">
        <v>331</v>
      </c>
      <c r="B333" s="50" t="n"/>
      <c r="C333" s="50" t="n"/>
      <c r="D333" s="50" t="n"/>
      <c r="E333" s="50" t="n"/>
      <c r="F333" s="51" t="n"/>
      <c r="G333" s="51" t="n"/>
      <c r="H333" s="53" t="n"/>
      <c r="I333" s="53" t="n"/>
      <c r="J333" s="53" t="n"/>
      <c r="K333" s="111" t="n"/>
      <c r="L333" s="55" t="n"/>
      <c r="M333" s="142" t="inlineStr">
        <is>
          <t>Very Hard</t>
        </is>
      </c>
      <c r="N333" s="55" t="n"/>
      <c r="O333" s="57" t="n"/>
      <c r="P333" s="58" t="n"/>
      <c r="Q333" s="58" t="n"/>
      <c r="R333" s="58" t="n"/>
      <c r="S333" s="55" t="n"/>
      <c r="T333" s="55" t="n"/>
      <c r="U333" s="135" t="n"/>
      <c r="V333" s="122" t="n"/>
      <c r="W333" s="136" t="n"/>
      <c r="X333" s="137" t="n"/>
      <c r="Y333" s="136" t="n"/>
      <c r="Z333" s="136" t="n"/>
      <c r="AA333" s="136" t="n"/>
      <c r="AB333" s="132" t="n"/>
      <c r="AC333" s="132" t="n"/>
      <c r="AD333" s="132" t="n"/>
      <c r="AE333" s="132" t="n"/>
      <c r="AF333" s="132" t="n"/>
      <c r="AG333" s="132" t="n"/>
      <c r="AH333" s="132" t="n"/>
      <c r="AI333" s="132" t="n"/>
      <c r="AJ333" s="132" t="n"/>
      <c r="AK333" s="59" t="n"/>
      <c r="AL333" s="55" t="n"/>
    </row>
    <row r="334" ht="22.5" customHeight="1" s="150">
      <c r="A334" s="34" t="n">
        <v>332</v>
      </c>
      <c r="B334" s="50" t="n"/>
      <c r="C334" s="50" t="n"/>
      <c r="D334" s="50" t="n"/>
      <c r="E334" s="50" t="n"/>
      <c r="F334" s="51" t="n"/>
      <c r="G334" s="51" t="n"/>
      <c r="H334" s="53" t="n"/>
      <c r="I334" s="53" t="n"/>
      <c r="J334" s="53" t="n"/>
      <c r="K334" s="111" t="n"/>
      <c r="L334" s="55" t="n"/>
      <c r="M334" s="141" t="inlineStr">
        <is>
          <t>Hard</t>
        </is>
      </c>
      <c r="N334" s="55" t="n"/>
      <c r="O334" s="57" t="n"/>
      <c r="P334" s="58" t="n"/>
      <c r="Q334" s="58" t="n"/>
      <c r="R334" s="58" t="n"/>
      <c r="S334" s="55" t="n"/>
      <c r="T334" s="55" t="n"/>
      <c r="U334" s="135" t="n"/>
      <c r="V334" s="122" t="n"/>
      <c r="W334" s="136" t="n"/>
      <c r="X334" s="137" t="n"/>
      <c r="Y334" s="136" t="n"/>
      <c r="Z334" s="136" t="n"/>
      <c r="AA334" s="136" t="n"/>
      <c r="AB334" s="132" t="n"/>
      <c r="AC334" s="132" t="n"/>
      <c r="AD334" s="132" t="n"/>
      <c r="AE334" s="132" t="n"/>
      <c r="AF334" s="132" t="n"/>
      <c r="AG334" s="132" t="n"/>
      <c r="AH334" s="132" t="n"/>
      <c r="AI334" s="132" t="n"/>
      <c r="AJ334" s="132" t="n"/>
      <c r="AK334" s="59" t="n"/>
      <c r="AL334" s="55" t="n"/>
    </row>
    <row r="335" ht="22.5" customHeight="1" s="150">
      <c r="A335" s="34" t="n">
        <v>333</v>
      </c>
      <c r="B335" s="50" t="n"/>
      <c r="C335" s="50" t="n"/>
      <c r="D335" s="50" t="n"/>
      <c r="E335" s="50" t="n"/>
      <c r="F335" s="51" t="n"/>
      <c r="G335" s="51" t="n"/>
      <c r="H335" s="53" t="n"/>
      <c r="I335" s="53" t="n"/>
      <c r="J335" s="53" t="n"/>
      <c r="K335" s="111" t="n"/>
      <c r="L335" s="55" t="n"/>
      <c r="M335" s="138" t="inlineStr">
        <is>
          <t>Normal</t>
        </is>
      </c>
      <c r="N335" s="55" t="n"/>
      <c r="O335" s="57" t="n"/>
      <c r="P335" s="58" t="n"/>
      <c r="Q335" s="58" t="n"/>
      <c r="R335" s="58" t="n"/>
      <c r="S335" s="55" t="n"/>
      <c r="T335" s="55" t="n"/>
      <c r="U335" s="135" t="n"/>
      <c r="V335" s="122" t="n"/>
      <c r="W335" s="136" t="n"/>
      <c r="X335" s="137" t="n"/>
      <c r="Y335" s="136" t="n"/>
      <c r="Z335" s="136" t="n"/>
      <c r="AA335" s="136" t="n"/>
      <c r="AB335" s="132" t="n"/>
      <c r="AC335" s="132" t="n"/>
      <c r="AD335" s="132" t="n"/>
      <c r="AE335" s="132" t="n"/>
      <c r="AF335" s="132" t="n"/>
      <c r="AG335" s="132" t="n"/>
      <c r="AH335" s="132" t="n"/>
      <c r="AI335" s="132" t="n"/>
      <c r="AJ335" s="132" t="n"/>
      <c r="AK335" s="59" t="n"/>
      <c r="AL335" s="55" t="n"/>
    </row>
    <row r="336" ht="22.5" customHeight="1" s="150">
      <c r="A336" s="34" t="n">
        <v>334</v>
      </c>
      <c r="B336" s="50" t="n"/>
      <c r="C336" s="50" t="n"/>
      <c r="D336" s="50" t="n"/>
      <c r="E336" s="50" t="n"/>
      <c r="F336" s="51" t="n"/>
      <c r="G336" s="51" t="n"/>
      <c r="H336" s="53" t="n"/>
      <c r="I336" s="53" t="n"/>
      <c r="J336" s="53" t="n"/>
      <c r="K336" s="111" t="n"/>
      <c r="L336" s="55" t="n"/>
      <c r="M336" s="139" t="inlineStr">
        <is>
          <t>Normal</t>
        </is>
      </c>
      <c r="N336" s="55" t="n"/>
      <c r="O336" s="57" t="n"/>
      <c r="P336" s="58" t="n"/>
      <c r="Q336" s="58" t="n"/>
      <c r="R336" s="58" t="n"/>
      <c r="S336" s="55" t="n"/>
      <c r="T336" s="55" t="n"/>
      <c r="U336" s="135" t="n"/>
      <c r="V336" s="122" t="n"/>
      <c r="W336" s="136" t="n"/>
      <c r="X336" s="137" t="n"/>
      <c r="Y336" s="136" t="n"/>
      <c r="Z336" s="136" t="n"/>
      <c r="AA336" s="136" t="n"/>
      <c r="AB336" s="132" t="n"/>
      <c r="AC336" s="132" t="n"/>
      <c r="AD336" s="132" t="n"/>
      <c r="AE336" s="132" t="n"/>
      <c r="AF336" s="132" t="n"/>
      <c r="AG336" s="132" t="n"/>
      <c r="AH336" s="132" t="n"/>
      <c r="AI336" s="132" t="n"/>
      <c r="AJ336" s="132" t="n"/>
      <c r="AK336" s="59" t="n"/>
      <c r="AL336" s="55" t="n"/>
    </row>
    <row r="337" ht="22.5" customHeight="1" s="150">
      <c r="A337" s="34" t="n">
        <v>335</v>
      </c>
      <c r="B337" s="50" t="n"/>
      <c r="C337" s="50" t="n"/>
      <c r="D337" s="50" t="n"/>
      <c r="E337" s="50" t="n"/>
      <c r="F337" s="51" t="n"/>
      <c r="G337" s="51" t="n"/>
      <c r="H337" s="53" t="n"/>
      <c r="I337" s="53" t="n"/>
      <c r="J337" s="53" t="n"/>
      <c r="K337" s="111" t="n"/>
      <c r="L337" s="55" t="n"/>
      <c r="M337" s="140" t="inlineStr">
        <is>
          <t>Hard</t>
        </is>
      </c>
      <c r="N337" s="55" t="n"/>
      <c r="O337" s="57" t="n"/>
      <c r="P337" s="58" t="n"/>
      <c r="Q337" s="58" t="n"/>
      <c r="R337" s="58" t="n"/>
      <c r="S337" s="55" t="n"/>
      <c r="T337" s="55" t="n"/>
      <c r="U337" s="135" t="n"/>
      <c r="V337" s="122" t="n"/>
      <c r="W337" s="136" t="n"/>
      <c r="X337" s="137" t="n"/>
      <c r="Y337" s="136" t="n"/>
      <c r="Z337" s="136" t="n"/>
      <c r="AA337" s="136" t="n"/>
      <c r="AB337" s="132" t="n"/>
      <c r="AC337" s="132" t="n"/>
      <c r="AD337" s="132" t="n"/>
      <c r="AE337" s="132" t="n"/>
      <c r="AF337" s="132" t="n"/>
      <c r="AG337" s="132" t="n"/>
      <c r="AH337" s="132" t="n"/>
      <c r="AI337" s="132" t="n"/>
      <c r="AJ337" s="132" t="n"/>
      <c r="AK337" s="59" t="n"/>
      <c r="AL337" s="55" t="n"/>
    </row>
    <row r="338" ht="22.5" customHeight="1" s="150">
      <c r="A338" s="34" t="n">
        <v>336</v>
      </c>
      <c r="B338" s="50" t="n"/>
      <c r="C338" s="50" t="n"/>
      <c r="D338" s="50" t="n"/>
      <c r="E338" s="50" t="n"/>
      <c r="F338" s="51" t="n"/>
      <c r="G338" s="51" t="n"/>
      <c r="H338" s="53" t="n"/>
      <c r="I338" s="53" t="n"/>
      <c r="J338" s="53" t="n"/>
      <c r="K338" s="111" t="n"/>
      <c r="L338" s="55" t="n"/>
      <c r="M338" s="139" t="inlineStr">
        <is>
          <t>Normal</t>
        </is>
      </c>
      <c r="N338" s="55" t="n"/>
      <c r="O338" s="57" t="n"/>
      <c r="P338" s="58" t="n"/>
      <c r="Q338" s="58" t="n"/>
      <c r="R338" s="58" t="n"/>
      <c r="S338" s="55" t="n"/>
      <c r="T338" s="55" t="n"/>
      <c r="U338" s="135" t="n"/>
      <c r="V338" s="122" t="n"/>
      <c r="W338" s="136" t="n"/>
      <c r="X338" s="137" t="n"/>
      <c r="Y338" s="136" t="n"/>
      <c r="Z338" s="136" t="n"/>
      <c r="AA338" s="136" t="n"/>
      <c r="AB338" s="132" t="n"/>
      <c r="AC338" s="132" t="n"/>
      <c r="AD338" s="132" t="n"/>
      <c r="AE338" s="132" t="n"/>
      <c r="AF338" s="132" t="n"/>
      <c r="AG338" s="132" t="n"/>
      <c r="AH338" s="132" t="n"/>
      <c r="AI338" s="132" t="n"/>
      <c r="AJ338" s="132" t="n"/>
      <c r="AK338" s="59" t="n"/>
      <c r="AL338" s="55" t="n"/>
    </row>
    <row r="339" ht="22.5" customHeight="1" s="150">
      <c r="A339" s="34" t="n">
        <v>337</v>
      </c>
      <c r="B339" s="50" t="n"/>
      <c r="C339" s="50" t="n"/>
      <c r="D339" s="50" t="n"/>
      <c r="E339" s="50" t="n"/>
      <c r="F339" s="51" t="n"/>
      <c r="G339" s="51" t="n"/>
      <c r="H339" s="53" t="n"/>
      <c r="I339" s="53" t="n"/>
      <c r="J339" s="53" t="n"/>
      <c r="K339" s="111" t="n"/>
      <c r="L339" s="55" t="n"/>
      <c r="M339" s="140" t="inlineStr">
        <is>
          <t>Hard</t>
        </is>
      </c>
      <c r="N339" s="55" t="n"/>
      <c r="O339" s="57" t="n"/>
      <c r="P339" s="58" t="n"/>
      <c r="Q339" s="58" t="n"/>
      <c r="R339" s="58" t="n"/>
      <c r="S339" s="55" t="n"/>
      <c r="T339" s="55" t="n"/>
      <c r="U339" s="135" t="n"/>
      <c r="V339" s="122" t="n"/>
      <c r="W339" s="136" t="n"/>
      <c r="X339" s="137" t="n"/>
      <c r="Y339" s="136" t="n"/>
      <c r="Z339" s="136" t="n"/>
      <c r="AA339" s="136" t="n"/>
      <c r="AB339" s="132" t="n"/>
      <c r="AC339" s="132" t="n"/>
      <c r="AD339" s="132" t="n"/>
      <c r="AE339" s="132" t="n"/>
      <c r="AF339" s="132" t="n"/>
      <c r="AG339" s="132" t="n"/>
      <c r="AH339" s="132" t="n"/>
      <c r="AI339" s="132" t="n"/>
      <c r="AJ339" s="132" t="n"/>
      <c r="AK339" s="59" t="n"/>
      <c r="AL339" s="55" t="n"/>
    </row>
    <row r="340" ht="22.5" customHeight="1" s="150">
      <c r="A340" s="34" t="n">
        <v>338</v>
      </c>
      <c r="B340" s="50" t="n"/>
      <c r="C340" s="50" t="n"/>
      <c r="D340" s="50" t="n"/>
      <c r="E340" s="50" t="n"/>
      <c r="F340" s="51" t="n"/>
      <c r="G340" s="51" t="n"/>
      <c r="H340" s="53" t="n"/>
      <c r="I340" s="53" t="n"/>
      <c r="J340" s="53" t="n"/>
      <c r="K340" s="111" t="n"/>
      <c r="L340" s="55" t="n"/>
      <c r="M340" s="139" t="inlineStr">
        <is>
          <t>Normal</t>
        </is>
      </c>
      <c r="N340" s="55" t="n"/>
      <c r="O340" s="57" t="n"/>
      <c r="P340" s="58" t="n"/>
      <c r="Q340" s="58" t="n"/>
      <c r="R340" s="58" t="n"/>
      <c r="S340" s="55" t="n"/>
      <c r="T340" s="55" t="n"/>
      <c r="U340" s="135" t="n"/>
      <c r="V340" s="122" t="n"/>
      <c r="W340" s="136" t="n"/>
      <c r="X340" s="137" t="n"/>
      <c r="Y340" s="136" t="n"/>
      <c r="Z340" s="136" t="n"/>
      <c r="AA340" s="136" t="n"/>
      <c r="AB340" s="132" t="n"/>
      <c r="AC340" s="132" t="n"/>
      <c r="AD340" s="132" t="n"/>
      <c r="AE340" s="132" t="n"/>
      <c r="AF340" s="132" t="n"/>
      <c r="AG340" s="132" t="n"/>
      <c r="AH340" s="132" t="n"/>
      <c r="AI340" s="132" t="n"/>
      <c r="AJ340" s="132" t="n"/>
      <c r="AK340" s="59" t="n"/>
      <c r="AL340" s="55" t="n"/>
    </row>
    <row r="341" ht="22.5" customHeight="1" s="150">
      <c r="A341" s="34" t="n">
        <v>339</v>
      </c>
      <c r="B341" s="50" t="n"/>
      <c r="C341" s="50" t="n"/>
      <c r="D341" s="50" t="n"/>
      <c r="E341" s="50" t="n"/>
      <c r="F341" s="51" t="n"/>
      <c r="G341" s="51" t="n"/>
      <c r="H341" s="53" t="n"/>
      <c r="I341" s="53" t="n"/>
      <c r="J341" s="53" t="n"/>
      <c r="K341" s="111" t="n"/>
      <c r="L341" s="55" t="n"/>
      <c r="M341" s="138" t="inlineStr">
        <is>
          <t>Normal</t>
        </is>
      </c>
      <c r="N341" s="55" t="n"/>
      <c r="O341" s="57" t="n"/>
      <c r="P341" s="58" t="n"/>
      <c r="Q341" s="58" t="n"/>
      <c r="R341" s="58" t="n"/>
      <c r="S341" s="55" t="n"/>
      <c r="T341" s="55" t="n"/>
      <c r="U341" s="135" t="n"/>
      <c r="V341" s="122" t="n"/>
      <c r="W341" s="136" t="n"/>
      <c r="X341" s="137" t="n"/>
      <c r="Y341" s="136" t="n"/>
      <c r="Z341" s="136" t="n"/>
      <c r="AA341" s="136" t="n"/>
      <c r="AB341" s="132" t="n"/>
      <c r="AC341" s="132" t="n"/>
      <c r="AD341" s="132" t="n"/>
      <c r="AE341" s="132" t="n"/>
      <c r="AF341" s="132" t="n"/>
      <c r="AG341" s="132" t="n"/>
      <c r="AH341" s="132" t="n"/>
      <c r="AI341" s="132" t="n"/>
      <c r="AJ341" s="132" t="n"/>
      <c r="AK341" s="59" t="n"/>
      <c r="AL341" s="55" t="n"/>
    </row>
    <row r="342" ht="22.5" customHeight="1" s="150">
      <c r="A342" s="34" t="n">
        <v>340</v>
      </c>
      <c r="B342" s="50" t="n"/>
      <c r="C342" s="50" t="n"/>
      <c r="D342" s="50" t="n"/>
      <c r="E342" s="50" t="n"/>
      <c r="F342" s="51" t="n"/>
      <c r="G342" s="51" t="n"/>
      <c r="H342" s="53" t="n"/>
      <c r="I342" s="53" t="n"/>
      <c r="J342" s="53" t="n"/>
      <c r="K342" s="111" t="n"/>
      <c r="L342" s="55" t="n"/>
      <c r="M342" s="139" t="inlineStr">
        <is>
          <t>Normal</t>
        </is>
      </c>
      <c r="N342" s="55" t="n"/>
      <c r="O342" s="57" t="n"/>
      <c r="P342" s="58" t="n"/>
      <c r="Q342" s="58" t="n"/>
      <c r="R342" s="58" t="n"/>
      <c r="S342" s="55" t="n"/>
      <c r="T342" s="55" t="n"/>
      <c r="U342" s="135" t="n"/>
      <c r="V342" s="122" t="n"/>
      <c r="W342" s="136" t="n"/>
      <c r="X342" s="137" t="n"/>
      <c r="Y342" s="136" t="n"/>
      <c r="Z342" s="136" t="n"/>
      <c r="AA342" s="136" t="n"/>
      <c r="AB342" s="132" t="n"/>
      <c r="AC342" s="132" t="n"/>
      <c r="AD342" s="132" t="n"/>
      <c r="AE342" s="132" t="n"/>
      <c r="AF342" s="132" t="n"/>
      <c r="AG342" s="132" t="n"/>
      <c r="AH342" s="132" t="n"/>
      <c r="AI342" s="132" t="n"/>
      <c r="AJ342" s="132" t="n"/>
      <c r="AK342" s="59" t="n"/>
      <c r="AL342" s="55" t="n"/>
    </row>
    <row r="343" ht="22.5" customHeight="1" s="150">
      <c r="A343" s="34" t="n">
        <v>341</v>
      </c>
      <c r="B343" s="50" t="n"/>
      <c r="C343" s="50" t="n"/>
      <c r="D343" s="50" t="n"/>
      <c r="E343" s="50" t="n"/>
      <c r="F343" s="51" t="n"/>
      <c r="G343" s="51" t="n"/>
      <c r="H343" s="53" t="n"/>
      <c r="I343" s="53" t="n"/>
      <c r="J343" s="53" t="n"/>
      <c r="K343" s="111" t="n"/>
      <c r="L343" s="55" t="n"/>
      <c r="M343" s="138" t="inlineStr">
        <is>
          <t>Normal</t>
        </is>
      </c>
      <c r="N343" s="55" t="n"/>
      <c r="O343" s="57" t="n"/>
      <c r="P343" s="58" t="n"/>
      <c r="Q343" s="58" t="n"/>
      <c r="R343" s="58" t="n"/>
      <c r="S343" s="55" t="n"/>
      <c r="T343" s="55" t="n"/>
      <c r="U343" s="135" t="n"/>
      <c r="V343" s="122" t="n"/>
      <c r="W343" s="136" t="n"/>
      <c r="X343" s="137" t="n"/>
      <c r="Y343" s="136" t="n"/>
      <c r="Z343" s="136" t="n"/>
      <c r="AA343" s="136" t="n"/>
      <c r="AB343" s="132" t="n"/>
      <c r="AC343" s="132" t="n"/>
      <c r="AD343" s="132" t="n"/>
      <c r="AE343" s="132" t="n"/>
      <c r="AF343" s="132" t="n"/>
      <c r="AG343" s="132" t="n"/>
      <c r="AH343" s="132" t="n"/>
      <c r="AI343" s="132" t="n"/>
      <c r="AJ343" s="132" t="n"/>
      <c r="AK343" s="59" t="n"/>
      <c r="AL343" s="55" t="n"/>
    </row>
    <row r="344" ht="22.5" customHeight="1" s="150">
      <c r="A344" s="34" t="n">
        <v>342</v>
      </c>
      <c r="B344" s="50" t="n"/>
      <c r="C344" s="50" t="n"/>
      <c r="D344" s="50" t="n"/>
      <c r="E344" s="50" t="n"/>
      <c r="F344" s="51" t="n"/>
      <c r="G344" s="51" t="n"/>
      <c r="H344" s="53" t="n"/>
      <c r="I344" s="53" t="n"/>
      <c r="J344" s="53" t="n"/>
      <c r="K344" s="111" t="n"/>
      <c r="L344" s="55" t="n"/>
      <c r="M344" s="141" t="inlineStr">
        <is>
          <t>Hard</t>
        </is>
      </c>
      <c r="N344" s="55" t="n"/>
      <c r="O344" s="57" t="n"/>
      <c r="P344" s="58" t="n"/>
      <c r="Q344" s="58" t="n"/>
      <c r="R344" s="58" t="n"/>
      <c r="S344" s="55" t="n"/>
      <c r="T344" s="55" t="n"/>
      <c r="U344" s="135" t="n"/>
      <c r="V344" s="122" t="n"/>
      <c r="W344" s="136" t="n"/>
      <c r="X344" s="137" t="n"/>
      <c r="Y344" s="136" t="n"/>
      <c r="Z344" s="136" t="n"/>
      <c r="AA344" s="136" t="n"/>
      <c r="AB344" s="132" t="n"/>
      <c r="AC344" s="132" t="n"/>
      <c r="AD344" s="132" t="n"/>
      <c r="AE344" s="132" t="n"/>
      <c r="AF344" s="132" t="n"/>
      <c r="AG344" s="132" t="n"/>
      <c r="AH344" s="132" t="n"/>
      <c r="AI344" s="132" t="n"/>
      <c r="AJ344" s="132" t="n"/>
      <c r="AK344" s="59" t="n"/>
      <c r="AL344" s="55" t="n"/>
    </row>
    <row r="345" ht="22.5" customHeight="1" s="150">
      <c r="A345" s="34" t="n">
        <v>343</v>
      </c>
      <c r="B345" s="50" t="n"/>
      <c r="C345" s="50" t="n"/>
      <c r="D345" s="50" t="n"/>
      <c r="E345" s="50" t="n"/>
      <c r="F345" s="51" t="n"/>
      <c r="G345" s="51" t="n"/>
      <c r="H345" s="53" t="n"/>
      <c r="I345" s="53" t="n"/>
      <c r="J345" s="53" t="n"/>
      <c r="K345" s="111" t="n"/>
      <c r="L345" s="55" t="n"/>
      <c r="M345" s="138" t="inlineStr">
        <is>
          <t>Normal</t>
        </is>
      </c>
      <c r="N345" s="55" t="n"/>
      <c r="O345" s="57" t="n"/>
      <c r="P345" s="58" t="n"/>
      <c r="Q345" s="58" t="n"/>
      <c r="R345" s="58" t="n"/>
      <c r="S345" s="55" t="n"/>
      <c r="T345" s="55" t="n"/>
      <c r="U345" s="135" t="n"/>
      <c r="V345" s="122" t="n"/>
      <c r="W345" s="136" t="n"/>
      <c r="X345" s="137" t="n"/>
      <c r="Y345" s="136" t="n"/>
      <c r="Z345" s="136" t="n"/>
      <c r="AA345" s="136" t="n"/>
      <c r="AB345" s="132" t="n"/>
      <c r="AC345" s="132" t="n"/>
      <c r="AD345" s="132" t="n"/>
      <c r="AE345" s="132" t="n"/>
      <c r="AF345" s="132" t="n"/>
      <c r="AG345" s="132" t="n"/>
      <c r="AH345" s="132" t="n"/>
      <c r="AI345" s="132" t="n"/>
      <c r="AJ345" s="132" t="n"/>
      <c r="AK345" s="59" t="n"/>
      <c r="AL345" s="55" t="n"/>
    </row>
    <row r="346" ht="22.5" customHeight="1" s="150">
      <c r="A346" s="34" t="n">
        <v>344</v>
      </c>
      <c r="B346" s="50" t="n"/>
      <c r="C346" s="50" t="n"/>
      <c r="D346" s="50" t="n"/>
      <c r="E346" s="50" t="n"/>
      <c r="F346" s="51" t="n"/>
      <c r="G346" s="51" t="n"/>
      <c r="H346" s="53" t="n"/>
      <c r="I346" s="53" t="n"/>
      <c r="J346" s="53" t="n"/>
      <c r="K346" s="111" t="n"/>
      <c r="L346" s="55" t="n"/>
      <c r="M346" s="139" t="inlineStr">
        <is>
          <t>Normal</t>
        </is>
      </c>
      <c r="N346" s="55" t="n"/>
      <c r="O346" s="57" t="n"/>
      <c r="P346" s="58" t="n"/>
      <c r="Q346" s="58" t="n"/>
      <c r="R346" s="58" t="n"/>
      <c r="S346" s="55" t="n"/>
      <c r="T346" s="55" t="n"/>
      <c r="U346" s="135" t="n"/>
      <c r="V346" s="122" t="n"/>
      <c r="W346" s="136" t="n"/>
      <c r="X346" s="137" t="n"/>
      <c r="Y346" s="136" t="n"/>
      <c r="Z346" s="136" t="n"/>
      <c r="AA346" s="136" t="n"/>
      <c r="AB346" s="132" t="n"/>
      <c r="AC346" s="132" t="n"/>
      <c r="AD346" s="132" t="n"/>
      <c r="AE346" s="132" t="n"/>
      <c r="AF346" s="132" t="n"/>
      <c r="AG346" s="132" t="n"/>
      <c r="AH346" s="132" t="n"/>
      <c r="AI346" s="132" t="n"/>
      <c r="AJ346" s="132" t="n"/>
      <c r="AK346" s="59" t="n"/>
      <c r="AL346" s="55" t="n"/>
    </row>
    <row r="347" ht="22.5" customHeight="1" s="150">
      <c r="A347" s="34" t="n">
        <v>345</v>
      </c>
      <c r="B347" s="50" t="n"/>
      <c r="C347" s="50" t="n"/>
      <c r="D347" s="50" t="n"/>
      <c r="E347" s="50" t="n"/>
      <c r="F347" s="51" t="n"/>
      <c r="G347" s="51" t="n"/>
      <c r="H347" s="53" t="n"/>
      <c r="I347" s="53" t="n"/>
      <c r="J347" s="53" t="n"/>
      <c r="K347" s="111" t="n"/>
      <c r="L347" s="55" t="n"/>
      <c r="M347" s="140" t="inlineStr">
        <is>
          <t>Hard</t>
        </is>
      </c>
      <c r="N347" s="55" t="n"/>
      <c r="O347" s="57" t="n"/>
      <c r="P347" s="58" t="n"/>
      <c r="Q347" s="58" t="n"/>
      <c r="R347" s="58" t="n"/>
      <c r="S347" s="55" t="n"/>
      <c r="T347" s="55" t="n"/>
      <c r="U347" s="135" t="n"/>
      <c r="V347" s="122" t="n"/>
      <c r="W347" s="136" t="n"/>
      <c r="X347" s="137" t="n"/>
      <c r="Y347" s="136" t="n"/>
      <c r="Z347" s="136" t="n"/>
      <c r="AA347" s="136" t="n"/>
      <c r="AB347" s="132" t="n"/>
      <c r="AC347" s="132" t="n"/>
      <c r="AD347" s="132" t="n"/>
      <c r="AE347" s="132" t="n"/>
      <c r="AF347" s="132" t="n"/>
      <c r="AG347" s="132" t="n"/>
      <c r="AH347" s="132" t="n"/>
      <c r="AI347" s="132" t="n"/>
      <c r="AJ347" s="132" t="n"/>
      <c r="AK347" s="59" t="n"/>
      <c r="AL347" s="55" t="n"/>
    </row>
    <row r="348" ht="22.5" customHeight="1" s="150">
      <c r="A348" s="34" t="n">
        <v>346</v>
      </c>
      <c r="B348" s="50" t="n"/>
      <c r="C348" s="50" t="n"/>
      <c r="D348" s="50" t="n"/>
      <c r="E348" s="50" t="n"/>
      <c r="F348" s="51" t="n"/>
      <c r="G348" s="51" t="n"/>
      <c r="H348" s="53" t="n"/>
      <c r="I348" s="53" t="n"/>
      <c r="J348" s="53" t="n"/>
      <c r="K348" s="111" t="n"/>
      <c r="L348" s="55" t="n"/>
      <c r="M348" s="141" t="inlineStr">
        <is>
          <t>Hard</t>
        </is>
      </c>
      <c r="N348" s="55" t="n"/>
      <c r="O348" s="57" t="n"/>
      <c r="P348" s="58" t="n"/>
      <c r="Q348" s="58" t="n"/>
      <c r="R348" s="58" t="n"/>
      <c r="S348" s="55" t="n"/>
      <c r="T348" s="55" t="n"/>
      <c r="U348" s="135" t="n"/>
      <c r="V348" s="122" t="n"/>
      <c r="W348" s="136" t="n"/>
      <c r="X348" s="137" t="n"/>
      <c r="Y348" s="136" t="n"/>
      <c r="Z348" s="136" t="n"/>
      <c r="AA348" s="136" t="n"/>
      <c r="AB348" s="132" t="n"/>
      <c r="AC348" s="132" t="n"/>
      <c r="AD348" s="132" t="n"/>
      <c r="AE348" s="132" t="n"/>
      <c r="AF348" s="132" t="n"/>
      <c r="AG348" s="132" t="n"/>
      <c r="AH348" s="132" t="n"/>
      <c r="AI348" s="132" t="n"/>
      <c r="AJ348" s="132" t="n"/>
      <c r="AK348" s="59" t="n"/>
      <c r="AL348" s="55" t="n"/>
    </row>
    <row r="349" ht="22.5" customHeight="1" s="150">
      <c r="A349" s="34" t="n">
        <v>347</v>
      </c>
      <c r="B349" s="50" t="n"/>
      <c r="C349" s="50" t="n"/>
      <c r="D349" s="50" t="n"/>
      <c r="E349" s="50" t="n"/>
      <c r="F349" s="51" t="n"/>
      <c r="G349" s="51" t="n"/>
      <c r="H349" s="53" t="n"/>
      <c r="I349" s="53" t="n"/>
      <c r="J349" s="53" t="n"/>
      <c r="K349" s="111" t="n"/>
      <c r="L349" s="55" t="n"/>
      <c r="M349" s="138" t="inlineStr">
        <is>
          <t>Normal</t>
        </is>
      </c>
      <c r="N349" s="55" t="n"/>
      <c r="O349" s="57" t="n"/>
      <c r="P349" s="58" t="n"/>
      <c r="Q349" s="58" t="n"/>
      <c r="R349" s="58" t="n"/>
      <c r="S349" s="55" t="n"/>
      <c r="T349" s="55" t="n"/>
      <c r="U349" s="135" t="n"/>
      <c r="V349" s="122" t="n"/>
      <c r="W349" s="136" t="n"/>
      <c r="X349" s="137" t="n"/>
      <c r="Y349" s="136" t="n"/>
      <c r="Z349" s="136" t="n"/>
      <c r="AA349" s="136" t="n"/>
      <c r="AB349" s="132" t="n"/>
      <c r="AC349" s="132" t="n"/>
      <c r="AD349" s="132" t="n"/>
      <c r="AE349" s="132" t="n"/>
      <c r="AF349" s="132" t="n"/>
      <c r="AG349" s="132" t="n"/>
      <c r="AH349" s="132" t="n"/>
      <c r="AI349" s="132" t="n"/>
      <c r="AJ349" s="132" t="n"/>
      <c r="AK349" s="59" t="n"/>
      <c r="AL349" s="55" t="n"/>
    </row>
    <row r="350" ht="22.5" customHeight="1" s="150">
      <c r="A350" s="34" t="n">
        <v>348</v>
      </c>
      <c r="B350" s="50" t="n"/>
      <c r="C350" s="50" t="n"/>
      <c r="D350" s="50" t="n"/>
      <c r="E350" s="50" t="n"/>
      <c r="F350" s="51" t="n"/>
      <c r="G350" s="51" t="n"/>
      <c r="H350" s="53" t="n"/>
      <c r="I350" s="53" t="n"/>
      <c r="J350" s="53" t="n"/>
      <c r="K350" s="111" t="n"/>
      <c r="L350" s="55" t="n"/>
      <c r="M350" s="139" t="inlineStr">
        <is>
          <t>Normal</t>
        </is>
      </c>
      <c r="N350" s="55" t="n"/>
      <c r="O350" s="57" t="n"/>
      <c r="P350" s="58" t="n"/>
      <c r="Q350" s="58" t="n"/>
      <c r="R350" s="58" t="n"/>
      <c r="S350" s="55" t="n"/>
      <c r="T350" s="55" t="n"/>
      <c r="U350" s="135" t="n"/>
      <c r="V350" s="122" t="n"/>
      <c r="W350" s="136" t="n"/>
      <c r="X350" s="137" t="n"/>
      <c r="Y350" s="136" t="n"/>
      <c r="Z350" s="136" t="n"/>
      <c r="AA350" s="136" t="n"/>
      <c r="AB350" s="132" t="n"/>
      <c r="AC350" s="132" t="n"/>
      <c r="AD350" s="132" t="n"/>
      <c r="AE350" s="132" t="n"/>
      <c r="AF350" s="132" t="n"/>
      <c r="AG350" s="132" t="n"/>
      <c r="AH350" s="132" t="n"/>
      <c r="AI350" s="132" t="n"/>
      <c r="AJ350" s="132" t="n"/>
      <c r="AK350" s="59" t="n"/>
      <c r="AL350" s="55" t="n"/>
    </row>
    <row r="351" ht="22.5" customHeight="1" s="150">
      <c r="A351" s="34" t="n">
        <v>349</v>
      </c>
      <c r="B351" s="50" t="n"/>
      <c r="C351" s="50" t="n"/>
      <c r="D351" s="50" t="n"/>
      <c r="E351" s="50" t="n"/>
      <c r="F351" s="51" t="n"/>
      <c r="G351" s="51" t="n"/>
      <c r="H351" s="53" t="n"/>
      <c r="I351" s="53" t="n"/>
      <c r="J351" s="53" t="n"/>
      <c r="K351" s="111" t="n"/>
      <c r="L351" s="55" t="n"/>
      <c r="M351" s="138" t="inlineStr">
        <is>
          <t>Normal</t>
        </is>
      </c>
      <c r="N351" s="55" t="n"/>
      <c r="O351" s="57" t="n"/>
      <c r="P351" s="58" t="n"/>
      <c r="Q351" s="58" t="n"/>
      <c r="R351" s="58" t="n"/>
      <c r="S351" s="55" t="n"/>
      <c r="T351" s="55" t="n"/>
      <c r="U351" s="135" t="n"/>
      <c r="V351" s="122" t="n"/>
      <c r="W351" s="136" t="n"/>
      <c r="X351" s="137" t="n"/>
      <c r="Y351" s="136" t="n"/>
      <c r="Z351" s="136" t="n"/>
      <c r="AA351" s="136" t="n"/>
      <c r="AB351" s="132" t="n"/>
      <c r="AC351" s="132" t="n"/>
      <c r="AD351" s="132" t="n"/>
      <c r="AE351" s="132" t="n"/>
      <c r="AF351" s="132" t="n"/>
      <c r="AG351" s="132" t="n"/>
      <c r="AH351" s="132" t="n"/>
      <c r="AI351" s="132" t="n"/>
      <c r="AJ351" s="132" t="n"/>
      <c r="AK351" s="59" t="n"/>
      <c r="AL351" s="55" t="n"/>
    </row>
    <row r="352" ht="22.5" customHeight="1" s="150">
      <c r="A352" s="34" t="n">
        <v>350</v>
      </c>
      <c r="B352" s="50" t="n"/>
      <c r="C352" s="50" t="n"/>
      <c r="D352" s="50" t="n"/>
      <c r="E352" s="50" t="n"/>
      <c r="F352" s="51" t="n"/>
      <c r="G352" s="51" t="n"/>
      <c r="H352" s="53" t="n"/>
      <c r="I352" s="53" t="n"/>
      <c r="J352" s="53" t="n"/>
      <c r="K352" s="111" t="n"/>
      <c r="L352" s="55" t="n"/>
      <c r="M352" s="139" t="inlineStr">
        <is>
          <t>Normal</t>
        </is>
      </c>
      <c r="N352" s="55" t="n"/>
      <c r="O352" s="57" t="n"/>
      <c r="P352" s="58" t="n"/>
      <c r="Q352" s="58" t="n"/>
      <c r="R352" s="58" t="n"/>
      <c r="S352" s="55" t="n"/>
      <c r="T352" s="55" t="n"/>
      <c r="U352" s="135" t="n"/>
      <c r="V352" s="122" t="n"/>
      <c r="W352" s="136" t="n"/>
      <c r="X352" s="137" t="n"/>
      <c r="Y352" s="136" t="n"/>
      <c r="Z352" s="136" t="n"/>
      <c r="AA352" s="136" t="n"/>
      <c r="AB352" s="132" t="n"/>
      <c r="AC352" s="132" t="n"/>
      <c r="AD352" s="132" t="n"/>
      <c r="AE352" s="132" t="n"/>
      <c r="AF352" s="132" t="n"/>
      <c r="AG352" s="132" t="n"/>
      <c r="AH352" s="132" t="n"/>
      <c r="AI352" s="132" t="n"/>
      <c r="AJ352" s="132" t="n"/>
      <c r="AK352" s="59" t="n"/>
      <c r="AL352" s="55" t="n"/>
    </row>
    <row r="353" ht="22.5" customHeight="1" s="150">
      <c r="A353" s="34" t="n">
        <v>351</v>
      </c>
      <c r="B353" s="50" t="n"/>
      <c r="C353" s="50" t="n"/>
      <c r="D353" s="50" t="n"/>
      <c r="E353" s="50" t="n"/>
      <c r="F353" s="51" t="n"/>
      <c r="G353" s="51" t="n"/>
      <c r="H353" s="53" t="n"/>
      <c r="I353" s="53" t="n"/>
      <c r="J353" s="53" t="n"/>
      <c r="K353" s="111" t="n"/>
      <c r="L353" s="55" t="n"/>
      <c r="M353" s="138" t="inlineStr">
        <is>
          <t>Normal</t>
        </is>
      </c>
      <c r="N353" s="55" t="n"/>
      <c r="O353" s="57" t="n"/>
      <c r="P353" s="58" t="n"/>
      <c r="Q353" s="58" t="n"/>
      <c r="R353" s="58" t="n"/>
      <c r="S353" s="55" t="n"/>
      <c r="T353" s="55" t="n"/>
      <c r="U353" s="135" t="n"/>
      <c r="V353" s="122" t="n"/>
      <c r="W353" s="136" t="n"/>
      <c r="X353" s="137" t="n"/>
      <c r="Y353" s="136" t="n"/>
      <c r="Z353" s="136" t="n"/>
      <c r="AA353" s="136" t="n"/>
      <c r="AB353" s="132" t="n"/>
      <c r="AC353" s="132" t="n"/>
      <c r="AD353" s="132" t="n"/>
      <c r="AE353" s="132" t="n"/>
      <c r="AF353" s="132" t="n"/>
      <c r="AG353" s="132" t="n"/>
      <c r="AH353" s="132" t="n"/>
      <c r="AI353" s="132" t="n"/>
      <c r="AJ353" s="132" t="n"/>
      <c r="AK353" s="59" t="n"/>
      <c r="AL353" s="55" t="n"/>
    </row>
    <row r="354" ht="22.5" customHeight="1" s="150">
      <c r="A354" s="34" t="n">
        <v>352</v>
      </c>
      <c r="B354" s="50" t="n"/>
      <c r="C354" s="50" t="n"/>
      <c r="D354" s="50" t="n"/>
      <c r="E354" s="50" t="n"/>
      <c r="F354" s="51" t="n"/>
      <c r="G354" s="51" t="n"/>
      <c r="H354" s="53" t="n"/>
      <c r="I354" s="53" t="n"/>
      <c r="J354" s="53" t="n"/>
      <c r="K354" s="111" t="n"/>
      <c r="L354" s="55" t="n"/>
      <c r="M354" s="139" t="inlineStr">
        <is>
          <t>Normal</t>
        </is>
      </c>
      <c r="N354" s="55" t="n"/>
      <c r="O354" s="57" t="n"/>
      <c r="P354" s="58" t="n"/>
      <c r="Q354" s="58" t="n"/>
      <c r="R354" s="58" t="n"/>
      <c r="S354" s="55" t="n"/>
      <c r="T354" s="55" t="n"/>
      <c r="U354" s="135" t="n"/>
      <c r="V354" s="122" t="n"/>
      <c r="W354" s="136" t="n"/>
      <c r="X354" s="137" t="n"/>
      <c r="Y354" s="136" t="n"/>
      <c r="Z354" s="136" t="n"/>
      <c r="AA354" s="136" t="n"/>
      <c r="AB354" s="132" t="n"/>
      <c r="AC354" s="132" t="n"/>
      <c r="AD354" s="132" t="n"/>
      <c r="AE354" s="132" t="n"/>
      <c r="AF354" s="132" t="n"/>
      <c r="AG354" s="132" t="n"/>
      <c r="AH354" s="132" t="n"/>
      <c r="AI354" s="132" t="n"/>
      <c r="AJ354" s="132" t="n"/>
      <c r="AK354" s="59" t="n"/>
      <c r="AL354" s="55" t="n"/>
    </row>
    <row r="355" ht="22.5" customHeight="1" s="150">
      <c r="A355" s="34" t="n">
        <v>353</v>
      </c>
      <c r="B355" s="50" t="n"/>
      <c r="C355" s="50" t="n"/>
      <c r="D355" s="50" t="n"/>
      <c r="E355" s="50" t="n"/>
      <c r="F355" s="51" t="n"/>
      <c r="G355" s="51" t="n"/>
      <c r="H355" s="53" t="n"/>
      <c r="I355" s="53" t="n"/>
      <c r="J355" s="53" t="n"/>
      <c r="K355" s="111" t="n"/>
      <c r="L355" s="55" t="n"/>
      <c r="M355" s="140" t="inlineStr">
        <is>
          <t>Hard</t>
        </is>
      </c>
      <c r="N355" s="55" t="n"/>
      <c r="O355" s="57" t="n"/>
      <c r="P355" s="58" t="n"/>
      <c r="Q355" s="58" t="n"/>
      <c r="R355" s="58" t="n"/>
      <c r="S355" s="55" t="n"/>
      <c r="T355" s="55" t="n"/>
      <c r="U355" s="135" t="n"/>
      <c r="V355" s="122" t="n"/>
      <c r="W355" s="136" t="n"/>
      <c r="X355" s="137" t="n"/>
      <c r="Y355" s="136" t="n"/>
      <c r="Z355" s="136" t="n"/>
      <c r="AA355" s="136" t="n"/>
      <c r="AB355" s="132" t="n"/>
      <c r="AC355" s="132" t="n"/>
      <c r="AD355" s="132" t="n"/>
      <c r="AE355" s="132" t="n"/>
      <c r="AF355" s="132" t="n"/>
      <c r="AG355" s="132" t="n"/>
      <c r="AH355" s="132" t="n"/>
      <c r="AI355" s="132" t="n"/>
      <c r="AJ355" s="132" t="n"/>
      <c r="AK355" s="59" t="n"/>
      <c r="AL355" s="55" t="n"/>
    </row>
    <row r="356" ht="22.5" customHeight="1" s="150">
      <c r="A356" s="34" t="n">
        <v>354</v>
      </c>
      <c r="B356" s="50" t="n"/>
      <c r="C356" s="50" t="n"/>
      <c r="D356" s="50" t="n"/>
      <c r="E356" s="50" t="n"/>
      <c r="F356" s="51" t="n"/>
      <c r="G356" s="51" t="n"/>
      <c r="H356" s="53" t="n"/>
      <c r="I356" s="53" t="n"/>
      <c r="J356" s="53" t="n"/>
      <c r="K356" s="111" t="n"/>
      <c r="L356" s="55" t="n"/>
      <c r="M356" s="139" t="inlineStr">
        <is>
          <t>Normal</t>
        </is>
      </c>
      <c r="N356" s="55" t="n"/>
      <c r="O356" s="57" t="n"/>
      <c r="P356" s="58" t="n"/>
      <c r="Q356" s="58" t="n"/>
      <c r="R356" s="58" t="n"/>
      <c r="S356" s="55" t="n"/>
      <c r="T356" s="55" t="n"/>
      <c r="U356" s="135" t="n"/>
      <c r="V356" s="122" t="n"/>
      <c r="W356" s="136" t="n"/>
      <c r="X356" s="137" t="n"/>
      <c r="Y356" s="136" t="n"/>
      <c r="Z356" s="136" t="n"/>
      <c r="AA356" s="136" t="n"/>
      <c r="AB356" s="132" t="n"/>
      <c r="AC356" s="132" t="n"/>
      <c r="AD356" s="132" t="n"/>
      <c r="AE356" s="132" t="n"/>
      <c r="AF356" s="132" t="n"/>
      <c r="AG356" s="132" t="n"/>
      <c r="AH356" s="132" t="n"/>
      <c r="AI356" s="132" t="n"/>
      <c r="AJ356" s="132" t="n"/>
      <c r="AK356" s="59" t="n"/>
      <c r="AL356" s="55" t="n"/>
    </row>
    <row r="357" ht="22.5" customHeight="1" s="150">
      <c r="A357" s="34" t="n">
        <v>355</v>
      </c>
      <c r="B357" s="50" t="n"/>
      <c r="C357" s="50" t="n"/>
      <c r="D357" s="50" t="n"/>
      <c r="E357" s="50" t="n"/>
      <c r="F357" s="51" t="n"/>
      <c r="G357" s="51" t="n"/>
      <c r="H357" s="53" t="n"/>
      <c r="I357" s="53" t="n"/>
      <c r="J357" s="53" t="n"/>
      <c r="K357" s="111" t="n"/>
      <c r="L357" s="55" t="n"/>
      <c r="M357" s="138" t="inlineStr">
        <is>
          <t>Normal</t>
        </is>
      </c>
      <c r="N357" s="55" t="n"/>
      <c r="O357" s="57" t="n"/>
      <c r="P357" s="58" t="n"/>
      <c r="Q357" s="58" t="n"/>
      <c r="R357" s="58" t="n"/>
      <c r="S357" s="55" t="n"/>
      <c r="T357" s="55" t="n"/>
      <c r="U357" s="135" t="n"/>
      <c r="V357" s="122" t="n"/>
      <c r="W357" s="136" t="n"/>
      <c r="X357" s="137" t="n"/>
      <c r="Y357" s="136" t="n"/>
      <c r="Z357" s="136" t="n"/>
      <c r="AA357" s="136" t="n"/>
      <c r="AB357" s="132" t="n"/>
      <c r="AC357" s="132" t="n"/>
      <c r="AD357" s="132" t="n"/>
      <c r="AE357" s="132" t="n"/>
      <c r="AF357" s="132" t="n"/>
      <c r="AG357" s="132" t="n"/>
      <c r="AH357" s="132" t="n"/>
      <c r="AI357" s="132" t="n"/>
      <c r="AJ357" s="132" t="n"/>
      <c r="AK357" s="59" t="n"/>
      <c r="AL357" s="55" t="n"/>
    </row>
    <row r="358" ht="22.5" customHeight="1" s="150">
      <c r="A358" s="34" t="n">
        <v>356</v>
      </c>
      <c r="B358" s="50" t="n"/>
      <c r="C358" s="50" t="n"/>
      <c r="D358" s="50" t="n"/>
      <c r="E358" s="50" t="n"/>
      <c r="F358" s="51" t="n"/>
      <c r="G358" s="51" t="n"/>
      <c r="H358" s="53" t="n"/>
      <c r="I358" s="53" t="n"/>
      <c r="J358" s="53" t="n"/>
      <c r="K358" s="111" t="n"/>
      <c r="L358" s="55" t="n"/>
      <c r="M358" s="139" t="inlineStr">
        <is>
          <t>Normal</t>
        </is>
      </c>
      <c r="N358" s="55" t="n"/>
      <c r="O358" s="57" t="n"/>
      <c r="P358" s="58" t="n"/>
      <c r="Q358" s="58" t="n"/>
      <c r="R358" s="58" t="n"/>
      <c r="S358" s="55" t="n"/>
      <c r="T358" s="55" t="n"/>
      <c r="U358" s="135" t="n"/>
      <c r="V358" s="122" t="n"/>
      <c r="W358" s="136" t="n"/>
      <c r="X358" s="137" t="n"/>
      <c r="Y358" s="136" t="n"/>
      <c r="Z358" s="136" t="n"/>
      <c r="AA358" s="136" t="n"/>
      <c r="AB358" s="132" t="n"/>
      <c r="AC358" s="132" t="n"/>
      <c r="AD358" s="132" t="n"/>
      <c r="AE358" s="132" t="n"/>
      <c r="AF358" s="132" t="n"/>
      <c r="AG358" s="132" t="n"/>
      <c r="AH358" s="132" t="n"/>
      <c r="AI358" s="132" t="n"/>
      <c r="AJ358" s="132" t="n"/>
      <c r="AK358" s="59" t="n"/>
      <c r="AL358" s="55" t="n"/>
    </row>
    <row r="359" ht="22.5" customHeight="1" s="150">
      <c r="A359" s="34" t="n">
        <v>357</v>
      </c>
      <c r="B359" s="50" t="n"/>
      <c r="C359" s="50" t="n"/>
      <c r="D359" s="50" t="n"/>
      <c r="E359" s="50" t="n"/>
      <c r="F359" s="51" t="n"/>
      <c r="G359" s="51" t="n"/>
      <c r="H359" s="53" t="n"/>
      <c r="I359" s="53" t="n"/>
      <c r="J359" s="53" t="n"/>
      <c r="K359" s="111" t="n"/>
      <c r="L359" s="55" t="n"/>
      <c r="M359" s="142" t="inlineStr">
        <is>
          <t>Very Hard</t>
        </is>
      </c>
      <c r="N359" s="55" t="n"/>
      <c r="O359" s="57" t="n"/>
      <c r="P359" s="58" t="n"/>
      <c r="Q359" s="58" t="n"/>
      <c r="R359" s="58" t="n"/>
      <c r="S359" s="55" t="n"/>
      <c r="T359" s="55" t="n"/>
      <c r="U359" s="135" t="n"/>
      <c r="V359" s="122" t="n"/>
      <c r="W359" s="136" t="n"/>
      <c r="X359" s="137" t="n"/>
      <c r="Y359" s="136" t="n"/>
      <c r="Z359" s="136" t="n"/>
      <c r="AA359" s="136" t="n"/>
      <c r="AB359" s="132" t="n"/>
      <c r="AC359" s="132" t="n"/>
      <c r="AD359" s="132" t="n"/>
      <c r="AE359" s="132" t="n"/>
      <c r="AF359" s="132" t="n"/>
      <c r="AG359" s="132" t="n"/>
      <c r="AH359" s="132" t="n"/>
      <c r="AI359" s="132" t="n"/>
      <c r="AJ359" s="132" t="n"/>
      <c r="AK359" s="59" t="n"/>
      <c r="AL359" s="55" t="n"/>
    </row>
    <row r="360" ht="22.5" customHeight="1" s="150">
      <c r="A360" s="34" t="n">
        <v>358</v>
      </c>
      <c r="B360" s="50" t="n"/>
      <c r="C360" s="50" t="n"/>
      <c r="D360" s="50" t="n"/>
      <c r="E360" s="50" t="n"/>
      <c r="F360" s="51" t="n"/>
      <c r="G360" s="51" t="n"/>
      <c r="H360" s="53" t="n"/>
      <c r="I360" s="53" t="n"/>
      <c r="J360" s="53" t="n"/>
      <c r="K360" s="111" t="n"/>
      <c r="L360" s="55" t="n"/>
      <c r="M360" s="139" t="inlineStr">
        <is>
          <t>Normal</t>
        </is>
      </c>
      <c r="N360" s="55" t="n"/>
      <c r="O360" s="57" t="n"/>
      <c r="P360" s="58" t="n"/>
      <c r="Q360" s="58" t="n"/>
      <c r="R360" s="58" t="n"/>
      <c r="S360" s="55" t="n"/>
      <c r="T360" s="55" t="n"/>
      <c r="U360" s="135" t="n"/>
      <c r="V360" s="122" t="n"/>
      <c r="W360" s="136" t="n"/>
      <c r="X360" s="137" t="n"/>
      <c r="Y360" s="136" t="n"/>
      <c r="Z360" s="136" t="n"/>
      <c r="AA360" s="136" t="n"/>
      <c r="AB360" s="132" t="n"/>
      <c r="AC360" s="132" t="n"/>
      <c r="AD360" s="132" t="n"/>
      <c r="AE360" s="132" t="n"/>
      <c r="AF360" s="132" t="n"/>
      <c r="AG360" s="132" t="n"/>
      <c r="AH360" s="132" t="n"/>
      <c r="AI360" s="132" t="n"/>
      <c r="AJ360" s="132" t="n"/>
      <c r="AK360" s="59" t="n"/>
      <c r="AL360" s="55" t="n"/>
    </row>
    <row r="361" ht="22.5" customHeight="1" s="150">
      <c r="A361" s="34" t="n">
        <v>359</v>
      </c>
      <c r="B361" s="50" t="n"/>
      <c r="C361" s="50" t="n"/>
      <c r="D361" s="50" t="n"/>
      <c r="E361" s="50" t="n"/>
      <c r="F361" s="51" t="n"/>
      <c r="G361" s="51" t="n"/>
      <c r="H361" s="53" t="n"/>
      <c r="I361" s="53" t="n"/>
      <c r="J361" s="53" t="n"/>
      <c r="K361" s="111" t="n"/>
      <c r="L361" s="55" t="n"/>
      <c r="M361" s="138" t="inlineStr">
        <is>
          <t>Normal</t>
        </is>
      </c>
      <c r="N361" s="55" t="n"/>
      <c r="O361" s="57" t="n"/>
      <c r="P361" s="58" t="n"/>
      <c r="Q361" s="58" t="n"/>
      <c r="R361" s="58" t="n"/>
      <c r="S361" s="55" t="n"/>
      <c r="T361" s="55" t="n"/>
      <c r="U361" s="135" t="n"/>
      <c r="V361" s="122" t="n"/>
      <c r="W361" s="136" t="n"/>
      <c r="X361" s="137" t="n"/>
      <c r="Y361" s="136" t="n"/>
      <c r="Z361" s="136" t="n"/>
      <c r="AA361" s="136" t="n"/>
      <c r="AB361" s="132" t="n"/>
      <c r="AC361" s="132" t="n"/>
      <c r="AD361" s="132" t="n"/>
      <c r="AE361" s="132" t="n"/>
      <c r="AF361" s="132" t="n"/>
      <c r="AG361" s="132" t="n"/>
      <c r="AH361" s="132" t="n"/>
      <c r="AI361" s="132" t="n"/>
      <c r="AJ361" s="132" t="n"/>
      <c r="AK361" s="59" t="n"/>
      <c r="AL361" s="55" t="n"/>
    </row>
    <row r="362" ht="22.5" customHeight="1" s="150">
      <c r="A362" s="34" t="n">
        <v>360</v>
      </c>
      <c r="B362" s="50" t="n"/>
      <c r="C362" s="50" t="n"/>
      <c r="D362" s="50" t="n"/>
      <c r="E362" s="50" t="n"/>
      <c r="F362" s="51" t="n"/>
      <c r="G362" s="51" t="n"/>
      <c r="H362" s="53" t="n"/>
      <c r="I362" s="53" t="n"/>
      <c r="J362" s="53" t="n"/>
      <c r="K362" s="111" t="n"/>
      <c r="L362" s="55" t="n"/>
      <c r="M362" s="139" t="inlineStr">
        <is>
          <t>Normal</t>
        </is>
      </c>
      <c r="N362" s="55" t="n"/>
      <c r="O362" s="57" t="n"/>
      <c r="P362" s="58" t="n"/>
      <c r="Q362" s="58" t="n"/>
      <c r="R362" s="58" t="n"/>
      <c r="S362" s="55" t="n"/>
      <c r="T362" s="55" t="n"/>
      <c r="U362" s="135" t="n"/>
      <c r="V362" s="122" t="n"/>
      <c r="W362" s="136" t="n"/>
      <c r="X362" s="137" t="n"/>
      <c r="Y362" s="136" t="n"/>
      <c r="Z362" s="136" t="n"/>
      <c r="AA362" s="136" t="n"/>
      <c r="AB362" s="132" t="n"/>
      <c r="AC362" s="132" t="n"/>
      <c r="AD362" s="132" t="n"/>
      <c r="AE362" s="132" t="n"/>
      <c r="AF362" s="132" t="n"/>
      <c r="AG362" s="132" t="n"/>
      <c r="AH362" s="132" t="n"/>
      <c r="AI362" s="132" t="n"/>
      <c r="AJ362" s="132" t="n"/>
      <c r="AK362" s="59" t="n"/>
      <c r="AL362" s="55" t="n"/>
    </row>
    <row r="363" ht="22.5" customHeight="1" s="150">
      <c r="A363" s="34" t="n">
        <v>361</v>
      </c>
      <c r="B363" s="50" t="n"/>
      <c r="C363" s="50" t="n"/>
      <c r="D363" s="50" t="n"/>
      <c r="E363" s="50" t="n"/>
      <c r="F363" s="51" t="n"/>
      <c r="G363" s="51" t="n"/>
      <c r="H363" s="53" t="n"/>
      <c r="I363" s="53" t="n"/>
      <c r="J363" s="53" t="n"/>
      <c r="K363" s="111" t="n"/>
      <c r="L363" s="55" t="n"/>
      <c r="M363" s="138" t="inlineStr">
        <is>
          <t>Normal</t>
        </is>
      </c>
      <c r="N363" s="55" t="n"/>
      <c r="O363" s="57" t="n"/>
      <c r="P363" s="58" t="n"/>
      <c r="Q363" s="58" t="n"/>
      <c r="R363" s="58" t="n"/>
      <c r="S363" s="55" t="n"/>
      <c r="T363" s="55" t="n"/>
      <c r="U363" s="135" t="n"/>
      <c r="V363" s="122" t="n"/>
      <c r="W363" s="136" t="n"/>
      <c r="X363" s="137" t="n"/>
      <c r="Y363" s="136" t="n"/>
      <c r="Z363" s="136" t="n"/>
      <c r="AA363" s="136" t="n"/>
      <c r="AB363" s="132" t="n"/>
      <c r="AC363" s="132" t="n"/>
      <c r="AD363" s="132" t="n"/>
      <c r="AE363" s="132" t="n"/>
      <c r="AF363" s="132" t="n"/>
      <c r="AG363" s="132" t="n"/>
      <c r="AH363" s="132" t="n"/>
      <c r="AI363" s="132" t="n"/>
      <c r="AJ363" s="132" t="n"/>
      <c r="AK363" s="59" t="n"/>
      <c r="AL363" s="55" t="n"/>
    </row>
    <row r="364" ht="22.5" customHeight="1" s="150">
      <c r="A364" s="34" t="n">
        <v>362</v>
      </c>
      <c r="B364" s="50" t="n"/>
      <c r="C364" s="50" t="n"/>
      <c r="D364" s="50" t="n"/>
      <c r="E364" s="50" t="n"/>
      <c r="F364" s="51" t="n"/>
      <c r="G364" s="51" t="n"/>
      <c r="H364" s="53" t="n"/>
      <c r="I364" s="53" t="n"/>
      <c r="J364" s="53" t="n"/>
      <c r="K364" s="111" t="n"/>
      <c r="L364" s="55" t="n"/>
      <c r="M364" s="141" t="inlineStr">
        <is>
          <t>Hard</t>
        </is>
      </c>
      <c r="N364" s="55" t="n"/>
      <c r="O364" s="57" t="n"/>
      <c r="P364" s="58" t="n"/>
      <c r="Q364" s="58" t="n"/>
      <c r="R364" s="58" t="n"/>
      <c r="S364" s="55" t="n"/>
      <c r="T364" s="55" t="n"/>
      <c r="U364" s="135" t="n"/>
      <c r="V364" s="122" t="n"/>
      <c r="W364" s="136" t="n"/>
      <c r="X364" s="137" t="n"/>
      <c r="Y364" s="136" t="n"/>
      <c r="Z364" s="136" t="n"/>
      <c r="AA364" s="136" t="n"/>
      <c r="AB364" s="132" t="n"/>
      <c r="AC364" s="132" t="n"/>
      <c r="AD364" s="132" t="n"/>
      <c r="AE364" s="132" t="n"/>
      <c r="AF364" s="132" t="n"/>
      <c r="AG364" s="132" t="n"/>
      <c r="AH364" s="132" t="n"/>
      <c r="AI364" s="132" t="n"/>
      <c r="AJ364" s="132" t="n"/>
      <c r="AK364" s="59" t="n"/>
      <c r="AL364" s="55" t="n"/>
    </row>
    <row r="365" ht="22.5" customHeight="1" s="150">
      <c r="A365" s="34" t="n">
        <v>363</v>
      </c>
      <c r="B365" s="50" t="n"/>
      <c r="C365" s="50" t="n"/>
      <c r="D365" s="50" t="n"/>
      <c r="E365" s="50" t="n"/>
      <c r="F365" s="51" t="n"/>
      <c r="G365" s="51" t="n"/>
      <c r="H365" s="53" t="n"/>
      <c r="I365" s="53" t="n"/>
      <c r="J365" s="53" t="n"/>
      <c r="K365" s="111" t="n"/>
      <c r="L365" s="55" t="n"/>
      <c r="M365" s="138" t="inlineStr">
        <is>
          <t>Normal</t>
        </is>
      </c>
      <c r="N365" s="55" t="n"/>
      <c r="O365" s="57" t="n"/>
      <c r="P365" s="58" t="n"/>
      <c r="Q365" s="58" t="n"/>
      <c r="R365" s="58" t="n"/>
      <c r="S365" s="55" t="n"/>
      <c r="T365" s="55" t="n"/>
      <c r="U365" s="135" t="n"/>
      <c r="V365" s="122" t="n"/>
      <c r="W365" s="136" t="n"/>
      <c r="X365" s="137" t="n"/>
      <c r="Y365" s="136" t="n"/>
      <c r="Z365" s="136" t="n"/>
      <c r="AA365" s="136" t="n"/>
      <c r="AB365" s="132" t="n"/>
      <c r="AC365" s="132" t="n"/>
      <c r="AD365" s="132" t="n"/>
      <c r="AE365" s="132" t="n"/>
      <c r="AF365" s="132" t="n"/>
      <c r="AG365" s="132" t="n"/>
      <c r="AH365" s="132" t="n"/>
      <c r="AI365" s="132" t="n"/>
      <c r="AJ365" s="132" t="n"/>
      <c r="AK365" s="59" t="n"/>
      <c r="AL365" s="55" t="n"/>
    </row>
    <row r="366" ht="22.5" customHeight="1" s="150">
      <c r="A366" s="34" t="n">
        <v>364</v>
      </c>
      <c r="B366" s="50" t="n"/>
      <c r="C366" s="50" t="n"/>
      <c r="D366" s="50" t="n"/>
      <c r="E366" s="50" t="n"/>
      <c r="F366" s="51" t="n"/>
      <c r="G366" s="51" t="n"/>
      <c r="H366" s="53" t="n"/>
      <c r="I366" s="53" t="n"/>
      <c r="J366" s="53" t="n"/>
      <c r="K366" s="111" t="n"/>
      <c r="L366" s="55" t="n"/>
      <c r="M366" s="141" t="inlineStr">
        <is>
          <t>Hard</t>
        </is>
      </c>
      <c r="N366" s="55" t="n"/>
      <c r="O366" s="57" t="n"/>
      <c r="P366" s="58" t="n"/>
      <c r="Q366" s="58" t="n"/>
      <c r="R366" s="58" t="n"/>
      <c r="S366" s="55" t="n"/>
      <c r="T366" s="55" t="n"/>
      <c r="U366" s="135" t="n"/>
      <c r="V366" s="122" t="n"/>
      <c r="W366" s="136" t="n"/>
      <c r="X366" s="137" t="n"/>
      <c r="Y366" s="136" t="n"/>
      <c r="Z366" s="136" t="n"/>
      <c r="AA366" s="136" t="n"/>
      <c r="AB366" s="132" t="n"/>
      <c r="AC366" s="132" t="n"/>
      <c r="AD366" s="132" t="n"/>
      <c r="AE366" s="132" t="n"/>
      <c r="AF366" s="132" t="n"/>
      <c r="AG366" s="132" t="n"/>
      <c r="AH366" s="132" t="n"/>
      <c r="AI366" s="132" t="n"/>
      <c r="AJ366" s="132" t="n"/>
      <c r="AK366" s="59" t="n"/>
      <c r="AL366" s="55" t="n"/>
    </row>
    <row r="367" ht="22.5" customHeight="1" s="150">
      <c r="A367" s="34" t="n">
        <v>365</v>
      </c>
      <c r="B367" s="50" t="n"/>
      <c r="C367" s="50" t="n"/>
      <c r="D367" s="50" t="n"/>
      <c r="E367" s="50" t="n"/>
      <c r="F367" s="51" t="n"/>
      <c r="G367" s="51" t="n"/>
      <c r="H367" s="53" t="n"/>
      <c r="I367" s="53" t="n"/>
      <c r="J367" s="53" t="n"/>
      <c r="K367" s="111" t="n"/>
      <c r="L367" s="55" t="n"/>
      <c r="M367" s="140" t="inlineStr">
        <is>
          <t>Hard</t>
        </is>
      </c>
      <c r="N367" s="55" t="n"/>
      <c r="O367" s="57" t="n"/>
      <c r="P367" s="58" t="n"/>
      <c r="Q367" s="58" t="n"/>
      <c r="R367" s="58" t="n"/>
      <c r="S367" s="55" t="n"/>
      <c r="T367" s="55" t="n"/>
      <c r="U367" s="135" t="n"/>
      <c r="V367" s="122" t="n"/>
      <c r="W367" s="136" t="n"/>
      <c r="X367" s="137" t="n"/>
      <c r="Y367" s="136" t="n"/>
      <c r="Z367" s="136" t="n"/>
      <c r="AA367" s="136" t="n"/>
      <c r="AB367" s="132" t="n"/>
      <c r="AC367" s="132" t="n"/>
      <c r="AD367" s="132" t="n"/>
      <c r="AE367" s="132" t="n"/>
      <c r="AF367" s="132" t="n"/>
      <c r="AG367" s="132" t="n"/>
      <c r="AH367" s="132" t="n"/>
      <c r="AI367" s="132" t="n"/>
      <c r="AJ367" s="132" t="n"/>
      <c r="AK367" s="59" t="n"/>
      <c r="AL367" s="55" t="n"/>
    </row>
    <row r="368" ht="22.5" customHeight="1" s="150">
      <c r="A368" s="34" t="n">
        <v>366</v>
      </c>
      <c r="B368" s="50" t="n"/>
      <c r="C368" s="50" t="n"/>
      <c r="D368" s="50" t="n"/>
      <c r="E368" s="50" t="n"/>
      <c r="F368" s="51" t="n"/>
      <c r="G368" s="51" t="n"/>
      <c r="H368" s="53" t="n"/>
      <c r="I368" s="53" t="n"/>
      <c r="J368" s="53" t="n"/>
      <c r="K368" s="111" t="n"/>
      <c r="L368" s="55" t="n"/>
      <c r="M368" s="139" t="inlineStr">
        <is>
          <t>Normal</t>
        </is>
      </c>
      <c r="N368" s="55" t="n"/>
      <c r="O368" s="57" t="n"/>
      <c r="P368" s="58" t="n"/>
      <c r="Q368" s="58" t="n"/>
      <c r="R368" s="58" t="n"/>
      <c r="S368" s="55" t="n"/>
      <c r="T368" s="55" t="n"/>
      <c r="U368" s="135" t="n"/>
      <c r="V368" s="122" t="n"/>
      <c r="W368" s="136" t="n"/>
      <c r="X368" s="137" t="n"/>
      <c r="Y368" s="136" t="n"/>
      <c r="Z368" s="136" t="n"/>
      <c r="AA368" s="136" t="n"/>
      <c r="AB368" s="132" t="n"/>
      <c r="AC368" s="132" t="n"/>
      <c r="AD368" s="132" t="n"/>
      <c r="AE368" s="132" t="n"/>
      <c r="AF368" s="132" t="n"/>
      <c r="AG368" s="132" t="n"/>
      <c r="AH368" s="132" t="n"/>
      <c r="AI368" s="132" t="n"/>
      <c r="AJ368" s="132" t="n"/>
      <c r="AK368" s="59" t="n"/>
      <c r="AL368" s="55" t="n"/>
    </row>
    <row r="369" ht="22.5" customHeight="1" s="150">
      <c r="A369" s="34" t="n">
        <v>367</v>
      </c>
      <c r="B369" s="50" t="n"/>
      <c r="C369" s="50" t="n"/>
      <c r="D369" s="50" t="n"/>
      <c r="E369" s="50" t="n"/>
      <c r="F369" s="51" t="n"/>
      <c r="G369" s="51" t="n"/>
      <c r="H369" s="53" t="n"/>
      <c r="I369" s="53" t="n"/>
      <c r="J369" s="53" t="n"/>
      <c r="K369" s="111" t="n"/>
      <c r="L369" s="55" t="n"/>
      <c r="M369" s="138" t="inlineStr">
        <is>
          <t>Normal</t>
        </is>
      </c>
      <c r="N369" s="55" t="n"/>
      <c r="O369" s="57" t="n"/>
      <c r="P369" s="58" t="n"/>
      <c r="Q369" s="58" t="n"/>
      <c r="R369" s="58" t="n"/>
      <c r="S369" s="55" t="n"/>
      <c r="T369" s="55" t="n"/>
      <c r="U369" s="135" t="n"/>
      <c r="V369" s="122" t="n"/>
      <c r="W369" s="136" t="n"/>
      <c r="X369" s="137" t="n"/>
      <c r="Y369" s="136" t="n"/>
      <c r="Z369" s="136" t="n"/>
      <c r="AA369" s="136" t="n"/>
      <c r="AB369" s="132" t="n"/>
      <c r="AC369" s="132" t="n"/>
      <c r="AD369" s="132" t="n"/>
      <c r="AE369" s="132" t="n"/>
      <c r="AF369" s="132" t="n"/>
      <c r="AG369" s="132" t="n"/>
      <c r="AH369" s="132" t="n"/>
      <c r="AI369" s="132" t="n"/>
      <c r="AJ369" s="132" t="n"/>
      <c r="AK369" s="59" t="n"/>
      <c r="AL369" s="55" t="n"/>
    </row>
    <row r="370" ht="22.5" customHeight="1" s="150">
      <c r="A370" s="34" t="n">
        <v>368</v>
      </c>
      <c r="B370" s="50" t="n"/>
      <c r="C370" s="50" t="n"/>
      <c r="D370" s="50" t="n"/>
      <c r="E370" s="50" t="n"/>
      <c r="F370" s="51" t="n"/>
      <c r="G370" s="51" t="n"/>
      <c r="H370" s="53" t="n"/>
      <c r="I370" s="53" t="n"/>
      <c r="J370" s="53" t="n"/>
      <c r="K370" s="111" t="n"/>
      <c r="L370" s="55" t="n"/>
      <c r="M370" s="141" t="inlineStr">
        <is>
          <t>Hard</t>
        </is>
      </c>
      <c r="N370" s="55" t="n"/>
      <c r="O370" s="57" t="n"/>
      <c r="P370" s="58" t="n"/>
      <c r="Q370" s="58" t="n"/>
      <c r="R370" s="58" t="n"/>
      <c r="S370" s="55" t="n"/>
      <c r="T370" s="55" t="n"/>
      <c r="U370" s="135" t="n"/>
      <c r="V370" s="122" t="n"/>
      <c r="W370" s="136" t="n"/>
      <c r="X370" s="137" t="n"/>
      <c r="Y370" s="136" t="n"/>
      <c r="Z370" s="136" t="n"/>
      <c r="AA370" s="136" t="n"/>
      <c r="AB370" s="132" t="n"/>
      <c r="AC370" s="132" t="n"/>
      <c r="AD370" s="132" t="n"/>
      <c r="AE370" s="132" t="n"/>
      <c r="AF370" s="132" t="n"/>
      <c r="AG370" s="132" t="n"/>
      <c r="AH370" s="132" t="n"/>
      <c r="AI370" s="132" t="n"/>
      <c r="AJ370" s="132" t="n"/>
      <c r="AK370" s="59" t="n"/>
      <c r="AL370" s="55" t="n"/>
    </row>
    <row r="371" ht="22.5" customHeight="1" s="150">
      <c r="A371" s="34" t="n">
        <v>369</v>
      </c>
      <c r="B371" s="50" t="n"/>
      <c r="C371" s="50" t="n"/>
      <c r="D371" s="50" t="n"/>
      <c r="E371" s="50" t="n"/>
      <c r="F371" s="51" t="n"/>
      <c r="G371" s="51" t="n"/>
      <c r="H371" s="53" t="n"/>
      <c r="I371" s="53" t="n"/>
      <c r="J371" s="53" t="n"/>
      <c r="K371" s="111" t="n"/>
      <c r="L371" s="55" t="n"/>
      <c r="M371" s="140" t="inlineStr">
        <is>
          <t>Hard</t>
        </is>
      </c>
      <c r="N371" s="55" t="n"/>
      <c r="O371" s="57" t="n"/>
      <c r="P371" s="58" t="n"/>
      <c r="Q371" s="58" t="n"/>
      <c r="R371" s="58" t="n"/>
      <c r="S371" s="55" t="n"/>
      <c r="T371" s="55" t="n"/>
      <c r="U371" s="135" t="n"/>
      <c r="V371" s="122" t="n"/>
      <c r="W371" s="136" t="n"/>
      <c r="X371" s="137" t="n"/>
      <c r="Y371" s="136" t="n"/>
      <c r="Z371" s="136" t="n"/>
      <c r="AA371" s="136" t="n"/>
      <c r="AB371" s="132" t="n"/>
      <c r="AC371" s="132" t="n"/>
      <c r="AD371" s="132" t="n"/>
      <c r="AE371" s="132" t="n"/>
      <c r="AF371" s="132" t="n"/>
      <c r="AG371" s="132" t="n"/>
      <c r="AH371" s="132" t="n"/>
      <c r="AI371" s="132" t="n"/>
      <c r="AJ371" s="132" t="n"/>
      <c r="AK371" s="59" t="n"/>
      <c r="AL371" s="55" t="n"/>
    </row>
    <row r="372" ht="22.5" customHeight="1" s="150">
      <c r="A372" s="34" t="n">
        <v>370</v>
      </c>
      <c r="B372" s="50" t="n"/>
      <c r="C372" s="50" t="n"/>
      <c r="D372" s="50" t="n"/>
      <c r="E372" s="50" t="n"/>
      <c r="F372" s="51" t="n"/>
      <c r="G372" s="51" t="n"/>
      <c r="H372" s="53" t="n"/>
      <c r="I372" s="53" t="n"/>
      <c r="J372" s="53" t="n"/>
      <c r="K372" s="111" t="n"/>
      <c r="L372" s="55" t="n"/>
      <c r="M372" s="141" t="inlineStr">
        <is>
          <t>Hard</t>
        </is>
      </c>
      <c r="N372" s="55" t="n"/>
      <c r="O372" s="57" t="n"/>
      <c r="P372" s="58" t="n"/>
      <c r="Q372" s="58" t="n"/>
      <c r="R372" s="58" t="n"/>
      <c r="S372" s="55" t="n"/>
      <c r="T372" s="55" t="n"/>
      <c r="U372" s="135" t="n"/>
      <c r="V372" s="122" t="n"/>
      <c r="W372" s="136" t="n"/>
      <c r="X372" s="137" t="n"/>
      <c r="Y372" s="136" t="n"/>
      <c r="Z372" s="136" t="n"/>
      <c r="AA372" s="136" t="n"/>
      <c r="AB372" s="132" t="n"/>
      <c r="AC372" s="132" t="n"/>
      <c r="AD372" s="132" t="n"/>
      <c r="AE372" s="132" t="n"/>
      <c r="AF372" s="132" t="n"/>
      <c r="AG372" s="132" t="n"/>
      <c r="AH372" s="132" t="n"/>
      <c r="AI372" s="132" t="n"/>
      <c r="AJ372" s="132" t="n"/>
      <c r="AK372" s="59" t="n"/>
      <c r="AL372" s="55" t="n"/>
    </row>
    <row r="373" ht="22.5" customHeight="1" s="150">
      <c r="A373" s="34" t="n">
        <v>371</v>
      </c>
      <c r="B373" s="50" t="n"/>
      <c r="C373" s="50" t="n"/>
      <c r="D373" s="50" t="n"/>
      <c r="E373" s="50" t="n"/>
      <c r="F373" s="51" t="n"/>
      <c r="G373" s="51" t="n"/>
      <c r="H373" s="53" t="n"/>
      <c r="I373" s="53" t="n"/>
      <c r="J373" s="53" t="n"/>
      <c r="K373" s="111" t="n"/>
      <c r="L373" s="55" t="n"/>
      <c r="M373" s="138" t="inlineStr">
        <is>
          <t>Normal</t>
        </is>
      </c>
      <c r="N373" s="55" t="n"/>
      <c r="O373" s="57" t="n"/>
      <c r="P373" s="58" t="n"/>
      <c r="Q373" s="58" t="n"/>
      <c r="R373" s="58" t="n"/>
      <c r="S373" s="55" t="n"/>
      <c r="T373" s="55" t="n"/>
      <c r="U373" s="135" t="n"/>
      <c r="V373" s="122" t="n"/>
      <c r="W373" s="136" t="n"/>
      <c r="X373" s="137" t="n"/>
      <c r="Y373" s="136" t="n"/>
      <c r="Z373" s="136" t="n"/>
      <c r="AA373" s="136" t="n"/>
      <c r="AB373" s="132" t="n"/>
      <c r="AC373" s="132" t="n"/>
      <c r="AD373" s="132" t="n"/>
      <c r="AE373" s="132" t="n"/>
      <c r="AF373" s="132" t="n"/>
      <c r="AG373" s="132" t="n"/>
      <c r="AH373" s="132" t="n"/>
      <c r="AI373" s="132" t="n"/>
      <c r="AJ373" s="132" t="n"/>
      <c r="AK373" s="59" t="n"/>
      <c r="AL373" s="55" t="n"/>
    </row>
    <row r="374" ht="22.5" customHeight="1" s="150">
      <c r="A374" s="34" t="n">
        <v>372</v>
      </c>
      <c r="B374" s="50" t="n"/>
      <c r="C374" s="50" t="n"/>
      <c r="D374" s="50" t="n"/>
      <c r="E374" s="50" t="n"/>
      <c r="F374" s="51" t="n"/>
      <c r="G374" s="51" t="n"/>
      <c r="H374" s="53" t="n"/>
      <c r="I374" s="53" t="n"/>
      <c r="J374" s="53" t="n"/>
      <c r="K374" s="111" t="n"/>
      <c r="L374" s="55" t="n"/>
      <c r="M374" s="139" t="inlineStr">
        <is>
          <t>Normal</t>
        </is>
      </c>
      <c r="N374" s="55" t="n"/>
      <c r="O374" s="57" t="n"/>
      <c r="P374" s="58" t="n"/>
      <c r="Q374" s="58" t="n"/>
      <c r="R374" s="58" t="n"/>
      <c r="S374" s="55" t="n"/>
      <c r="T374" s="55" t="n"/>
      <c r="U374" s="135" t="n"/>
      <c r="V374" s="122" t="n"/>
      <c r="W374" s="136" t="n"/>
      <c r="X374" s="137" t="n"/>
      <c r="Y374" s="136" t="n"/>
      <c r="Z374" s="136" t="n"/>
      <c r="AA374" s="136" t="n"/>
      <c r="AB374" s="132" t="n"/>
      <c r="AC374" s="132" t="n"/>
      <c r="AD374" s="132" t="n"/>
      <c r="AE374" s="132" t="n"/>
      <c r="AF374" s="132" t="n"/>
      <c r="AG374" s="132" t="n"/>
      <c r="AH374" s="132" t="n"/>
      <c r="AI374" s="132" t="n"/>
      <c r="AJ374" s="132" t="n"/>
      <c r="AK374" s="59" t="n"/>
      <c r="AL374" s="55" t="n"/>
    </row>
    <row r="375" ht="22.5" customHeight="1" s="150">
      <c r="A375" s="34" t="n">
        <v>373</v>
      </c>
      <c r="B375" s="50" t="n"/>
      <c r="C375" s="50" t="n"/>
      <c r="D375" s="50" t="n"/>
      <c r="E375" s="50" t="n"/>
      <c r="F375" s="51" t="n"/>
      <c r="G375" s="51" t="n"/>
      <c r="H375" s="53" t="n"/>
      <c r="I375" s="53" t="n"/>
      <c r="J375" s="53" t="n"/>
      <c r="K375" s="111" t="n"/>
      <c r="L375" s="55" t="n"/>
      <c r="M375" s="138" t="inlineStr">
        <is>
          <t>Normal</t>
        </is>
      </c>
      <c r="N375" s="55" t="n"/>
      <c r="O375" s="57" t="n"/>
      <c r="P375" s="58" t="n"/>
      <c r="Q375" s="58" t="n"/>
      <c r="R375" s="58" t="n"/>
      <c r="S375" s="55" t="n"/>
      <c r="T375" s="55" t="n"/>
      <c r="U375" s="135" t="n"/>
      <c r="V375" s="122" t="n"/>
      <c r="W375" s="136" t="n"/>
      <c r="X375" s="137" t="n"/>
      <c r="Y375" s="136" t="n"/>
      <c r="Z375" s="136" t="n"/>
      <c r="AA375" s="136" t="n"/>
      <c r="AB375" s="132" t="n"/>
      <c r="AC375" s="132" t="n"/>
      <c r="AD375" s="132" t="n"/>
      <c r="AE375" s="132" t="n"/>
      <c r="AF375" s="132" t="n"/>
      <c r="AG375" s="132" t="n"/>
      <c r="AH375" s="132" t="n"/>
      <c r="AI375" s="132" t="n"/>
      <c r="AJ375" s="132" t="n"/>
      <c r="AK375" s="59" t="n"/>
      <c r="AL375" s="55" t="n"/>
    </row>
    <row r="376" ht="22.5" customHeight="1" s="150">
      <c r="A376" s="34" t="n">
        <v>374</v>
      </c>
      <c r="B376" s="50" t="n"/>
      <c r="C376" s="50" t="n"/>
      <c r="D376" s="50" t="n"/>
      <c r="E376" s="50" t="n"/>
      <c r="F376" s="51" t="n"/>
      <c r="G376" s="51" t="n"/>
      <c r="H376" s="53" t="n"/>
      <c r="I376" s="53" t="n"/>
      <c r="J376" s="53" t="n"/>
      <c r="K376" s="111" t="n"/>
      <c r="L376" s="55" t="n"/>
      <c r="M376" s="141" t="inlineStr">
        <is>
          <t>Hard</t>
        </is>
      </c>
      <c r="N376" s="55" t="n"/>
      <c r="O376" s="57" t="n"/>
      <c r="P376" s="58" t="n"/>
      <c r="Q376" s="58" t="n"/>
      <c r="R376" s="58" t="n"/>
      <c r="S376" s="55" t="n"/>
      <c r="T376" s="55" t="n"/>
      <c r="U376" s="135" t="n"/>
      <c r="V376" s="122" t="n"/>
      <c r="W376" s="136" t="n"/>
      <c r="X376" s="137" t="n"/>
      <c r="Y376" s="136" t="n"/>
      <c r="Z376" s="136" t="n"/>
      <c r="AA376" s="136" t="n"/>
      <c r="AB376" s="132" t="n"/>
      <c r="AC376" s="132" t="n"/>
      <c r="AD376" s="132" t="n"/>
      <c r="AE376" s="132" t="n"/>
      <c r="AF376" s="132" t="n"/>
      <c r="AG376" s="132" t="n"/>
      <c r="AH376" s="132" t="n"/>
      <c r="AI376" s="132" t="n"/>
      <c r="AJ376" s="132" t="n"/>
      <c r="AK376" s="59" t="n"/>
      <c r="AL376" s="55" t="n"/>
    </row>
    <row r="377" ht="22.5" customHeight="1" s="150">
      <c r="A377" s="34" t="n">
        <v>375</v>
      </c>
      <c r="B377" s="50" t="n"/>
      <c r="C377" s="50" t="n"/>
      <c r="D377" s="50" t="n"/>
      <c r="E377" s="50" t="n"/>
      <c r="F377" s="51" t="n"/>
      <c r="G377" s="51" t="n"/>
      <c r="H377" s="53" t="n"/>
      <c r="I377" s="53" t="n"/>
      <c r="J377" s="53" t="n"/>
      <c r="K377" s="111" t="n"/>
      <c r="L377" s="55" t="n"/>
      <c r="M377" s="138" t="inlineStr">
        <is>
          <t>Normal</t>
        </is>
      </c>
      <c r="N377" s="55" t="n"/>
      <c r="O377" s="57" t="n"/>
      <c r="P377" s="58" t="n"/>
      <c r="Q377" s="58" t="n"/>
      <c r="R377" s="58" t="n"/>
      <c r="S377" s="55" t="n"/>
      <c r="T377" s="55" t="n"/>
      <c r="U377" s="135" t="n"/>
      <c r="V377" s="122" t="n"/>
      <c r="W377" s="136" t="n"/>
      <c r="X377" s="137" t="n"/>
      <c r="Y377" s="136" t="n"/>
      <c r="Z377" s="136" t="n"/>
      <c r="AA377" s="136" t="n"/>
      <c r="AB377" s="132" t="n"/>
      <c r="AC377" s="132" t="n"/>
      <c r="AD377" s="132" t="n"/>
      <c r="AE377" s="132" t="n"/>
      <c r="AF377" s="132" t="n"/>
      <c r="AG377" s="132" t="n"/>
      <c r="AH377" s="132" t="n"/>
      <c r="AI377" s="132" t="n"/>
      <c r="AJ377" s="132" t="n"/>
      <c r="AK377" s="59" t="n"/>
      <c r="AL377" s="55" t="n"/>
    </row>
    <row r="378" ht="22.5" customHeight="1" s="150">
      <c r="A378" s="34" t="n">
        <v>376</v>
      </c>
      <c r="B378" s="50" t="n"/>
      <c r="C378" s="50" t="n"/>
      <c r="D378" s="50" t="n"/>
      <c r="E378" s="50" t="n"/>
      <c r="F378" s="51" t="n"/>
      <c r="G378" s="51" t="n"/>
      <c r="H378" s="53" t="n"/>
      <c r="I378" s="53" t="n"/>
      <c r="J378" s="53" t="n"/>
      <c r="K378" s="111" t="n"/>
      <c r="L378" s="55" t="n"/>
      <c r="M378" s="139" t="inlineStr">
        <is>
          <t>Normal</t>
        </is>
      </c>
      <c r="N378" s="55" t="n"/>
      <c r="O378" s="57" t="n"/>
      <c r="P378" s="58" t="n"/>
      <c r="Q378" s="58" t="n"/>
      <c r="R378" s="58" t="n"/>
      <c r="S378" s="55" t="n"/>
      <c r="T378" s="55" t="n"/>
      <c r="U378" s="135" t="n"/>
      <c r="V378" s="122" t="n"/>
      <c r="W378" s="136" t="n"/>
      <c r="X378" s="137" t="n"/>
      <c r="Y378" s="136" t="n"/>
      <c r="Z378" s="136" t="n"/>
      <c r="AA378" s="136" t="n"/>
      <c r="AB378" s="132" t="n"/>
      <c r="AC378" s="132" t="n"/>
      <c r="AD378" s="132" t="n"/>
      <c r="AE378" s="132" t="n"/>
      <c r="AF378" s="132" t="n"/>
      <c r="AG378" s="132" t="n"/>
      <c r="AH378" s="132" t="n"/>
      <c r="AI378" s="132" t="n"/>
      <c r="AJ378" s="132" t="n"/>
      <c r="AK378" s="59" t="n"/>
      <c r="AL378" s="55" t="n"/>
    </row>
    <row r="379" ht="22.5" customHeight="1" s="150">
      <c r="A379" s="34" t="n">
        <v>377</v>
      </c>
      <c r="B379" s="50" t="n"/>
      <c r="C379" s="50" t="n"/>
      <c r="D379" s="50" t="n"/>
      <c r="E379" s="50" t="n"/>
      <c r="F379" s="51" t="n"/>
      <c r="G379" s="51" t="n"/>
      <c r="H379" s="53" t="n"/>
      <c r="I379" s="53" t="n"/>
      <c r="J379" s="53" t="n"/>
      <c r="K379" s="111" t="n"/>
      <c r="L379" s="55" t="n"/>
      <c r="M379" s="138" t="inlineStr">
        <is>
          <t>Normal</t>
        </is>
      </c>
      <c r="N379" s="55" t="n"/>
      <c r="O379" s="57" t="n"/>
      <c r="P379" s="58" t="n"/>
      <c r="Q379" s="58" t="n"/>
      <c r="R379" s="58" t="n"/>
      <c r="S379" s="55" t="n"/>
      <c r="T379" s="55" t="n"/>
      <c r="U379" s="135" t="n"/>
      <c r="V379" s="122" t="n"/>
      <c r="W379" s="136" t="n"/>
      <c r="X379" s="137" t="n"/>
      <c r="Y379" s="136" t="n"/>
      <c r="Z379" s="136" t="n"/>
      <c r="AA379" s="136" t="n"/>
      <c r="AB379" s="132" t="n"/>
      <c r="AC379" s="132" t="n"/>
      <c r="AD379" s="132" t="n"/>
      <c r="AE379" s="132" t="n"/>
      <c r="AF379" s="132" t="n"/>
      <c r="AG379" s="132" t="n"/>
      <c r="AH379" s="132" t="n"/>
      <c r="AI379" s="132" t="n"/>
      <c r="AJ379" s="132" t="n"/>
      <c r="AK379" s="59" t="n"/>
      <c r="AL379" s="55" t="n"/>
    </row>
    <row r="380" ht="22.5" customHeight="1" s="150">
      <c r="A380" s="34" t="n">
        <v>378</v>
      </c>
      <c r="B380" s="50" t="n"/>
      <c r="C380" s="50" t="n"/>
      <c r="D380" s="50" t="n"/>
      <c r="E380" s="50" t="n"/>
      <c r="F380" s="51" t="n"/>
      <c r="G380" s="51" t="n"/>
      <c r="H380" s="53" t="n"/>
      <c r="I380" s="53" t="n"/>
      <c r="J380" s="53" t="n"/>
      <c r="K380" s="111" t="n"/>
      <c r="L380" s="55" t="n"/>
      <c r="M380" s="139" t="inlineStr">
        <is>
          <t>Normal</t>
        </is>
      </c>
      <c r="N380" s="55" t="n"/>
      <c r="O380" s="57" t="n"/>
      <c r="P380" s="58" t="n"/>
      <c r="Q380" s="58" t="n"/>
      <c r="R380" s="58" t="n"/>
      <c r="S380" s="55" t="n"/>
      <c r="T380" s="55" t="n"/>
      <c r="U380" s="135" t="n"/>
      <c r="V380" s="122" t="n"/>
      <c r="W380" s="136" t="n"/>
      <c r="X380" s="137" t="n"/>
      <c r="Y380" s="136" t="n"/>
      <c r="Z380" s="136" t="n"/>
      <c r="AA380" s="136" t="n"/>
      <c r="AB380" s="132" t="n"/>
      <c r="AC380" s="132" t="n"/>
      <c r="AD380" s="132" t="n"/>
      <c r="AE380" s="132" t="n"/>
      <c r="AF380" s="132" t="n"/>
      <c r="AG380" s="132" t="n"/>
      <c r="AH380" s="132" t="n"/>
      <c r="AI380" s="132" t="n"/>
      <c r="AJ380" s="132" t="n"/>
      <c r="AK380" s="59" t="n"/>
      <c r="AL380" s="55" t="n"/>
    </row>
    <row r="381" ht="22.5" customHeight="1" s="150">
      <c r="A381" s="34" t="n">
        <v>379</v>
      </c>
      <c r="B381" s="50" t="n"/>
      <c r="C381" s="50" t="n"/>
      <c r="D381" s="50" t="n"/>
      <c r="E381" s="50" t="n"/>
      <c r="F381" s="51" t="n"/>
      <c r="G381" s="51" t="n"/>
      <c r="H381" s="53" t="n"/>
      <c r="I381" s="53" t="n"/>
      <c r="J381" s="53" t="n"/>
      <c r="K381" s="111" t="n"/>
      <c r="L381" s="55" t="n"/>
      <c r="M381" s="140" t="inlineStr">
        <is>
          <t>Hard</t>
        </is>
      </c>
      <c r="N381" s="55" t="n"/>
      <c r="O381" s="57" t="n"/>
      <c r="P381" s="58" t="n"/>
      <c r="Q381" s="58" t="n"/>
      <c r="R381" s="58" t="n"/>
      <c r="S381" s="55" t="n"/>
      <c r="T381" s="55" t="n"/>
      <c r="U381" s="135" t="n"/>
      <c r="V381" s="122" t="n"/>
      <c r="W381" s="136" t="n"/>
      <c r="X381" s="137" t="n"/>
      <c r="Y381" s="136" t="n"/>
      <c r="Z381" s="136" t="n"/>
      <c r="AA381" s="136" t="n"/>
      <c r="AB381" s="132" t="n"/>
      <c r="AC381" s="132" t="n"/>
      <c r="AD381" s="132" t="n"/>
      <c r="AE381" s="132" t="n"/>
      <c r="AF381" s="132" t="n"/>
      <c r="AG381" s="132" t="n"/>
      <c r="AH381" s="132" t="n"/>
      <c r="AI381" s="132" t="n"/>
      <c r="AJ381" s="132" t="n"/>
      <c r="AK381" s="59" t="n"/>
      <c r="AL381" s="55" t="n"/>
    </row>
    <row r="382" ht="22.5" customHeight="1" s="150">
      <c r="A382" s="34" t="n">
        <v>380</v>
      </c>
      <c r="B382" s="50" t="n"/>
      <c r="C382" s="50" t="n"/>
      <c r="D382" s="50" t="n"/>
      <c r="E382" s="50" t="n"/>
      <c r="F382" s="51" t="n"/>
      <c r="G382" s="51" t="n"/>
      <c r="H382" s="53" t="n"/>
      <c r="I382" s="53" t="n"/>
      <c r="J382" s="53" t="n"/>
      <c r="K382" s="111" t="n"/>
      <c r="L382" s="55" t="n"/>
      <c r="M382" s="141" t="inlineStr">
        <is>
          <t>Hard</t>
        </is>
      </c>
      <c r="N382" s="55" t="n"/>
      <c r="O382" s="57" t="n"/>
      <c r="P382" s="58" t="n"/>
      <c r="Q382" s="58" t="n"/>
      <c r="R382" s="58" t="n"/>
      <c r="S382" s="55" t="n"/>
      <c r="T382" s="55" t="n"/>
      <c r="U382" s="135" t="n"/>
      <c r="V382" s="122" t="n"/>
      <c r="W382" s="136" t="n"/>
      <c r="X382" s="137" t="n"/>
      <c r="Y382" s="136" t="n"/>
      <c r="Z382" s="136" t="n"/>
      <c r="AA382" s="136" t="n"/>
      <c r="AB382" s="132" t="n"/>
      <c r="AC382" s="132" t="n"/>
      <c r="AD382" s="132" t="n"/>
      <c r="AE382" s="132" t="n"/>
      <c r="AF382" s="132" t="n"/>
      <c r="AG382" s="132" t="n"/>
      <c r="AH382" s="132" t="n"/>
      <c r="AI382" s="132" t="n"/>
      <c r="AJ382" s="132" t="n"/>
      <c r="AK382" s="59" t="n"/>
      <c r="AL382" s="55" t="n"/>
    </row>
    <row r="383" ht="22.5" customHeight="1" s="150">
      <c r="A383" s="34" t="n">
        <v>381</v>
      </c>
      <c r="B383" s="50" t="n"/>
      <c r="C383" s="50" t="n"/>
      <c r="D383" s="50" t="n"/>
      <c r="E383" s="50" t="n"/>
      <c r="F383" s="51" t="n"/>
      <c r="G383" s="51" t="n"/>
      <c r="H383" s="53" t="n"/>
      <c r="I383" s="53" t="n"/>
      <c r="J383" s="53" t="n"/>
      <c r="K383" s="111" t="n"/>
      <c r="L383" s="55" t="n"/>
      <c r="M383" s="138" t="inlineStr">
        <is>
          <t>Normal</t>
        </is>
      </c>
      <c r="N383" s="55" t="n"/>
      <c r="O383" s="57" t="n"/>
      <c r="P383" s="58" t="n"/>
      <c r="Q383" s="58" t="n"/>
      <c r="R383" s="58" t="n"/>
      <c r="S383" s="55" t="n"/>
      <c r="T383" s="55" t="n"/>
      <c r="U383" s="135" t="n"/>
      <c r="V383" s="122" t="n"/>
      <c r="W383" s="136" t="n"/>
      <c r="X383" s="137" t="n"/>
      <c r="Y383" s="136" t="n"/>
      <c r="Z383" s="136" t="n"/>
      <c r="AA383" s="136" t="n"/>
      <c r="AB383" s="132" t="n"/>
      <c r="AC383" s="132" t="n"/>
      <c r="AD383" s="132" t="n"/>
      <c r="AE383" s="132" t="n"/>
      <c r="AF383" s="132" t="n"/>
      <c r="AG383" s="132" t="n"/>
      <c r="AH383" s="132" t="n"/>
      <c r="AI383" s="132" t="n"/>
      <c r="AJ383" s="132" t="n"/>
      <c r="AK383" s="59" t="n"/>
      <c r="AL383" s="55" t="n"/>
    </row>
    <row r="384" ht="22.5" customHeight="1" s="150">
      <c r="A384" s="34" t="n">
        <v>382</v>
      </c>
      <c r="B384" s="50" t="n"/>
      <c r="C384" s="50" t="n"/>
      <c r="D384" s="50" t="n"/>
      <c r="E384" s="50" t="n"/>
      <c r="F384" s="51" t="n"/>
      <c r="G384" s="51" t="n"/>
      <c r="H384" s="53" t="n"/>
      <c r="I384" s="53" t="n"/>
      <c r="J384" s="53" t="n"/>
      <c r="K384" s="111" t="n"/>
      <c r="L384" s="55" t="n"/>
      <c r="M384" s="139" t="inlineStr">
        <is>
          <t>Normal</t>
        </is>
      </c>
      <c r="N384" s="55" t="n"/>
      <c r="O384" s="57" t="n"/>
      <c r="P384" s="58" t="n"/>
      <c r="Q384" s="58" t="n"/>
      <c r="R384" s="58" t="n"/>
      <c r="S384" s="55" t="n"/>
      <c r="T384" s="55" t="n"/>
      <c r="U384" s="135" t="n"/>
      <c r="V384" s="122" t="n"/>
      <c r="W384" s="136" t="n"/>
      <c r="X384" s="137" t="n"/>
      <c r="Y384" s="136" t="n"/>
      <c r="Z384" s="136" t="n"/>
      <c r="AA384" s="136" t="n"/>
      <c r="AB384" s="132" t="n"/>
      <c r="AC384" s="132" t="n"/>
      <c r="AD384" s="132" t="n"/>
      <c r="AE384" s="132" t="n"/>
      <c r="AF384" s="132" t="n"/>
      <c r="AG384" s="132" t="n"/>
      <c r="AH384" s="132" t="n"/>
      <c r="AI384" s="132" t="n"/>
      <c r="AJ384" s="132" t="n"/>
      <c r="AK384" s="59" t="n"/>
      <c r="AL384" s="55" t="n"/>
    </row>
    <row r="385" ht="22.5" customHeight="1" s="150">
      <c r="A385" s="34" t="n">
        <v>383</v>
      </c>
      <c r="B385" s="50" t="n"/>
      <c r="C385" s="50" t="n"/>
      <c r="D385" s="50" t="n"/>
      <c r="E385" s="50" t="n"/>
      <c r="F385" s="51" t="n"/>
      <c r="G385" s="51" t="n"/>
      <c r="H385" s="53" t="n"/>
      <c r="I385" s="53" t="n"/>
      <c r="J385" s="53" t="n"/>
      <c r="K385" s="111" t="n"/>
      <c r="L385" s="55" t="n"/>
      <c r="M385" s="138" t="inlineStr">
        <is>
          <t>Normal</t>
        </is>
      </c>
      <c r="N385" s="55" t="n"/>
      <c r="O385" s="57" t="n"/>
      <c r="P385" s="58" t="n"/>
      <c r="Q385" s="58" t="n"/>
      <c r="R385" s="58" t="n"/>
      <c r="S385" s="55" t="n"/>
      <c r="T385" s="55" t="n"/>
      <c r="U385" s="135" t="n"/>
      <c r="V385" s="122" t="n"/>
      <c r="W385" s="136" t="n"/>
      <c r="X385" s="137" t="n"/>
      <c r="Y385" s="136" t="n"/>
      <c r="Z385" s="136" t="n"/>
      <c r="AA385" s="136" t="n"/>
      <c r="AB385" s="132" t="n"/>
      <c r="AC385" s="132" t="n"/>
      <c r="AD385" s="132" t="n"/>
      <c r="AE385" s="132" t="n"/>
      <c r="AF385" s="132" t="n"/>
      <c r="AG385" s="132" t="n"/>
      <c r="AH385" s="132" t="n"/>
      <c r="AI385" s="132" t="n"/>
      <c r="AJ385" s="132" t="n"/>
      <c r="AK385" s="59" t="n"/>
      <c r="AL385" s="55" t="n"/>
    </row>
    <row r="386" ht="22.5" customHeight="1" s="150">
      <c r="A386" s="34" t="n">
        <v>384</v>
      </c>
      <c r="B386" s="50" t="n"/>
      <c r="C386" s="50" t="n"/>
      <c r="D386" s="50" t="n"/>
      <c r="E386" s="50" t="n"/>
      <c r="F386" s="51" t="n"/>
      <c r="G386" s="51" t="n"/>
      <c r="H386" s="53" t="n"/>
      <c r="I386" s="53" t="n"/>
      <c r="J386" s="53" t="n"/>
      <c r="K386" s="111" t="n"/>
      <c r="L386" s="55" t="n"/>
      <c r="M386" s="143" t="inlineStr">
        <is>
          <t>Very Hard</t>
        </is>
      </c>
      <c r="N386" s="55" t="n"/>
      <c r="O386" s="57" t="n"/>
      <c r="P386" s="58" t="n"/>
      <c r="Q386" s="58" t="n"/>
      <c r="R386" s="58" t="n"/>
      <c r="S386" s="55" t="n"/>
      <c r="T386" s="55" t="n"/>
      <c r="U386" s="135" t="n"/>
      <c r="V386" s="122" t="n"/>
      <c r="W386" s="136" t="n"/>
      <c r="X386" s="137" t="n"/>
      <c r="Y386" s="136" t="n"/>
      <c r="Z386" s="136" t="n"/>
      <c r="AA386" s="136" t="n"/>
      <c r="AB386" s="132" t="n"/>
      <c r="AC386" s="132" t="n"/>
      <c r="AD386" s="132" t="n"/>
      <c r="AE386" s="132" t="n"/>
      <c r="AF386" s="132" t="n"/>
      <c r="AG386" s="132" t="n"/>
      <c r="AH386" s="132" t="n"/>
      <c r="AI386" s="132" t="n"/>
      <c r="AJ386" s="132" t="n"/>
      <c r="AK386" s="59" t="n"/>
      <c r="AL386" s="55" t="n"/>
    </row>
    <row r="387" ht="22.5" customHeight="1" s="150">
      <c r="A387" s="34" t="n">
        <v>385</v>
      </c>
      <c r="B387" s="50" t="n"/>
      <c r="C387" s="50" t="n"/>
      <c r="D387" s="50" t="n"/>
      <c r="E387" s="50" t="n"/>
      <c r="F387" s="51" t="n"/>
      <c r="G387" s="51" t="n"/>
      <c r="H387" s="53" t="n"/>
      <c r="I387" s="53" t="n"/>
      <c r="J387" s="53" t="n"/>
      <c r="K387" s="111" t="n"/>
      <c r="L387" s="55" t="n"/>
      <c r="M387" s="138" t="inlineStr">
        <is>
          <t>Normal</t>
        </is>
      </c>
      <c r="N387" s="55" t="n"/>
      <c r="O387" s="57" t="n"/>
      <c r="P387" s="58" t="n"/>
      <c r="Q387" s="58" t="n"/>
      <c r="R387" s="58" t="n"/>
      <c r="S387" s="55" t="n"/>
      <c r="T387" s="55" t="n"/>
      <c r="U387" s="135" t="n"/>
      <c r="V387" s="122" t="n"/>
      <c r="W387" s="136" t="n"/>
      <c r="X387" s="137" t="n"/>
      <c r="Y387" s="136" t="n"/>
      <c r="Z387" s="136" t="n"/>
      <c r="AA387" s="136" t="n"/>
      <c r="AB387" s="132" t="n"/>
      <c r="AC387" s="132" t="n"/>
      <c r="AD387" s="132" t="n"/>
      <c r="AE387" s="132" t="n"/>
      <c r="AF387" s="132" t="n"/>
      <c r="AG387" s="132" t="n"/>
      <c r="AH387" s="132" t="n"/>
      <c r="AI387" s="132" t="n"/>
      <c r="AJ387" s="132" t="n"/>
      <c r="AK387" s="59" t="n"/>
      <c r="AL387" s="55" t="n"/>
    </row>
    <row r="388" ht="22.5" customHeight="1" s="150">
      <c r="A388" s="34" t="n">
        <v>386</v>
      </c>
      <c r="B388" s="50" t="n"/>
      <c r="C388" s="50" t="n"/>
      <c r="D388" s="50" t="n"/>
      <c r="E388" s="50" t="n"/>
      <c r="F388" s="51" t="n"/>
      <c r="G388" s="51" t="n"/>
      <c r="H388" s="53" t="n"/>
      <c r="I388" s="53" t="n"/>
      <c r="J388" s="53" t="n"/>
      <c r="K388" s="111" t="n"/>
      <c r="L388" s="55" t="n"/>
      <c r="M388" s="139" t="inlineStr">
        <is>
          <t>Normal</t>
        </is>
      </c>
      <c r="N388" s="55" t="n"/>
      <c r="O388" s="57" t="n"/>
      <c r="P388" s="58" t="n"/>
      <c r="Q388" s="58" t="n"/>
      <c r="R388" s="58" t="n"/>
      <c r="S388" s="55" t="n"/>
      <c r="T388" s="55" t="n"/>
      <c r="U388" s="135" t="n"/>
      <c r="V388" s="122" t="n"/>
      <c r="W388" s="136" t="n"/>
      <c r="X388" s="137" t="n"/>
      <c r="Y388" s="136" t="n"/>
      <c r="Z388" s="136" t="n"/>
      <c r="AA388" s="136" t="n"/>
      <c r="AB388" s="132" t="n"/>
      <c r="AC388" s="132" t="n"/>
      <c r="AD388" s="132" t="n"/>
      <c r="AE388" s="132" t="n"/>
      <c r="AF388" s="132" t="n"/>
      <c r="AG388" s="132" t="n"/>
      <c r="AH388" s="132" t="n"/>
      <c r="AI388" s="132" t="n"/>
      <c r="AJ388" s="132" t="n"/>
      <c r="AK388" s="59" t="n"/>
      <c r="AL388" s="55" t="n"/>
    </row>
    <row r="389" ht="22.5" customHeight="1" s="150">
      <c r="A389" s="34" t="n">
        <v>387</v>
      </c>
      <c r="B389" s="50" t="n"/>
      <c r="C389" s="50" t="n"/>
      <c r="D389" s="50" t="n"/>
      <c r="E389" s="50" t="n"/>
      <c r="F389" s="51" t="n"/>
      <c r="G389" s="51" t="n"/>
      <c r="H389" s="53" t="n"/>
      <c r="I389" s="53" t="n"/>
      <c r="J389" s="53" t="n"/>
      <c r="K389" s="111" t="n"/>
      <c r="L389" s="55" t="n"/>
      <c r="M389" s="138" t="inlineStr">
        <is>
          <t>Normal</t>
        </is>
      </c>
      <c r="N389" s="55" t="n"/>
      <c r="O389" s="57" t="n"/>
      <c r="P389" s="58" t="n"/>
      <c r="Q389" s="58" t="n"/>
      <c r="R389" s="58" t="n"/>
      <c r="S389" s="55" t="n"/>
      <c r="T389" s="55" t="n"/>
      <c r="U389" s="135" t="n"/>
      <c r="V389" s="122" t="n"/>
      <c r="W389" s="136" t="n"/>
      <c r="X389" s="137" t="n"/>
      <c r="Y389" s="136" t="n"/>
      <c r="Z389" s="136" t="n"/>
      <c r="AA389" s="136" t="n"/>
      <c r="AB389" s="132" t="n"/>
      <c r="AC389" s="132" t="n"/>
      <c r="AD389" s="132" t="n"/>
      <c r="AE389" s="132" t="n"/>
      <c r="AF389" s="132" t="n"/>
      <c r="AG389" s="132" t="n"/>
      <c r="AH389" s="132" t="n"/>
      <c r="AI389" s="132" t="n"/>
      <c r="AJ389" s="132" t="n"/>
      <c r="AK389" s="59" t="n"/>
      <c r="AL389" s="55" t="n"/>
    </row>
    <row r="390" ht="22.5" customHeight="1" s="150">
      <c r="A390" s="34" t="n">
        <v>388</v>
      </c>
      <c r="B390" s="50" t="n"/>
      <c r="C390" s="50" t="n"/>
      <c r="D390" s="50" t="n"/>
      <c r="E390" s="50" t="n"/>
      <c r="F390" s="51" t="n"/>
      <c r="G390" s="51" t="n"/>
      <c r="H390" s="53" t="n"/>
      <c r="I390" s="53" t="n"/>
      <c r="J390" s="53" t="n"/>
      <c r="K390" s="111" t="n"/>
      <c r="L390" s="55" t="n"/>
      <c r="M390" s="139" t="inlineStr">
        <is>
          <t>Normal</t>
        </is>
      </c>
      <c r="N390" s="55" t="n"/>
      <c r="O390" s="57" t="n"/>
      <c r="P390" s="58" t="n"/>
      <c r="Q390" s="58" t="n"/>
      <c r="R390" s="58" t="n"/>
      <c r="S390" s="55" t="n"/>
      <c r="T390" s="55" t="n"/>
      <c r="U390" s="135" t="n"/>
      <c r="V390" s="122" t="n"/>
      <c r="W390" s="136" t="n"/>
      <c r="X390" s="137" t="n"/>
      <c r="Y390" s="136" t="n"/>
      <c r="Z390" s="136" t="n"/>
      <c r="AA390" s="136" t="n"/>
      <c r="AB390" s="132" t="n"/>
      <c r="AC390" s="132" t="n"/>
      <c r="AD390" s="132" t="n"/>
      <c r="AE390" s="132" t="n"/>
      <c r="AF390" s="132" t="n"/>
      <c r="AG390" s="132" t="n"/>
      <c r="AH390" s="132" t="n"/>
      <c r="AI390" s="132" t="n"/>
      <c r="AJ390" s="132" t="n"/>
      <c r="AK390" s="59" t="n"/>
      <c r="AL390" s="55" t="n"/>
    </row>
    <row r="391" ht="22.5" customHeight="1" s="150">
      <c r="A391" s="34" t="n">
        <v>389</v>
      </c>
      <c r="B391" s="50" t="n"/>
      <c r="C391" s="50" t="n"/>
      <c r="D391" s="50" t="n"/>
      <c r="E391" s="50" t="n"/>
      <c r="F391" s="51" t="n"/>
      <c r="G391" s="51" t="n"/>
      <c r="H391" s="53" t="n"/>
      <c r="I391" s="53" t="n"/>
      <c r="J391" s="53" t="n"/>
      <c r="K391" s="111" t="n"/>
      <c r="L391" s="55" t="n"/>
      <c r="M391" s="140" t="inlineStr">
        <is>
          <t>Hard</t>
        </is>
      </c>
      <c r="N391" s="55" t="n"/>
      <c r="O391" s="57" t="n"/>
      <c r="P391" s="58" t="n"/>
      <c r="Q391" s="58" t="n"/>
      <c r="R391" s="58" t="n"/>
      <c r="S391" s="55" t="n"/>
      <c r="T391" s="55" t="n"/>
      <c r="U391" s="135" t="n"/>
      <c r="V391" s="122" t="n"/>
      <c r="W391" s="136" t="n"/>
      <c r="X391" s="137" t="n"/>
      <c r="Y391" s="136" t="n"/>
      <c r="Z391" s="136" t="n"/>
      <c r="AA391" s="136" t="n"/>
      <c r="AB391" s="132" t="n"/>
      <c r="AC391" s="132" t="n"/>
      <c r="AD391" s="132" t="n"/>
      <c r="AE391" s="132" t="n"/>
      <c r="AF391" s="132" t="n"/>
      <c r="AG391" s="132" t="n"/>
      <c r="AH391" s="132" t="n"/>
      <c r="AI391" s="132" t="n"/>
      <c r="AJ391" s="132" t="n"/>
      <c r="AK391" s="59" t="n"/>
      <c r="AL391" s="55" t="n"/>
    </row>
    <row r="392" ht="22.5" customHeight="1" s="150">
      <c r="A392" s="34" t="n">
        <v>390</v>
      </c>
      <c r="B392" s="50" t="n"/>
      <c r="C392" s="50" t="n"/>
      <c r="D392" s="50" t="n"/>
      <c r="E392" s="50" t="n"/>
      <c r="F392" s="51" t="n"/>
      <c r="G392" s="51" t="n"/>
      <c r="H392" s="53" t="n"/>
      <c r="I392" s="53" t="n"/>
      <c r="J392" s="53" t="n"/>
      <c r="K392" s="111" t="n"/>
      <c r="L392" s="55" t="n"/>
      <c r="M392" s="139" t="inlineStr">
        <is>
          <t>Normal</t>
        </is>
      </c>
      <c r="N392" s="55" t="n"/>
      <c r="O392" s="57" t="n"/>
      <c r="P392" s="58" t="n"/>
      <c r="Q392" s="58" t="n"/>
      <c r="R392" s="58" t="n"/>
      <c r="S392" s="55" t="n"/>
      <c r="T392" s="55" t="n"/>
      <c r="U392" s="135" t="n"/>
      <c r="V392" s="122" t="n"/>
      <c r="W392" s="136" t="n"/>
      <c r="X392" s="137" t="n"/>
      <c r="Y392" s="136" t="n"/>
      <c r="Z392" s="136" t="n"/>
      <c r="AA392" s="136" t="n"/>
      <c r="AB392" s="132" t="n"/>
      <c r="AC392" s="132" t="n"/>
      <c r="AD392" s="132" t="n"/>
      <c r="AE392" s="132" t="n"/>
      <c r="AF392" s="132" t="n"/>
      <c r="AG392" s="132" t="n"/>
      <c r="AH392" s="132" t="n"/>
      <c r="AI392" s="132" t="n"/>
      <c r="AJ392" s="132" t="n"/>
      <c r="AK392" s="59" t="n"/>
      <c r="AL392" s="55" t="n"/>
    </row>
    <row r="393" ht="22.5" customHeight="1" s="150">
      <c r="A393" s="34" t="n">
        <v>391</v>
      </c>
      <c r="B393" s="50" t="n"/>
      <c r="C393" s="50" t="n"/>
      <c r="D393" s="50" t="n"/>
      <c r="E393" s="50" t="n"/>
      <c r="F393" s="51" t="n"/>
      <c r="G393" s="51" t="n"/>
      <c r="H393" s="53" t="n"/>
      <c r="I393" s="53" t="n"/>
      <c r="J393" s="53" t="n"/>
      <c r="K393" s="111" t="n"/>
      <c r="L393" s="55" t="n"/>
      <c r="M393" s="138" t="inlineStr">
        <is>
          <t>Normal</t>
        </is>
      </c>
      <c r="N393" s="55" t="n"/>
      <c r="O393" s="57" t="n"/>
      <c r="P393" s="58" t="n"/>
      <c r="Q393" s="58" t="n"/>
      <c r="R393" s="58" t="n"/>
      <c r="S393" s="55" t="n"/>
      <c r="T393" s="55" t="n"/>
      <c r="U393" s="135" t="n"/>
      <c r="V393" s="122" t="n"/>
      <c r="W393" s="136" t="n"/>
      <c r="X393" s="137" t="n"/>
      <c r="Y393" s="136" t="n"/>
      <c r="Z393" s="136" t="n"/>
      <c r="AA393" s="136" t="n"/>
      <c r="AB393" s="132" t="n"/>
      <c r="AC393" s="132" t="n"/>
      <c r="AD393" s="132" t="n"/>
      <c r="AE393" s="132" t="n"/>
      <c r="AF393" s="132" t="n"/>
      <c r="AG393" s="132" t="n"/>
      <c r="AH393" s="132" t="n"/>
      <c r="AI393" s="132" t="n"/>
      <c r="AJ393" s="132" t="n"/>
      <c r="AK393" s="59" t="n"/>
      <c r="AL393" s="55" t="n"/>
    </row>
    <row r="394" ht="22.5" customHeight="1" s="150">
      <c r="A394" s="34" t="n">
        <v>392</v>
      </c>
      <c r="B394" s="50" t="n"/>
      <c r="C394" s="50" t="n"/>
      <c r="D394" s="50" t="n"/>
      <c r="E394" s="50" t="n"/>
      <c r="F394" s="51" t="n"/>
      <c r="G394" s="51" t="n"/>
      <c r="H394" s="53" t="n"/>
      <c r="I394" s="53" t="n"/>
      <c r="J394" s="53" t="n"/>
      <c r="K394" s="111" t="n"/>
      <c r="L394" s="55" t="n"/>
      <c r="M394" s="139" t="inlineStr">
        <is>
          <t>Normal</t>
        </is>
      </c>
      <c r="N394" s="55" t="n"/>
      <c r="O394" s="57" t="n"/>
      <c r="P394" s="58" t="n"/>
      <c r="Q394" s="58" t="n"/>
      <c r="R394" s="58" t="n"/>
      <c r="S394" s="55" t="n"/>
      <c r="T394" s="55" t="n"/>
      <c r="U394" s="135" t="n"/>
      <c r="V394" s="122" t="n"/>
      <c r="W394" s="136" t="n"/>
      <c r="X394" s="137" t="n"/>
      <c r="Y394" s="136" t="n"/>
      <c r="Z394" s="136" t="n"/>
      <c r="AA394" s="136" t="n"/>
      <c r="AB394" s="132" t="n"/>
      <c r="AC394" s="132" t="n"/>
      <c r="AD394" s="132" t="n"/>
      <c r="AE394" s="132" t="n"/>
      <c r="AF394" s="132" t="n"/>
      <c r="AG394" s="132" t="n"/>
      <c r="AH394" s="132" t="n"/>
      <c r="AI394" s="132" t="n"/>
      <c r="AJ394" s="132" t="n"/>
      <c r="AK394" s="59" t="n"/>
      <c r="AL394" s="55" t="n"/>
    </row>
    <row r="395" ht="22.5" customHeight="1" s="150">
      <c r="A395" s="34" t="n">
        <v>393</v>
      </c>
      <c r="B395" s="50" t="n"/>
      <c r="C395" s="50" t="n"/>
      <c r="D395" s="50" t="n"/>
      <c r="E395" s="50" t="n"/>
      <c r="F395" s="51" t="n"/>
      <c r="G395" s="51" t="n"/>
      <c r="H395" s="53" t="n"/>
      <c r="I395" s="53" t="n"/>
      <c r="J395" s="53" t="n"/>
      <c r="K395" s="111" t="n"/>
      <c r="L395" s="55" t="n"/>
      <c r="M395" s="138" t="inlineStr">
        <is>
          <t>Normal</t>
        </is>
      </c>
      <c r="N395" s="55" t="n"/>
      <c r="O395" s="57" t="n"/>
      <c r="P395" s="58" t="n"/>
      <c r="Q395" s="58" t="n"/>
      <c r="R395" s="58" t="n"/>
      <c r="S395" s="55" t="n"/>
      <c r="T395" s="55" t="n"/>
      <c r="U395" s="135" t="n"/>
      <c r="V395" s="122" t="n"/>
      <c r="W395" s="136" t="n"/>
      <c r="X395" s="137" t="n"/>
      <c r="Y395" s="136" t="n"/>
      <c r="Z395" s="136" t="n"/>
      <c r="AA395" s="136" t="n"/>
      <c r="AB395" s="132" t="n"/>
      <c r="AC395" s="132" t="n"/>
      <c r="AD395" s="132" t="n"/>
      <c r="AE395" s="132" t="n"/>
      <c r="AF395" s="132" t="n"/>
      <c r="AG395" s="132" t="n"/>
      <c r="AH395" s="132" t="n"/>
      <c r="AI395" s="132" t="n"/>
      <c r="AJ395" s="132" t="n"/>
      <c r="AK395" s="59" t="n"/>
      <c r="AL395" s="55" t="n"/>
    </row>
    <row r="396" ht="22.5" customHeight="1" s="150">
      <c r="A396" s="34" t="n">
        <v>394</v>
      </c>
      <c r="B396" s="50" t="n"/>
      <c r="C396" s="50" t="n"/>
      <c r="D396" s="50" t="n"/>
      <c r="E396" s="50" t="n"/>
      <c r="F396" s="51" t="n"/>
      <c r="G396" s="51" t="n"/>
      <c r="H396" s="53" t="n"/>
      <c r="I396" s="53" t="n"/>
      <c r="J396" s="53" t="n"/>
      <c r="K396" s="111" t="n"/>
      <c r="L396" s="55" t="n"/>
      <c r="M396" s="139" t="inlineStr">
        <is>
          <t>Normal</t>
        </is>
      </c>
      <c r="N396" s="55" t="n"/>
      <c r="O396" s="57" t="n"/>
      <c r="P396" s="58" t="n"/>
      <c r="Q396" s="58" t="n"/>
      <c r="R396" s="58" t="n"/>
      <c r="S396" s="55" t="n"/>
      <c r="T396" s="55" t="n"/>
      <c r="U396" s="135" t="n"/>
      <c r="V396" s="122" t="n"/>
      <c r="W396" s="136" t="n"/>
      <c r="X396" s="137" t="n"/>
      <c r="Y396" s="136" t="n"/>
      <c r="Z396" s="136" t="n"/>
      <c r="AA396" s="136" t="n"/>
      <c r="AB396" s="132" t="n"/>
      <c r="AC396" s="132" t="n"/>
      <c r="AD396" s="132" t="n"/>
      <c r="AE396" s="132" t="n"/>
      <c r="AF396" s="132" t="n"/>
      <c r="AG396" s="132" t="n"/>
      <c r="AH396" s="132" t="n"/>
      <c r="AI396" s="132" t="n"/>
      <c r="AJ396" s="132" t="n"/>
      <c r="AK396" s="59" t="n"/>
      <c r="AL396" s="55" t="n"/>
    </row>
    <row r="397" ht="22.5" customHeight="1" s="150">
      <c r="A397" s="34" t="n">
        <v>395</v>
      </c>
      <c r="B397" s="50" t="n"/>
      <c r="C397" s="50" t="n"/>
      <c r="D397" s="50" t="n"/>
      <c r="E397" s="50" t="n"/>
      <c r="F397" s="51" t="n"/>
      <c r="G397" s="51" t="n"/>
      <c r="H397" s="53" t="n"/>
      <c r="I397" s="53" t="n"/>
      <c r="J397" s="53" t="n"/>
      <c r="K397" s="111" t="n"/>
      <c r="L397" s="55" t="n"/>
      <c r="M397" s="138" t="inlineStr">
        <is>
          <t>Normal</t>
        </is>
      </c>
      <c r="N397" s="55" t="n"/>
      <c r="O397" s="57" t="n"/>
      <c r="P397" s="58" t="n"/>
      <c r="Q397" s="58" t="n"/>
      <c r="R397" s="58" t="n"/>
      <c r="S397" s="55" t="n"/>
      <c r="T397" s="55" t="n"/>
      <c r="U397" s="135" t="n"/>
      <c r="V397" s="122" t="n"/>
      <c r="W397" s="136" t="n"/>
      <c r="X397" s="137" t="n"/>
      <c r="Y397" s="136" t="n"/>
      <c r="Z397" s="136" t="n"/>
      <c r="AA397" s="136" t="n"/>
      <c r="AB397" s="132" t="n"/>
      <c r="AC397" s="132" t="n"/>
      <c r="AD397" s="132" t="n"/>
      <c r="AE397" s="132" t="n"/>
      <c r="AF397" s="132" t="n"/>
      <c r="AG397" s="132" t="n"/>
      <c r="AH397" s="132" t="n"/>
      <c r="AI397" s="132" t="n"/>
      <c r="AJ397" s="132" t="n"/>
      <c r="AK397" s="59" t="n"/>
      <c r="AL397" s="55" t="n"/>
    </row>
    <row r="398" ht="22.5" customHeight="1" s="150">
      <c r="A398" s="34" t="n">
        <v>396</v>
      </c>
      <c r="B398" s="50" t="n"/>
      <c r="C398" s="50" t="n"/>
      <c r="D398" s="50" t="n"/>
      <c r="E398" s="50" t="n"/>
      <c r="F398" s="51" t="n"/>
      <c r="G398" s="51" t="n"/>
      <c r="H398" s="53" t="n"/>
      <c r="I398" s="53" t="n"/>
      <c r="J398" s="53" t="n"/>
      <c r="K398" s="111" t="n"/>
      <c r="L398" s="55" t="n"/>
      <c r="M398" s="139" t="inlineStr">
        <is>
          <t>Normal</t>
        </is>
      </c>
      <c r="N398" s="55" t="n"/>
      <c r="O398" s="57" t="n"/>
      <c r="P398" s="58" t="n"/>
      <c r="Q398" s="58" t="n"/>
      <c r="R398" s="58" t="n"/>
      <c r="S398" s="55" t="n"/>
      <c r="T398" s="55" t="n"/>
      <c r="U398" s="135" t="n"/>
      <c r="V398" s="122" t="n"/>
      <c r="W398" s="136" t="n"/>
      <c r="X398" s="137" t="n"/>
      <c r="Y398" s="136" t="n"/>
      <c r="Z398" s="136" t="n"/>
      <c r="AA398" s="136" t="n"/>
      <c r="AB398" s="132" t="n"/>
      <c r="AC398" s="132" t="n"/>
      <c r="AD398" s="132" t="n"/>
      <c r="AE398" s="132" t="n"/>
      <c r="AF398" s="132" t="n"/>
      <c r="AG398" s="132" t="n"/>
      <c r="AH398" s="132" t="n"/>
      <c r="AI398" s="132" t="n"/>
      <c r="AJ398" s="132" t="n"/>
      <c r="AK398" s="59" t="n"/>
      <c r="AL398" s="55" t="n"/>
    </row>
    <row r="399" ht="22.5" customHeight="1" s="150">
      <c r="A399" s="34" t="n">
        <v>397</v>
      </c>
      <c r="B399" s="50" t="n"/>
      <c r="C399" s="50" t="n"/>
      <c r="D399" s="50" t="n"/>
      <c r="E399" s="50" t="n"/>
      <c r="F399" s="51" t="n"/>
      <c r="G399" s="51" t="n"/>
      <c r="H399" s="53" t="n"/>
      <c r="I399" s="53" t="n"/>
      <c r="J399" s="53" t="n"/>
      <c r="K399" s="111" t="n"/>
      <c r="L399" s="55" t="n"/>
      <c r="M399" s="138" t="inlineStr">
        <is>
          <t>Normal</t>
        </is>
      </c>
      <c r="N399" s="55" t="n"/>
      <c r="O399" s="57" t="n"/>
      <c r="P399" s="58" t="n"/>
      <c r="Q399" s="58" t="n"/>
      <c r="R399" s="58" t="n"/>
      <c r="S399" s="55" t="n"/>
      <c r="T399" s="55" t="n"/>
      <c r="U399" s="135" t="n"/>
      <c r="V399" s="122" t="n"/>
      <c r="W399" s="136" t="n"/>
      <c r="X399" s="137" t="n"/>
      <c r="Y399" s="136" t="n"/>
      <c r="Z399" s="136" t="n"/>
      <c r="AA399" s="136" t="n"/>
      <c r="AB399" s="132" t="n"/>
      <c r="AC399" s="132" t="n"/>
      <c r="AD399" s="132" t="n"/>
      <c r="AE399" s="132" t="n"/>
      <c r="AF399" s="132" t="n"/>
      <c r="AG399" s="132" t="n"/>
      <c r="AH399" s="132" t="n"/>
      <c r="AI399" s="132" t="n"/>
      <c r="AJ399" s="132" t="n"/>
      <c r="AK399" s="59" t="n"/>
      <c r="AL399" s="55" t="n"/>
    </row>
    <row r="400" ht="22.5" customHeight="1" s="150">
      <c r="A400" s="34" t="n">
        <v>398</v>
      </c>
      <c r="B400" s="50" t="n"/>
      <c r="C400" s="50" t="n"/>
      <c r="D400" s="50" t="n"/>
      <c r="E400" s="50" t="n"/>
      <c r="F400" s="51" t="n"/>
      <c r="G400" s="51" t="n"/>
      <c r="H400" s="53" t="n"/>
      <c r="I400" s="53" t="n"/>
      <c r="J400" s="53" t="n"/>
      <c r="K400" s="111" t="n"/>
      <c r="L400" s="55" t="n"/>
      <c r="M400" s="139" t="inlineStr">
        <is>
          <t>Normal</t>
        </is>
      </c>
      <c r="N400" s="55" t="n"/>
      <c r="O400" s="57" t="n"/>
      <c r="P400" s="58" t="n"/>
      <c r="Q400" s="58" t="n"/>
      <c r="R400" s="58" t="n"/>
      <c r="S400" s="55" t="n"/>
      <c r="T400" s="55" t="n"/>
      <c r="U400" s="135" t="n"/>
      <c r="V400" s="122" t="n"/>
      <c r="W400" s="136" t="n"/>
      <c r="X400" s="137" t="n"/>
      <c r="Y400" s="136" t="n"/>
      <c r="Z400" s="136" t="n"/>
      <c r="AA400" s="136" t="n"/>
      <c r="AB400" s="132" t="n"/>
      <c r="AC400" s="132" t="n"/>
      <c r="AD400" s="132" t="n"/>
      <c r="AE400" s="132" t="n"/>
      <c r="AF400" s="132" t="n"/>
      <c r="AG400" s="132" t="n"/>
      <c r="AH400" s="132" t="n"/>
      <c r="AI400" s="132" t="n"/>
      <c r="AJ400" s="132" t="n"/>
      <c r="AK400" s="59" t="n"/>
      <c r="AL400" s="55" t="n"/>
    </row>
    <row r="401" ht="22.5" customHeight="1" s="150">
      <c r="A401" s="34" t="n">
        <v>399</v>
      </c>
      <c r="B401" s="50" t="n"/>
      <c r="C401" s="50" t="n"/>
      <c r="D401" s="50" t="n"/>
      <c r="E401" s="50" t="n"/>
      <c r="F401" s="51" t="n"/>
      <c r="G401" s="51" t="n"/>
      <c r="H401" s="53" t="n"/>
      <c r="I401" s="53" t="n"/>
      <c r="J401" s="53" t="n"/>
      <c r="K401" s="111" t="n"/>
      <c r="L401" s="55" t="n"/>
      <c r="M401" s="138" t="inlineStr">
        <is>
          <t>Normal</t>
        </is>
      </c>
      <c r="N401" s="55" t="n"/>
      <c r="O401" s="57" t="n"/>
      <c r="P401" s="58" t="n"/>
      <c r="Q401" s="58" t="n"/>
      <c r="R401" s="58" t="n"/>
      <c r="S401" s="55" t="n"/>
      <c r="T401" s="55" t="n"/>
      <c r="U401" s="135" t="n"/>
      <c r="V401" s="122" t="n"/>
      <c r="W401" s="136" t="n"/>
      <c r="X401" s="137" t="n"/>
      <c r="Y401" s="136" t="n"/>
      <c r="Z401" s="136" t="n"/>
      <c r="AA401" s="136" t="n"/>
      <c r="AB401" s="132" t="n"/>
      <c r="AC401" s="132" t="n"/>
      <c r="AD401" s="132" t="n"/>
      <c r="AE401" s="132" t="n"/>
      <c r="AF401" s="132" t="n"/>
      <c r="AG401" s="132" t="n"/>
      <c r="AH401" s="132" t="n"/>
      <c r="AI401" s="132" t="n"/>
      <c r="AJ401" s="132" t="n"/>
      <c r="AK401" s="59" t="n"/>
      <c r="AL401" s="55" t="n"/>
    </row>
    <row r="402" ht="22.5" customHeight="1" s="150">
      <c r="A402" s="34" t="n">
        <v>400</v>
      </c>
      <c r="B402" s="50" t="n"/>
      <c r="C402" s="50" t="n"/>
      <c r="D402" s="50" t="n"/>
      <c r="E402" s="50" t="n"/>
      <c r="F402" s="51" t="n"/>
      <c r="G402" s="51" t="n"/>
      <c r="H402" s="53" t="n"/>
      <c r="I402" s="53" t="n"/>
      <c r="J402" s="53" t="n"/>
      <c r="K402" s="111" t="n"/>
      <c r="L402" s="55" t="n"/>
      <c r="M402" s="139" t="inlineStr">
        <is>
          <t>Normal</t>
        </is>
      </c>
      <c r="N402" s="55" t="n"/>
      <c r="O402" s="57" t="n"/>
      <c r="P402" s="58" t="n"/>
      <c r="Q402" s="58" t="n"/>
      <c r="R402" s="58" t="n"/>
      <c r="S402" s="55" t="n"/>
      <c r="T402" s="55" t="n"/>
      <c r="U402" s="135" t="n"/>
      <c r="V402" s="122" t="n"/>
      <c r="W402" s="136" t="n"/>
      <c r="X402" s="137" t="n"/>
      <c r="Y402" s="136" t="n"/>
      <c r="Z402" s="136" t="n"/>
      <c r="AA402" s="136" t="n"/>
      <c r="AB402" s="132" t="n"/>
      <c r="AC402" s="132" t="n"/>
      <c r="AD402" s="132" t="n"/>
      <c r="AE402" s="132" t="n"/>
      <c r="AF402" s="132" t="n"/>
      <c r="AG402" s="132" t="n"/>
      <c r="AH402" s="132" t="n"/>
      <c r="AI402" s="132" t="n"/>
      <c r="AJ402" s="132" t="n"/>
      <c r="AK402" s="59" t="n"/>
      <c r="AL402" s="55" t="n"/>
    </row>
    <row r="403" ht="22.5" customHeight="1" s="150">
      <c r="A403" s="34" t="n">
        <v>401</v>
      </c>
      <c r="B403" s="34" t="n"/>
      <c r="C403" s="34" t="n"/>
      <c r="D403" s="34" t="n"/>
      <c r="E403" s="34" t="n"/>
      <c r="F403" s="86" t="n"/>
      <c r="G403" s="86" t="n"/>
      <c r="H403" s="111" t="n"/>
      <c r="I403" s="87" t="n"/>
      <c r="J403" s="87" t="n"/>
      <c r="K403" s="111" t="n"/>
      <c r="L403" s="86" t="n"/>
      <c r="M403" s="138" t="inlineStr">
        <is>
          <t>Normal</t>
        </is>
      </c>
      <c r="N403" s="89" t="n"/>
      <c r="O403" s="144" t="n"/>
      <c r="P403" s="31" t="n"/>
      <c r="Q403" s="89" t="n"/>
      <c r="R403" s="89" t="n"/>
      <c r="S403" s="89" t="n"/>
      <c r="T403" s="55" t="n"/>
      <c r="U403" s="34" t="n"/>
      <c r="V403" s="1" t="n"/>
      <c r="Y403" s="111" t="n"/>
      <c r="Z403" s="111" t="n"/>
      <c r="AA403" s="111" t="n"/>
      <c r="AK403" s="55" t="n"/>
      <c r="AL403" s="89" t="n"/>
    </row>
    <row r="404" ht="22.5" customHeight="1" s="150">
      <c r="A404" s="34" t="n">
        <v>402</v>
      </c>
      <c r="B404" s="34" t="n"/>
      <c r="C404" s="34" t="n"/>
      <c r="D404" s="34" t="n"/>
      <c r="E404" s="34" t="n"/>
      <c r="F404" s="86" t="n"/>
      <c r="G404" s="86" t="n"/>
      <c r="H404" s="111" t="n"/>
      <c r="I404" s="87" t="n"/>
      <c r="J404" s="87" t="n"/>
      <c r="K404" s="111" t="n"/>
      <c r="L404" s="86" t="n"/>
      <c r="M404" s="139" t="inlineStr">
        <is>
          <t>Normal</t>
        </is>
      </c>
      <c r="N404" s="89" t="n"/>
      <c r="O404" s="144" t="n"/>
      <c r="P404" s="31" t="n"/>
      <c r="Q404" s="89" t="n"/>
      <c r="R404" s="89" t="n"/>
      <c r="S404" s="89" t="n"/>
      <c r="T404" s="55" t="n"/>
      <c r="U404" s="34" t="n"/>
      <c r="V404" s="1" t="n"/>
      <c r="Y404" s="111" t="n"/>
      <c r="Z404" s="111" t="n"/>
      <c r="AA404" s="111" t="n"/>
      <c r="AK404" s="55" t="n"/>
      <c r="AL404" s="89" t="n"/>
    </row>
    <row r="405" ht="22.5" customHeight="1" s="150">
      <c r="A405" s="34" t="n">
        <v>403</v>
      </c>
      <c r="B405" s="34" t="n"/>
      <c r="C405" s="34" t="n"/>
      <c r="D405" s="34" t="n"/>
      <c r="E405" s="34" t="n"/>
      <c r="F405" s="86" t="n"/>
      <c r="G405" s="86" t="n"/>
      <c r="H405" s="111" t="n"/>
      <c r="I405" s="87" t="n"/>
      <c r="J405" s="87" t="n"/>
      <c r="K405" s="111" t="n"/>
      <c r="L405" s="86" t="n"/>
      <c r="M405" s="142" t="inlineStr">
        <is>
          <t>Very Hard</t>
        </is>
      </c>
      <c r="N405" s="89" t="n"/>
      <c r="O405" s="144" t="n"/>
      <c r="P405" s="31" t="n"/>
      <c r="Q405" s="89" t="n"/>
      <c r="R405" s="89" t="n"/>
      <c r="S405" s="89" t="n"/>
      <c r="T405" s="55" t="n"/>
      <c r="U405" s="34" t="n"/>
      <c r="V405" s="1" t="n"/>
      <c r="Y405" s="111" t="n"/>
      <c r="Z405" s="111" t="n"/>
      <c r="AA405" s="111" t="n"/>
      <c r="AK405" s="55" t="n"/>
      <c r="AL405" s="89" t="n"/>
    </row>
    <row r="406" ht="22.5" customHeight="1" s="150">
      <c r="A406" s="34" t="n">
        <v>404</v>
      </c>
      <c r="B406" s="34" t="n"/>
      <c r="C406" s="34" t="n"/>
      <c r="D406" s="34" t="n"/>
      <c r="E406" s="34" t="n"/>
      <c r="F406" s="86" t="n"/>
      <c r="G406" s="86" t="n"/>
      <c r="H406" s="111" t="n"/>
      <c r="I406" s="87" t="n"/>
      <c r="J406" s="87" t="n"/>
      <c r="K406" s="111" t="n"/>
      <c r="L406" s="86" t="n"/>
      <c r="M406" s="139" t="inlineStr">
        <is>
          <t>Normal</t>
        </is>
      </c>
      <c r="N406" s="89" t="n"/>
      <c r="O406" s="144" t="n"/>
      <c r="P406" s="31" t="n"/>
      <c r="Q406" s="89" t="n"/>
      <c r="R406" s="89" t="n"/>
      <c r="S406" s="89" t="n"/>
      <c r="T406" s="55" t="n"/>
      <c r="U406" s="34" t="n"/>
      <c r="V406" s="1" t="n"/>
      <c r="Y406" s="111" t="n"/>
      <c r="Z406" s="111" t="n"/>
      <c r="AA406" s="111" t="n"/>
      <c r="AK406" s="55" t="n"/>
      <c r="AL406" s="89" t="n"/>
    </row>
    <row r="407" ht="22.5" customHeight="1" s="150">
      <c r="A407" s="34" t="n">
        <v>405</v>
      </c>
      <c r="B407" s="34" t="n"/>
      <c r="C407" s="34" t="n"/>
      <c r="D407" s="34" t="n"/>
      <c r="E407" s="34" t="n"/>
      <c r="F407" s="86" t="n"/>
      <c r="G407" s="86" t="n"/>
      <c r="H407" s="111" t="n"/>
      <c r="I407" s="87" t="n"/>
      <c r="J407" s="87" t="n"/>
      <c r="K407" s="111" t="n"/>
      <c r="L407" s="86" t="n"/>
      <c r="M407" s="138" t="inlineStr">
        <is>
          <t>Normal</t>
        </is>
      </c>
      <c r="N407" s="89" t="n"/>
      <c r="O407" s="144" t="n"/>
      <c r="P407" s="31" t="n"/>
      <c r="Q407" s="89" t="n"/>
      <c r="R407" s="89" t="n"/>
      <c r="S407" s="89" t="n"/>
      <c r="T407" s="55" t="n"/>
      <c r="U407" s="34" t="n"/>
      <c r="V407" s="1" t="n"/>
      <c r="Y407" s="111" t="n"/>
      <c r="Z407" s="111" t="n"/>
      <c r="AA407" s="111" t="n"/>
      <c r="AK407" s="55" t="n"/>
      <c r="AL407" s="89" t="n"/>
    </row>
    <row r="408" ht="22.5" customHeight="1" s="150">
      <c r="A408" s="34" t="n">
        <v>406</v>
      </c>
      <c r="B408" s="34" t="n"/>
      <c r="C408" s="34" t="n"/>
      <c r="D408" s="34" t="n"/>
      <c r="E408" s="34" t="n"/>
      <c r="F408" s="86" t="n"/>
      <c r="G408" s="86" t="n"/>
      <c r="H408" s="111" t="n"/>
      <c r="I408" s="87" t="n"/>
      <c r="J408" s="87" t="n"/>
      <c r="K408" s="111" t="n"/>
      <c r="L408" s="86" t="n"/>
      <c r="M408" s="141" t="inlineStr">
        <is>
          <t>Hard</t>
        </is>
      </c>
      <c r="N408" s="89" t="n"/>
      <c r="O408" s="144" t="n"/>
      <c r="P408" s="31" t="n"/>
      <c r="Q408" s="89" t="n"/>
      <c r="R408" s="89" t="n"/>
      <c r="S408" s="89" t="n"/>
      <c r="T408" s="55" t="n"/>
      <c r="U408" s="34" t="n"/>
      <c r="V408" s="1" t="n"/>
      <c r="Y408" s="111" t="n"/>
      <c r="Z408" s="111" t="n"/>
      <c r="AA408" s="111" t="n"/>
      <c r="AK408" s="55" t="n"/>
      <c r="AL408" s="89" t="n"/>
    </row>
    <row r="409" ht="22.5" customHeight="1" s="150">
      <c r="A409" s="34" t="n">
        <v>407</v>
      </c>
      <c r="B409" s="34" t="n"/>
      <c r="C409" s="34" t="n"/>
      <c r="D409" s="34" t="n"/>
      <c r="E409" s="34" t="n"/>
      <c r="F409" s="86" t="n"/>
      <c r="G409" s="86" t="n"/>
      <c r="H409" s="111" t="n"/>
      <c r="I409" s="87" t="n"/>
      <c r="J409" s="87" t="n"/>
      <c r="K409" s="111" t="n"/>
      <c r="L409" s="86" t="n"/>
      <c r="M409" s="140" t="inlineStr">
        <is>
          <t>Hard</t>
        </is>
      </c>
      <c r="N409" s="89" t="n"/>
      <c r="O409" s="144" t="n"/>
      <c r="P409" s="31" t="n"/>
      <c r="Q409" s="89" t="n"/>
      <c r="R409" s="89" t="n"/>
      <c r="S409" s="89" t="n"/>
      <c r="T409" s="55" t="n"/>
      <c r="U409" s="34" t="n"/>
      <c r="V409" s="1" t="n"/>
      <c r="Y409" s="111" t="n"/>
      <c r="Z409" s="111" t="n"/>
      <c r="AA409" s="111" t="n"/>
      <c r="AK409" s="55" t="n"/>
      <c r="AL409" s="89" t="n"/>
    </row>
    <row r="410" ht="22.5" customHeight="1" s="150">
      <c r="A410" s="34" t="n">
        <v>408</v>
      </c>
      <c r="B410" s="34" t="n"/>
      <c r="C410" s="34" t="n"/>
      <c r="D410" s="34" t="n"/>
      <c r="E410" s="34" t="n"/>
      <c r="F410" s="86" t="n"/>
      <c r="G410" s="86" t="n"/>
      <c r="H410" s="111" t="n"/>
      <c r="I410" s="87" t="n"/>
      <c r="J410" s="87" t="n"/>
      <c r="K410" s="111" t="n"/>
      <c r="L410" s="86" t="n"/>
      <c r="M410" s="139" t="inlineStr">
        <is>
          <t>Normal</t>
        </is>
      </c>
      <c r="N410" s="89" t="n"/>
      <c r="O410" s="144" t="n"/>
      <c r="P410" s="31" t="n"/>
      <c r="Q410" s="89" t="n"/>
      <c r="R410" s="89" t="n"/>
      <c r="S410" s="89" t="n"/>
      <c r="T410" s="55" t="n"/>
      <c r="U410" s="34" t="n"/>
      <c r="V410" s="1" t="n"/>
      <c r="Y410" s="111" t="n"/>
      <c r="Z410" s="111" t="n"/>
      <c r="AA410" s="111" t="n"/>
      <c r="AK410" s="55" t="n"/>
      <c r="AL410" s="89" t="n"/>
    </row>
    <row r="411" ht="22.5" customHeight="1" s="150">
      <c r="A411" s="34" t="n">
        <v>409</v>
      </c>
      <c r="B411" s="34" t="n"/>
      <c r="C411" s="34" t="n"/>
      <c r="D411" s="34" t="n"/>
      <c r="E411" s="34" t="n"/>
      <c r="F411" s="86" t="n"/>
      <c r="G411" s="86" t="n"/>
      <c r="H411" s="111" t="n"/>
      <c r="I411" s="87" t="n"/>
      <c r="J411" s="87" t="n"/>
      <c r="K411" s="111" t="n"/>
      <c r="L411" s="86" t="n"/>
      <c r="M411" s="142" t="inlineStr">
        <is>
          <t>Very Hard</t>
        </is>
      </c>
      <c r="N411" s="89" t="n"/>
      <c r="O411" s="144" t="n"/>
      <c r="P411" s="31" t="n"/>
      <c r="Q411" s="89" t="n"/>
      <c r="R411" s="89" t="n"/>
      <c r="S411" s="89" t="n"/>
      <c r="T411" s="55" t="n"/>
      <c r="U411" s="34" t="n"/>
      <c r="V411" s="1" t="n"/>
      <c r="Y411" s="111" t="n"/>
      <c r="Z411" s="111" t="n"/>
      <c r="AA411" s="111" t="n"/>
      <c r="AK411" s="55" t="n"/>
      <c r="AL411" s="89" t="n"/>
    </row>
    <row r="412" ht="22.5" customHeight="1" s="150">
      <c r="A412" s="34" t="n">
        <v>410</v>
      </c>
      <c r="B412" s="34" t="n"/>
      <c r="C412" s="34" t="n"/>
      <c r="D412" s="34" t="n"/>
      <c r="E412" s="34" t="n"/>
      <c r="F412" s="86" t="n"/>
      <c r="G412" s="86" t="n"/>
      <c r="H412" s="111" t="n"/>
      <c r="I412" s="87" t="n"/>
      <c r="J412" s="87" t="n"/>
      <c r="K412" s="111" t="n"/>
      <c r="L412" s="86" t="n"/>
      <c r="M412" s="139" t="inlineStr">
        <is>
          <t>Normal</t>
        </is>
      </c>
      <c r="N412" s="89" t="n"/>
      <c r="O412" s="144" t="n"/>
      <c r="P412" s="31" t="n"/>
      <c r="Q412" s="89" t="n"/>
      <c r="R412" s="89" t="n"/>
      <c r="S412" s="89" t="n"/>
      <c r="T412" s="55" t="n"/>
      <c r="U412" s="34" t="n"/>
      <c r="V412" s="1" t="n"/>
      <c r="Y412" s="111" t="n"/>
      <c r="Z412" s="111" t="n"/>
      <c r="AA412" s="111" t="n"/>
      <c r="AK412" s="55" t="n"/>
      <c r="AL412" s="89" t="n"/>
    </row>
    <row r="413" ht="22.5" customHeight="1" s="150">
      <c r="A413" s="34" t="n">
        <v>411</v>
      </c>
      <c r="B413" s="34" t="n"/>
      <c r="C413" s="34" t="n"/>
      <c r="D413" s="34" t="n"/>
      <c r="E413" s="34" t="n"/>
      <c r="F413" s="86" t="n"/>
      <c r="G413" s="86" t="n"/>
      <c r="H413" s="111" t="n"/>
      <c r="I413" s="87" t="n"/>
      <c r="J413" s="87" t="n"/>
      <c r="K413" s="111" t="n"/>
      <c r="L413" s="86" t="n"/>
      <c r="M413" s="140" t="inlineStr">
        <is>
          <t>Hard</t>
        </is>
      </c>
      <c r="N413" s="89" t="n"/>
      <c r="O413" s="144" t="n"/>
      <c r="P413" s="31" t="n"/>
      <c r="Q413" s="89" t="n"/>
      <c r="R413" s="89" t="n"/>
      <c r="S413" s="89" t="n"/>
      <c r="T413" s="55" t="n"/>
      <c r="U413" s="34" t="n"/>
      <c r="V413" s="1" t="n"/>
      <c r="Y413" s="111" t="n"/>
      <c r="Z413" s="111" t="n"/>
      <c r="AA413" s="111" t="n"/>
      <c r="AK413" s="55" t="n"/>
      <c r="AL413" s="89" t="n"/>
    </row>
    <row r="414" ht="22.5" customHeight="1" s="150">
      <c r="A414" s="34" t="n">
        <v>412</v>
      </c>
      <c r="B414" s="34" t="n"/>
      <c r="C414" s="34" t="n"/>
      <c r="D414" s="34" t="n"/>
      <c r="E414" s="34" t="n"/>
      <c r="F414" s="86" t="n"/>
      <c r="G414" s="86" t="n"/>
      <c r="H414" s="111" t="n"/>
      <c r="I414" s="87" t="n"/>
      <c r="J414" s="87" t="n"/>
      <c r="K414" s="111" t="n"/>
      <c r="L414" s="86" t="n"/>
      <c r="M414" s="143" t="inlineStr">
        <is>
          <t>Very Hard</t>
        </is>
      </c>
      <c r="N414" s="89" t="n"/>
      <c r="O414" s="144" t="n"/>
      <c r="P414" s="31" t="n"/>
      <c r="Q414" s="89" t="n"/>
      <c r="R414" s="89" t="n"/>
      <c r="S414" s="89" t="n"/>
      <c r="T414" s="55" t="n"/>
      <c r="U414" s="34" t="n"/>
      <c r="V414" s="1" t="n"/>
      <c r="Y414" s="111" t="n"/>
      <c r="Z414" s="111" t="n"/>
      <c r="AA414" s="111" t="n"/>
      <c r="AK414" s="55" t="n"/>
      <c r="AL414" s="89" t="n"/>
    </row>
    <row r="415" ht="22.5" customHeight="1" s="150">
      <c r="A415" s="34" t="n">
        <v>413</v>
      </c>
      <c r="B415" s="34" t="n"/>
      <c r="C415" s="34" t="n"/>
      <c r="D415" s="34" t="n"/>
      <c r="E415" s="34" t="n"/>
      <c r="F415" s="86" t="n"/>
      <c r="G415" s="86" t="n"/>
      <c r="H415" s="111" t="n"/>
      <c r="I415" s="87" t="n"/>
      <c r="J415" s="87" t="n"/>
      <c r="K415" s="111" t="n"/>
      <c r="L415" s="86" t="n"/>
      <c r="M415" s="138" t="inlineStr">
        <is>
          <t>Normal</t>
        </is>
      </c>
      <c r="N415" s="89" t="n"/>
      <c r="O415" s="144" t="n"/>
      <c r="P415" s="31" t="n"/>
      <c r="Q415" s="89" t="n"/>
      <c r="R415" s="89" t="n"/>
      <c r="S415" s="89" t="n"/>
      <c r="T415" s="55" t="n"/>
      <c r="U415" s="34" t="n"/>
      <c r="V415" s="1" t="n"/>
      <c r="Y415" s="111" t="n"/>
      <c r="Z415" s="111" t="n"/>
      <c r="AA415" s="111" t="n"/>
      <c r="AK415" s="55" t="n"/>
      <c r="AL415" s="89" t="n"/>
    </row>
    <row r="416" ht="22.5" customHeight="1" s="150">
      <c r="A416" s="34" t="n">
        <v>414</v>
      </c>
      <c r="B416" s="34" t="n"/>
      <c r="C416" s="34" t="n"/>
      <c r="D416" s="34" t="n"/>
      <c r="E416" s="34" t="n"/>
      <c r="F416" s="86" t="n"/>
      <c r="G416" s="86" t="n"/>
      <c r="H416" s="111" t="n"/>
      <c r="I416" s="87" t="n"/>
      <c r="J416" s="87" t="n"/>
      <c r="K416" s="111" t="n"/>
      <c r="L416" s="86" t="n"/>
      <c r="M416" s="139" t="inlineStr">
        <is>
          <t>Normal</t>
        </is>
      </c>
      <c r="N416" s="89" t="n"/>
      <c r="O416" s="144" t="n"/>
      <c r="P416" s="31" t="n"/>
      <c r="Q416" s="89" t="n"/>
      <c r="R416" s="89" t="n"/>
      <c r="S416" s="89" t="n"/>
      <c r="T416" s="55" t="n"/>
      <c r="U416" s="34" t="n"/>
      <c r="V416" s="1" t="n"/>
      <c r="Y416" s="111" t="n"/>
      <c r="Z416" s="111" t="n"/>
      <c r="AA416" s="111" t="n"/>
      <c r="AK416" s="55" t="n"/>
      <c r="AL416" s="89" t="n"/>
    </row>
    <row r="417" ht="22.5" customHeight="1" s="150">
      <c r="A417" s="34" t="n">
        <v>415</v>
      </c>
      <c r="B417" s="34" t="n"/>
      <c r="C417" s="34" t="n"/>
      <c r="D417" s="34" t="n"/>
      <c r="E417" s="34" t="n"/>
      <c r="F417" s="86" t="n"/>
      <c r="G417" s="86" t="n"/>
      <c r="H417" s="111" t="n"/>
      <c r="I417" s="87" t="n"/>
      <c r="J417" s="87" t="n"/>
      <c r="K417" s="111" t="n"/>
      <c r="L417" s="86" t="n"/>
      <c r="M417" s="138" t="inlineStr">
        <is>
          <t>Normal</t>
        </is>
      </c>
      <c r="N417" s="89" t="n"/>
      <c r="O417" s="144" t="n"/>
      <c r="P417" s="31" t="n"/>
      <c r="Q417" s="89" t="n"/>
      <c r="R417" s="89" t="n"/>
      <c r="S417" s="89" t="n"/>
      <c r="T417" s="55" t="n"/>
      <c r="U417" s="34" t="n"/>
      <c r="V417" s="1" t="n"/>
      <c r="Y417" s="111" t="n"/>
      <c r="Z417" s="111" t="n"/>
      <c r="AA417" s="111" t="n"/>
      <c r="AK417" s="55" t="n"/>
      <c r="AL417" s="89" t="n"/>
    </row>
    <row r="418" ht="22.5" customHeight="1" s="150">
      <c r="A418" s="34" t="n">
        <v>416</v>
      </c>
      <c r="B418" s="34" t="n"/>
      <c r="C418" s="34" t="n"/>
      <c r="D418" s="34" t="n"/>
      <c r="E418" s="34" t="n"/>
      <c r="F418" s="86" t="n"/>
      <c r="G418" s="86" t="n"/>
      <c r="H418" s="111" t="n"/>
      <c r="I418" s="87" t="n"/>
      <c r="J418" s="87" t="n"/>
      <c r="K418" s="111" t="n"/>
      <c r="L418" s="86" t="n"/>
      <c r="M418" s="141" t="inlineStr">
        <is>
          <t>Hard</t>
        </is>
      </c>
      <c r="N418" s="89" t="n"/>
      <c r="O418" s="144" t="n"/>
      <c r="P418" s="31" t="n"/>
      <c r="Q418" s="89" t="n"/>
      <c r="R418" s="89" t="n"/>
      <c r="S418" s="89" t="n"/>
      <c r="T418" s="55" t="n"/>
      <c r="U418" s="34" t="n"/>
      <c r="V418" s="1" t="n"/>
      <c r="Y418" s="111" t="n"/>
      <c r="Z418" s="111" t="n"/>
      <c r="AA418" s="111" t="n"/>
      <c r="AK418" s="55" t="n"/>
      <c r="AL418" s="89" t="n"/>
    </row>
    <row r="419" ht="22.5" customHeight="1" s="150">
      <c r="A419" s="34" t="n">
        <v>417</v>
      </c>
      <c r="B419" s="34" t="n"/>
      <c r="C419" s="34" t="n"/>
      <c r="D419" s="34" t="n"/>
      <c r="E419" s="34" t="n"/>
      <c r="F419" s="86" t="n"/>
      <c r="G419" s="86" t="n"/>
      <c r="H419" s="111" t="n"/>
      <c r="I419" s="87" t="n"/>
      <c r="J419" s="87" t="n"/>
      <c r="K419" s="111" t="n"/>
      <c r="L419" s="86" t="n"/>
      <c r="M419" s="142" t="inlineStr">
        <is>
          <t>Very Hard</t>
        </is>
      </c>
      <c r="N419" s="89" t="n"/>
      <c r="O419" s="144" t="n"/>
      <c r="P419" s="31" t="n"/>
      <c r="Q419" s="89" t="n"/>
      <c r="R419" s="89" t="n"/>
      <c r="S419" s="89" t="n"/>
      <c r="T419" s="55" t="n"/>
      <c r="U419" s="34" t="n"/>
      <c r="V419" s="1" t="n"/>
      <c r="Y419" s="111" t="n"/>
      <c r="Z419" s="111" t="n"/>
      <c r="AA419" s="111" t="n"/>
      <c r="AK419" s="55" t="n"/>
      <c r="AL419" s="89" t="n"/>
    </row>
    <row r="420" ht="22.5" customHeight="1" s="150">
      <c r="A420" s="34" t="n">
        <v>418</v>
      </c>
      <c r="B420" s="34" t="n"/>
      <c r="C420" s="34" t="n"/>
      <c r="D420" s="34" t="n"/>
      <c r="E420" s="34" t="n"/>
      <c r="F420" s="86" t="n"/>
      <c r="G420" s="86" t="n"/>
      <c r="H420" s="111" t="n"/>
      <c r="I420" s="87" t="n"/>
      <c r="J420" s="87" t="n"/>
      <c r="K420" s="111" t="n"/>
      <c r="L420" s="86" t="n"/>
      <c r="M420" s="139" t="inlineStr">
        <is>
          <t>Normal</t>
        </is>
      </c>
      <c r="N420" s="89" t="n"/>
      <c r="O420" s="144" t="n"/>
      <c r="P420" s="31" t="n"/>
      <c r="Q420" s="89" t="n"/>
      <c r="R420" s="89" t="n"/>
      <c r="S420" s="89" t="n"/>
      <c r="T420" s="55" t="n"/>
      <c r="U420" s="34" t="n"/>
      <c r="V420" s="1" t="n"/>
      <c r="Y420" s="111" t="n"/>
      <c r="Z420" s="111" t="n"/>
      <c r="AA420" s="111" t="n"/>
      <c r="AK420" s="55" t="n"/>
      <c r="AL420" s="89" t="n"/>
    </row>
    <row r="421" ht="22.5" customHeight="1" s="150">
      <c r="A421" s="34" t="n">
        <v>419</v>
      </c>
      <c r="B421" s="34" t="n"/>
      <c r="C421" s="34" t="n"/>
      <c r="D421" s="34" t="n"/>
      <c r="E421" s="34" t="n"/>
      <c r="F421" s="86" t="n"/>
      <c r="G421" s="86" t="n"/>
      <c r="H421" s="111" t="n"/>
      <c r="I421" s="87" t="n"/>
      <c r="J421" s="87" t="n"/>
      <c r="K421" s="111" t="n"/>
      <c r="L421" s="86" t="n"/>
      <c r="M421" s="138" t="inlineStr">
        <is>
          <t>Normal</t>
        </is>
      </c>
      <c r="N421" s="89" t="n"/>
      <c r="O421" s="144" t="n"/>
      <c r="P421" s="31" t="n"/>
      <c r="Q421" s="89" t="n"/>
      <c r="R421" s="89" t="n"/>
      <c r="S421" s="89" t="n"/>
      <c r="T421" s="55" t="n"/>
      <c r="U421" s="34" t="n"/>
      <c r="V421" s="1" t="n"/>
      <c r="Y421" s="111" t="n"/>
      <c r="Z421" s="111" t="n"/>
      <c r="AA421" s="111" t="n"/>
      <c r="AK421" s="55" t="n"/>
      <c r="AL421" s="89" t="n"/>
    </row>
    <row r="422" ht="22.5" customHeight="1" s="150">
      <c r="A422" s="34" t="n">
        <v>420</v>
      </c>
      <c r="B422" s="34" t="n"/>
      <c r="C422" s="34" t="n"/>
      <c r="D422" s="34" t="n"/>
      <c r="E422" s="34" t="n"/>
      <c r="F422" s="86" t="n"/>
      <c r="G422" s="86" t="n"/>
      <c r="H422" s="111" t="n"/>
      <c r="I422" s="87" t="n"/>
      <c r="J422" s="87" t="n"/>
      <c r="K422" s="111" t="n"/>
      <c r="L422" s="86" t="n"/>
      <c r="M422" s="139" t="inlineStr">
        <is>
          <t>Normal</t>
        </is>
      </c>
      <c r="N422" s="89" t="n"/>
      <c r="O422" s="144" t="n"/>
      <c r="P422" s="31" t="n"/>
      <c r="Q422" s="89" t="n"/>
      <c r="R422" s="89" t="n"/>
      <c r="S422" s="89" t="n"/>
      <c r="T422" s="55" t="n"/>
      <c r="U422" s="34" t="n"/>
      <c r="V422" s="1" t="n"/>
      <c r="Y422" s="111" t="n"/>
      <c r="Z422" s="111" t="n"/>
      <c r="AA422" s="111" t="n"/>
      <c r="AK422" s="55" t="n"/>
      <c r="AL422" s="89" t="n"/>
    </row>
    <row r="423" ht="22.5" customHeight="1" s="150">
      <c r="A423" s="34" t="n">
        <v>421</v>
      </c>
      <c r="B423" s="34" t="n"/>
      <c r="C423" s="34" t="n"/>
      <c r="D423" s="34" t="n"/>
      <c r="E423" s="34" t="n"/>
      <c r="F423" s="86" t="n"/>
      <c r="G423" s="86" t="n"/>
      <c r="H423" s="111" t="n"/>
      <c r="I423" s="87" t="n"/>
      <c r="J423" s="87" t="n"/>
      <c r="K423" s="111" t="n"/>
      <c r="L423" s="86" t="n"/>
      <c r="M423" s="140" t="inlineStr">
        <is>
          <t>Hard</t>
        </is>
      </c>
      <c r="N423" s="89" t="n"/>
      <c r="O423" s="144" t="n"/>
      <c r="P423" s="31" t="n"/>
      <c r="Q423" s="89" t="n"/>
      <c r="R423" s="89" t="n"/>
      <c r="S423" s="89" t="n"/>
      <c r="T423" s="55" t="n"/>
      <c r="U423" s="34" t="n"/>
      <c r="V423" s="1" t="n"/>
      <c r="Y423" s="111" t="n"/>
      <c r="Z423" s="111" t="n"/>
      <c r="AA423" s="111" t="n"/>
      <c r="AK423" s="55" t="n"/>
      <c r="AL423" s="89" t="n"/>
    </row>
    <row r="424" ht="22.5" customHeight="1" s="150">
      <c r="A424" s="34" t="n">
        <v>422</v>
      </c>
      <c r="B424" s="34" t="n"/>
      <c r="C424" s="34" t="n"/>
      <c r="D424" s="34" t="n"/>
      <c r="E424" s="34" t="n"/>
      <c r="F424" s="86" t="n"/>
      <c r="G424" s="86" t="n"/>
      <c r="H424" s="111" t="n"/>
      <c r="I424" s="87" t="n"/>
      <c r="J424" s="87" t="n"/>
      <c r="K424" s="111" t="n"/>
      <c r="L424" s="86" t="n"/>
      <c r="M424" s="143" t="inlineStr">
        <is>
          <t>Very Hard</t>
        </is>
      </c>
      <c r="N424" s="89" t="n"/>
      <c r="O424" s="144" t="n"/>
      <c r="P424" s="31" t="n"/>
      <c r="Q424" s="89" t="n"/>
      <c r="R424" s="89" t="n"/>
      <c r="S424" s="89" t="n"/>
      <c r="T424" s="55" t="n"/>
      <c r="U424" s="34" t="n"/>
      <c r="V424" s="1" t="n"/>
      <c r="Y424" s="111" t="n"/>
      <c r="Z424" s="111" t="n"/>
      <c r="AA424" s="111" t="n"/>
      <c r="AK424" s="55" t="n"/>
      <c r="AL424" s="89" t="n"/>
    </row>
    <row r="425" ht="22.5" customHeight="1" s="150">
      <c r="A425" s="34" t="n">
        <v>423</v>
      </c>
      <c r="B425" s="34" t="n"/>
      <c r="C425" s="34" t="n"/>
      <c r="D425" s="34" t="n"/>
      <c r="E425" s="34" t="n"/>
      <c r="F425" s="86" t="n"/>
      <c r="G425" s="86" t="n"/>
      <c r="H425" s="111" t="n"/>
      <c r="I425" s="87" t="n"/>
      <c r="J425" s="87" t="n"/>
      <c r="K425" s="111" t="n"/>
      <c r="L425" s="86" t="n"/>
      <c r="M425" s="138" t="inlineStr">
        <is>
          <t>Normal</t>
        </is>
      </c>
      <c r="N425" s="89" t="n"/>
      <c r="O425" s="144" t="n"/>
      <c r="P425" s="31" t="n"/>
      <c r="Q425" s="89" t="n"/>
      <c r="R425" s="89" t="n"/>
      <c r="S425" s="89" t="n"/>
      <c r="T425" s="55" t="n"/>
      <c r="U425" s="34" t="n"/>
      <c r="V425" s="1" t="n"/>
      <c r="Y425" s="111" t="n"/>
      <c r="Z425" s="111" t="n"/>
      <c r="AA425" s="111" t="n"/>
      <c r="AK425" s="55" t="n"/>
      <c r="AL425" s="89" t="n"/>
    </row>
    <row r="426" ht="22.5" customHeight="1" s="150">
      <c r="A426" s="34" t="n">
        <v>424</v>
      </c>
      <c r="B426" s="34" t="n"/>
      <c r="C426" s="34" t="n"/>
      <c r="D426" s="34" t="n"/>
      <c r="E426" s="34" t="n"/>
      <c r="F426" s="86" t="n"/>
      <c r="G426" s="86" t="n"/>
      <c r="H426" s="111" t="n"/>
      <c r="I426" s="87" t="n"/>
      <c r="J426" s="87" t="n"/>
      <c r="K426" s="111" t="n"/>
      <c r="L426" s="86" t="n"/>
      <c r="M426" s="139" t="inlineStr">
        <is>
          <t>Normal</t>
        </is>
      </c>
      <c r="N426" s="89" t="n"/>
      <c r="O426" s="144" t="n"/>
      <c r="P426" s="31" t="n"/>
      <c r="Q426" s="89" t="n"/>
      <c r="R426" s="89" t="n"/>
      <c r="S426" s="89" t="n"/>
      <c r="T426" s="55" t="n"/>
      <c r="U426" s="34" t="n"/>
      <c r="V426" s="1" t="n"/>
      <c r="Y426" s="111" t="n"/>
      <c r="Z426" s="111" t="n"/>
      <c r="AA426" s="111" t="n"/>
      <c r="AK426" s="55" t="n"/>
      <c r="AL426" s="89" t="n"/>
    </row>
    <row r="427" ht="22.5" customHeight="1" s="150">
      <c r="A427" s="34" t="n">
        <v>425</v>
      </c>
      <c r="B427" s="34" t="n"/>
      <c r="C427" s="34" t="n"/>
      <c r="D427" s="34" t="n"/>
      <c r="E427" s="34" t="n"/>
      <c r="F427" s="86" t="n"/>
      <c r="G427" s="86" t="n"/>
      <c r="H427" s="111" t="n"/>
      <c r="I427" s="87" t="n"/>
      <c r="J427" s="87" t="n"/>
      <c r="K427" s="111" t="n"/>
      <c r="L427" s="86" t="n"/>
      <c r="M427" s="138" t="inlineStr">
        <is>
          <t>Normal</t>
        </is>
      </c>
      <c r="N427" s="89" t="n"/>
      <c r="O427" s="144" t="n"/>
      <c r="P427" s="31" t="n"/>
      <c r="Q427" s="89" t="n"/>
      <c r="R427" s="89" t="n"/>
      <c r="S427" s="89" t="n"/>
      <c r="T427" s="55" t="n"/>
      <c r="U427" s="34" t="n"/>
      <c r="V427" s="1" t="n"/>
      <c r="Y427" s="111" t="n"/>
      <c r="Z427" s="111" t="n"/>
      <c r="AA427" s="111" t="n"/>
      <c r="AK427" s="55" t="n"/>
      <c r="AL427" s="89" t="n"/>
    </row>
    <row r="428" ht="22.5" customHeight="1" s="150">
      <c r="A428" s="34" t="n">
        <v>426</v>
      </c>
      <c r="B428" s="34" t="n"/>
      <c r="C428" s="34" t="n"/>
      <c r="D428" s="34" t="n"/>
      <c r="E428" s="34" t="n"/>
      <c r="F428" s="86" t="n"/>
      <c r="G428" s="86" t="n"/>
      <c r="H428" s="111" t="n"/>
      <c r="I428" s="87" t="n"/>
      <c r="J428" s="87" t="n"/>
      <c r="K428" s="111" t="n"/>
      <c r="L428" s="86" t="n"/>
      <c r="M428" s="141" t="inlineStr">
        <is>
          <t>Hard</t>
        </is>
      </c>
      <c r="N428" s="89" t="n"/>
      <c r="O428" s="144" t="n"/>
      <c r="P428" s="31" t="n"/>
      <c r="Q428" s="89" t="n"/>
      <c r="R428" s="89" t="n"/>
      <c r="S428" s="89" t="n"/>
      <c r="T428" s="55" t="n"/>
      <c r="U428" s="34" t="n"/>
      <c r="V428" s="1" t="n"/>
      <c r="Y428" s="111" t="n"/>
      <c r="Z428" s="111" t="n"/>
      <c r="AA428" s="111" t="n"/>
      <c r="AK428" s="55" t="n"/>
      <c r="AL428" s="89" t="n"/>
    </row>
    <row r="429" ht="22.5" customHeight="1" s="150">
      <c r="A429" s="34" t="n">
        <v>427</v>
      </c>
      <c r="B429" s="34" t="n"/>
      <c r="C429" s="34" t="n"/>
      <c r="D429" s="34" t="n"/>
      <c r="E429" s="34" t="n"/>
      <c r="F429" s="86" t="n"/>
      <c r="G429" s="86" t="n"/>
      <c r="H429" s="111" t="n"/>
      <c r="I429" s="87" t="n"/>
      <c r="J429" s="87" t="n"/>
      <c r="K429" s="111" t="n"/>
      <c r="L429" s="86" t="n"/>
      <c r="M429" s="142" t="inlineStr">
        <is>
          <t>Very Hard</t>
        </is>
      </c>
      <c r="N429" s="89" t="n"/>
      <c r="O429" s="144" t="n"/>
      <c r="P429" s="31" t="n"/>
      <c r="Q429" s="89" t="n"/>
      <c r="R429" s="89" t="n"/>
      <c r="S429" s="89" t="n"/>
      <c r="T429" s="55" t="n"/>
      <c r="U429" s="34" t="n"/>
      <c r="V429" s="1" t="n"/>
      <c r="Y429" s="111" t="n"/>
      <c r="Z429" s="111" t="n"/>
      <c r="AA429" s="111" t="n"/>
      <c r="AK429" s="55" t="n"/>
      <c r="AL429" s="89" t="n"/>
    </row>
    <row r="430" ht="22.5" customHeight="1" s="150">
      <c r="A430" s="34" t="n">
        <v>428</v>
      </c>
      <c r="B430" s="34" t="n"/>
      <c r="C430" s="34" t="n"/>
      <c r="D430" s="34" t="n"/>
      <c r="E430" s="34" t="n"/>
      <c r="F430" s="86" t="n"/>
      <c r="G430" s="86" t="n"/>
      <c r="H430" s="111" t="n"/>
      <c r="I430" s="87" t="n"/>
      <c r="J430" s="87" t="n"/>
      <c r="K430" s="111" t="n"/>
      <c r="L430" s="86" t="n"/>
      <c r="M430" s="139" t="inlineStr">
        <is>
          <t>Normal</t>
        </is>
      </c>
      <c r="N430" s="89" t="n"/>
      <c r="O430" s="144" t="n"/>
      <c r="P430" s="31" t="n"/>
      <c r="Q430" s="89" t="n"/>
      <c r="R430" s="89" t="n"/>
      <c r="S430" s="89" t="n"/>
      <c r="T430" s="55" t="n"/>
      <c r="U430" s="34" t="n"/>
      <c r="V430" s="1" t="n"/>
      <c r="Y430" s="111" t="n"/>
      <c r="Z430" s="111" t="n"/>
      <c r="AA430" s="111" t="n"/>
      <c r="AK430" s="55" t="n"/>
      <c r="AL430" s="89" t="n"/>
    </row>
    <row r="431" ht="22.5" customHeight="1" s="150">
      <c r="A431" s="34" t="n">
        <v>429</v>
      </c>
      <c r="B431" s="34" t="n"/>
      <c r="C431" s="34" t="n"/>
      <c r="D431" s="34" t="n"/>
      <c r="E431" s="34" t="n"/>
      <c r="F431" s="86" t="n"/>
      <c r="G431" s="86" t="n"/>
      <c r="H431" s="111" t="n"/>
      <c r="I431" s="87" t="n"/>
      <c r="J431" s="87" t="n"/>
      <c r="K431" s="111" t="n"/>
      <c r="L431" s="86" t="n"/>
      <c r="M431" s="138" t="inlineStr">
        <is>
          <t>Normal</t>
        </is>
      </c>
      <c r="N431" s="89" t="n"/>
      <c r="O431" s="144" t="n"/>
      <c r="P431" s="31" t="n"/>
      <c r="Q431" s="89" t="n"/>
      <c r="R431" s="89" t="n"/>
      <c r="S431" s="89" t="n"/>
      <c r="T431" s="55" t="n"/>
      <c r="U431" s="34" t="n"/>
      <c r="V431" s="1" t="n"/>
      <c r="Y431" s="111" t="n"/>
      <c r="Z431" s="111" t="n"/>
      <c r="AA431" s="111" t="n"/>
      <c r="AK431" s="55" t="n"/>
      <c r="AL431" s="89" t="n"/>
    </row>
    <row r="432" ht="22.5" customHeight="1" s="150">
      <c r="A432" s="34" t="n">
        <v>430</v>
      </c>
      <c r="B432" s="34" t="n"/>
      <c r="C432" s="34" t="n"/>
      <c r="D432" s="34" t="n"/>
      <c r="E432" s="34" t="n"/>
      <c r="F432" s="86" t="n"/>
      <c r="G432" s="86" t="n"/>
      <c r="H432" s="111" t="n"/>
      <c r="I432" s="87" t="n"/>
      <c r="J432" s="87" t="n"/>
      <c r="K432" s="111" t="n"/>
      <c r="L432" s="86" t="n"/>
      <c r="M432" s="139" t="inlineStr">
        <is>
          <t>Normal</t>
        </is>
      </c>
      <c r="N432" s="89" t="n"/>
      <c r="O432" s="144" t="n"/>
      <c r="P432" s="31" t="n"/>
      <c r="Q432" s="89" t="n"/>
      <c r="R432" s="89" t="n"/>
      <c r="S432" s="89" t="n"/>
      <c r="T432" s="55" t="n"/>
      <c r="U432" s="34" t="n"/>
      <c r="V432" s="1" t="n"/>
      <c r="Y432" s="111" t="n"/>
      <c r="Z432" s="111" t="n"/>
      <c r="AA432" s="111" t="n"/>
      <c r="AK432" s="55" t="n"/>
      <c r="AL432" s="89" t="n"/>
    </row>
    <row r="433" ht="22.5" customHeight="1" s="150">
      <c r="A433" s="34" t="n">
        <v>431</v>
      </c>
      <c r="B433" s="34" t="n"/>
      <c r="C433" s="34" t="n"/>
      <c r="D433" s="34" t="n"/>
      <c r="E433" s="34" t="n"/>
      <c r="F433" s="86" t="n"/>
      <c r="G433" s="86" t="n"/>
      <c r="H433" s="111" t="n"/>
      <c r="I433" s="87" t="n"/>
      <c r="J433" s="87" t="n"/>
      <c r="K433" s="111" t="n"/>
      <c r="L433" s="86" t="n"/>
      <c r="M433" s="140" t="inlineStr">
        <is>
          <t>Hard</t>
        </is>
      </c>
      <c r="N433" s="89" t="n"/>
      <c r="O433" s="144" t="n"/>
      <c r="P433" s="31" t="n"/>
      <c r="Q433" s="89" t="n"/>
      <c r="R433" s="89" t="n"/>
      <c r="S433" s="89" t="n"/>
      <c r="T433" s="55" t="n"/>
      <c r="U433" s="34" t="n"/>
      <c r="V433" s="1" t="n"/>
      <c r="Y433" s="111" t="n"/>
      <c r="Z433" s="111" t="n"/>
      <c r="AA433" s="111" t="n"/>
      <c r="AK433" s="55" t="n"/>
      <c r="AL433" s="89" t="n"/>
    </row>
    <row r="434" ht="22.5" customHeight="1" s="150">
      <c r="A434" s="34" t="n">
        <v>432</v>
      </c>
      <c r="B434" s="34" t="n"/>
      <c r="C434" s="34" t="n"/>
      <c r="D434" s="34" t="n"/>
      <c r="E434" s="34" t="n"/>
      <c r="F434" s="86" t="n"/>
      <c r="G434" s="86" t="n"/>
      <c r="H434" s="111" t="n"/>
      <c r="I434" s="87" t="n"/>
      <c r="J434" s="87" t="n"/>
      <c r="K434" s="111" t="n"/>
      <c r="L434" s="86" t="n"/>
      <c r="M434" s="141" t="inlineStr">
        <is>
          <t>Hard</t>
        </is>
      </c>
      <c r="N434" s="89" t="n"/>
      <c r="O434" s="144" t="n"/>
      <c r="P434" s="31" t="n"/>
      <c r="Q434" s="89" t="n"/>
      <c r="R434" s="89" t="n"/>
      <c r="S434" s="89" t="n"/>
      <c r="T434" s="55" t="n"/>
      <c r="U434" s="34" t="n"/>
      <c r="V434" s="1" t="n"/>
      <c r="Y434" s="111" t="n"/>
      <c r="Z434" s="111" t="n"/>
      <c r="AA434" s="111" t="n"/>
      <c r="AK434" s="55" t="n"/>
      <c r="AL434" s="89" t="n"/>
    </row>
    <row r="435" ht="22.5" customHeight="1" s="150">
      <c r="A435" s="34" t="n">
        <v>433</v>
      </c>
      <c r="B435" s="34" t="n"/>
      <c r="C435" s="34" t="n"/>
      <c r="D435" s="34" t="n"/>
      <c r="E435" s="34" t="n"/>
      <c r="F435" s="86" t="n"/>
      <c r="G435" s="86" t="n"/>
      <c r="H435" s="111" t="n"/>
      <c r="I435" s="87" t="n"/>
      <c r="J435" s="87" t="n"/>
      <c r="K435" s="111" t="n"/>
      <c r="L435" s="86" t="n"/>
      <c r="M435" s="138" t="inlineStr">
        <is>
          <t>Normal</t>
        </is>
      </c>
      <c r="N435" s="89" t="n"/>
      <c r="O435" s="144" t="n"/>
      <c r="P435" s="31" t="n"/>
      <c r="Q435" s="89" t="n"/>
      <c r="R435" s="89" t="n"/>
      <c r="S435" s="89" t="n"/>
      <c r="T435" s="55" t="n"/>
      <c r="U435" s="34" t="n"/>
      <c r="V435" s="1" t="n"/>
      <c r="Y435" s="111" t="n"/>
      <c r="Z435" s="111" t="n"/>
      <c r="AA435" s="111" t="n"/>
      <c r="AK435" s="55" t="n"/>
      <c r="AL435" s="89" t="n"/>
    </row>
    <row r="436" ht="22.5" customHeight="1" s="150">
      <c r="A436" s="34" t="n">
        <v>434</v>
      </c>
      <c r="B436" s="34" t="n"/>
      <c r="C436" s="34" t="n"/>
      <c r="D436" s="34" t="n"/>
      <c r="E436" s="34" t="n"/>
      <c r="F436" s="86" t="n"/>
      <c r="G436" s="86" t="n"/>
      <c r="H436" s="111" t="n"/>
      <c r="I436" s="87" t="n"/>
      <c r="J436" s="87" t="n"/>
      <c r="K436" s="111" t="n"/>
      <c r="L436" s="86" t="n"/>
      <c r="M436" s="139" t="inlineStr">
        <is>
          <t>Normal</t>
        </is>
      </c>
      <c r="N436" s="89" t="n"/>
      <c r="O436" s="144" t="n"/>
      <c r="P436" s="31" t="n"/>
      <c r="Q436" s="89" t="n"/>
      <c r="R436" s="89" t="n"/>
      <c r="S436" s="89" t="n"/>
      <c r="T436" s="55" t="n"/>
      <c r="U436" s="34" t="n"/>
      <c r="V436" s="1" t="n"/>
      <c r="Y436" s="111" t="n"/>
      <c r="Z436" s="111" t="n"/>
      <c r="AA436" s="111" t="n"/>
      <c r="AK436" s="55" t="n"/>
      <c r="AL436" s="89" t="n"/>
    </row>
    <row r="437" ht="22.5" customHeight="1" s="150">
      <c r="A437" s="34" t="n">
        <v>435</v>
      </c>
      <c r="B437" s="34" t="n"/>
      <c r="C437" s="34" t="n"/>
      <c r="D437" s="34" t="n"/>
      <c r="E437" s="34" t="n"/>
      <c r="F437" s="86" t="n"/>
      <c r="G437" s="86" t="n"/>
      <c r="H437" s="111" t="n"/>
      <c r="I437" s="87" t="n"/>
      <c r="J437" s="87" t="n"/>
      <c r="K437" s="111" t="n"/>
      <c r="L437" s="86" t="n"/>
      <c r="M437" s="138" t="inlineStr">
        <is>
          <t>Normal</t>
        </is>
      </c>
      <c r="N437" s="89" t="n"/>
      <c r="O437" s="144" t="n"/>
      <c r="P437" s="31" t="n"/>
      <c r="Q437" s="89" t="n"/>
      <c r="R437" s="89" t="n"/>
      <c r="S437" s="89" t="n"/>
      <c r="T437" s="55" t="n"/>
      <c r="U437" s="34" t="n"/>
      <c r="V437" s="1" t="n"/>
      <c r="Y437" s="111" t="n"/>
      <c r="Z437" s="111" t="n"/>
      <c r="AA437" s="111" t="n"/>
      <c r="AK437" s="55" t="n"/>
      <c r="AL437" s="89" t="n"/>
    </row>
    <row r="438" ht="22.5" customHeight="1" s="150">
      <c r="A438" s="34" t="n">
        <v>436</v>
      </c>
      <c r="B438" s="34" t="n"/>
      <c r="C438" s="34" t="n"/>
      <c r="D438" s="34" t="n"/>
      <c r="E438" s="34" t="n"/>
      <c r="F438" s="86" t="n"/>
      <c r="G438" s="86" t="n"/>
      <c r="H438" s="111" t="n"/>
      <c r="I438" s="87" t="n"/>
      <c r="J438" s="87" t="n"/>
      <c r="K438" s="111" t="n"/>
      <c r="L438" s="86" t="n"/>
      <c r="M438" s="139" t="inlineStr">
        <is>
          <t>Normal</t>
        </is>
      </c>
      <c r="N438" s="89" t="n"/>
      <c r="O438" s="144" t="n"/>
      <c r="P438" s="31" t="n"/>
      <c r="Q438" s="89" t="n"/>
      <c r="R438" s="89" t="n"/>
      <c r="S438" s="89" t="n"/>
      <c r="T438" s="55" t="n"/>
      <c r="U438" s="34" t="n"/>
      <c r="V438" s="1" t="n"/>
      <c r="Y438" s="111" t="n"/>
      <c r="Z438" s="111" t="n"/>
      <c r="AA438" s="111" t="n"/>
      <c r="AK438" s="55" t="n"/>
      <c r="AL438" s="89" t="n"/>
    </row>
    <row r="439" ht="22.5" customHeight="1" s="150">
      <c r="A439" s="34" t="n">
        <v>437</v>
      </c>
      <c r="B439" s="34" t="n"/>
      <c r="C439" s="34" t="n"/>
      <c r="D439" s="34" t="n"/>
      <c r="E439" s="34" t="n"/>
      <c r="F439" s="86" t="n"/>
      <c r="G439" s="86" t="n"/>
      <c r="H439" s="111" t="n"/>
      <c r="I439" s="87" t="n"/>
      <c r="J439" s="87" t="n"/>
      <c r="K439" s="111" t="n"/>
      <c r="L439" s="86" t="n"/>
      <c r="M439" s="138" t="inlineStr">
        <is>
          <t>Normal</t>
        </is>
      </c>
      <c r="N439" s="89" t="n"/>
      <c r="O439" s="144" t="n"/>
      <c r="P439" s="31" t="n"/>
      <c r="Q439" s="89" t="n"/>
      <c r="R439" s="89" t="n"/>
      <c r="S439" s="89" t="n"/>
      <c r="T439" s="55" t="n"/>
      <c r="U439" s="34" t="n"/>
      <c r="V439" s="1" t="n"/>
      <c r="Y439" s="111" t="n"/>
      <c r="Z439" s="111" t="n"/>
      <c r="AA439" s="111" t="n"/>
      <c r="AK439" s="55" t="n"/>
      <c r="AL439" s="89" t="n"/>
    </row>
    <row r="440" ht="22.5" customHeight="1" s="150">
      <c r="A440" s="34" t="n">
        <v>438</v>
      </c>
      <c r="B440" s="34" t="n"/>
      <c r="C440" s="34" t="n"/>
      <c r="D440" s="34" t="n"/>
      <c r="E440" s="34" t="n"/>
      <c r="F440" s="86" t="n"/>
      <c r="G440" s="86" t="n"/>
      <c r="H440" s="111" t="n"/>
      <c r="I440" s="87" t="n"/>
      <c r="J440" s="87" t="n"/>
      <c r="K440" s="111" t="n"/>
      <c r="L440" s="86" t="n"/>
      <c r="M440" s="139" t="inlineStr">
        <is>
          <t>Normal</t>
        </is>
      </c>
      <c r="N440" s="89" t="n"/>
      <c r="O440" s="144" t="n"/>
      <c r="P440" s="31" t="n"/>
      <c r="Q440" s="89" t="n"/>
      <c r="R440" s="89" t="n"/>
      <c r="S440" s="89" t="n"/>
      <c r="T440" s="55" t="n"/>
      <c r="U440" s="34" t="n"/>
      <c r="V440" s="1" t="n"/>
      <c r="Y440" s="111" t="n"/>
      <c r="Z440" s="111" t="n"/>
      <c r="AA440" s="111" t="n"/>
      <c r="AK440" s="55" t="n"/>
      <c r="AL440" s="89" t="n"/>
    </row>
    <row r="441" ht="22.5" customHeight="1" s="150">
      <c r="A441" s="34" t="n">
        <v>439</v>
      </c>
      <c r="B441" s="34" t="n"/>
      <c r="C441" s="34" t="n"/>
      <c r="D441" s="34" t="n"/>
      <c r="E441" s="34" t="n"/>
      <c r="F441" s="86" t="n"/>
      <c r="G441" s="86" t="n"/>
      <c r="H441" s="111" t="n"/>
      <c r="I441" s="87" t="n"/>
      <c r="J441" s="87" t="n"/>
      <c r="K441" s="111" t="n"/>
      <c r="L441" s="86" t="n"/>
      <c r="M441" s="138" t="inlineStr">
        <is>
          <t>Normal</t>
        </is>
      </c>
      <c r="N441" s="89" t="n"/>
      <c r="O441" s="144" t="n"/>
      <c r="P441" s="31" t="n"/>
      <c r="Q441" s="89" t="n"/>
      <c r="R441" s="89" t="n"/>
      <c r="S441" s="89" t="n"/>
      <c r="T441" s="55" t="n"/>
      <c r="U441" s="34" t="n"/>
      <c r="V441" s="1" t="n"/>
      <c r="Y441" s="111" t="n"/>
      <c r="Z441" s="111" t="n"/>
      <c r="AA441" s="111" t="n"/>
      <c r="AK441" s="55" t="n"/>
      <c r="AL441" s="89" t="n"/>
    </row>
    <row r="442" ht="22.5" customHeight="1" s="150">
      <c r="A442" s="34" t="n">
        <v>440</v>
      </c>
      <c r="B442" s="34" t="n"/>
      <c r="C442" s="34" t="n"/>
      <c r="D442" s="34" t="n"/>
      <c r="E442" s="34" t="n"/>
      <c r="F442" s="86" t="n"/>
      <c r="G442" s="86" t="n"/>
      <c r="H442" s="111" t="n"/>
      <c r="I442" s="87" t="n"/>
      <c r="J442" s="87" t="n"/>
      <c r="K442" s="111" t="n"/>
      <c r="L442" s="86" t="n"/>
      <c r="M442" s="139" t="inlineStr">
        <is>
          <t>Normal</t>
        </is>
      </c>
      <c r="N442" s="89" t="n"/>
      <c r="O442" s="144" t="n"/>
      <c r="P442" s="31" t="n"/>
      <c r="Q442" s="89" t="n"/>
      <c r="R442" s="89" t="n"/>
      <c r="S442" s="89" t="n"/>
      <c r="T442" s="55" t="n"/>
      <c r="U442" s="34" t="n"/>
      <c r="V442" s="1" t="n"/>
      <c r="Y442" s="111" t="n"/>
      <c r="Z442" s="111" t="n"/>
      <c r="AA442" s="111" t="n"/>
      <c r="AK442" s="55" t="n"/>
      <c r="AL442" s="89" t="n"/>
    </row>
    <row r="443" ht="22.5" customHeight="1" s="150">
      <c r="A443" s="34" t="n">
        <v>441</v>
      </c>
      <c r="B443" s="34" t="n"/>
      <c r="C443" s="34" t="n"/>
      <c r="D443" s="34" t="n"/>
      <c r="E443" s="34" t="n"/>
      <c r="F443" s="86" t="n"/>
      <c r="G443" s="86" t="n"/>
      <c r="H443" s="111" t="n"/>
      <c r="I443" s="87" t="n"/>
      <c r="J443" s="87" t="n"/>
      <c r="K443" s="111" t="n"/>
      <c r="L443" s="86" t="n"/>
      <c r="M443" s="140" t="inlineStr">
        <is>
          <t>Hard</t>
        </is>
      </c>
      <c r="N443" s="89" t="n"/>
      <c r="O443" s="144" t="n"/>
      <c r="P443" s="31" t="n"/>
      <c r="Q443" s="89" t="n"/>
      <c r="R443" s="89" t="n"/>
      <c r="S443" s="89" t="n"/>
      <c r="T443" s="55" t="n"/>
      <c r="U443" s="34" t="n"/>
      <c r="V443" s="1" t="n"/>
      <c r="Y443" s="111" t="n"/>
      <c r="Z443" s="111" t="n"/>
      <c r="AA443" s="111" t="n"/>
      <c r="AK443" s="55" t="n"/>
      <c r="AL443" s="89" t="n"/>
    </row>
    <row r="444" ht="22.5" customHeight="1" s="150">
      <c r="A444" s="34" t="n">
        <v>442</v>
      </c>
      <c r="B444" s="34" t="n"/>
      <c r="C444" s="34" t="n"/>
      <c r="D444" s="34" t="n"/>
      <c r="E444" s="34" t="n"/>
      <c r="F444" s="86" t="n"/>
      <c r="G444" s="86" t="n"/>
      <c r="H444" s="111" t="n"/>
      <c r="I444" s="87" t="n"/>
      <c r="J444" s="87" t="n"/>
      <c r="K444" s="111" t="n"/>
      <c r="L444" s="86" t="n"/>
      <c r="M444" s="143" t="inlineStr">
        <is>
          <t>Very Hard</t>
        </is>
      </c>
      <c r="N444" s="89" t="n"/>
      <c r="O444" s="144" t="n"/>
      <c r="P444" s="31" t="n"/>
      <c r="Q444" s="89" t="n"/>
      <c r="R444" s="89" t="n"/>
      <c r="S444" s="89" t="n"/>
      <c r="T444" s="55" t="n"/>
      <c r="U444" s="34" t="n"/>
      <c r="V444" s="1" t="n"/>
      <c r="Y444" s="111" t="n"/>
      <c r="Z444" s="111" t="n"/>
      <c r="AA444" s="111" t="n"/>
      <c r="AK444" s="55" t="n"/>
      <c r="AL444" s="89" t="n"/>
    </row>
    <row r="445" ht="22.5" customHeight="1" s="150">
      <c r="A445" s="34" t="n">
        <v>443</v>
      </c>
      <c r="B445" s="34" t="n"/>
      <c r="C445" s="34" t="n"/>
      <c r="D445" s="34" t="n"/>
      <c r="E445" s="34" t="n"/>
      <c r="F445" s="86" t="n"/>
      <c r="G445" s="86" t="n"/>
      <c r="H445" s="111" t="n"/>
      <c r="I445" s="87" t="n"/>
      <c r="J445" s="87" t="n"/>
      <c r="K445" s="111" t="n"/>
      <c r="L445" s="86" t="n"/>
      <c r="M445" s="138" t="inlineStr">
        <is>
          <t>Normal</t>
        </is>
      </c>
      <c r="N445" s="89" t="n"/>
      <c r="O445" s="144" t="n"/>
      <c r="P445" s="31" t="n"/>
      <c r="Q445" s="89" t="n"/>
      <c r="R445" s="89" t="n"/>
      <c r="S445" s="89" t="n"/>
      <c r="T445" s="55" t="n"/>
      <c r="U445" s="34" t="n"/>
      <c r="V445" s="1" t="n"/>
      <c r="Y445" s="111" t="n"/>
      <c r="Z445" s="111" t="n"/>
      <c r="AA445" s="111" t="n"/>
      <c r="AK445" s="55" t="n"/>
      <c r="AL445" s="89" t="n"/>
    </row>
    <row r="446" ht="22.5" customHeight="1" s="150">
      <c r="A446" s="34" t="n">
        <v>444</v>
      </c>
      <c r="B446" s="34" t="n"/>
      <c r="C446" s="34" t="n"/>
      <c r="D446" s="34" t="n"/>
      <c r="E446" s="34" t="n"/>
      <c r="F446" s="86" t="n"/>
      <c r="G446" s="86" t="n"/>
      <c r="H446" s="111" t="n"/>
      <c r="I446" s="87" t="n"/>
      <c r="J446" s="87" t="n"/>
      <c r="K446" s="111" t="n"/>
      <c r="L446" s="86" t="n"/>
      <c r="M446" s="139" t="inlineStr">
        <is>
          <t>Normal</t>
        </is>
      </c>
      <c r="N446" s="89" t="n"/>
      <c r="O446" s="144" t="n"/>
      <c r="P446" s="31" t="n"/>
      <c r="Q446" s="89" t="n"/>
      <c r="R446" s="89" t="n"/>
      <c r="S446" s="89" t="n"/>
      <c r="T446" s="55" t="n"/>
      <c r="U446" s="34" t="n"/>
      <c r="V446" s="1" t="n"/>
      <c r="Y446" s="111" t="n"/>
      <c r="Z446" s="111" t="n"/>
      <c r="AA446" s="111" t="n"/>
      <c r="AK446" s="55" t="n"/>
      <c r="AL446" s="89" t="n"/>
    </row>
    <row r="447" ht="22.5" customHeight="1" s="150">
      <c r="A447" s="34" t="n">
        <v>445</v>
      </c>
      <c r="B447" s="34" t="n"/>
      <c r="C447" s="34" t="n"/>
      <c r="D447" s="34" t="n"/>
      <c r="E447" s="34" t="n"/>
      <c r="F447" s="86" t="n"/>
      <c r="G447" s="86" t="n"/>
      <c r="H447" s="111" t="n"/>
      <c r="I447" s="87" t="n"/>
      <c r="J447" s="87" t="n"/>
      <c r="K447" s="111" t="n"/>
      <c r="L447" s="86" t="n"/>
      <c r="M447" s="138" t="inlineStr">
        <is>
          <t>Normal</t>
        </is>
      </c>
      <c r="N447" s="89" t="n"/>
      <c r="O447" s="144" t="n"/>
      <c r="P447" s="31" t="n"/>
      <c r="Q447" s="89" t="n"/>
      <c r="R447" s="89" t="n"/>
      <c r="S447" s="89" t="n"/>
      <c r="T447" s="55" t="n"/>
      <c r="U447" s="34" t="n"/>
      <c r="V447" s="1" t="n"/>
      <c r="Y447" s="111" t="n"/>
      <c r="Z447" s="111" t="n"/>
      <c r="AA447" s="111" t="n"/>
      <c r="AK447" s="55" t="n"/>
      <c r="AL447" s="89" t="n"/>
    </row>
    <row r="448" ht="22.5" customHeight="1" s="150">
      <c r="A448" s="34" t="n">
        <v>446</v>
      </c>
      <c r="B448" s="34" t="n"/>
      <c r="C448" s="34" t="n"/>
      <c r="D448" s="34" t="n"/>
      <c r="E448" s="34" t="n"/>
      <c r="F448" s="86" t="n"/>
      <c r="G448" s="86" t="n"/>
      <c r="H448" s="111" t="n"/>
      <c r="I448" s="87" t="n"/>
      <c r="J448" s="87" t="n"/>
      <c r="K448" s="111" t="n"/>
      <c r="L448" s="86" t="n"/>
      <c r="M448" s="141" t="inlineStr">
        <is>
          <t>Hard</t>
        </is>
      </c>
      <c r="N448" s="89" t="n"/>
      <c r="O448" s="144" t="n"/>
      <c r="P448" s="31" t="n"/>
      <c r="Q448" s="89" t="n"/>
      <c r="R448" s="89" t="n"/>
      <c r="S448" s="89" t="n"/>
      <c r="T448" s="55" t="n"/>
      <c r="U448" s="34" t="n"/>
      <c r="V448" s="1" t="n"/>
      <c r="Y448" s="111" t="n"/>
      <c r="Z448" s="111" t="n"/>
      <c r="AA448" s="111" t="n"/>
      <c r="AK448" s="55" t="n"/>
      <c r="AL448" s="89" t="n"/>
    </row>
    <row r="449" ht="22.5" customHeight="1" s="150">
      <c r="A449" s="34" t="n">
        <v>447</v>
      </c>
      <c r="B449" s="34" t="n"/>
      <c r="C449" s="34" t="n"/>
      <c r="D449" s="34" t="n"/>
      <c r="E449" s="34" t="n"/>
      <c r="F449" s="86" t="n"/>
      <c r="G449" s="86" t="n"/>
      <c r="H449" s="111" t="n"/>
      <c r="I449" s="87" t="n"/>
      <c r="J449" s="87" t="n"/>
      <c r="K449" s="111" t="n"/>
      <c r="L449" s="86" t="n"/>
      <c r="M449" s="140" t="inlineStr">
        <is>
          <t>Hard</t>
        </is>
      </c>
      <c r="N449" s="89" t="n"/>
      <c r="O449" s="144" t="n"/>
      <c r="P449" s="31" t="n"/>
      <c r="Q449" s="89" t="n"/>
      <c r="R449" s="89" t="n"/>
      <c r="S449" s="89" t="n"/>
      <c r="T449" s="55" t="n"/>
      <c r="U449" s="34" t="n"/>
      <c r="V449" s="1" t="n"/>
      <c r="Y449" s="111" t="n"/>
      <c r="Z449" s="111" t="n"/>
      <c r="AA449" s="111" t="n"/>
      <c r="AK449" s="55" t="n"/>
      <c r="AL449" s="89" t="n"/>
    </row>
    <row r="450" ht="22.5" customHeight="1" s="150">
      <c r="A450" s="34" t="n">
        <v>448</v>
      </c>
      <c r="B450" s="34" t="n"/>
      <c r="C450" s="34" t="n"/>
      <c r="D450" s="34" t="n"/>
      <c r="E450" s="34" t="n"/>
      <c r="F450" s="86" t="n"/>
      <c r="G450" s="86" t="n"/>
      <c r="H450" s="111" t="n"/>
      <c r="I450" s="87" t="n"/>
      <c r="J450" s="87" t="n"/>
      <c r="K450" s="111" t="n"/>
      <c r="L450" s="86" t="n"/>
      <c r="M450" s="139" t="inlineStr">
        <is>
          <t>Normal</t>
        </is>
      </c>
      <c r="N450" s="89" t="n"/>
      <c r="O450" s="144" t="n"/>
      <c r="P450" s="31" t="n"/>
      <c r="Q450" s="89" t="n"/>
      <c r="R450" s="89" t="n"/>
      <c r="S450" s="89" t="n"/>
      <c r="T450" s="55" t="n"/>
      <c r="U450" s="34" t="n"/>
      <c r="V450" s="1" t="n"/>
      <c r="Y450" s="111" t="n"/>
      <c r="Z450" s="111" t="n"/>
      <c r="AA450" s="111" t="n"/>
      <c r="AK450" s="55" t="n"/>
      <c r="AL450" s="89" t="n"/>
    </row>
    <row r="451" ht="22.5" customHeight="1" s="150">
      <c r="A451" s="34" t="n">
        <v>449</v>
      </c>
      <c r="B451" s="34" t="n"/>
      <c r="C451" s="34" t="n"/>
      <c r="D451" s="34" t="n"/>
      <c r="E451" s="34" t="n"/>
      <c r="F451" s="86" t="n"/>
      <c r="G451" s="86" t="n"/>
      <c r="H451" s="111" t="n"/>
      <c r="I451" s="87" t="n"/>
      <c r="J451" s="87" t="n"/>
      <c r="K451" s="111" t="n"/>
      <c r="L451" s="86" t="n"/>
      <c r="M451" s="138" t="inlineStr">
        <is>
          <t>Normal</t>
        </is>
      </c>
      <c r="N451" s="89" t="n"/>
      <c r="O451" s="144" t="n"/>
      <c r="P451" s="31" t="n"/>
      <c r="Q451" s="89" t="n"/>
      <c r="R451" s="89" t="n"/>
      <c r="S451" s="89" t="n"/>
      <c r="T451" s="55" t="n"/>
      <c r="U451" s="34" t="n"/>
      <c r="V451" s="1" t="n"/>
      <c r="Y451" s="111" t="n"/>
      <c r="Z451" s="111" t="n"/>
      <c r="AA451" s="111" t="n"/>
      <c r="AK451" s="55" t="n"/>
      <c r="AL451" s="89" t="n"/>
    </row>
    <row r="452" ht="22.5" customHeight="1" s="150">
      <c r="A452" s="34" t="n">
        <v>450</v>
      </c>
      <c r="B452" s="34" t="n"/>
      <c r="C452" s="34" t="n"/>
      <c r="D452" s="34" t="n"/>
      <c r="E452" s="34" t="n"/>
      <c r="F452" s="86" t="n"/>
      <c r="G452" s="86" t="n"/>
      <c r="H452" s="111" t="n"/>
      <c r="I452" s="87" t="n"/>
      <c r="J452" s="87" t="n"/>
      <c r="K452" s="111" t="n"/>
      <c r="L452" s="86" t="n"/>
      <c r="M452" s="139" t="inlineStr">
        <is>
          <t>Normal</t>
        </is>
      </c>
      <c r="N452" s="89" t="n"/>
      <c r="O452" s="144" t="n"/>
      <c r="P452" s="31" t="n"/>
      <c r="Q452" s="89" t="n"/>
      <c r="R452" s="89" t="n"/>
      <c r="S452" s="89" t="n"/>
      <c r="T452" s="55" t="n"/>
      <c r="U452" s="34" t="n"/>
      <c r="V452" s="1" t="n"/>
      <c r="Y452" s="111" t="n"/>
      <c r="Z452" s="111" t="n"/>
      <c r="AA452" s="111" t="n"/>
      <c r="AK452" s="55" t="n"/>
      <c r="AL452" s="89" t="n"/>
    </row>
    <row r="453" ht="22.5" customHeight="1" s="150">
      <c r="A453" s="34" t="n">
        <v>451</v>
      </c>
      <c r="B453" s="34" t="n"/>
      <c r="C453" s="34" t="n"/>
      <c r="D453" s="34" t="n"/>
      <c r="E453" s="34" t="n"/>
      <c r="F453" s="86" t="n"/>
      <c r="G453" s="86" t="n"/>
      <c r="H453" s="111" t="n"/>
      <c r="I453" s="87" t="n"/>
      <c r="J453" s="87" t="n"/>
      <c r="K453" s="111" t="n"/>
      <c r="L453" s="86" t="n"/>
      <c r="M453" s="138" t="inlineStr">
        <is>
          <t>Normal</t>
        </is>
      </c>
      <c r="N453" s="89" t="n"/>
      <c r="O453" s="144" t="n"/>
      <c r="P453" s="31" t="n"/>
      <c r="Q453" s="89" t="n"/>
      <c r="R453" s="89" t="n"/>
      <c r="S453" s="89" t="n"/>
      <c r="T453" s="55" t="n"/>
      <c r="U453" s="34" t="n"/>
      <c r="V453" s="1" t="n"/>
      <c r="Y453" s="111" t="n"/>
      <c r="Z453" s="111" t="n"/>
      <c r="AA453" s="111" t="n"/>
      <c r="AK453" s="55" t="n"/>
      <c r="AL453" s="89" t="n"/>
    </row>
    <row r="454" ht="22.5" customHeight="1" s="150">
      <c r="A454" s="34" t="n">
        <v>452</v>
      </c>
      <c r="B454" s="34" t="n"/>
      <c r="C454" s="34" t="n"/>
      <c r="D454" s="34" t="n"/>
      <c r="E454" s="34" t="n"/>
      <c r="F454" s="86" t="n"/>
      <c r="G454" s="86" t="n"/>
      <c r="H454" s="111" t="n"/>
      <c r="I454" s="87" t="n"/>
      <c r="J454" s="87" t="n"/>
      <c r="K454" s="111" t="n"/>
      <c r="L454" s="86" t="n"/>
      <c r="M454" s="139" t="inlineStr">
        <is>
          <t>Normal</t>
        </is>
      </c>
      <c r="N454" s="89" t="n"/>
      <c r="O454" s="144" t="n"/>
      <c r="P454" s="31" t="n"/>
      <c r="Q454" s="89" t="n"/>
      <c r="R454" s="89" t="n"/>
      <c r="S454" s="89" t="n"/>
      <c r="T454" s="55" t="n"/>
      <c r="U454" s="34" t="n"/>
      <c r="V454" s="1" t="n"/>
      <c r="Y454" s="111" t="n"/>
      <c r="Z454" s="111" t="n"/>
      <c r="AA454" s="111" t="n"/>
      <c r="AK454" s="55" t="n"/>
      <c r="AL454" s="89" t="n"/>
    </row>
    <row r="455" ht="22.5" customHeight="1" s="150">
      <c r="A455" s="34" t="n">
        <v>453</v>
      </c>
      <c r="B455" s="34" t="n"/>
      <c r="C455" s="34" t="n"/>
      <c r="D455" s="34" t="n"/>
      <c r="E455" s="34" t="n"/>
      <c r="F455" s="86" t="n"/>
      <c r="G455" s="86" t="n"/>
      <c r="H455" s="111" t="n"/>
      <c r="I455" s="87" t="n"/>
      <c r="J455" s="87" t="n"/>
      <c r="K455" s="111" t="n"/>
      <c r="L455" s="86" t="n"/>
      <c r="M455" s="138" t="inlineStr">
        <is>
          <t>Normal</t>
        </is>
      </c>
      <c r="N455" s="89" t="n"/>
      <c r="O455" s="144" t="n"/>
      <c r="P455" s="31" t="n"/>
      <c r="Q455" s="89" t="n"/>
      <c r="R455" s="89" t="n"/>
      <c r="S455" s="89" t="n"/>
      <c r="T455" s="55" t="n"/>
      <c r="U455" s="34" t="n"/>
      <c r="V455" s="1" t="n"/>
      <c r="Y455" s="111" t="n"/>
      <c r="Z455" s="111" t="n"/>
      <c r="AA455" s="111" t="n"/>
      <c r="AK455" s="55" t="n"/>
      <c r="AL455" s="89" t="n"/>
    </row>
    <row r="456" ht="22.5" customHeight="1" s="150">
      <c r="A456" s="34" t="n">
        <v>454</v>
      </c>
      <c r="B456" s="34" t="n"/>
      <c r="C456" s="34" t="n"/>
      <c r="D456" s="34" t="n"/>
      <c r="E456" s="34" t="n"/>
      <c r="F456" s="86" t="n"/>
      <c r="G456" s="86" t="n"/>
      <c r="H456" s="111" t="n"/>
      <c r="I456" s="87" t="n"/>
      <c r="J456" s="87" t="n"/>
      <c r="K456" s="111" t="n"/>
      <c r="L456" s="86" t="n"/>
      <c r="M456" s="139" t="inlineStr">
        <is>
          <t>Normal</t>
        </is>
      </c>
      <c r="N456" s="89" t="n"/>
      <c r="O456" s="144" t="n"/>
      <c r="P456" s="31" t="n"/>
      <c r="Q456" s="89" t="n"/>
      <c r="R456" s="89" t="n"/>
      <c r="S456" s="89" t="n"/>
      <c r="T456" s="55" t="n"/>
      <c r="U456" s="34" t="n"/>
      <c r="V456" s="1" t="n"/>
      <c r="Y456" s="111" t="n"/>
      <c r="Z456" s="111" t="n"/>
      <c r="AA456" s="111" t="n"/>
      <c r="AK456" s="55" t="n"/>
      <c r="AL456" s="89" t="n"/>
    </row>
    <row r="457" ht="22.5" customHeight="1" s="150">
      <c r="A457" s="34" t="n">
        <v>455</v>
      </c>
      <c r="B457" s="34" t="n"/>
      <c r="C457" s="34" t="n"/>
      <c r="D457" s="34" t="n"/>
      <c r="E457" s="34" t="n"/>
      <c r="F457" s="86" t="n"/>
      <c r="G457" s="86" t="n"/>
      <c r="H457" s="111" t="n"/>
      <c r="I457" s="87" t="n"/>
      <c r="J457" s="87" t="n"/>
      <c r="K457" s="111" t="n"/>
      <c r="L457" s="86" t="n"/>
      <c r="M457" s="138" t="inlineStr">
        <is>
          <t>Normal</t>
        </is>
      </c>
      <c r="N457" s="89" t="n"/>
      <c r="O457" s="144" t="n"/>
      <c r="P457" s="31" t="n"/>
      <c r="Q457" s="89" t="n"/>
      <c r="R457" s="89" t="n"/>
      <c r="S457" s="89" t="n"/>
      <c r="T457" s="55" t="n"/>
      <c r="U457" s="34" t="n"/>
      <c r="V457" s="1" t="n"/>
      <c r="Y457" s="111" t="n"/>
      <c r="Z457" s="111" t="n"/>
      <c r="AA457" s="111" t="n"/>
      <c r="AK457" s="55" t="n"/>
      <c r="AL457" s="89" t="n"/>
    </row>
    <row r="458" ht="22.5" customHeight="1" s="150">
      <c r="A458" s="34" t="n">
        <v>456</v>
      </c>
      <c r="B458" s="34" t="n"/>
      <c r="C458" s="34" t="n"/>
      <c r="D458" s="34" t="n"/>
      <c r="E458" s="34" t="n"/>
      <c r="F458" s="86" t="n"/>
      <c r="G458" s="86" t="n"/>
      <c r="H458" s="111" t="n"/>
      <c r="I458" s="87" t="n"/>
      <c r="J458" s="87" t="n"/>
      <c r="K458" s="111" t="n"/>
      <c r="L458" s="86" t="n"/>
      <c r="M458" s="141" t="inlineStr">
        <is>
          <t>Hard</t>
        </is>
      </c>
      <c r="N458" s="89" t="n"/>
      <c r="O458" s="144" t="n"/>
      <c r="P458" s="31" t="n"/>
      <c r="Q458" s="89" t="n"/>
      <c r="R458" s="89" t="n"/>
      <c r="S458" s="89" t="n"/>
      <c r="T458" s="55" t="n"/>
      <c r="U458" s="34" t="n"/>
      <c r="V458" s="1" t="n"/>
      <c r="Y458" s="111" t="n"/>
      <c r="Z458" s="111" t="n"/>
      <c r="AA458" s="111" t="n"/>
      <c r="AK458" s="55" t="n"/>
      <c r="AL458" s="89" t="n"/>
    </row>
    <row r="459" ht="22.5" customHeight="1" s="150">
      <c r="A459" s="34" t="n">
        <v>457</v>
      </c>
      <c r="B459" s="34" t="n"/>
      <c r="C459" s="34" t="n"/>
      <c r="D459" s="34" t="n"/>
      <c r="E459" s="34" t="n"/>
      <c r="F459" s="86" t="n"/>
      <c r="G459" s="86" t="n"/>
      <c r="H459" s="111" t="n"/>
      <c r="I459" s="87" t="n"/>
      <c r="J459" s="87" t="n"/>
      <c r="K459" s="111" t="n"/>
      <c r="L459" s="86" t="n"/>
      <c r="M459" s="142" t="inlineStr">
        <is>
          <t>Very Hard</t>
        </is>
      </c>
      <c r="N459" s="89" t="n"/>
      <c r="O459" s="144" t="n"/>
      <c r="P459" s="31" t="n"/>
      <c r="Q459" s="89" t="n"/>
      <c r="R459" s="89" t="n"/>
      <c r="S459" s="89" t="n"/>
      <c r="T459" s="55" t="n"/>
      <c r="U459" s="34" t="n"/>
      <c r="V459" s="1" t="n"/>
      <c r="Y459" s="111" t="n"/>
      <c r="Z459" s="111" t="n"/>
      <c r="AA459" s="111" t="n"/>
      <c r="AK459" s="55" t="n"/>
      <c r="AL459" s="89" t="n"/>
    </row>
    <row r="460" ht="22.5" customHeight="1" s="150">
      <c r="A460" s="34" t="n">
        <v>458</v>
      </c>
      <c r="B460" s="34" t="n"/>
      <c r="C460" s="34" t="n"/>
      <c r="D460" s="34" t="n"/>
      <c r="E460" s="34" t="n"/>
      <c r="F460" s="86" t="n"/>
      <c r="G460" s="86" t="n"/>
      <c r="H460" s="111" t="n"/>
      <c r="I460" s="87" t="n"/>
      <c r="J460" s="87" t="n"/>
      <c r="K460" s="111" t="n"/>
      <c r="L460" s="86" t="n"/>
      <c r="M460" s="141" t="inlineStr">
        <is>
          <t>Hard</t>
        </is>
      </c>
      <c r="N460" s="89" t="n"/>
      <c r="O460" s="144" t="n"/>
      <c r="P460" s="31" t="n"/>
      <c r="Q460" s="89" t="n"/>
      <c r="R460" s="89" t="n"/>
      <c r="S460" s="89" t="n"/>
      <c r="T460" s="55" t="n"/>
      <c r="U460" s="34" t="n"/>
      <c r="V460" s="1" t="n"/>
      <c r="Y460" s="111" t="n"/>
      <c r="Z460" s="111" t="n"/>
      <c r="AA460" s="111" t="n"/>
      <c r="AK460" s="55" t="n"/>
      <c r="AL460" s="89" t="n"/>
    </row>
    <row r="461" ht="22.5" customHeight="1" s="150">
      <c r="A461" s="34" t="n">
        <v>459</v>
      </c>
      <c r="B461" s="34" t="n"/>
      <c r="C461" s="34" t="n"/>
      <c r="D461" s="34" t="n"/>
      <c r="E461" s="34" t="n"/>
      <c r="F461" s="86" t="n"/>
      <c r="G461" s="86" t="n"/>
      <c r="H461" s="111" t="n"/>
      <c r="I461" s="87" t="n"/>
      <c r="J461" s="87" t="n"/>
      <c r="K461" s="111" t="n"/>
      <c r="L461" s="86" t="n"/>
      <c r="M461" s="142" t="inlineStr">
        <is>
          <t>Very Hard</t>
        </is>
      </c>
      <c r="N461" s="89" t="n"/>
      <c r="O461" s="144" t="n"/>
      <c r="P461" s="31" t="n"/>
      <c r="Q461" s="89" t="n"/>
      <c r="R461" s="89" t="n"/>
      <c r="S461" s="89" t="n"/>
      <c r="T461" s="55" t="n"/>
      <c r="U461" s="34" t="n"/>
      <c r="V461" s="1" t="n"/>
      <c r="Y461" s="111" t="n"/>
      <c r="Z461" s="111" t="n"/>
      <c r="AA461" s="111" t="n"/>
      <c r="AK461" s="55" t="n"/>
      <c r="AL461" s="89" t="n"/>
    </row>
    <row r="462" ht="22.5" customHeight="1" s="150">
      <c r="A462" s="34" t="n">
        <v>460</v>
      </c>
      <c r="B462" s="34" t="n"/>
      <c r="C462" s="34" t="n"/>
      <c r="D462" s="34" t="n"/>
      <c r="E462" s="34" t="n"/>
      <c r="F462" s="86" t="n"/>
      <c r="G462" s="86" t="n"/>
      <c r="H462" s="111" t="n"/>
      <c r="I462" s="87" t="n"/>
      <c r="J462" s="87" t="n"/>
      <c r="K462" s="111" t="n"/>
      <c r="L462" s="86" t="n"/>
      <c r="M462" s="139" t="inlineStr">
        <is>
          <t>Normal</t>
        </is>
      </c>
      <c r="N462" s="89" t="n"/>
      <c r="O462" s="144" t="n"/>
      <c r="P462" s="31" t="n"/>
      <c r="Q462" s="89" t="n"/>
      <c r="R462" s="89" t="n"/>
      <c r="S462" s="89" t="n"/>
      <c r="T462" s="55" t="n"/>
      <c r="U462" s="34" t="n"/>
      <c r="V462" s="1" t="n"/>
      <c r="Y462" s="111" t="n"/>
      <c r="Z462" s="111" t="n"/>
      <c r="AA462" s="111" t="n"/>
      <c r="AK462" s="55" t="n"/>
      <c r="AL462" s="89" t="n"/>
    </row>
    <row r="463" ht="22.5" customHeight="1" s="150">
      <c r="A463" s="34" t="n">
        <v>461</v>
      </c>
      <c r="B463" s="34" t="n"/>
      <c r="C463" s="34" t="n"/>
      <c r="D463" s="34" t="n"/>
      <c r="E463" s="34" t="n"/>
      <c r="F463" s="86" t="n"/>
      <c r="G463" s="86" t="n"/>
      <c r="H463" s="111" t="n"/>
      <c r="I463" s="87" t="n"/>
      <c r="J463" s="87" t="n"/>
      <c r="K463" s="111" t="n"/>
      <c r="L463" s="86" t="n"/>
      <c r="M463" s="138" t="inlineStr">
        <is>
          <t>Normal</t>
        </is>
      </c>
      <c r="N463" s="89" t="n"/>
      <c r="O463" s="144" t="n"/>
      <c r="P463" s="31" t="n"/>
      <c r="Q463" s="89" t="n"/>
      <c r="R463" s="89" t="n"/>
      <c r="S463" s="89" t="n"/>
      <c r="T463" s="55" t="n"/>
      <c r="U463" s="34" t="n"/>
      <c r="V463" s="1" t="n"/>
      <c r="Y463" s="111" t="n"/>
      <c r="Z463" s="111" t="n"/>
      <c r="AA463" s="111" t="n"/>
      <c r="AK463" s="55" t="n"/>
      <c r="AL463" s="89" t="n"/>
    </row>
    <row r="464" ht="22.5" customHeight="1" s="150">
      <c r="A464" s="34" t="n">
        <v>462</v>
      </c>
      <c r="B464" s="34" t="n"/>
      <c r="C464" s="34" t="n"/>
      <c r="D464" s="34" t="n"/>
      <c r="E464" s="34" t="n"/>
      <c r="F464" s="86" t="n"/>
      <c r="G464" s="86" t="n"/>
      <c r="H464" s="111" t="n"/>
      <c r="I464" s="87" t="n"/>
      <c r="J464" s="87" t="n"/>
      <c r="K464" s="111" t="n"/>
      <c r="L464" s="86" t="n"/>
      <c r="M464" s="139" t="inlineStr">
        <is>
          <t>Normal</t>
        </is>
      </c>
      <c r="N464" s="89" t="n"/>
      <c r="O464" s="144" t="n"/>
      <c r="P464" s="31" t="n"/>
      <c r="Q464" s="89" t="n"/>
      <c r="R464" s="89" t="n"/>
      <c r="S464" s="89" t="n"/>
      <c r="T464" s="55" t="n"/>
      <c r="U464" s="34" t="n"/>
      <c r="V464" s="1" t="n"/>
      <c r="Y464" s="111" t="n"/>
      <c r="Z464" s="111" t="n"/>
      <c r="AA464" s="111" t="n"/>
      <c r="AK464" s="55" t="n"/>
      <c r="AL464" s="89" t="n"/>
    </row>
    <row r="465" ht="22.5" customHeight="1" s="150">
      <c r="A465" s="34" t="n">
        <v>463</v>
      </c>
      <c r="B465" s="34" t="n"/>
      <c r="C465" s="34" t="n"/>
      <c r="D465" s="34" t="n"/>
      <c r="E465" s="34" t="n"/>
      <c r="F465" s="86" t="n"/>
      <c r="G465" s="86" t="n"/>
      <c r="H465" s="111" t="n"/>
      <c r="I465" s="87" t="n"/>
      <c r="J465" s="87" t="n"/>
      <c r="K465" s="111" t="n"/>
      <c r="L465" s="86" t="n"/>
      <c r="M465" s="138" t="inlineStr">
        <is>
          <t>Normal</t>
        </is>
      </c>
      <c r="N465" s="89" t="n"/>
      <c r="O465" s="144" t="n"/>
      <c r="P465" s="31" t="n"/>
      <c r="Q465" s="89" t="n"/>
      <c r="R465" s="89" t="n"/>
      <c r="S465" s="89" t="n"/>
      <c r="T465" s="55" t="n"/>
      <c r="U465" s="34" t="n"/>
      <c r="V465" s="1" t="n"/>
      <c r="Y465" s="111" t="n"/>
      <c r="Z465" s="111" t="n"/>
      <c r="AA465" s="111" t="n"/>
      <c r="AK465" s="55" t="n"/>
      <c r="AL465" s="89" t="n"/>
    </row>
    <row r="466" ht="22.5" customHeight="1" s="150">
      <c r="A466" s="34" t="n">
        <v>464</v>
      </c>
      <c r="B466" s="34" t="n"/>
      <c r="C466" s="34" t="n"/>
      <c r="D466" s="34" t="n"/>
      <c r="E466" s="34" t="n"/>
      <c r="F466" s="86" t="n"/>
      <c r="G466" s="86" t="n"/>
      <c r="H466" s="111" t="n"/>
      <c r="I466" s="87" t="n"/>
      <c r="J466" s="87" t="n"/>
      <c r="K466" s="111" t="n"/>
      <c r="L466" s="86" t="n"/>
      <c r="M466" s="141" t="inlineStr">
        <is>
          <t>Hard</t>
        </is>
      </c>
      <c r="N466" s="89" t="n"/>
      <c r="O466" s="144" t="n"/>
      <c r="P466" s="31" t="n"/>
      <c r="Q466" s="89" t="n"/>
      <c r="R466" s="89" t="n"/>
      <c r="S466" s="89" t="n"/>
      <c r="T466" s="55" t="n"/>
      <c r="U466" s="34" t="n"/>
      <c r="V466" s="1" t="n"/>
      <c r="Y466" s="111" t="n"/>
      <c r="Z466" s="111" t="n"/>
      <c r="AA466" s="111" t="n"/>
      <c r="AK466" s="55" t="n"/>
      <c r="AL466" s="89" t="n"/>
    </row>
    <row r="467" ht="22.5" customHeight="1" s="150">
      <c r="A467" s="34" t="n">
        <v>465</v>
      </c>
      <c r="B467" s="34" t="n"/>
      <c r="C467" s="34" t="n"/>
      <c r="D467" s="34" t="n"/>
      <c r="E467" s="34" t="n"/>
      <c r="F467" s="86" t="n"/>
      <c r="G467" s="86" t="n"/>
      <c r="H467" s="111" t="n"/>
      <c r="I467" s="87" t="n"/>
      <c r="J467" s="87" t="n"/>
      <c r="K467" s="111" t="n"/>
      <c r="L467" s="86" t="n"/>
      <c r="M467" s="142" t="inlineStr">
        <is>
          <t>Very Hard</t>
        </is>
      </c>
      <c r="N467" s="89" t="n"/>
      <c r="O467" s="144" t="n"/>
      <c r="P467" s="31" t="n"/>
      <c r="Q467" s="89" t="n"/>
      <c r="R467" s="89" t="n"/>
      <c r="S467" s="89" t="n"/>
      <c r="T467" s="55" t="n"/>
      <c r="U467" s="34" t="n"/>
      <c r="V467" s="1" t="n"/>
      <c r="Y467" s="111" t="n"/>
      <c r="Z467" s="111" t="n"/>
      <c r="AA467" s="111" t="n"/>
      <c r="AK467" s="55" t="n"/>
      <c r="AL467" s="89" t="n"/>
    </row>
    <row r="468" ht="22.5" customHeight="1" s="150">
      <c r="A468" s="34" t="n">
        <v>466</v>
      </c>
      <c r="B468" s="34" t="n"/>
      <c r="C468" s="34" t="n"/>
      <c r="D468" s="34" t="n"/>
      <c r="E468" s="34" t="n"/>
      <c r="F468" s="86" t="n"/>
      <c r="G468" s="86" t="n"/>
      <c r="H468" s="111" t="n"/>
      <c r="I468" s="87" t="n"/>
      <c r="J468" s="87" t="n"/>
      <c r="K468" s="111" t="n"/>
      <c r="L468" s="86" t="n"/>
      <c r="M468" s="139" t="inlineStr">
        <is>
          <t>Normal</t>
        </is>
      </c>
      <c r="N468" s="89" t="n"/>
      <c r="O468" s="144" t="n"/>
      <c r="P468" s="31" t="n"/>
      <c r="Q468" s="89" t="n"/>
      <c r="R468" s="89" t="n"/>
      <c r="S468" s="89" t="n"/>
      <c r="T468" s="55" t="n"/>
      <c r="U468" s="34" t="n"/>
      <c r="V468" s="1" t="n"/>
      <c r="Y468" s="111" t="n"/>
      <c r="Z468" s="111" t="n"/>
      <c r="AA468" s="111" t="n"/>
      <c r="AK468" s="55" t="n"/>
      <c r="AL468" s="89" t="n"/>
    </row>
    <row r="469" ht="22.5" customHeight="1" s="150">
      <c r="A469" s="34" t="n">
        <v>467</v>
      </c>
      <c r="B469" s="34" t="n"/>
      <c r="C469" s="34" t="n"/>
      <c r="D469" s="34" t="n"/>
      <c r="E469" s="34" t="n"/>
      <c r="F469" s="86" t="n"/>
      <c r="G469" s="86" t="n"/>
      <c r="H469" s="111" t="n"/>
      <c r="I469" s="87" t="n"/>
      <c r="J469" s="87" t="n"/>
      <c r="K469" s="111" t="n"/>
      <c r="L469" s="86" t="n"/>
      <c r="M469" s="138" t="inlineStr">
        <is>
          <t>Normal</t>
        </is>
      </c>
      <c r="N469" s="89" t="n"/>
      <c r="O469" s="144" t="n"/>
      <c r="P469" s="31" t="n"/>
      <c r="Q469" s="89" t="n"/>
      <c r="R469" s="89" t="n"/>
      <c r="S469" s="89" t="n"/>
      <c r="T469" s="55" t="n"/>
      <c r="U469" s="34" t="n"/>
      <c r="V469" s="1" t="n"/>
      <c r="Y469" s="111" t="n"/>
      <c r="Z469" s="111" t="n"/>
      <c r="AA469" s="111" t="n"/>
      <c r="AK469" s="55" t="n"/>
      <c r="AL469" s="89" t="n"/>
    </row>
    <row r="470" ht="22.5" customHeight="1" s="150">
      <c r="A470" s="34" t="n">
        <v>468</v>
      </c>
      <c r="B470" s="34" t="n"/>
      <c r="C470" s="34" t="n"/>
      <c r="D470" s="34" t="n"/>
      <c r="E470" s="34" t="n"/>
      <c r="F470" s="86" t="n"/>
      <c r="G470" s="86" t="n"/>
      <c r="H470" s="111" t="n"/>
      <c r="I470" s="87" t="n"/>
      <c r="J470" s="87" t="n"/>
      <c r="K470" s="111" t="n"/>
      <c r="L470" s="86" t="n"/>
      <c r="M470" s="139" t="inlineStr">
        <is>
          <t>Normal</t>
        </is>
      </c>
      <c r="N470" s="89" t="n"/>
      <c r="O470" s="144" t="n"/>
      <c r="P470" s="31" t="n"/>
      <c r="Q470" s="89" t="n"/>
      <c r="R470" s="89" t="n"/>
      <c r="S470" s="89" t="n"/>
      <c r="T470" s="55" t="n"/>
      <c r="U470" s="34" t="n"/>
      <c r="V470" s="1" t="n"/>
      <c r="Y470" s="111" t="n"/>
      <c r="Z470" s="111" t="n"/>
      <c r="AA470" s="111" t="n"/>
      <c r="AK470" s="55" t="n"/>
      <c r="AL470" s="89" t="n"/>
    </row>
    <row r="471" ht="22.5" customHeight="1" s="150">
      <c r="A471" s="34" t="n">
        <v>469</v>
      </c>
      <c r="B471" s="34" t="n"/>
      <c r="C471" s="34" t="n"/>
      <c r="D471" s="34" t="n"/>
      <c r="E471" s="34" t="n"/>
      <c r="F471" s="86" t="n"/>
      <c r="G471" s="86" t="n"/>
      <c r="H471" s="111" t="n"/>
      <c r="I471" s="87" t="n"/>
      <c r="J471" s="87" t="n"/>
      <c r="K471" s="111" t="n"/>
      <c r="L471" s="86" t="n"/>
      <c r="M471" s="140" t="inlineStr">
        <is>
          <t>Hard</t>
        </is>
      </c>
      <c r="N471" s="89" t="n"/>
      <c r="O471" s="144" t="n"/>
      <c r="P471" s="31" t="n"/>
      <c r="Q471" s="89" t="n"/>
      <c r="R471" s="89" t="n"/>
      <c r="S471" s="89" t="n"/>
      <c r="T471" s="55" t="n"/>
      <c r="U471" s="34" t="n"/>
      <c r="V471" s="1" t="n"/>
      <c r="Y471" s="111" t="n"/>
      <c r="Z471" s="111" t="n"/>
      <c r="AA471" s="111" t="n"/>
      <c r="AK471" s="55" t="n"/>
      <c r="AL471" s="89" t="n"/>
    </row>
    <row r="472" ht="22.5" customHeight="1" s="150">
      <c r="A472" s="34" t="n">
        <v>470</v>
      </c>
      <c r="B472" s="34" t="n"/>
      <c r="C472" s="34" t="n"/>
      <c r="D472" s="34" t="n"/>
      <c r="E472" s="34" t="n"/>
      <c r="F472" s="86" t="n"/>
      <c r="G472" s="86" t="n"/>
      <c r="H472" s="111" t="n"/>
      <c r="I472" s="87" t="n"/>
      <c r="J472" s="87" t="n"/>
      <c r="K472" s="111" t="n"/>
      <c r="L472" s="86" t="n"/>
      <c r="M472" s="143" t="inlineStr">
        <is>
          <t>Very Hard</t>
        </is>
      </c>
      <c r="N472" s="89" t="n"/>
      <c r="O472" s="144" t="n"/>
      <c r="P472" s="31" t="n"/>
      <c r="Q472" s="89" t="n"/>
      <c r="R472" s="89" t="n"/>
      <c r="S472" s="89" t="n"/>
      <c r="T472" s="55" t="n"/>
      <c r="U472" s="34" t="n"/>
      <c r="V472" s="1" t="n"/>
      <c r="Y472" s="111" t="n"/>
      <c r="Z472" s="111" t="n"/>
      <c r="AA472" s="111" t="n"/>
      <c r="AK472" s="55" t="n"/>
      <c r="AL472" s="89" t="n"/>
    </row>
    <row r="473" ht="22.5" customHeight="1" s="150">
      <c r="A473" s="34" t="n">
        <v>471</v>
      </c>
      <c r="B473" s="34" t="n"/>
      <c r="C473" s="34" t="n"/>
      <c r="D473" s="34" t="n"/>
      <c r="E473" s="34" t="n"/>
      <c r="F473" s="86" t="n"/>
      <c r="G473" s="86" t="n"/>
      <c r="H473" s="111" t="n"/>
      <c r="I473" s="87" t="n"/>
      <c r="J473" s="87" t="n"/>
      <c r="K473" s="111" t="n"/>
      <c r="L473" s="86" t="n"/>
      <c r="M473" s="138" t="inlineStr">
        <is>
          <t>Normal</t>
        </is>
      </c>
      <c r="N473" s="89" t="n"/>
      <c r="O473" s="144" t="n"/>
      <c r="P473" s="31" t="n"/>
      <c r="Q473" s="89" t="n"/>
      <c r="R473" s="89" t="n"/>
      <c r="S473" s="89" t="n"/>
      <c r="T473" s="55" t="n"/>
      <c r="U473" s="34" t="n"/>
      <c r="V473" s="1" t="n"/>
      <c r="Y473" s="111" t="n"/>
      <c r="Z473" s="111" t="n"/>
      <c r="AA473" s="111" t="n"/>
      <c r="AK473" s="55" t="n"/>
      <c r="AL473" s="89" t="n"/>
    </row>
    <row r="474" ht="22.5" customHeight="1" s="150">
      <c r="A474" s="34" t="n">
        <v>472</v>
      </c>
      <c r="B474" s="34" t="n"/>
      <c r="C474" s="34" t="n"/>
      <c r="D474" s="34" t="n"/>
      <c r="E474" s="34" t="n"/>
      <c r="F474" s="86" t="n"/>
      <c r="G474" s="86" t="n"/>
      <c r="H474" s="111" t="n"/>
      <c r="I474" s="87" t="n"/>
      <c r="J474" s="87" t="n"/>
      <c r="K474" s="111" t="n"/>
      <c r="L474" s="86" t="n"/>
      <c r="M474" s="139" t="inlineStr">
        <is>
          <t>Normal</t>
        </is>
      </c>
      <c r="N474" s="89" t="n"/>
      <c r="O474" s="144" t="n"/>
      <c r="P474" s="31" t="n"/>
      <c r="Q474" s="89" t="n"/>
      <c r="R474" s="89" t="n"/>
      <c r="S474" s="89" t="n"/>
      <c r="T474" s="55" t="n"/>
      <c r="U474" s="34" t="n"/>
      <c r="V474" s="1" t="n"/>
      <c r="Y474" s="111" t="n"/>
      <c r="Z474" s="111" t="n"/>
      <c r="AA474" s="111" t="n"/>
      <c r="AK474" s="55" t="n"/>
      <c r="AL474" s="89" t="n"/>
    </row>
    <row r="475" ht="22.5" customHeight="1" s="150">
      <c r="A475" s="34" t="n">
        <v>473</v>
      </c>
      <c r="B475" s="34" t="n"/>
      <c r="C475" s="34" t="n"/>
      <c r="D475" s="34" t="n"/>
      <c r="E475" s="34" t="n"/>
      <c r="F475" s="86" t="n"/>
      <c r="G475" s="86" t="n"/>
      <c r="H475" s="111" t="n"/>
      <c r="I475" s="87" t="n"/>
      <c r="J475" s="87" t="n"/>
      <c r="K475" s="111" t="n"/>
      <c r="L475" s="86" t="n"/>
      <c r="M475" s="138" t="inlineStr">
        <is>
          <t>Normal</t>
        </is>
      </c>
      <c r="N475" s="89" t="n"/>
      <c r="O475" s="144" t="n"/>
      <c r="P475" s="31" t="n"/>
      <c r="Q475" s="89" t="n"/>
      <c r="R475" s="89" t="n"/>
      <c r="S475" s="89" t="n"/>
      <c r="T475" s="55" t="n"/>
      <c r="U475" s="34" t="n"/>
      <c r="V475" s="1" t="n"/>
      <c r="Y475" s="111" t="n"/>
      <c r="Z475" s="111" t="n"/>
      <c r="AA475" s="111" t="n"/>
      <c r="AK475" s="55" t="n"/>
      <c r="AL475" s="89" t="n"/>
    </row>
    <row r="476" ht="22.5" customHeight="1" s="150">
      <c r="A476" s="34" t="n">
        <v>474</v>
      </c>
      <c r="B476" s="34" t="n"/>
      <c r="C476" s="34" t="n"/>
      <c r="D476" s="34" t="n"/>
      <c r="E476" s="34" t="n"/>
      <c r="F476" s="86" t="n"/>
      <c r="G476" s="86" t="n"/>
      <c r="H476" s="111" t="n"/>
      <c r="I476" s="87" t="n"/>
      <c r="J476" s="87" t="n"/>
      <c r="K476" s="111" t="n"/>
      <c r="L476" s="86" t="n"/>
      <c r="M476" s="141" t="inlineStr">
        <is>
          <t>Hard</t>
        </is>
      </c>
      <c r="N476" s="89" t="n"/>
      <c r="O476" s="144" t="n"/>
      <c r="P476" s="31" t="n"/>
      <c r="Q476" s="89" t="n"/>
      <c r="R476" s="89" t="n"/>
      <c r="S476" s="89" t="n"/>
      <c r="T476" s="55" t="n"/>
      <c r="U476" s="34" t="n"/>
      <c r="V476" s="1" t="n"/>
      <c r="Y476" s="111" t="n"/>
      <c r="Z476" s="111" t="n"/>
      <c r="AA476" s="111" t="n"/>
      <c r="AK476" s="55" t="n"/>
      <c r="AL476" s="89" t="n"/>
    </row>
    <row r="477" ht="22.5" customHeight="1" s="150">
      <c r="A477" s="34" t="n">
        <v>475</v>
      </c>
      <c r="B477" s="34" t="n"/>
      <c r="C477" s="34" t="n"/>
      <c r="D477" s="34" t="n"/>
      <c r="E477" s="34" t="n"/>
      <c r="F477" s="86" t="n"/>
      <c r="G477" s="86" t="n"/>
      <c r="H477" s="111" t="n"/>
      <c r="I477" s="87" t="n"/>
      <c r="J477" s="87" t="n"/>
      <c r="K477" s="111" t="n"/>
      <c r="L477" s="86" t="n"/>
      <c r="M477" s="142" t="inlineStr">
        <is>
          <t>Very Hard</t>
        </is>
      </c>
      <c r="N477" s="89" t="n"/>
      <c r="O477" s="144" t="n"/>
      <c r="P477" s="31" t="n"/>
      <c r="Q477" s="89" t="n"/>
      <c r="R477" s="89" t="n"/>
      <c r="S477" s="89" t="n"/>
      <c r="T477" s="55" t="n"/>
      <c r="U477" s="34" t="n"/>
      <c r="V477" s="1" t="n"/>
      <c r="Y477" s="111" t="n"/>
      <c r="Z477" s="111" t="n"/>
      <c r="AA477" s="111" t="n"/>
      <c r="AK477" s="55" t="n"/>
      <c r="AL477" s="89" t="n"/>
    </row>
    <row r="478" ht="22.5" customHeight="1" s="150">
      <c r="A478" s="34" t="n">
        <v>476</v>
      </c>
      <c r="B478" s="34" t="n"/>
      <c r="C478" s="34" t="n"/>
      <c r="D478" s="34" t="n"/>
      <c r="E478" s="34" t="n"/>
      <c r="F478" s="86" t="n"/>
      <c r="G478" s="86" t="n"/>
      <c r="H478" s="111" t="n"/>
      <c r="I478" s="87" t="n"/>
      <c r="J478" s="87" t="n"/>
      <c r="K478" s="111" t="n"/>
      <c r="L478" s="86" t="n"/>
      <c r="M478" s="139" t="inlineStr">
        <is>
          <t>Normal</t>
        </is>
      </c>
      <c r="N478" s="89" t="n"/>
      <c r="O478" s="144" t="n"/>
      <c r="P478" s="31" t="n"/>
      <c r="Q478" s="89" t="n"/>
      <c r="R478" s="89" t="n"/>
      <c r="S478" s="89" t="n"/>
      <c r="T478" s="55" t="n"/>
      <c r="U478" s="34" t="n"/>
      <c r="V478" s="1" t="n"/>
      <c r="Y478" s="111" t="n"/>
      <c r="Z478" s="111" t="n"/>
      <c r="AA478" s="111" t="n"/>
      <c r="AK478" s="55" t="n"/>
      <c r="AL478" s="89" t="n"/>
    </row>
    <row r="479" ht="22.5" customHeight="1" s="150">
      <c r="A479" s="34" t="n">
        <v>477</v>
      </c>
      <c r="B479" s="34" t="n"/>
      <c r="C479" s="34" t="n"/>
      <c r="D479" s="34" t="n"/>
      <c r="E479" s="34" t="n"/>
      <c r="F479" s="86" t="n"/>
      <c r="G479" s="86" t="n"/>
      <c r="H479" s="111" t="n"/>
      <c r="I479" s="87" t="n"/>
      <c r="J479" s="87" t="n"/>
      <c r="K479" s="111" t="n"/>
      <c r="L479" s="86" t="n"/>
      <c r="M479" s="138" t="inlineStr">
        <is>
          <t>Normal</t>
        </is>
      </c>
      <c r="N479" s="89" t="n"/>
      <c r="O479" s="144" t="n"/>
      <c r="P479" s="31" t="n"/>
      <c r="Q479" s="89" t="n"/>
      <c r="R479" s="89" t="n"/>
      <c r="S479" s="89" t="n"/>
      <c r="T479" s="55" t="n"/>
      <c r="U479" s="34" t="n"/>
      <c r="V479" s="1" t="n"/>
      <c r="Y479" s="111" t="n"/>
      <c r="Z479" s="111" t="n"/>
      <c r="AA479" s="111" t="n"/>
      <c r="AK479" s="55" t="n"/>
      <c r="AL479" s="89" t="n"/>
    </row>
    <row r="480" ht="22.5" customHeight="1" s="150">
      <c r="A480" s="34" t="n">
        <v>478</v>
      </c>
      <c r="B480" s="34" t="n"/>
      <c r="C480" s="34" t="n"/>
      <c r="D480" s="34" t="n"/>
      <c r="E480" s="34" t="n"/>
      <c r="F480" s="86" t="n"/>
      <c r="G480" s="86" t="n"/>
      <c r="H480" s="111" t="n"/>
      <c r="I480" s="87" t="n"/>
      <c r="J480" s="87" t="n"/>
      <c r="K480" s="111" t="n"/>
      <c r="L480" s="86" t="n"/>
      <c r="M480" s="139" t="inlineStr">
        <is>
          <t>Normal</t>
        </is>
      </c>
      <c r="N480" s="89" t="n"/>
      <c r="O480" s="144" t="n"/>
      <c r="P480" s="31" t="n"/>
      <c r="Q480" s="89" t="n"/>
      <c r="R480" s="89" t="n"/>
      <c r="S480" s="89" t="n"/>
      <c r="T480" s="55" t="n"/>
      <c r="U480" s="34" t="n"/>
      <c r="V480" s="1" t="n"/>
      <c r="Y480" s="111" t="n"/>
      <c r="Z480" s="111" t="n"/>
      <c r="AA480" s="111" t="n"/>
      <c r="AK480" s="55" t="n"/>
      <c r="AL480" s="89" t="n"/>
    </row>
    <row r="481" ht="22.5" customHeight="1" s="150">
      <c r="A481" s="34" t="n">
        <v>479</v>
      </c>
      <c r="B481" s="34" t="n"/>
      <c r="C481" s="34" t="n"/>
      <c r="D481" s="34" t="n"/>
      <c r="E481" s="34" t="n"/>
      <c r="F481" s="86" t="n"/>
      <c r="G481" s="86" t="n"/>
      <c r="H481" s="111" t="n"/>
      <c r="I481" s="87" t="n"/>
      <c r="J481" s="87" t="n"/>
      <c r="K481" s="111" t="n"/>
      <c r="L481" s="86" t="n"/>
      <c r="M481" s="140" t="inlineStr">
        <is>
          <t>Hard</t>
        </is>
      </c>
      <c r="N481" s="89" t="n"/>
      <c r="O481" s="144" t="n"/>
      <c r="P481" s="31" t="n"/>
      <c r="Q481" s="89" t="n"/>
      <c r="R481" s="89" t="n"/>
      <c r="S481" s="89" t="n"/>
      <c r="T481" s="55" t="n"/>
      <c r="U481" s="34" t="n"/>
      <c r="V481" s="1" t="n"/>
      <c r="Y481" s="111" t="n"/>
      <c r="Z481" s="111" t="n"/>
      <c r="AA481" s="111" t="n"/>
      <c r="AK481" s="55" t="n"/>
      <c r="AL481" s="89" t="n"/>
    </row>
    <row r="482" ht="22.5" customHeight="1" s="150">
      <c r="A482" s="34" t="n">
        <v>480</v>
      </c>
      <c r="B482" s="34" t="n"/>
      <c r="C482" s="34" t="n"/>
      <c r="D482" s="34" t="n"/>
      <c r="E482" s="34" t="n"/>
      <c r="F482" s="86" t="n"/>
      <c r="G482" s="86" t="n"/>
      <c r="H482" s="111" t="n"/>
      <c r="I482" s="87" t="n"/>
      <c r="J482" s="87" t="n"/>
      <c r="K482" s="111" t="n"/>
      <c r="L482" s="86" t="n"/>
      <c r="M482" s="143" t="inlineStr">
        <is>
          <t>Very Hard</t>
        </is>
      </c>
      <c r="N482" s="89" t="n"/>
      <c r="O482" s="144" t="n"/>
      <c r="P482" s="31" t="n"/>
      <c r="Q482" s="89" t="n"/>
      <c r="R482" s="89" t="n"/>
      <c r="S482" s="89" t="n"/>
      <c r="T482" s="55" t="n"/>
      <c r="U482" s="34" t="n"/>
      <c r="V482" s="1" t="n"/>
      <c r="Y482" s="111" t="n"/>
      <c r="Z482" s="111" t="n"/>
      <c r="AA482" s="111" t="n"/>
      <c r="AK482" s="55" t="n"/>
      <c r="AL482" s="89" t="n"/>
    </row>
    <row r="483" ht="22.5" customHeight="1" s="150">
      <c r="A483" s="34" t="n">
        <v>481</v>
      </c>
      <c r="B483" s="34" t="n"/>
      <c r="C483" s="34" t="n"/>
      <c r="D483" s="34" t="n"/>
      <c r="E483" s="34" t="n"/>
      <c r="F483" s="86" t="n"/>
      <c r="G483" s="86" t="n"/>
      <c r="H483" s="111" t="n"/>
      <c r="I483" s="87" t="n"/>
      <c r="J483" s="87" t="n"/>
      <c r="K483" s="111" t="n"/>
      <c r="L483" s="86" t="n"/>
      <c r="M483" s="138" t="inlineStr">
        <is>
          <t>Normal</t>
        </is>
      </c>
      <c r="N483" s="89" t="n"/>
      <c r="O483" s="144" t="n"/>
      <c r="P483" s="31" t="n"/>
      <c r="Q483" s="89" t="n"/>
      <c r="R483" s="89" t="n"/>
      <c r="S483" s="89" t="n"/>
      <c r="T483" s="55" t="n"/>
      <c r="U483" s="34" t="n"/>
      <c r="V483" s="1" t="n"/>
      <c r="Y483" s="111" t="n"/>
      <c r="Z483" s="111" t="n"/>
      <c r="AA483" s="111" t="n"/>
      <c r="AK483" s="55" t="n"/>
      <c r="AL483" s="89" t="n"/>
    </row>
    <row r="484" ht="22.5" customHeight="1" s="150">
      <c r="A484" s="34" t="n">
        <v>482</v>
      </c>
      <c r="B484" s="34" t="n"/>
      <c r="C484" s="34" t="n"/>
      <c r="D484" s="34" t="n"/>
      <c r="E484" s="34" t="n"/>
      <c r="F484" s="86" t="n"/>
      <c r="G484" s="86" t="n"/>
      <c r="H484" s="111" t="n"/>
      <c r="I484" s="87" t="n"/>
      <c r="J484" s="87" t="n"/>
      <c r="K484" s="111" t="n"/>
      <c r="L484" s="86" t="n"/>
      <c r="M484" s="139" t="inlineStr">
        <is>
          <t>Normal</t>
        </is>
      </c>
      <c r="N484" s="89" t="n"/>
      <c r="O484" s="144" t="n"/>
      <c r="P484" s="31" t="n"/>
      <c r="Q484" s="89" t="n"/>
      <c r="R484" s="89" t="n"/>
      <c r="S484" s="89" t="n"/>
      <c r="T484" s="55" t="n"/>
      <c r="U484" s="34" t="n"/>
      <c r="V484" s="1" t="n"/>
      <c r="Y484" s="111" t="n"/>
      <c r="Z484" s="111" t="n"/>
      <c r="AA484" s="111" t="n"/>
      <c r="AK484" s="55" t="n"/>
      <c r="AL484" s="89" t="n"/>
    </row>
    <row r="485" ht="22.5" customHeight="1" s="150">
      <c r="A485" s="34" t="n">
        <v>483</v>
      </c>
      <c r="B485" s="34" t="n"/>
      <c r="C485" s="34" t="n"/>
      <c r="D485" s="34" t="n"/>
      <c r="E485" s="34" t="n"/>
      <c r="F485" s="86" t="n"/>
      <c r="G485" s="86" t="n"/>
      <c r="H485" s="111" t="n"/>
      <c r="I485" s="87" t="n"/>
      <c r="J485" s="87" t="n"/>
      <c r="K485" s="111" t="n"/>
      <c r="L485" s="86" t="n"/>
      <c r="M485" s="138" t="inlineStr">
        <is>
          <t>Normal</t>
        </is>
      </c>
      <c r="N485" s="89" t="n"/>
      <c r="O485" s="144" t="n"/>
      <c r="P485" s="31" t="n"/>
      <c r="Q485" s="89" t="n"/>
      <c r="R485" s="89" t="n"/>
      <c r="S485" s="89" t="n"/>
      <c r="T485" s="55" t="n"/>
      <c r="U485" s="34" t="n"/>
      <c r="V485" s="1" t="n"/>
      <c r="Y485" s="111" t="n"/>
      <c r="Z485" s="111" t="n"/>
      <c r="AA485" s="111" t="n"/>
      <c r="AK485" s="55" t="n"/>
      <c r="AL485" s="89" t="n"/>
    </row>
    <row r="486" ht="22.5" customHeight="1" s="150">
      <c r="A486" s="34" t="n">
        <v>484</v>
      </c>
      <c r="B486" s="34" t="n"/>
      <c r="C486" s="34" t="n"/>
      <c r="D486" s="34" t="n"/>
      <c r="E486" s="34" t="n"/>
      <c r="F486" s="86" t="n"/>
      <c r="G486" s="86" t="n"/>
      <c r="H486" s="111" t="n"/>
      <c r="I486" s="87" t="n"/>
      <c r="J486" s="87" t="n"/>
      <c r="K486" s="111" t="n"/>
      <c r="L486" s="86" t="n"/>
      <c r="M486" s="141" t="inlineStr">
        <is>
          <t>Hard</t>
        </is>
      </c>
      <c r="N486" s="89" t="n"/>
      <c r="O486" s="144" t="n"/>
      <c r="P486" s="31" t="n"/>
      <c r="Q486" s="89" t="n"/>
      <c r="R486" s="89" t="n"/>
      <c r="S486" s="89" t="n"/>
      <c r="T486" s="55" t="n"/>
      <c r="U486" s="34" t="n"/>
      <c r="V486" s="1" t="n"/>
      <c r="Y486" s="111" t="n"/>
      <c r="Z486" s="111" t="n"/>
      <c r="AA486" s="111" t="n"/>
      <c r="AK486" s="55" t="n"/>
      <c r="AL486" s="89" t="n"/>
    </row>
    <row r="487" ht="22.5" customHeight="1" s="150">
      <c r="A487" s="34" t="n">
        <v>485</v>
      </c>
      <c r="B487" s="34" t="n"/>
      <c r="C487" s="34" t="n"/>
      <c r="D487" s="34" t="n"/>
      <c r="E487" s="34" t="n"/>
      <c r="F487" s="86" t="n"/>
      <c r="G487" s="86" t="n"/>
      <c r="H487" s="111" t="n"/>
      <c r="I487" s="87" t="n"/>
      <c r="J487" s="87" t="n"/>
      <c r="K487" s="111" t="n"/>
      <c r="L487" s="86" t="n"/>
      <c r="M487" s="142" t="inlineStr">
        <is>
          <t>Very Hard</t>
        </is>
      </c>
      <c r="N487" s="89" t="n"/>
      <c r="O487" s="144" t="n"/>
      <c r="P487" s="31" t="n"/>
      <c r="Q487" s="89" t="n"/>
      <c r="R487" s="89" t="n"/>
      <c r="S487" s="89" t="n"/>
      <c r="T487" s="55" t="n"/>
      <c r="U487" s="34" t="n"/>
      <c r="V487" s="1" t="n"/>
      <c r="Y487" s="111" t="n"/>
      <c r="Z487" s="111" t="n"/>
      <c r="AA487" s="111" t="n"/>
      <c r="AK487" s="55" t="n"/>
      <c r="AL487" s="89" t="n"/>
    </row>
    <row r="488" ht="22.5" customHeight="1" s="150">
      <c r="A488" s="34" t="n">
        <v>486</v>
      </c>
      <c r="B488" s="34" t="n"/>
      <c r="C488" s="34" t="n"/>
      <c r="D488" s="34" t="n"/>
      <c r="E488" s="34" t="n"/>
      <c r="F488" s="86" t="n"/>
      <c r="G488" s="86" t="n"/>
      <c r="H488" s="111" t="n"/>
      <c r="I488" s="87" t="n"/>
      <c r="J488" s="87" t="n"/>
      <c r="K488" s="111" t="n"/>
      <c r="L488" s="86" t="n"/>
      <c r="M488" s="139" t="inlineStr">
        <is>
          <t>Normal</t>
        </is>
      </c>
      <c r="N488" s="89" t="n"/>
      <c r="O488" s="144" t="n"/>
      <c r="P488" s="31" t="n"/>
      <c r="Q488" s="89" t="n"/>
      <c r="R488" s="89" t="n"/>
      <c r="S488" s="89" t="n"/>
      <c r="T488" s="55" t="n"/>
      <c r="U488" s="34" t="n"/>
      <c r="V488" s="1" t="n"/>
      <c r="Y488" s="111" t="n"/>
      <c r="Z488" s="111" t="n"/>
      <c r="AA488" s="111" t="n"/>
      <c r="AK488" s="55" t="n"/>
      <c r="AL488" s="89" t="n"/>
    </row>
    <row r="489" ht="22.5" customHeight="1" s="150">
      <c r="A489" s="34" t="n">
        <v>487</v>
      </c>
      <c r="B489" s="34" t="n"/>
      <c r="C489" s="34" t="n"/>
      <c r="D489" s="34" t="n"/>
      <c r="E489" s="34" t="n"/>
      <c r="F489" s="86" t="n"/>
      <c r="G489" s="86" t="n"/>
      <c r="H489" s="111" t="n"/>
      <c r="I489" s="87" t="n"/>
      <c r="J489" s="87" t="n"/>
      <c r="K489" s="111" t="n"/>
      <c r="L489" s="86" t="n"/>
      <c r="M489" s="138" t="inlineStr">
        <is>
          <t>Normal</t>
        </is>
      </c>
      <c r="N489" s="89" t="n"/>
      <c r="O489" s="144" t="n"/>
      <c r="P489" s="31" t="n"/>
      <c r="Q489" s="89" t="n"/>
      <c r="R489" s="89" t="n"/>
      <c r="S489" s="89" t="n"/>
      <c r="T489" s="55" t="n"/>
      <c r="U489" s="34" t="n"/>
      <c r="V489" s="1" t="n"/>
      <c r="Y489" s="111" t="n"/>
      <c r="Z489" s="111" t="n"/>
      <c r="AA489" s="111" t="n"/>
      <c r="AK489" s="55" t="n"/>
      <c r="AL489" s="89" t="n"/>
    </row>
    <row r="490" ht="22.5" customHeight="1" s="150">
      <c r="A490" s="34" t="n">
        <v>488</v>
      </c>
      <c r="B490" s="34" t="n"/>
      <c r="C490" s="34" t="n"/>
      <c r="D490" s="34" t="n"/>
      <c r="E490" s="34" t="n"/>
      <c r="F490" s="86" t="n"/>
      <c r="G490" s="86" t="n"/>
      <c r="H490" s="111" t="n"/>
      <c r="I490" s="87" t="n"/>
      <c r="J490" s="87" t="n"/>
      <c r="K490" s="111" t="n"/>
      <c r="L490" s="86" t="n"/>
      <c r="M490" s="139" t="inlineStr">
        <is>
          <t>Normal</t>
        </is>
      </c>
      <c r="N490" s="89" t="n"/>
      <c r="O490" s="144" t="n"/>
      <c r="P490" s="31" t="n"/>
      <c r="Q490" s="89" t="n"/>
      <c r="R490" s="89" t="n"/>
      <c r="S490" s="89" t="n"/>
      <c r="T490" s="55" t="n"/>
      <c r="U490" s="34" t="n"/>
      <c r="V490" s="1" t="n"/>
      <c r="Y490" s="111" t="n"/>
      <c r="Z490" s="111" t="n"/>
      <c r="AA490" s="111" t="n"/>
      <c r="AK490" s="55" t="n"/>
      <c r="AL490" s="89" t="n"/>
    </row>
    <row r="491" ht="22.5" customHeight="1" s="150">
      <c r="A491" s="34" t="n">
        <v>489</v>
      </c>
      <c r="B491" s="34" t="n"/>
      <c r="C491" s="34" t="n"/>
      <c r="D491" s="34" t="n"/>
      <c r="E491" s="34" t="n"/>
      <c r="F491" s="86" t="n"/>
      <c r="G491" s="86" t="n"/>
      <c r="H491" s="111" t="n"/>
      <c r="I491" s="87" t="n"/>
      <c r="J491" s="87" t="n"/>
      <c r="K491" s="111" t="n"/>
      <c r="L491" s="86" t="n"/>
      <c r="M491" s="140" t="inlineStr">
        <is>
          <t>Hard</t>
        </is>
      </c>
      <c r="N491" s="89" t="n"/>
      <c r="O491" s="144" t="n"/>
      <c r="P491" s="31" t="n"/>
      <c r="Q491" s="89" t="n"/>
      <c r="R491" s="89" t="n"/>
      <c r="S491" s="89" t="n"/>
      <c r="T491" s="55" t="n"/>
      <c r="U491" s="34" t="n"/>
      <c r="V491" s="1" t="n"/>
      <c r="Y491" s="111" t="n"/>
      <c r="Z491" s="111" t="n"/>
      <c r="AA491" s="111" t="n"/>
      <c r="AK491" s="55" t="n"/>
      <c r="AL491" s="89" t="n"/>
    </row>
    <row r="492" ht="22.5" customHeight="1" s="150">
      <c r="A492" s="34" t="n">
        <v>490</v>
      </c>
      <c r="B492" s="34" t="n"/>
      <c r="C492" s="34" t="n"/>
      <c r="D492" s="34" t="n"/>
      <c r="E492" s="34" t="n"/>
      <c r="F492" s="86" t="n"/>
      <c r="G492" s="86" t="n"/>
      <c r="H492" s="111" t="n"/>
      <c r="I492" s="87" t="n"/>
      <c r="J492" s="87" t="n"/>
      <c r="K492" s="111" t="n"/>
      <c r="L492" s="86" t="n"/>
      <c r="M492" s="143" t="inlineStr">
        <is>
          <t>Very Hard</t>
        </is>
      </c>
      <c r="N492" s="89" t="n"/>
      <c r="O492" s="144" t="n"/>
      <c r="P492" s="31" t="n"/>
      <c r="Q492" s="89" t="n"/>
      <c r="R492" s="89" t="n"/>
      <c r="S492" s="89" t="n"/>
      <c r="T492" s="55" t="n"/>
      <c r="U492" s="34" t="n"/>
      <c r="V492" s="1" t="n"/>
      <c r="Y492" s="111" t="n"/>
      <c r="Z492" s="111" t="n"/>
      <c r="AA492" s="111" t="n"/>
      <c r="AK492" s="55" t="n"/>
      <c r="AL492" s="89" t="n"/>
    </row>
    <row r="493" ht="22.5" customHeight="1" s="150">
      <c r="A493" s="34" t="n">
        <v>491</v>
      </c>
      <c r="B493" s="34" t="n"/>
      <c r="C493" s="34" t="n"/>
      <c r="D493" s="34" t="n"/>
      <c r="E493" s="34" t="n"/>
      <c r="F493" s="86" t="n"/>
      <c r="G493" s="86" t="n"/>
      <c r="H493" s="111" t="n"/>
      <c r="I493" s="87" t="n"/>
      <c r="J493" s="87" t="n"/>
      <c r="K493" s="111" t="n"/>
      <c r="L493" s="86" t="n"/>
      <c r="M493" s="138" t="inlineStr">
        <is>
          <t>Normal</t>
        </is>
      </c>
      <c r="N493" s="89" t="n"/>
      <c r="O493" s="144" t="n"/>
      <c r="P493" s="31" t="n"/>
      <c r="Q493" s="89" t="n"/>
      <c r="R493" s="89" t="n"/>
      <c r="S493" s="89" t="n"/>
      <c r="T493" s="55" t="n"/>
      <c r="U493" s="34" t="n"/>
      <c r="V493" s="1" t="n"/>
      <c r="Y493" s="111" t="n"/>
      <c r="Z493" s="111" t="n"/>
      <c r="AA493" s="111" t="n"/>
      <c r="AK493" s="55" t="n"/>
      <c r="AL493" s="89" t="n"/>
    </row>
    <row r="494" ht="22.5" customHeight="1" s="150">
      <c r="A494" s="34" t="n">
        <v>492</v>
      </c>
      <c r="B494" s="34" t="n"/>
      <c r="C494" s="34" t="n"/>
      <c r="D494" s="34" t="n"/>
      <c r="E494" s="34" t="n"/>
      <c r="F494" s="86" t="n"/>
      <c r="G494" s="86" t="n"/>
      <c r="H494" s="111" t="n"/>
      <c r="I494" s="87" t="n"/>
      <c r="J494" s="87" t="n"/>
      <c r="K494" s="111" t="n"/>
      <c r="L494" s="86" t="n"/>
      <c r="M494" s="139" t="inlineStr">
        <is>
          <t>Normal</t>
        </is>
      </c>
      <c r="N494" s="89" t="n"/>
      <c r="O494" s="144" t="n"/>
      <c r="P494" s="31" t="n"/>
      <c r="Q494" s="89" t="n"/>
      <c r="R494" s="89" t="n"/>
      <c r="S494" s="89" t="n"/>
      <c r="T494" s="55" t="n"/>
      <c r="U494" s="34" t="n"/>
      <c r="V494" s="1" t="n"/>
      <c r="Y494" s="111" t="n"/>
      <c r="Z494" s="111" t="n"/>
      <c r="AA494" s="111" t="n"/>
      <c r="AK494" s="55" t="n"/>
      <c r="AL494" s="89" t="n"/>
    </row>
    <row r="495" ht="22.5" customHeight="1" s="150">
      <c r="A495" s="34" t="n">
        <v>493</v>
      </c>
      <c r="B495" s="34" t="n"/>
      <c r="C495" s="34" t="n"/>
      <c r="D495" s="34" t="n"/>
      <c r="E495" s="34" t="n"/>
      <c r="F495" s="86" t="n"/>
      <c r="G495" s="86" t="n"/>
      <c r="H495" s="111" t="n"/>
      <c r="I495" s="87" t="n"/>
      <c r="J495" s="87" t="n"/>
      <c r="K495" s="111" t="n"/>
      <c r="L495" s="86" t="n"/>
      <c r="M495" s="138" t="inlineStr">
        <is>
          <t>Normal</t>
        </is>
      </c>
      <c r="N495" s="89" t="n"/>
      <c r="O495" s="144" t="n"/>
      <c r="P495" s="31" t="n"/>
      <c r="Q495" s="89" t="n"/>
      <c r="R495" s="89" t="n"/>
      <c r="S495" s="89" t="n"/>
      <c r="T495" s="55" t="n"/>
      <c r="U495" s="34" t="n"/>
      <c r="V495" s="1" t="n"/>
      <c r="Y495" s="111" t="n"/>
      <c r="Z495" s="111" t="n"/>
      <c r="AA495" s="111" t="n"/>
      <c r="AK495" s="55" t="n"/>
      <c r="AL495" s="89" t="n"/>
    </row>
    <row r="496" ht="22.5" customHeight="1" s="150">
      <c r="A496" s="34" t="n">
        <v>494</v>
      </c>
      <c r="B496" s="34" t="n"/>
      <c r="C496" s="34" t="n"/>
      <c r="D496" s="34" t="n"/>
      <c r="E496" s="34" t="n"/>
      <c r="F496" s="86" t="n"/>
      <c r="G496" s="86" t="n"/>
      <c r="H496" s="111" t="n"/>
      <c r="I496" s="87" t="n"/>
      <c r="J496" s="87" t="n"/>
      <c r="K496" s="111" t="n"/>
      <c r="L496" s="86" t="n"/>
      <c r="M496" s="141" t="inlineStr">
        <is>
          <t>Hard</t>
        </is>
      </c>
      <c r="N496" s="89" t="n"/>
      <c r="O496" s="144" t="n"/>
      <c r="P496" s="31" t="n"/>
      <c r="Q496" s="89" t="n"/>
      <c r="R496" s="89" t="n"/>
      <c r="S496" s="89" t="n"/>
      <c r="T496" s="55" t="n"/>
      <c r="U496" s="34" t="n"/>
      <c r="V496" s="1" t="n"/>
      <c r="Y496" s="111" t="n"/>
      <c r="Z496" s="111" t="n"/>
      <c r="AA496" s="111" t="n"/>
      <c r="AK496" s="55" t="n"/>
      <c r="AL496" s="89" t="n"/>
    </row>
    <row r="497" ht="22.5" customHeight="1" s="150">
      <c r="A497" s="34" t="n">
        <v>495</v>
      </c>
      <c r="B497" s="34" t="n"/>
      <c r="C497" s="34" t="n"/>
      <c r="D497" s="34" t="n"/>
      <c r="E497" s="34" t="n"/>
      <c r="F497" s="86" t="n"/>
      <c r="G497" s="86" t="n"/>
      <c r="H497" s="111" t="n"/>
      <c r="I497" s="87" t="n"/>
      <c r="J497" s="87" t="n"/>
      <c r="K497" s="111" t="n"/>
      <c r="L497" s="86" t="n"/>
      <c r="M497" s="142" t="inlineStr">
        <is>
          <t>Very Hard</t>
        </is>
      </c>
      <c r="N497" s="89" t="n"/>
      <c r="O497" s="144" t="n"/>
      <c r="P497" s="31" t="n"/>
      <c r="Q497" s="89" t="n"/>
      <c r="R497" s="89" t="n"/>
      <c r="S497" s="89" t="n"/>
      <c r="T497" s="55" t="n"/>
      <c r="U497" s="34" t="n"/>
      <c r="V497" s="1" t="n"/>
      <c r="Y497" s="111" t="n"/>
      <c r="Z497" s="111" t="n"/>
      <c r="AA497" s="111" t="n"/>
      <c r="AK497" s="55" t="n"/>
      <c r="AL497" s="89" t="n"/>
    </row>
    <row r="498" ht="22.5" customHeight="1" s="150">
      <c r="A498" s="34" t="n">
        <v>496</v>
      </c>
      <c r="B498" s="34" t="n"/>
      <c r="C498" s="34" t="n"/>
      <c r="D498" s="34" t="n"/>
      <c r="E498" s="34" t="n"/>
      <c r="F498" s="86" t="n"/>
      <c r="G498" s="86" t="n"/>
      <c r="H498" s="111" t="n"/>
      <c r="I498" s="87" t="n"/>
      <c r="J498" s="87" t="n"/>
      <c r="K498" s="111" t="n"/>
      <c r="L498" s="86" t="n"/>
      <c r="M498" s="139" t="inlineStr">
        <is>
          <t>Normal</t>
        </is>
      </c>
      <c r="N498" s="89" t="n"/>
      <c r="O498" s="144" t="n"/>
      <c r="P498" s="31" t="n"/>
      <c r="Q498" s="89" t="n"/>
      <c r="R498" s="89" t="n"/>
      <c r="S498" s="89" t="n"/>
      <c r="T498" s="55" t="n"/>
      <c r="U498" s="34" t="n"/>
      <c r="V498" s="1" t="n"/>
      <c r="Y498" s="111" t="n"/>
      <c r="Z498" s="111" t="n"/>
      <c r="AA498" s="111" t="n"/>
      <c r="AK498" s="55" t="n"/>
      <c r="AL498" s="89" t="n"/>
    </row>
    <row r="499" ht="22.5" customHeight="1" s="150">
      <c r="A499" s="34" t="n">
        <v>497</v>
      </c>
      <c r="B499" s="34" t="n"/>
      <c r="C499" s="34" t="n"/>
      <c r="D499" s="34" t="n"/>
      <c r="E499" s="34" t="n"/>
      <c r="F499" s="86" t="n"/>
      <c r="G499" s="86" t="n"/>
      <c r="H499" s="111" t="n"/>
      <c r="I499" s="87" t="n"/>
      <c r="J499" s="87" t="n"/>
      <c r="K499" s="111" t="n"/>
      <c r="L499" s="86" t="n"/>
      <c r="M499" s="138" t="inlineStr">
        <is>
          <t>Normal</t>
        </is>
      </c>
      <c r="N499" s="89" t="n"/>
      <c r="O499" s="144" t="n"/>
      <c r="P499" s="31" t="n"/>
      <c r="Q499" s="89" t="n"/>
      <c r="R499" s="89" t="n"/>
      <c r="S499" s="89" t="n"/>
      <c r="T499" s="55" t="n"/>
      <c r="U499" s="34" t="n"/>
      <c r="V499" s="1" t="n"/>
      <c r="Y499" s="111" t="n"/>
      <c r="Z499" s="111" t="n"/>
      <c r="AA499" s="111" t="n"/>
      <c r="AK499" s="55" t="n"/>
      <c r="AL499" s="89" t="n"/>
    </row>
    <row r="500" ht="22.5" customHeight="1" s="150">
      <c r="A500" s="34" t="n">
        <v>498</v>
      </c>
      <c r="B500" s="34" t="n"/>
      <c r="C500" s="34" t="n"/>
      <c r="D500" s="34" t="n"/>
      <c r="E500" s="34" t="n"/>
      <c r="F500" s="86" t="n"/>
      <c r="G500" s="86" t="n"/>
      <c r="H500" s="111" t="n"/>
      <c r="I500" s="87" t="n"/>
      <c r="J500" s="87" t="n"/>
      <c r="K500" s="111" t="n"/>
      <c r="L500" s="86" t="n"/>
      <c r="M500" s="139" t="inlineStr">
        <is>
          <t>Normal</t>
        </is>
      </c>
      <c r="N500" s="89" t="n"/>
      <c r="O500" s="144" t="n"/>
      <c r="P500" s="31" t="n"/>
      <c r="Q500" s="89" t="n"/>
      <c r="R500" s="89" t="n"/>
      <c r="S500" s="89" t="n"/>
      <c r="T500" s="55" t="n"/>
      <c r="U500" s="34" t="n"/>
      <c r="V500" s="1" t="n"/>
      <c r="Y500" s="111" t="n"/>
      <c r="Z500" s="111" t="n"/>
      <c r="AA500" s="111" t="n"/>
      <c r="AK500" s="55" t="n"/>
      <c r="AL500" s="89" t="n"/>
    </row>
    <row r="501" ht="22.5" customHeight="1" s="150">
      <c r="A501" s="34" t="n">
        <v>499</v>
      </c>
      <c r="B501" s="34" t="n"/>
      <c r="C501" s="34" t="n"/>
      <c r="D501" s="34" t="n"/>
      <c r="E501" s="34" t="n"/>
      <c r="F501" s="86" t="n"/>
      <c r="G501" s="86" t="n"/>
      <c r="H501" s="111" t="n"/>
      <c r="I501" s="87" t="n"/>
      <c r="J501" s="87" t="n"/>
      <c r="K501" s="111" t="n"/>
      <c r="L501" s="86" t="n"/>
      <c r="M501" s="140" t="inlineStr">
        <is>
          <t>Hard</t>
        </is>
      </c>
      <c r="N501" s="89" t="n"/>
      <c r="O501" s="144" t="n"/>
      <c r="P501" s="31" t="n"/>
      <c r="Q501" s="89" t="n"/>
      <c r="R501" s="89" t="n"/>
      <c r="S501" s="89" t="n"/>
      <c r="T501" s="55" t="n"/>
      <c r="U501" s="34" t="n"/>
      <c r="V501" s="1" t="n"/>
      <c r="Y501" s="111" t="n"/>
      <c r="Z501" s="111" t="n"/>
      <c r="AA501" s="111" t="n"/>
      <c r="AK501" s="55" t="n"/>
      <c r="AL501" s="89" t="n"/>
    </row>
    <row r="502" ht="22.5" customHeight="1" s="150">
      <c r="A502" s="34" t="n">
        <v>500</v>
      </c>
      <c r="B502" s="34" t="n"/>
      <c r="C502" s="34" t="n"/>
      <c r="D502" s="34" t="n"/>
      <c r="E502" s="34" t="n"/>
      <c r="F502" s="86" t="n"/>
      <c r="G502" s="86" t="n"/>
      <c r="H502" s="111" t="n"/>
      <c r="I502" s="87" t="n"/>
      <c r="J502" s="87" t="n"/>
      <c r="K502" s="111" t="n"/>
      <c r="L502" s="86" t="n"/>
      <c r="M502" s="143" t="inlineStr">
        <is>
          <t>Very Hard</t>
        </is>
      </c>
      <c r="N502" s="89" t="n"/>
      <c r="O502" s="144" t="n"/>
      <c r="P502" s="31" t="n"/>
      <c r="Q502" s="89" t="n"/>
      <c r="R502" s="89" t="n"/>
      <c r="S502" s="89" t="n"/>
      <c r="T502" s="55" t="n"/>
      <c r="U502" s="34" t="n"/>
      <c r="V502" s="1" t="n"/>
      <c r="Y502" s="111" t="n"/>
      <c r="Z502" s="111" t="n"/>
      <c r="AA502" s="111" t="n"/>
      <c r="AK502" s="55" t="n"/>
      <c r="AL502" s="89" t="n"/>
    </row>
    <row r="503" ht="22.5" customHeight="1" s="150">
      <c r="A503" s="34" t="n">
        <v>501</v>
      </c>
      <c r="B503" s="34" t="n"/>
      <c r="C503" s="34" t="n"/>
      <c r="D503" s="34" t="n"/>
      <c r="E503" s="34" t="n"/>
      <c r="F503" s="86" t="n"/>
      <c r="G503" s="86" t="n"/>
      <c r="H503" s="111" t="n"/>
      <c r="I503" s="87" t="n"/>
      <c r="J503" s="87" t="n"/>
      <c r="K503" s="111" t="n"/>
      <c r="L503" s="86" t="n"/>
      <c r="M503" s="138" t="inlineStr">
        <is>
          <t>Normal</t>
        </is>
      </c>
      <c r="N503" s="89" t="n"/>
      <c r="O503" s="144" t="n"/>
      <c r="P503" s="31" t="n"/>
      <c r="Q503" s="89" t="n"/>
      <c r="R503" s="89" t="n"/>
      <c r="S503" s="89" t="n"/>
      <c r="T503" s="55" t="n"/>
      <c r="U503" s="34" t="n"/>
      <c r="V503" s="1" t="n"/>
      <c r="Y503" s="111" t="n"/>
      <c r="Z503" s="111" t="n"/>
      <c r="AA503" s="111" t="n"/>
      <c r="AK503" s="55" t="n"/>
      <c r="AL503" s="89" t="n"/>
    </row>
    <row r="504" ht="22.5" customHeight="1" s="150">
      <c r="A504" s="34" t="n">
        <v>502</v>
      </c>
      <c r="B504" s="34" t="n"/>
      <c r="C504" s="34" t="n"/>
      <c r="D504" s="34" t="n"/>
      <c r="E504" s="34" t="n"/>
      <c r="F504" s="86" t="n"/>
      <c r="G504" s="86" t="n"/>
      <c r="H504" s="111" t="n"/>
      <c r="I504" s="87" t="n"/>
      <c r="J504" s="87" t="n"/>
      <c r="K504" s="111" t="n"/>
      <c r="L504" s="86" t="n"/>
      <c r="M504" s="139" t="inlineStr">
        <is>
          <t>Normal</t>
        </is>
      </c>
      <c r="N504" s="89" t="n"/>
      <c r="O504" s="144" t="n"/>
      <c r="P504" s="31" t="n"/>
      <c r="Q504" s="89" t="n"/>
      <c r="R504" s="89" t="n"/>
      <c r="S504" s="89" t="n"/>
      <c r="T504" s="55" t="n"/>
      <c r="U504" s="34" t="n"/>
      <c r="V504" s="1" t="n"/>
      <c r="Y504" s="111" t="n"/>
      <c r="Z504" s="111" t="n"/>
      <c r="AA504" s="111" t="n"/>
      <c r="AK504" s="55" t="n"/>
      <c r="AL504" s="89" t="n"/>
    </row>
    <row r="505" ht="22.5" customHeight="1" s="150">
      <c r="A505" s="34" t="n">
        <v>503</v>
      </c>
      <c r="B505" s="34" t="n"/>
      <c r="C505" s="34" t="n"/>
      <c r="D505" s="34" t="n"/>
      <c r="E505" s="34" t="n"/>
      <c r="F505" s="86" t="n"/>
      <c r="G505" s="86" t="n"/>
      <c r="H505" s="111" t="n"/>
      <c r="I505" s="87" t="n"/>
      <c r="J505" s="87" t="n"/>
      <c r="K505" s="111" t="n"/>
      <c r="L505" s="86" t="n"/>
      <c r="M505" s="138" t="inlineStr">
        <is>
          <t>Normal</t>
        </is>
      </c>
      <c r="N505" s="89" t="n"/>
      <c r="O505" s="144" t="n"/>
      <c r="P505" s="31" t="n"/>
      <c r="Q505" s="89" t="n"/>
      <c r="R505" s="89" t="n"/>
      <c r="S505" s="89" t="n"/>
      <c r="T505" s="55" t="n"/>
      <c r="U505" s="34" t="n"/>
      <c r="V505" s="1" t="n"/>
      <c r="Y505" s="111" t="n"/>
      <c r="Z505" s="111" t="n"/>
      <c r="AA505" s="111" t="n"/>
      <c r="AK505" s="55" t="n"/>
      <c r="AL505" s="89" t="n"/>
    </row>
    <row r="506" ht="22.5" customHeight="1" s="150">
      <c r="A506" s="34" t="n">
        <v>504</v>
      </c>
      <c r="B506" s="34" t="n"/>
      <c r="C506" s="34" t="n"/>
      <c r="D506" s="34" t="n"/>
      <c r="E506" s="34" t="n"/>
      <c r="F506" s="86" t="n"/>
      <c r="G506" s="86" t="n"/>
      <c r="H506" s="111" t="n"/>
      <c r="I506" s="87" t="n"/>
      <c r="J506" s="87" t="n"/>
      <c r="K506" s="111" t="n"/>
      <c r="L506" s="86" t="n"/>
      <c r="M506" s="141" t="inlineStr">
        <is>
          <t>Hard</t>
        </is>
      </c>
      <c r="N506" s="89" t="n"/>
      <c r="O506" s="144" t="n"/>
      <c r="P506" s="31" t="n"/>
      <c r="Q506" s="89" t="n"/>
      <c r="R506" s="89" t="n"/>
      <c r="S506" s="89" t="n"/>
      <c r="T506" s="55" t="n"/>
      <c r="U506" s="34" t="n"/>
      <c r="V506" s="1" t="n"/>
      <c r="Y506" s="111" t="n"/>
      <c r="Z506" s="111" t="n"/>
      <c r="AA506" s="111" t="n"/>
      <c r="AK506" s="55" t="n"/>
      <c r="AL506" s="89" t="n"/>
    </row>
    <row r="507" ht="22.5" customHeight="1" s="150">
      <c r="A507" s="34" t="n">
        <v>505</v>
      </c>
      <c r="B507" s="34" t="n"/>
      <c r="C507" s="34" t="n"/>
      <c r="D507" s="34" t="n"/>
      <c r="E507" s="34" t="n"/>
      <c r="F507" s="86" t="n"/>
      <c r="G507" s="86" t="n"/>
      <c r="H507" s="111" t="n"/>
      <c r="I507" s="87" t="n"/>
      <c r="J507" s="87" t="n"/>
      <c r="K507" s="111" t="n"/>
      <c r="L507" s="86" t="n"/>
      <c r="M507" s="142" t="inlineStr">
        <is>
          <t>Very Hard</t>
        </is>
      </c>
      <c r="N507" s="89" t="n"/>
      <c r="O507" s="144" t="n"/>
      <c r="P507" s="31" t="n"/>
      <c r="Q507" s="89" t="n"/>
      <c r="R507" s="89" t="n"/>
      <c r="S507" s="89" t="n"/>
      <c r="T507" s="55" t="n"/>
      <c r="U507" s="34" t="n"/>
      <c r="V507" s="1" t="n"/>
      <c r="Y507" s="111" t="n"/>
      <c r="Z507" s="111" t="n"/>
      <c r="AA507" s="111" t="n"/>
      <c r="AK507" s="55" t="n"/>
      <c r="AL507" s="89" t="n"/>
    </row>
    <row r="508" ht="22.5" customHeight="1" s="150">
      <c r="A508" s="34" t="n">
        <v>506</v>
      </c>
      <c r="B508" s="34" t="n"/>
      <c r="C508" s="34" t="n"/>
      <c r="D508" s="34" t="n"/>
      <c r="E508" s="34" t="n"/>
      <c r="F508" s="86" t="n"/>
      <c r="G508" s="86" t="n"/>
      <c r="H508" s="111" t="n"/>
      <c r="I508" s="87" t="n"/>
      <c r="J508" s="87" t="n"/>
      <c r="K508" s="111" t="n"/>
      <c r="L508" s="86" t="n"/>
      <c r="M508" s="139" t="inlineStr">
        <is>
          <t>Normal</t>
        </is>
      </c>
      <c r="N508" s="89" t="n"/>
      <c r="O508" s="144" t="n"/>
      <c r="P508" s="31" t="n"/>
      <c r="Q508" s="89" t="n"/>
      <c r="R508" s="89" t="n"/>
      <c r="S508" s="89" t="n"/>
      <c r="T508" s="55" t="n"/>
      <c r="U508" s="34" t="n"/>
      <c r="V508" s="1" t="n"/>
      <c r="Y508" s="111" t="n"/>
      <c r="Z508" s="111" t="n"/>
      <c r="AA508" s="111" t="n"/>
      <c r="AK508" s="55" t="n"/>
      <c r="AL508" s="89" t="n"/>
    </row>
    <row r="509" ht="22.5" customHeight="1" s="150">
      <c r="A509" s="34" t="n">
        <v>507</v>
      </c>
      <c r="B509" s="34" t="n"/>
      <c r="C509" s="34" t="n"/>
      <c r="D509" s="34" t="n"/>
      <c r="E509" s="34" t="n"/>
      <c r="F509" s="86" t="n"/>
      <c r="G509" s="86" t="n"/>
      <c r="H509" s="111" t="n"/>
      <c r="I509" s="87" t="n"/>
      <c r="J509" s="87" t="n"/>
      <c r="K509" s="111" t="n"/>
      <c r="L509" s="86" t="n"/>
      <c r="M509" s="138" t="inlineStr">
        <is>
          <t>Normal</t>
        </is>
      </c>
      <c r="N509" s="89" t="n"/>
      <c r="O509" s="144" t="n"/>
      <c r="P509" s="31" t="n"/>
      <c r="Q509" s="89" t="n"/>
      <c r="R509" s="89" t="n"/>
      <c r="S509" s="89" t="n"/>
      <c r="T509" s="55" t="n"/>
      <c r="U509" s="34" t="n"/>
      <c r="V509" s="1" t="n"/>
      <c r="Y509" s="111" t="n"/>
      <c r="Z509" s="111" t="n"/>
      <c r="AA509" s="111" t="n"/>
      <c r="AK509" s="55" t="n"/>
      <c r="AL509" s="89" t="n"/>
    </row>
    <row r="510" ht="22.5" customHeight="1" s="150">
      <c r="A510" s="34" t="n">
        <v>508</v>
      </c>
      <c r="B510" s="34" t="n"/>
      <c r="C510" s="34" t="n"/>
      <c r="D510" s="34" t="n"/>
      <c r="E510" s="34" t="n"/>
      <c r="F510" s="86" t="n"/>
      <c r="G510" s="86" t="n"/>
      <c r="H510" s="111" t="n"/>
      <c r="I510" s="87" t="n"/>
      <c r="J510" s="87" t="n"/>
      <c r="K510" s="111" t="n"/>
      <c r="L510" s="86" t="n"/>
      <c r="M510" s="139" t="inlineStr">
        <is>
          <t>Normal</t>
        </is>
      </c>
      <c r="N510" s="89" t="n"/>
      <c r="O510" s="144" t="n"/>
      <c r="P510" s="31" t="n"/>
      <c r="Q510" s="89" t="n"/>
      <c r="R510" s="89" t="n"/>
      <c r="S510" s="89" t="n"/>
      <c r="T510" s="55" t="n"/>
      <c r="U510" s="34" t="n"/>
      <c r="V510" s="1" t="n"/>
      <c r="Y510" s="111" t="n"/>
      <c r="Z510" s="111" t="n"/>
      <c r="AA510" s="111" t="n"/>
      <c r="AK510" s="55" t="n"/>
      <c r="AL510" s="89" t="n"/>
    </row>
    <row r="511" ht="22.5" customHeight="1" s="150">
      <c r="A511" s="34" t="n">
        <v>509</v>
      </c>
      <c r="B511" s="34" t="n"/>
      <c r="C511" s="34" t="n"/>
      <c r="D511" s="34" t="n"/>
      <c r="E511" s="34" t="n"/>
      <c r="F511" s="86" t="n"/>
      <c r="G511" s="86" t="n"/>
      <c r="H511" s="111" t="n"/>
      <c r="I511" s="87" t="n"/>
      <c r="J511" s="87" t="n"/>
      <c r="K511" s="111" t="n"/>
      <c r="L511" s="86" t="n"/>
      <c r="M511" s="138" t="inlineStr">
        <is>
          <t>Normal</t>
        </is>
      </c>
      <c r="N511" s="89" t="n"/>
      <c r="O511" s="144" t="n"/>
      <c r="P511" s="31" t="n"/>
      <c r="Q511" s="89" t="n"/>
      <c r="R511" s="89" t="n"/>
      <c r="S511" s="89" t="n"/>
      <c r="T511" s="55" t="n"/>
      <c r="U511" s="34" t="n"/>
      <c r="V511" s="1" t="n"/>
      <c r="Y511" s="111" t="n"/>
      <c r="Z511" s="111" t="n"/>
      <c r="AA511" s="111" t="n"/>
      <c r="AK511" s="55" t="n"/>
      <c r="AL511" s="89" t="n"/>
    </row>
    <row r="512" ht="22.5" customHeight="1" s="150">
      <c r="A512" s="34" t="n">
        <v>510</v>
      </c>
      <c r="B512" s="34" t="n"/>
      <c r="C512" s="34" t="n"/>
      <c r="D512" s="34" t="n"/>
      <c r="E512" s="34" t="n"/>
      <c r="F512" s="86" t="n"/>
      <c r="G512" s="86" t="n"/>
      <c r="H512" s="111" t="n"/>
      <c r="I512" s="87" t="n"/>
      <c r="J512" s="87" t="n"/>
      <c r="K512" s="111" t="n"/>
      <c r="L512" s="86" t="n"/>
      <c r="M512" s="139" t="inlineStr">
        <is>
          <t>Normal</t>
        </is>
      </c>
      <c r="N512" s="89" t="n"/>
      <c r="O512" s="144" t="n"/>
      <c r="P512" s="31" t="n"/>
      <c r="Q512" s="89" t="n"/>
      <c r="R512" s="89" t="n"/>
      <c r="S512" s="89" t="n"/>
      <c r="T512" s="55" t="n"/>
      <c r="U512" s="34" t="n"/>
      <c r="V512" s="1" t="n"/>
      <c r="Y512" s="111" t="n"/>
      <c r="Z512" s="111" t="n"/>
      <c r="AA512" s="111" t="n"/>
      <c r="AK512" s="55" t="n"/>
      <c r="AL512" s="89" t="n"/>
    </row>
    <row r="513" ht="22.5" customHeight="1" s="150">
      <c r="A513" s="34" t="n">
        <v>511</v>
      </c>
      <c r="B513" s="34" t="n"/>
      <c r="C513" s="34" t="n"/>
      <c r="D513" s="34" t="n"/>
      <c r="E513" s="34" t="n"/>
      <c r="F513" s="86" t="n"/>
      <c r="G513" s="86" t="n"/>
      <c r="H513" s="111" t="n"/>
      <c r="I513" s="87" t="n"/>
      <c r="J513" s="87" t="n"/>
      <c r="K513" s="111" t="n"/>
      <c r="L513" s="86" t="n"/>
      <c r="M513" s="138" t="inlineStr">
        <is>
          <t>Normal</t>
        </is>
      </c>
      <c r="N513" s="89" t="n"/>
      <c r="O513" s="144" t="n"/>
      <c r="P513" s="31" t="n"/>
      <c r="Q513" s="89" t="n"/>
      <c r="R513" s="89" t="n"/>
      <c r="S513" s="89" t="n"/>
      <c r="T513" s="55" t="n"/>
      <c r="U513" s="34" t="n"/>
      <c r="V513" s="1" t="n"/>
      <c r="Y513" s="111" t="n"/>
      <c r="Z513" s="111" t="n"/>
      <c r="AA513" s="111" t="n"/>
      <c r="AK513" s="55" t="n"/>
      <c r="AL513" s="89" t="n"/>
    </row>
    <row r="514" ht="22.5" customHeight="1" s="150">
      <c r="A514" s="34" t="n">
        <v>512</v>
      </c>
      <c r="B514" s="34" t="n"/>
      <c r="C514" s="34" t="n"/>
      <c r="D514" s="34" t="n"/>
      <c r="E514" s="34" t="n"/>
      <c r="F514" s="86" t="n"/>
      <c r="G514" s="86" t="n"/>
      <c r="H514" s="111" t="n"/>
      <c r="I514" s="87" t="n"/>
      <c r="J514" s="87" t="n"/>
      <c r="K514" s="111" t="n"/>
      <c r="L514" s="86" t="n"/>
      <c r="M514" s="141" t="inlineStr">
        <is>
          <t>Hard</t>
        </is>
      </c>
      <c r="N514" s="89" t="n"/>
      <c r="O514" s="144" t="n"/>
      <c r="P514" s="31" t="n"/>
      <c r="Q514" s="89" t="n"/>
      <c r="R514" s="89" t="n"/>
      <c r="S514" s="89" t="n"/>
      <c r="T514" s="55" t="n"/>
      <c r="U514" s="34" t="n"/>
      <c r="V514" s="1" t="n"/>
      <c r="Y514" s="111" t="n"/>
      <c r="Z514" s="111" t="n"/>
      <c r="AA514" s="111" t="n"/>
      <c r="AK514" s="55" t="n"/>
      <c r="AL514" s="89" t="n"/>
    </row>
    <row r="515" ht="22.5" customHeight="1" s="150">
      <c r="A515" s="34" t="n">
        <v>513</v>
      </c>
      <c r="B515" s="34" t="n"/>
      <c r="C515" s="34" t="n"/>
      <c r="D515" s="34" t="n"/>
      <c r="E515" s="34" t="n"/>
      <c r="F515" s="86" t="n"/>
      <c r="G515" s="86" t="n"/>
      <c r="H515" s="111" t="n"/>
      <c r="I515" s="87" t="n"/>
      <c r="J515" s="87" t="n"/>
      <c r="K515" s="111" t="n"/>
      <c r="L515" s="86" t="n"/>
      <c r="M515" s="142" t="inlineStr">
        <is>
          <t>Very Hard</t>
        </is>
      </c>
      <c r="N515" s="89" t="n"/>
      <c r="O515" s="144" t="n"/>
      <c r="P515" s="31" t="n"/>
      <c r="Q515" s="89" t="n"/>
      <c r="R515" s="89" t="n"/>
      <c r="S515" s="89" t="n"/>
      <c r="T515" s="55" t="n"/>
      <c r="U515" s="34" t="n"/>
      <c r="V515" s="1" t="n"/>
      <c r="Y515" s="111" t="n"/>
      <c r="Z515" s="111" t="n"/>
      <c r="AA515" s="111" t="n"/>
      <c r="AK515" s="55" t="n"/>
      <c r="AL515" s="89" t="n"/>
    </row>
    <row r="516" ht="22.5" customHeight="1" s="150">
      <c r="A516" s="34" t="n">
        <v>514</v>
      </c>
      <c r="B516" s="34" t="n"/>
      <c r="C516" s="34" t="n"/>
      <c r="D516" s="34" t="n"/>
      <c r="E516" s="34" t="n"/>
      <c r="F516" s="86" t="n"/>
      <c r="G516" s="86" t="n"/>
      <c r="H516" s="111" t="n"/>
      <c r="I516" s="87" t="n"/>
      <c r="J516" s="87" t="n"/>
      <c r="K516" s="111" t="n"/>
      <c r="L516" s="86" t="n"/>
      <c r="M516" s="139" t="inlineStr">
        <is>
          <t>Normal</t>
        </is>
      </c>
      <c r="N516" s="89" t="n"/>
      <c r="O516" s="144" t="n"/>
      <c r="P516" s="31" t="n"/>
      <c r="Q516" s="89" t="n"/>
      <c r="R516" s="89" t="n"/>
      <c r="S516" s="89" t="n"/>
      <c r="T516" s="55" t="n"/>
      <c r="U516" s="34" t="n"/>
      <c r="V516" s="1" t="n"/>
      <c r="Y516" s="111" t="n"/>
      <c r="Z516" s="111" t="n"/>
      <c r="AA516" s="111" t="n"/>
      <c r="AK516" s="55" t="n"/>
      <c r="AL516" s="89" t="n"/>
    </row>
    <row r="517" ht="22.5" customHeight="1" s="150">
      <c r="A517" s="34" t="n">
        <v>515</v>
      </c>
      <c r="B517" s="34" t="n"/>
      <c r="C517" s="34" t="n"/>
      <c r="D517" s="34" t="n"/>
      <c r="E517" s="34" t="n"/>
      <c r="F517" s="86" t="n"/>
      <c r="G517" s="86" t="n"/>
      <c r="H517" s="111" t="n"/>
      <c r="I517" s="87" t="n"/>
      <c r="J517" s="87" t="n"/>
      <c r="K517" s="111" t="n"/>
      <c r="L517" s="86" t="n"/>
      <c r="M517" s="138" t="inlineStr">
        <is>
          <t>Normal</t>
        </is>
      </c>
      <c r="N517" s="89" t="n"/>
      <c r="O517" s="144" t="n"/>
      <c r="P517" s="31" t="n"/>
      <c r="Q517" s="89" t="n"/>
      <c r="R517" s="89" t="n"/>
      <c r="S517" s="89" t="n"/>
      <c r="T517" s="55" t="n"/>
      <c r="U517" s="34" t="n"/>
      <c r="V517" s="1" t="n"/>
      <c r="Y517" s="111" t="n"/>
      <c r="Z517" s="111" t="n"/>
      <c r="AA517" s="111" t="n"/>
      <c r="AK517" s="55" t="n"/>
      <c r="AL517" s="89" t="n"/>
    </row>
    <row r="518" ht="22.5" customHeight="1" s="150">
      <c r="A518" s="34" t="n">
        <v>516</v>
      </c>
      <c r="B518" s="34" t="n"/>
      <c r="C518" s="34" t="n"/>
      <c r="D518" s="34" t="n"/>
      <c r="E518" s="34" t="n"/>
      <c r="F518" s="86" t="n"/>
      <c r="G518" s="86" t="n"/>
      <c r="H518" s="111" t="n"/>
      <c r="I518" s="87" t="n"/>
      <c r="J518" s="87" t="n"/>
      <c r="K518" s="111" t="n"/>
      <c r="L518" s="86" t="n"/>
      <c r="M518" s="139" t="inlineStr">
        <is>
          <t>Normal</t>
        </is>
      </c>
      <c r="N518" s="89" t="n"/>
      <c r="O518" s="144" t="n"/>
      <c r="P518" s="31" t="n"/>
      <c r="Q518" s="89" t="n"/>
      <c r="R518" s="89" t="n"/>
      <c r="S518" s="89" t="n"/>
      <c r="T518" s="55" t="n"/>
      <c r="U518" s="34" t="n"/>
      <c r="V518" s="1" t="n"/>
      <c r="Y518" s="111" t="n"/>
      <c r="Z518" s="111" t="n"/>
      <c r="AA518" s="111" t="n"/>
      <c r="AK518" s="55" t="n"/>
      <c r="AL518" s="89" t="n"/>
    </row>
    <row r="519" ht="22.5" customHeight="1" s="150">
      <c r="A519" s="34" t="n">
        <v>517</v>
      </c>
      <c r="B519" s="34" t="n"/>
      <c r="C519" s="34" t="n"/>
      <c r="D519" s="34" t="n"/>
      <c r="E519" s="34" t="n"/>
      <c r="F519" s="86" t="n"/>
      <c r="G519" s="86" t="n"/>
      <c r="H519" s="111" t="n"/>
      <c r="I519" s="87" t="n"/>
      <c r="J519" s="87" t="n"/>
      <c r="K519" s="111" t="n"/>
      <c r="L519" s="86" t="n"/>
      <c r="M519" s="140" t="inlineStr">
        <is>
          <t>Hard</t>
        </is>
      </c>
      <c r="N519" s="89" t="n"/>
      <c r="O519" s="144" t="n"/>
      <c r="P519" s="31" t="n"/>
      <c r="Q519" s="89" t="n"/>
      <c r="R519" s="89" t="n"/>
      <c r="S519" s="89" t="n"/>
      <c r="T519" s="55" t="n"/>
      <c r="U519" s="34" t="n"/>
      <c r="V519" s="1" t="n"/>
      <c r="Y519" s="111" t="n"/>
      <c r="Z519" s="111" t="n"/>
      <c r="AA519" s="111" t="n"/>
      <c r="AK519" s="55" t="n"/>
      <c r="AL519" s="89" t="n"/>
    </row>
    <row r="520" ht="22.5" customHeight="1" s="150">
      <c r="A520" s="34" t="n">
        <v>518</v>
      </c>
      <c r="B520" s="34" t="n"/>
      <c r="C520" s="34" t="n"/>
      <c r="D520" s="34" t="n"/>
      <c r="E520" s="34" t="n"/>
      <c r="F520" s="86" t="n"/>
      <c r="G520" s="86" t="n"/>
      <c r="H520" s="111" t="n"/>
      <c r="I520" s="87" t="n"/>
      <c r="J520" s="87" t="n"/>
      <c r="K520" s="111" t="n"/>
      <c r="L520" s="86" t="n"/>
      <c r="M520" s="143" t="inlineStr">
        <is>
          <t>Very Hard</t>
        </is>
      </c>
      <c r="N520" s="89" t="n"/>
      <c r="O520" s="144" t="n"/>
      <c r="P520" s="31" t="n"/>
      <c r="Q520" s="89" t="n"/>
      <c r="R520" s="89" t="n"/>
      <c r="S520" s="89" t="n"/>
      <c r="T520" s="55" t="n"/>
      <c r="U520" s="34" t="n"/>
      <c r="V520" s="1" t="n"/>
      <c r="Y520" s="111" t="n"/>
      <c r="Z520" s="111" t="n"/>
      <c r="AA520" s="111" t="n"/>
      <c r="AK520" s="55" t="n"/>
      <c r="AL520" s="89" t="n"/>
    </row>
    <row r="521" ht="22.5" customHeight="1" s="150">
      <c r="A521" s="34" t="n">
        <v>519</v>
      </c>
      <c r="B521" s="34" t="n"/>
      <c r="C521" s="34" t="n"/>
      <c r="D521" s="34" t="n"/>
      <c r="E521" s="34" t="n"/>
      <c r="F521" s="86" t="n"/>
      <c r="G521" s="86" t="n"/>
      <c r="H521" s="111" t="n"/>
      <c r="I521" s="87" t="n"/>
      <c r="J521" s="87" t="n"/>
      <c r="K521" s="111" t="n"/>
      <c r="L521" s="86" t="n"/>
      <c r="M521" s="138" t="inlineStr">
        <is>
          <t>Normal</t>
        </is>
      </c>
      <c r="N521" s="89" t="n"/>
      <c r="O521" s="144" t="n"/>
      <c r="P521" s="31" t="n"/>
      <c r="Q521" s="89" t="n"/>
      <c r="R521" s="89" t="n"/>
      <c r="S521" s="89" t="n"/>
      <c r="T521" s="55" t="n"/>
      <c r="U521" s="34" t="n"/>
      <c r="V521" s="1" t="n"/>
      <c r="Y521" s="111" t="n"/>
      <c r="Z521" s="111" t="n"/>
      <c r="AA521" s="111" t="n"/>
      <c r="AK521" s="55" t="n"/>
      <c r="AL521" s="89" t="n"/>
    </row>
    <row r="522" ht="22.5" customHeight="1" s="150">
      <c r="A522" s="34" t="n">
        <v>520</v>
      </c>
      <c r="B522" s="34" t="n"/>
      <c r="C522" s="34" t="n"/>
      <c r="D522" s="34" t="n"/>
      <c r="E522" s="34" t="n"/>
      <c r="F522" s="86" t="n"/>
      <c r="G522" s="86" t="n"/>
      <c r="H522" s="111" t="n"/>
      <c r="I522" s="87" t="n"/>
      <c r="J522" s="87" t="n"/>
      <c r="K522" s="111" t="n"/>
      <c r="L522" s="86" t="n"/>
      <c r="M522" s="139" t="inlineStr">
        <is>
          <t>Normal</t>
        </is>
      </c>
      <c r="N522" s="89" t="n"/>
      <c r="O522" s="144" t="n"/>
      <c r="P522" s="31" t="n"/>
      <c r="Q522" s="89" t="n"/>
      <c r="R522" s="89" t="n"/>
      <c r="S522" s="89" t="n"/>
      <c r="T522" s="55" t="n"/>
      <c r="U522" s="34" t="n"/>
      <c r="V522" s="1" t="n"/>
      <c r="Y522" s="111" t="n"/>
      <c r="Z522" s="111" t="n"/>
      <c r="AA522" s="111" t="n"/>
      <c r="AK522" s="55" t="n"/>
      <c r="AL522" s="89" t="n"/>
    </row>
    <row r="523" ht="22.5" customHeight="1" s="150">
      <c r="A523" s="34" t="n">
        <v>521</v>
      </c>
      <c r="B523" s="34" t="n"/>
      <c r="C523" s="34" t="n"/>
      <c r="D523" s="34" t="n"/>
      <c r="E523" s="34" t="n"/>
      <c r="F523" s="86" t="n"/>
      <c r="G523" s="86" t="n"/>
      <c r="H523" s="111" t="n"/>
      <c r="I523" s="87" t="n"/>
      <c r="J523" s="87" t="n"/>
      <c r="K523" s="111" t="n"/>
      <c r="L523" s="86" t="n"/>
      <c r="M523" s="138" t="inlineStr">
        <is>
          <t>Normal</t>
        </is>
      </c>
      <c r="N523" s="89" t="n"/>
      <c r="O523" s="144" t="n"/>
      <c r="P523" s="31" t="n"/>
      <c r="Q523" s="89" t="n"/>
      <c r="R523" s="89" t="n"/>
      <c r="S523" s="89" t="n"/>
      <c r="T523" s="55" t="n"/>
      <c r="U523" s="34" t="n"/>
      <c r="V523" s="1" t="n"/>
      <c r="Y523" s="111" t="n"/>
      <c r="Z523" s="111" t="n"/>
      <c r="AA523" s="111" t="n"/>
      <c r="AK523" s="55" t="n"/>
      <c r="AL523" s="89" t="n"/>
    </row>
    <row r="524" ht="22.5" customHeight="1" s="150">
      <c r="A524" s="34" t="n">
        <v>522</v>
      </c>
      <c r="B524" s="34" t="n"/>
      <c r="C524" s="34" t="n"/>
      <c r="D524" s="34" t="n"/>
      <c r="E524" s="34" t="n"/>
      <c r="F524" s="86" t="n"/>
      <c r="G524" s="86" t="n"/>
      <c r="H524" s="111" t="n"/>
      <c r="I524" s="87" t="n"/>
      <c r="J524" s="87" t="n"/>
      <c r="K524" s="111" t="n"/>
      <c r="L524" s="86" t="n"/>
      <c r="M524" s="141" t="inlineStr">
        <is>
          <t>Hard</t>
        </is>
      </c>
      <c r="N524" s="89" t="n"/>
      <c r="O524" s="144" t="n"/>
      <c r="P524" s="31" t="n"/>
      <c r="Q524" s="89" t="n"/>
      <c r="R524" s="89" t="n"/>
      <c r="S524" s="89" t="n"/>
      <c r="T524" s="55" t="n"/>
      <c r="U524" s="34" t="n"/>
      <c r="V524" s="1" t="n"/>
      <c r="Y524" s="111" t="n"/>
      <c r="Z524" s="111" t="n"/>
      <c r="AA524" s="111" t="n"/>
      <c r="AK524" s="55" t="n"/>
      <c r="AL524" s="89" t="n"/>
    </row>
    <row r="525" ht="22.5" customHeight="1" s="150">
      <c r="A525" s="34" t="n">
        <v>523</v>
      </c>
      <c r="B525" s="34" t="n"/>
      <c r="C525" s="34" t="n"/>
      <c r="D525" s="34" t="n"/>
      <c r="E525" s="34" t="n"/>
      <c r="F525" s="86" t="n"/>
      <c r="G525" s="86" t="n"/>
      <c r="H525" s="111" t="n"/>
      <c r="I525" s="87" t="n"/>
      <c r="J525" s="87" t="n"/>
      <c r="K525" s="111" t="n"/>
      <c r="L525" s="86" t="n"/>
      <c r="M525" s="142" t="inlineStr">
        <is>
          <t>Very Hard</t>
        </is>
      </c>
      <c r="N525" s="89" t="n"/>
      <c r="O525" s="144" t="n"/>
      <c r="P525" s="31" t="n"/>
      <c r="Q525" s="89" t="n"/>
      <c r="R525" s="89" t="n"/>
      <c r="S525" s="89" t="n"/>
      <c r="T525" s="55" t="n"/>
      <c r="U525" s="34" t="n"/>
      <c r="V525" s="1" t="n"/>
      <c r="Y525" s="111" t="n"/>
      <c r="Z525" s="111" t="n"/>
      <c r="AA525" s="111" t="n"/>
      <c r="AK525" s="55" t="n"/>
      <c r="AL525" s="89" t="n"/>
    </row>
    <row r="526" ht="22.5" customHeight="1" s="150">
      <c r="A526" s="34" t="n">
        <v>524</v>
      </c>
      <c r="B526" s="34" t="n"/>
      <c r="C526" s="34" t="n"/>
      <c r="D526" s="34" t="n"/>
      <c r="E526" s="34" t="n"/>
      <c r="F526" s="86" t="n"/>
      <c r="G526" s="86" t="n"/>
      <c r="H526" s="111" t="n"/>
      <c r="I526" s="87" t="n"/>
      <c r="J526" s="87" t="n"/>
      <c r="K526" s="111" t="n"/>
      <c r="L526" s="86" t="n"/>
      <c r="M526" s="139" t="inlineStr">
        <is>
          <t>Normal</t>
        </is>
      </c>
      <c r="N526" s="89" t="n"/>
      <c r="O526" s="144" t="n"/>
      <c r="P526" s="31" t="n"/>
      <c r="Q526" s="89" t="n"/>
      <c r="R526" s="89" t="n"/>
      <c r="S526" s="89" t="n"/>
      <c r="T526" s="55" t="n"/>
      <c r="U526" s="34" t="n"/>
      <c r="V526" s="1" t="n"/>
      <c r="Y526" s="111" t="n"/>
      <c r="Z526" s="111" t="n"/>
      <c r="AA526" s="111" t="n"/>
      <c r="AK526" s="55" t="n"/>
      <c r="AL526" s="89" t="n"/>
    </row>
    <row r="527" ht="22.5" customHeight="1" s="150">
      <c r="A527" s="34" t="n">
        <v>525</v>
      </c>
      <c r="B527" s="34" t="n"/>
      <c r="C527" s="34" t="n"/>
      <c r="D527" s="34" t="n"/>
      <c r="E527" s="34" t="n"/>
      <c r="F527" s="86" t="n"/>
      <c r="G527" s="86" t="n"/>
      <c r="H527" s="111" t="n"/>
      <c r="I527" s="87" t="n"/>
      <c r="J527" s="87" t="n"/>
      <c r="K527" s="111" t="n"/>
      <c r="L527" s="86" t="n"/>
      <c r="M527" s="138" t="inlineStr">
        <is>
          <t>Normal</t>
        </is>
      </c>
      <c r="N527" s="89" t="n"/>
      <c r="O527" s="144" t="n"/>
      <c r="P527" s="31" t="n"/>
      <c r="Q527" s="89" t="n"/>
      <c r="R527" s="89" t="n"/>
      <c r="S527" s="89" t="n"/>
      <c r="T527" s="55" t="n"/>
      <c r="U527" s="34" t="n"/>
      <c r="V527" s="1" t="n"/>
      <c r="Y527" s="111" t="n"/>
      <c r="Z527" s="111" t="n"/>
      <c r="AA527" s="111" t="n"/>
      <c r="AK527" s="55" t="n"/>
      <c r="AL527" s="89" t="n"/>
    </row>
    <row r="528" ht="22.5" customHeight="1" s="150">
      <c r="A528" s="34" t="n">
        <v>526</v>
      </c>
      <c r="B528" s="34" t="n"/>
      <c r="C528" s="34" t="n"/>
      <c r="D528" s="34" t="n"/>
      <c r="E528" s="34" t="n"/>
      <c r="F528" s="86" t="n"/>
      <c r="G528" s="86" t="n"/>
      <c r="H528" s="111" t="n"/>
      <c r="I528" s="87" t="n"/>
      <c r="J528" s="87" t="n"/>
      <c r="K528" s="111" t="n"/>
      <c r="L528" s="86" t="n"/>
      <c r="M528" s="139" t="inlineStr">
        <is>
          <t>Normal</t>
        </is>
      </c>
      <c r="N528" s="89" t="n"/>
      <c r="O528" s="144" t="n"/>
      <c r="P528" s="31" t="n"/>
      <c r="Q528" s="89" t="n"/>
      <c r="R528" s="89" t="n"/>
      <c r="S528" s="89" t="n"/>
      <c r="T528" s="55" t="n"/>
      <c r="U528" s="34" t="n"/>
      <c r="V528" s="1" t="n"/>
      <c r="Y528" s="111" t="n"/>
      <c r="Z528" s="111" t="n"/>
      <c r="AA528" s="111" t="n"/>
      <c r="AK528" s="55" t="n"/>
      <c r="AL528" s="89" t="n"/>
    </row>
    <row r="529" ht="22.5" customHeight="1" s="150">
      <c r="A529" s="34" t="n">
        <v>527</v>
      </c>
      <c r="B529" s="34" t="n"/>
      <c r="C529" s="34" t="n"/>
      <c r="D529" s="34" t="n"/>
      <c r="E529" s="34" t="n"/>
      <c r="F529" s="86" t="n"/>
      <c r="G529" s="86" t="n"/>
      <c r="H529" s="111" t="n"/>
      <c r="I529" s="87" t="n"/>
      <c r="J529" s="87" t="n"/>
      <c r="K529" s="111" t="n"/>
      <c r="L529" s="86" t="n"/>
      <c r="M529" s="140" t="inlineStr">
        <is>
          <t>Hard</t>
        </is>
      </c>
      <c r="N529" s="89" t="n"/>
      <c r="O529" s="144" t="n"/>
      <c r="P529" s="31" t="n"/>
      <c r="Q529" s="89" t="n"/>
      <c r="R529" s="89" t="n"/>
      <c r="S529" s="89" t="n"/>
      <c r="T529" s="55" t="n"/>
      <c r="U529" s="34" t="n"/>
      <c r="V529" s="1" t="n"/>
      <c r="Y529" s="111" t="n"/>
      <c r="Z529" s="111" t="n"/>
      <c r="AA529" s="111" t="n"/>
      <c r="AK529" s="55" t="n"/>
      <c r="AL529" s="89" t="n"/>
    </row>
    <row r="530" ht="22.5" customHeight="1" s="150">
      <c r="A530" s="34" t="n">
        <v>528</v>
      </c>
      <c r="B530" s="34" t="n"/>
      <c r="C530" s="34" t="n"/>
      <c r="D530" s="34" t="n"/>
      <c r="E530" s="34" t="n"/>
      <c r="F530" s="86" t="n"/>
      <c r="G530" s="86" t="n"/>
      <c r="H530" s="111" t="n"/>
      <c r="I530" s="87" t="n"/>
      <c r="J530" s="87" t="n"/>
      <c r="K530" s="111" t="n"/>
      <c r="L530" s="86" t="n"/>
      <c r="M530" s="143" t="inlineStr">
        <is>
          <t>Very Hard</t>
        </is>
      </c>
      <c r="N530" s="89" t="n"/>
      <c r="O530" s="144" t="n"/>
      <c r="P530" s="31" t="n"/>
      <c r="Q530" s="89" t="n"/>
      <c r="R530" s="89" t="n"/>
      <c r="S530" s="89" t="n"/>
      <c r="T530" s="55" t="n"/>
      <c r="U530" s="34" t="n"/>
      <c r="V530" s="1" t="n"/>
      <c r="Y530" s="111" t="n"/>
      <c r="Z530" s="111" t="n"/>
      <c r="AA530" s="111" t="n"/>
      <c r="AK530" s="55" t="n"/>
      <c r="AL530" s="89" t="n"/>
    </row>
    <row r="531" ht="22.5" customHeight="1" s="150">
      <c r="A531" s="34" t="n">
        <v>529</v>
      </c>
      <c r="B531" s="34" t="n"/>
      <c r="C531" s="34" t="n"/>
      <c r="D531" s="34" t="n"/>
      <c r="E531" s="34" t="n"/>
      <c r="F531" s="86" t="n"/>
      <c r="G531" s="86" t="n"/>
      <c r="H531" s="111" t="n"/>
      <c r="I531" s="87" t="n"/>
      <c r="J531" s="87" t="n"/>
      <c r="K531" s="111" t="n"/>
      <c r="L531" s="86" t="n"/>
      <c r="M531" s="138" t="inlineStr">
        <is>
          <t>Normal</t>
        </is>
      </c>
      <c r="N531" s="89" t="n"/>
      <c r="O531" s="144" t="n"/>
      <c r="P531" s="31" t="n"/>
      <c r="Q531" s="89" t="n"/>
      <c r="R531" s="89" t="n"/>
      <c r="S531" s="89" t="n"/>
      <c r="T531" s="55" t="n"/>
      <c r="U531" s="34" t="n"/>
      <c r="V531" s="1" t="n"/>
      <c r="Y531" s="111" t="n"/>
      <c r="Z531" s="111" t="n"/>
      <c r="AA531" s="111" t="n"/>
      <c r="AK531" s="55" t="n"/>
      <c r="AL531" s="89" t="n"/>
    </row>
    <row r="532" ht="22.5" customHeight="1" s="150">
      <c r="A532" s="34" t="n">
        <v>530</v>
      </c>
      <c r="B532" s="34" t="n"/>
      <c r="C532" s="34" t="n"/>
      <c r="D532" s="34" t="n"/>
      <c r="E532" s="34" t="n"/>
      <c r="F532" s="86" t="n"/>
      <c r="G532" s="86" t="n"/>
      <c r="H532" s="111" t="n"/>
      <c r="I532" s="87" t="n"/>
      <c r="J532" s="87" t="n"/>
      <c r="K532" s="111" t="n"/>
      <c r="L532" s="86" t="n"/>
      <c r="M532" s="139" t="inlineStr">
        <is>
          <t>Normal</t>
        </is>
      </c>
      <c r="N532" s="89" t="n"/>
      <c r="O532" s="144" t="n"/>
      <c r="P532" s="31" t="n"/>
      <c r="Q532" s="89" t="n"/>
      <c r="R532" s="89" t="n"/>
      <c r="S532" s="89" t="n"/>
      <c r="T532" s="55" t="n"/>
      <c r="U532" s="34" t="n"/>
      <c r="V532" s="1" t="n"/>
      <c r="Y532" s="111" t="n"/>
      <c r="Z532" s="111" t="n"/>
      <c r="AA532" s="111" t="n"/>
      <c r="AK532" s="55" t="n"/>
      <c r="AL532" s="89" t="n"/>
    </row>
    <row r="533" ht="22.5" customHeight="1" s="150">
      <c r="A533" s="34" t="n">
        <v>531</v>
      </c>
      <c r="B533" s="34" t="n"/>
      <c r="C533" s="34" t="n"/>
      <c r="D533" s="34" t="n"/>
      <c r="E533" s="34" t="n"/>
      <c r="F533" s="86" t="n"/>
      <c r="G533" s="86" t="n"/>
      <c r="H533" s="111" t="n"/>
      <c r="I533" s="87" t="n"/>
      <c r="J533" s="87" t="n"/>
      <c r="K533" s="111" t="n"/>
      <c r="L533" s="86" t="n"/>
      <c r="M533" s="138" t="inlineStr">
        <is>
          <t>Normal</t>
        </is>
      </c>
      <c r="N533" s="89" t="n"/>
      <c r="O533" s="144" t="n"/>
      <c r="P533" s="31" t="n"/>
      <c r="Q533" s="89" t="n"/>
      <c r="R533" s="89" t="n"/>
      <c r="S533" s="89" t="n"/>
      <c r="T533" s="55" t="n"/>
      <c r="U533" s="34" t="n"/>
      <c r="V533" s="1" t="n"/>
      <c r="Y533" s="111" t="n"/>
      <c r="Z533" s="111" t="n"/>
      <c r="AA533" s="111" t="n"/>
      <c r="AK533" s="55" t="n"/>
      <c r="AL533" s="89" t="n"/>
    </row>
    <row r="534" ht="22.5" customHeight="1" s="150">
      <c r="A534" s="34" t="n">
        <v>532</v>
      </c>
      <c r="B534" s="34" t="n"/>
      <c r="C534" s="34" t="n"/>
      <c r="D534" s="34" t="n"/>
      <c r="E534" s="34" t="n"/>
      <c r="F534" s="86" t="n"/>
      <c r="G534" s="86" t="n"/>
      <c r="H534" s="111" t="n"/>
      <c r="I534" s="87" t="n"/>
      <c r="J534" s="87" t="n"/>
      <c r="K534" s="111" t="n"/>
      <c r="L534" s="86" t="n"/>
      <c r="M534" s="141" t="inlineStr">
        <is>
          <t>Hard</t>
        </is>
      </c>
      <c r="N534" s="89" t="n"/>
      <c r="O534" s="144" t="n"/>
      <c r="P534" s="31" t="n"/>
      <c r="Q534" s="89" t="n"/>
      <c r="R534" s="89" t="n"/>
      <c r="S534" s="89" t="n"/>
      <c r="T534" s="55" t="n"/>
      <c r="U534" s="34" t="n"/>
      <c r="V534" s="1" t="n"/>
      <c r="Y534" s="111" t="n"/>
      <c r="Z534" s="111" t="n"/>
      <c r="AA534" s="111" t="n"/>
      <c r="AK534" s="55" t="n"/>
      <c r="AL534" s="89" t="n"/>
    </row>
    <row r="535" ht="22.5" customHeight="1" s="150">
      <c r="A535" s="34" t="n">
        <v>533</v>
      </c>
      <c r="B535" s="34" t="n"/>
      <c r="C535" s="34" t="n"/>
      <c r="D535" s="34" t="n"/>
      <c r="E535" s="34" t="n"/>
      <c r="F535" s="86" t="n"/>
      <c r="G535" s="86" t="n"/>
      <c r="H535" s="111" t="n"/>
      <c r="I535" s="87" t="n"/>
      <c r="J535" s="87" t="n"/>
      <c r="K535" s="111" t="n"/>
      <c r="L535" s="86" t="n"/>
      <c r="M535" s="142" t="inlineStr">
        <is>
          <t>Very Hard</t>
        </is>
      </c>
      <c r="N535" s="89" t="n"/>
      <c r="O535" s="144" t="n"/>
      <c r="P535" s="31" t="n"/>
      <c r="Q535" s="89" t="n"/>
      <c r="R535" s="89" t="n"/>
      <c r="S535" s="89" t="n"/>
      <c r="T535" s="55" t="n"/>
      <c r="U535" s="34" t="n"/>
      <c r="V535" s="1" t="n"/>
      <c r="Y535" s="111" t="n"/>
      <c r="Z535" s="111" t="n"/>
      <c r="AA535" s="111" t="n"/>
      <c r="AK535" s="55" t="n"/>
      <c r="AL535" s="89" t="n"/>
    </row>
    <row r="536" ht="22.5" customHeight="1" s="150">
      <c r="A536" s="34" t="n">
        <v>534</v>
      </c>
      <c r="B536" s="34" t="n"/>
      <c r="C536" s="34" t="n"/>
      <c r="D536" s="34" t="n"/>
      <c r="E536" s="34" t="n"/>
      <c r="F536" s="86" t="n"/>
      <c r="G536" s="86" t="n"/>
      <c r="H536" s="111" t="n"/>
      <c r="I536" s="87" t="n"/>
      <c r="J536" s="87" t="n"/>
      <c r="K536" s="111" t="n"/>
      <c r="L536" s="86" t="n"/>
      <c r="M536" s="139" t="inlineStr">
        <is>
          <t>Normal</t>
        </is>
      </c>
      <c r="N536" s="89" t="n"/>
      <c r="O536" s="144" t="n"/>
      <c r="P536" s="31" t="n"/>
      <c r="Q536" s="89" t="n"/>
      <c r="R536" s="89" t="n"/>
      <c r="S536" s="89" t="n"/>
      <c r="T536" s="55" t="n"/>
      <c r="U536" s="34" t="n"/>
      <c r="V536" s="1" t="n"/>
      <c r="Y536" s="111" t="n"/>
      <c r="Z536" s="111" t="n"/>
      <c r="AA536" s="111" t="n"/>
      <c r="AK536" s="55" t="n"/>
      <c r="AL536" s="89" t="n"/>
    </row>
    <row r="537" ht="22.5" customHeight="1" s="150">
      <c r="A537" s="34" t="n">
        <v>535</v>
      </c>
      <c r="B537" s="34" t="n"/>
      <c r="C537" s="34" t="n"/>
      <c r="D537" s="34" t="n"/>
      <c r="E537" s="34" t="n"/>
      <c r="F537" s="86" t="n"/>
      <c r="G537" s="86" t="n"/>
      <c r="H537" s="111" t="n"/>
      <c r="I537" s="87" t="n"/>
      <c r="J537" s="87" t="n"/>
      <c r="K537" s="111" t="n"/>
      <c r="L537" s="86" t="n"/>
      <c r="M537" s="138" t="inlineStr">
        <is>
          <t>Normal</t>
        </is>
      </c>
      <c r="N537" s="89" t="n"/>
      <c r="O537" s="144" t="n"/>
      <c r="P537" s="31" t="n"/>
      <c r="Q537" s="89" t="n"/>
      <c r="R537" s="89" t="n"/>
      <c r="S537" s="89" t="n"/>
      <c r="T537" s="55" t="n"/>
      <c r="U537" s="34" t="n"/>
      <c r="V537" s="1" t="n"/>
      <c r="Y537" s="111" t="n"/>
      <c r="Z537" s="111" t="n"/>
      <c r="AA537" s="111" t="n"/>
      <c r="AK537" s="55" t="n"/>
      <c r="AL537" s="89" t="n"/>
    </row>
    <row r="538" ht="22.5" customHeight="1" s="150">
      <c r="A538" s="34" t="n">
        <v>536</v>
      </c>
      <c r="B538" s="34" t="n"/>
      <c r="C538" s="34" t="n"/>
      <c r="D538" s="34" t="n"/>
      <c r="E538" s="34" t="n"/>
      <c r="F538" s="86" t="n"/>
      <c r="G538" s="86" t="n"/>
      <c r="H538" s="111" t="n"/>
      <c r="I538" s="87" t="n"/>
      <c r="J538" s="87" t="n"/>
      <c r="K538" s="111" t="n"/>
      <c r="L538" s="86" t="n"/>
      <c r="M538" s="139" t="inlineStr">
        <is>
          <t>Normal</t>
        </is>
      </c>
      <c r="N538" s="89" t="n"/>
      <c r="O538" s="144" t="n"/>
      <c r="P538" s="31" t="n"/>
      <c r="Q538" s="89" t="n"/>
      <c r="R538" s="89" t="n"/>
      <c r="S538" s="89" t="n"/>
      <c r="T538" s="55" t="n"/>
      <c r="U538" s="34" t="n"/>
      <c r="V538" s="1" t="n"/>
      <c r="Y538" s="111" t="n"/>
      <c r="Z538" s="111" t="n"/>
      <c r="AA538" s="111" t="n"/>
      <c r="AK538" s="55" t="n"/>
      <c r="AL538" s="89" t="n"/>
    </row>
    <row r="539" ht="22.5" customHeight="1" s="150">
      <c r="A539" s="34" t="n">
        <v>537</v>
      </c>
      <c r="B539" s="34" t="n"/>
      <c r="C539" s="34" t="n"/>
      <c r="D539" s="34" t="n"/>
      <c r="E539" s="34" t="n"/>
      <c r="F539" s="86" t="n"/>
      <c r="G539" s="86" t="n"/>
      <c r="H539" s="111" t="n"/>
      <c r="I539" s="87" t="n"/>
      <c r="J539" s="87" t="n"/>
      <c r="K539" s="111" t="n"/>
      <c r="L539" s="86" t="n"/>
      <c r="M539" s="140" t="inlineStr">
        <is>
          <t>Hard</t>
        </is>
      </c>
      <c r="N539" s="89" t="n"/>
      <c r="O539" s="144" t="n"/>
      <c r="P539" s="31" t="n"/>
      <c r="Q539" s="89" t="n"/>
      <c r="R539" s="89" t="n"/>
      <c r="S539" s="89" t="n"/>
      <c r="T539" s="55" t="n"/>
      <c r="U539" s="34" t="n"/>
      <c r="V539" s="1" t="n"/>
      <c r="Y539" s="111" t="n"/>
      <c r="Z539" s="111" t="n"/>
      <c r="AA539" s="111" t="n"/>
      <c r="AK539" s="55" t="n"/>
      <c r="AL539" s="89" t="n"/>
    </row>
    <row r="540" ht="22.5" customHeight="1" s="150">
      <c r="A540" s="34" t="n">
        <v>538</v>
      </c>
      <c r="B540" s="34" t="n"/>
      <c r="C540" s="34" t="n"/>
      <c r="D540" s="34" t="n"/>
      <c r="E540" s="34" t="n"/>
      <c r="F540" s="86" t="n"/>
      <c r="G540" s="86" t="n"/>
      <c r="H540" s="111" t="n"/>
      <c r="I540" s="87" t="n"/>
      <c r="J540" s="87" t="n"/>
      <c r="K540" s="111" t="n"/>
      <c r="L540" s="86" t="n"/>
      <c r="M540" s="143" t="inlineStr">
        <is>
          <t>Very Hard</t>
        </is>
      </c>
      <c r="N540" s="89" t="n"/>
      <c r="O540" s="144" t="n"/>
      <c r="P540" s="31" t="n"/>
      <c r="Q540" s="89" t="n"/>
      <c r="R540" s="89" t="n"/>
      <c r="S540" s="89" t="n"/>
      <c r="T540" s="55" t="n"/>
      <c r="U540" s="34" t="n"/>
      <c r="V540" s="1" t="n"/>
      <c r="Y540" s="111" t="n"/>
      <c r="Z540" s="111" t="n"/>
      <c r="AA540" s="111" t="n"/>
      <c r="AK540" s="55" t="n"/>
      <c r="AL540" s="89" t="n"/>
    </row>
    <row r="541" ht="22.5" customHeight="1" s="150">
      <c r="A541" s="34" t="n">
        <v>539</v>
      </c>
      <c r="B541" s="34" t="n"/>
      <c r="C541" s="34" t="n"/>
      <c r="D541" s="34" t="n"/>
      <c r="E541" s="34" t="n"/>
      <c r="F541" s="86" t="n"/>
      <c r="G541" s="86" t="n"/>
      <c r="H541" s="111" t="n"/>
      <c r="I541" s="87" t="n"/>
      <c r="J541" s="87" t="n"/>
      <c r="K541" s="111" t="n"/>
      <c r="L541" s="86" t="n"/>
      <c r="M541" s="138" t="inlineStr">
        <is>
          <t>Normal</t>
        </is>
      </c>
      <c r="N541" s="89" t="n"/>
      <c r="O541" s="144" t="n"/>
      <c r="P541" s="31" t="n"/>
      <c r="Q541" s="89" t="n"/>
      <c r="R541" s="89" t="n"/>
      <c r="S541" s="89" t="n"/>
      <c r="T541" s="55" t="n"/>
      <c r="U541" s="34" t="n"/>
      <c r="V541" s="1" t="n"/>
      <c r="Y541" s="111" t="n"/>
      <c r="Z541" s="111" t="n"/>
      <c r="AA541" s="111" t="n"/>
      <c r="AK541" s="55" t="n"/>
      <c r="AL541" s="89" t="n"/>
    </row>
    <row r="542" ht="22.5" customHeight="1" s="150">
      <c r="A542" s="34" t="n">
        <v>540</v>
      </c>
      <c r="B542" s="34" t="n"/>
      <c r="C542" s="34" t="n"/>
      <c r="D542" s="34" t="n"/>
      <c r="E542" s="34" t="n"/>
      <c r="F542" s="86" t="n"/>
      <c r="G542" s="86" t="n"/>
      <c r="H542" s="111" t="n"/>
      <c r="I542" s="87" t="n"/>
      <c r="J542" s="87" t="n"/>
      <c r="K542" s="111" t="n"/>
      <c r="L542" s="86" t="n"/>
      <c r="M542" s="139" t="inlineStr">
        <is>
          <t>Normal</t>
        </is>
      </c>
      <c r="N542" s="89" t="n"/>
      <c r="O542" s="144" t="n"/>
      <c r="P542" s="31" t="n"/>
      <c r="Q542" s="89" t="n"/>
      <c r="R542" s="89" t="n"/>
      <c r="S542" s="89" t="n"/>
      <c r="T542" s="55" t="n"/>
      <c r="U542" s="34" t="n"/>
      <c r="V542" s="1" t="n"/>
      <c r="Y542" s="111" t="n"/>
      <c r="Z542" s="111" t="n"/>
      <c r="AA542" s="111" t="n"/>
      <c r="AK542" s="55" t="n"/>
      <c r="AL542" s="89" t="n"/>
    </row>
    <row r="543" ht="22.5" customHeight="1" s="150">
      <c r="A543" s="34" t="n">
        <v>541</v>
      </c>
      <c r="B543" s="34" t="n"/>
      <c r="C543" s="34" t="n"/>
      <c r="D543" s="34" t="n"/>
      <c r="E543" s="34" t="n"/>
      <c r="F543" s="86" t="n"/>
      <c r="G543" s="86" t="n"/>
      <c r="H543" s="111" t="n"/>
      <c r="I543" s="87" t="n"/>
      <c r="J543" s="87" t="n"/>
      <c r="K543" s="111" t="n"/>
      <c r="L543" s="86" t="n"/>
      <c r="M543" s="138" t="inlineStr">
        <is>
          <t>Normal</t>
        </is>
      </c>
      <c r="N543" s="89" t="n"/>
      <c r="O543" s="144" t="n"/>
      <c r="P543" s="31" t="n"/>
      <c r="Q543" s="89" t="n"/>
      <c r="R543" s="89" t="n"/>
      <c r="S543" s="89" t="n"/>
      <c r="T543" s="55" t="n"/>
      <c r="V543" s="1" t="n"/>
      <c r="Y543" s="111" t="n"/>
      <c r="Z543" s="111" t="n"/>
      <c r="AA543" s="111" t="n"/>
      <c r="AK543" s="55" t="n"/>
      <c r="AL543" s="89" t="n"/>
    </row>
    <row r="544" ht="22.5" customHeight="1" s="150">
      <c r="A544" s="34" t="n">
        <v>542</v>
      </c>
      <c r="B544" s="34" t="n"/>
      <c r="C544" s="34" t="n"/>
      <c r="D544" s="34" t="n"/>
      <c r="E544" s="34" t="n"/>
      <c r="F544" s="86" t="n"/>
      <c r="G544" s="86" t="n"/>
      <c r="H544" s="111" t="n"/>
      <c r="I544" s="87" t="n"/>
      <c r="J544" s="87" t="n"/>
      <c r="K544" s="111" t="n"/>
      <c r="L544" s="86" t="n"/>
      <c r="M544" s="141" t="inlineStr">
        <is>
          <t>Hard</t>
        </is>
      </c>
      <c r="N544" s="89" t="n"/>
      <c r="O544" s="144" t="n"/>
      <c r="P544" s="31" t="n"/>
      <c r="Q544" s="89" t="n"/>
      <c r="R544" s="89" t="n"/>
      <c r="S544" s="89" t="n"/>
      <c r="T544" s="55" t="n"/>
      <c r="V544" s="1" t="n"/>
      <c r="Y544" s="111" t="n"/>
      <c r="Z544" s="111" t="n"/>
      <c r="AA544" s="111" t="n"/>
      <c r="AK544" s="55" t="n"/>
      <c r="AL544" s="89" t="n"/>
    </row>
    <row r="545" ht="22.5" customHeight="1" s="150">
      <c r="A545" s="34" t="n">
        <v>543</v>
      </c>
      <c r="B545" s="34" t="n"/>
      <c r="C545" s="34" t="n"/>
      <c r="D545" s="34" t="n"/>
      <c r="E545" s="34" t="n"/>
      <c r="F545" s="86" t="n"/>
      <c r="G545" s="86" t="n"/>
      <c r="H545" s="111" t="n"/>
      <c r="I545" s="87" t="n"/>
      <c r="J545" s="87" t="n"/>
      <c r="K545" s="111" t="n"/>
      <c r="L545" s="86" t="n"/>
      <c r="M545" s="142" t="inlineStr">
        <is>
          <t>Very Hard</t>
        </is>
      </c>
      <c r="N545" s="89" t="n"/>
      <c r="O545" s="144" t="n"/>
      <c r="P545" s="31" t="n"/>
      <c r="Q545" s="89" t="n"/>
      <c r="R545" s="89" t="n"/>
      <c r="S545" s="89" t="n"/>
      <c r="T545" s="55" t="n"/>
      <c r="V545" s="1" t="n"/>
      <c r="Y545" s="111" t="n"/>
      <c r="Z545" s="111" t="n"/>
      <c r="AA545" s="111" t="n"/>
      <c r="AK545" s="55" t="n"/>
      <c r="AL545" s="89" t="n"/>
    </row>
    <row r="546" ht="22.5" customHeight="1" s="150">
      <c r="A546" s="34" t="n">
        <v>544</v>
      </c>
      <c r="B546" s="34" t="n"/>
      <c r="C546" s="34" t="n"/>
      <c r="D546" s="34" t="n"/>
      <c r="E546" s="34" t="n"/>
      <c r="F546" s="86" t="n"/>
      <c r="G546" s="86" t="n"/>
      <c r="H546" s="111" t="n"/>
      <c r="I546" s="87" t="n"/>
      <c r="J546" s="87" t="n"/>
      <c r="K546" s="111" t="n"/>
      <c r="L546" s="86" t="n"/>
      <c r="M546" s="139" t="inlineStr">
        <is>
          <t>Normal</t>
        </is>
      </c>
      <c r="N546" s="89" t="n"/>
      <c r="O546" s="144" t="n"/>
      <c r="P546" s="31" t="n"/>
      <c r="Q546" s="89" t="n"/>
      <c r="R546" s="89" t="n"/>
      <c r="S546" s="89" t="n"/>
      <c r="T546" s="55" t="n"/>
      <c r="V546" s="1" t="n"/>
      <c r="Y546" s="111" t="n"/>
      <c r="Z546" s="111" t="n"/>
      <c r="AA546" s="111" t="n"/>
      <c r="AK546" s="55" t="n"/>
      <c r="AL546" s="89" t="n"/>
    </row>
    <row r="547" ht="22.5" customHeight="1" s="150">
      <c r="A547" s="34" t="n">
        <v>545</v>
      </c>
      <c r="B547" s="34" t="n"/>
      <c r="C547" s="34" t="n"/>
      <c r="D547" s="34" t="n"/>
      <c r="E547" s="34" t="n"/>
      <c r="F547" s="86" t="n"/>
      <c r="G547" s="86" t="n"/>
      <c r="H547" s="111" t="n"/>
      <c r="I547" s="87" t="n"/>
      <c r="J547" s="87" t="n"/>
      <c r="K547" s="111" t="n"/>
      <c r="L547" s="86" t="n"/>
      <c r="M547" s="138" t="inlineStr">
        <is>
          <t>Normal</t>
        </is>
      </c>
      <c r="N547" s="89" t="n"/>
      <c r="O547" s="144" t="n"/>
      <c r="P547" s="31" t="n"/>
      <c r="Q547" s="89" t="n"/>
      <c r="R547" s="89" t="n"/>
      <c r="S547" s="89" t="n"/>
      <c r="T547" s="55" t="n"/>
      <c r="V547" s="1" t="n"/>
      <c r="Y547" s="111" t="n"/>
      <c r="Z547" s="111" t="n"/>
      <c r="AA547" s="111" t="n"/>
      <c r="AK547" s="55" t="n"/>
      <c r="AL547" s="89" t="n"/>
    </row>
    <row r="548" ht="22.5" customHeight="1" s="150">
      <c r="A548" s="34" t="n">
        <v>546</v>
      </c>
      <c r="B548" s="34" t="n"/>
      <c r="C548" s="34" t="n"/>
      <c r="D548" s="34" t="n"/>
      <c r="E548" s="34" t="n"/>
      <c r="F548" s="86" t="n"/>
      <c r="G548" s="86" t="n"/>
      <c r="H548" s="111" t="n"/>
      <c r="I548" s="87" t="n"/>
      <c r="J548" s="87" t="n"/>
      <c r="K548" s="111" t="n"/>
      <c r="L548" s="86" t="n"/>
      <c r="M548" s="139" t="inlineStr">
        <is>
          <t>Normal</t>
        </is>
      </c>
      <c r="N548" s="89" t="n"/>
      <c r="O548" s="144" t="n"/>
      <c r="P548" s="31" t="n"/>
      <c r="Q548" s="89" t="n"/>
      <c r="R548" s="89" t="n"/>
      <c r="S548" s="89" t="n"/>
      <c r="T548" s="55" t="n"/>
      <c r="V548" s="1" t="n"/>
      <c r="Y548" s="111" t="n"/>
      <c r="Z548" s="111" t="n"/>
      <c r="AA548" s="111" t="n"/>
      <c r="AK548" s="55" t="n"/>
      <c r="AL548" s="89" t="n"/>
    </row>
    <row r="549" ht="22.5" customHeight="1" s="150">
      <c r="A549" s="34" t="n">
        <v>547</v>
      </c>
      <c r="B549" s="34" t="n"/>
      <c r="C549" s="34" t="n"/>
      <c r="D549" s="34" t="n"/>
      <c r="E549" s="34" t="n"/>
      <c r="F549" s="86" t="n"/>
      <c r="G549" s="86" t="n"/>
      <c r="H549" s="111" t="n"/>
      <c r="I549" s="87" t="n"/>
      <c r="J549" s="87" t="n"/>
      <c r="K549" s="111" t="n"/>
      <c r="L549" s="86" t="n"/>
      <c r="M549" s="140" t="inlineStr">
        <is>
          <t>Hard</t>
        </is>
      </c>
      <c r="N549" s="89" t="n"/>
      <c r="O549" s="144" t="n"/>
      <c r="P549" s="31" t="n"/>
      <c r="Q549" s="89" t="n"/>
      <c r="R549" s="89" t="n"/>
      <c r="S549" s="89" t="n"/>
      <c r="T549" s="55" t="n"/>
      <c r="V549" s="1" t="n"/>
      <c r="Y549" s="111" t="n"/>
      <c r="Z549" s="111" t="n"/>
      <c r="AA549" s="111" t="n"/>
      <c r="AK549" s="55" t="n"/>
      <c r="AL549" s="89" t="n"/>
    </row>
    <row r="550" ht="22.5" customHeight="1" s="150">
      <c r="A550" s="34" t="n">
        <v>548</v>
      </c>
      <c r="B550" s="34" t="n"/>
      <c r="C550" s="34" t="n"/>
      <c r="D550" s="34" t="n"/>
      <c r="E550" s="34" t="n"/>
      <c r="F550" s="86" t="n"/>
      <c r="G550" s="86" t="n"/>
      <c r="H550" s="111" t="n"/>
      <c r="I550" s="87" t="n"/>
      <c r="J550" s="87" t="n"/>
      <c r="K550" s="111" t="n"/>
      <c r="L550" s="86" t="n"/>
      <c r="M550" s="143" t="inlineStr">
        <is>
          <t>Very Hard</t>
        </is>
      </c>
      <c r="N550" s="89" t="n"/>
      <c r="O550" s="144" t="n"/>
      <c r="P550" s="31" t="n"/>
      <c r="Q550" s="89" t="n"/>
      <c r="R550" s="89" t="n"/>
      <c r="S550" s="89" t="n"/>
      <c r="T550" s="55" t="n"/>
      <c r="V550" s="1" t="n"/>
      <c r="Y550" s="111" t="n"/>
      <c r="Z550" s="111" t="n"/>
      <c r="AA550" s="111" t="n"/>
      <c r="AK550" s="55" t="n"/>
      <c r="AL550" s="89" t="n"/>
    </row>
    <row r="551" ht="22.5" customHeight="1" s="150">
      <c r="A551" s="34" t="n">
        <v>549</v>
      </c>
      <c r="B551" s="34" t="n"/>
      <c r="C551" s="34" t="n"/>
      <c r="D551" s="34" t="n"/>
      <c r="E551" s="34" t="n"/>
      <c r="F551" s="86" t="n"/>
      <c r="G551" s="86" t="n"/>
      <c r="H551" s="111" t="n"/>
      <c r="I551" s="87" t="n"/>
      <c r="J551" s="87" t="n"/>
      <c r="K551" s="111" t="n"/>
      <c r="L551" s="86" t="n"/>
      <c r="M551" s="138" t="inlineStr">
        <is>
          <t>Normal</t>
        </is>
      </c>
      <c r="N551" s="89" t="n"/>
      <c r="O551" s="144" t="n"/>
      <c r="P551" s="31" t="n"/>
      <c r="Q551" s="89" t="n"/>
      <c r="R551" s="89" t="n"/>
      <c r="S551" s="89" t="n"/>
      <c r="T551" s="55" t="n"/>
      <c r="V551" s="1" t="n"/>
      <c r="Y551" s="111" t="n"/>
      <c r="Z551" s="111" t="n"/>
      <c r="AA551" s="111" t="n"/>
      <c r="AK551" s="55" t="n"/>
      <c r="AL551" s="89" t="n"/>
    </row>
    <row r="552" ht="22.5" customHeight="1" s="150">
      <c r="A552" s="34" t="n">
        <v>550</v>
      </c>
      <c r="B552" s="34" t="n"/>
      <c r="C552" s="34" t="n"/>
      <c r="D552" s="34" t="n"/>
      <c r="E552" s="34" t="n"/>
      <c r="F552" s="86" t="n"/>
      <c r="G552" s="86" t="n"/>
      <c r="H552" s="111" t="n"/>
      <c r="I552" s="87" t="n"/>
      <c r="J552" s="87" t="n"/>
      <c r="K552" s="111" t="n"/>
      <c r="L552" s="86" t="n"/>
      <c r="M552" s="139" t="inlineStr">
        <is>
          <t>Normal</t>
        </is>
      </c>
      <c r="N552" s="89" t="n"/>
      <c r="O552" s="144" t="n"/>
      <c r="P552" s="31" t="n"/>
      <c r="Q552" s="89" t="n"/>
      <c r="R552" s="89" t="n"/>
      <c r="S552" s="89" t="n"/>
      <c r="T552" s="55" t="n"/>
      <c r="V552" s="1" t="n"/>
      <c r="Y552" s="111" t="n"/>
      <c r="Z552" s="111" t="n"/>
      <c r="AA552" s="111" t="n"/>
      <c r="AK552" s="55" t="n"/>
      <c r="AL552" s="89" t="n"/>
    </row>
    <row r="553" ht="22.5" customHeight="1" s="150">
      <c r="A553" s="34" t="n">
        <v>551</v>
      </c>
      <c r="B553" s="34" t="n"/>
      <c r="C553" s="34" t="n"/>
      <c r="D553" s="34" t="n"/>
      <c r="E553" s="34" t="n"/>
      <c r="F553" s="86" t="n"/>
      <c r="G553" s="86" t="n"/>
      <c r="H553" s="111" t="n"/>
      <c r="I553" s="87" t="n"/>
      <c r="J553" s="87" t="n"/>
      <c r="K553" s="111" t="n"/>
      <c r="L553" s="86" t="n"/>
      <c r="M553" s="138" t="inlineStr">
        <is>
          <t>Normal</t>
        </is>
      </c>
      <c r="N553" s="89" t="n"/>
      <c r="O553" s="144" t="n"/>
      <c r="P553" s="31" t="n"/>
      <c r="Q553" s="89" t="n"/>
      <c r="R553" s="89" t="n"/>
      <c r="S553" s="89" t="n"/>
      <c r="T553" s="55" t="n"/>
      <c r="V553" s="1" t="n"/>
      <c r="Y553" s="111" t="n"/>
      <c r="Z553" s="111" t="n"/>
      <c r="AA553" s="111" t="n"/>
      <c r="AK553" s="55" t="n"/>
      <c r="AL553" s="89" t="n"/>
    </row>
    <row r="554" ht="22.5" customHeight="1" s="150">
      <c r="A554" s="34" t="n">
        <v>552</v>
      </c>
      <c r="B554" s="34" t="n"/>
      <c r="C554" s="34" t="n"/>
      <c r="D554" s="34" t="n"/>
      <c r="E554" s="34" t="n"/>
      <c r="F554" s="86" t="n"/>
      <c r="G554" s="86" t="n"/>
      <c r="H554" s="111" t="n"/>
      <c r="I554" s="87" t="n"/>
      <c r="J554" s="87" t="n"/>
      <c r="K554" s="111" t="n"/>
      <c r="L554" s="86" t="n"/>
      <c r="M554" s="139" t="inlineStr">
        <is>
          <t>Normal</t>
        </is>
      </c>
      <c r="N554" s="89" t="n"/>
      <c r="O554" s="144" t="n"/>
      <c r="P554" s="31" t="n"/>
      <c r="Q554" s="89" t="n"/>
      <c r="R554" s="89" t="n"/>
      <c r="S554" s="89" t="n"/>
      <c r="T554" s="55" t="n"/>
      <c r="V554" s="1" t="n"/>
      <c r="Y554" s="111" t="n"/>
      <c r="Z554" s="111" t="n"/>
      <c r="AA554" s="111" t="n"/>
      <c r="AK554" s="55" t="n"/>
      <c r="AL554" s="89" t="n"/>
    </row>
    <row r="555" ht="22.5" customHeight="1" s="150">
      <c r="A555" s="34" t="n">
        <v>553</v>
      </c>
      <c r="B555" s="34" t="n"/>
      <c r="C555" s="34" t="n"/>
      <c r="D555" s="34" t="n"/>
      <c r="E555" s="34" t="n"/>
      <c r="F555" s="86" t="n"/>
      <c r="G555" s="86" t="n"/>
      <c r="H555" s="111" t="n"/>
      <c r="I555" s="87" t="n"/>
      <c r="J555" s="87" t="n"/>
      <c r="K555" s="111" t="n"/>
      <c r="L555" s="86" t="n"/>
      <c r="M555" s="142" t="inlineStr">
        <is>
          <t>Very Hard</t>
        </is>
      </c>
      <c r="N555" s="89" t="n"/>
      <c r="O555" s="144" t="n"/>
      <c r="P555" s="31" t="n"/>
      <c r="Q555" s="89" t="n"/>
      <c r="R555" s="89" t="n"/>
      <c r="S555" s="89" t="n"/>
      <c r="T555" s="55" t="n"/>
      <c r="V555" s="1" t="n"/>
      <c r="Y555" s="111" t="n"/>
      <c r="Z555" s="111" t="n"/>
      <c r="AA555" s="111" t="n"/>
      <c r="AK555" s="55" t="n"/>
      <c r="AL555" s="89" t="n"/>
    </row>
    <row r="556" ht="22.5" customHeight="1" s="150">
      <c r="A556" s="34" t="n">
        <v>554</v>
      </c>
      <c r="B556" s="34" t="n"/>
      <c r="C556" s="34" t="n"/>
      <c r="D556" s="34" t="n"/>
      <c r="E556" s="34" t="n"/>
      <c r="F556" s="86" t="n"/>
      <c r="G556" s="86" t="n"/>
      <c r="H556" s="111" t="n"/>
      <c r="I556" s="87" t="n"/>
      <c r="J556" s="87" t="n"/>
      <c r="K556" s="111" t="n"/>
      <c r="L556" s="86" t="n"/>
      <c r="M556" s="139" t="inlineStr">
        <is>
          <t>Normal</t>
        </is>
      </c>
      <c r="N556" s="89" t="n"/>
      <c r="O556" s="144" t="n"/>
      <c r="P556" s="31" t="n"/>
      <c r="Q556" s="89" t="n"/>
      <c r="R556" s="89" t="n"/>
      <c r="S556" s="89" t="n"/>
      <c r="T556" s="55" t="n"/>
      <c r="V556" s="1" t="n"/>
      <c r="Y556" s="111" t="n"/>
      <c r="Z556" s="111" t="n"/>
      <c r="AA556" s="111" t="n"/>
      <c r="AK556" s="55" t="n"/>
      <c r="AL556" s="89" t="n"/>
    </row>
    <row r="557" ht="22.5" customHeight="1" s="150">
      <c r="A557" s="34" t="n">
        <v>555</v>
      </c>
      <c r="B557" s="34" t="n"/>
      <c r="C557" s="34" t="n"/>
      <c r="D557" s="34" t="n"/>
      <c r="E557" s="34" t="n"/>
      <c r="F557" s="86" t="n"/>
      <c r="G557" s="86" t="n"/>
      <c r="H557" s="111" t="n"/>
      <c r="I557" s="87" t="n"/>
      <c r="J557" s="87" t="n"/>
      <c r="K557" s="111" t="n"/>
      <c r="L557" s="86" t="n"/>
      <c r="M557" s="138" t="inlineStr">
        <is>
          <t>Normal</t>
        </is>
      </c>
      <c r="N557" s="89" t="n"/>
      <c r="O557" s="144" t="n"/>
      <c r="P557" s="31" t="n"/>
      <c r="Q557" s="89" t="n"/>
      <c r="R557" s="89" t="n"/>
      <c r="S557" s="89" t="n"/>
      <c r="T557" s="55" t="n"/>
      <c r="V557" s="1" t="n"/>
      <c r="Y557" s="111" t="n"/>
      <c r="Z557" s="111" t="n"/>
      <c r="AA557" s="111" t="n"/>
      <c r="AK557" s="55" t="n"/>
      <c r="AL557" s="89" t="n"/>
    </row>
    <row r="558" ht="22.5" customHeight="1" s="150">
      <c r="A558" s="34" t="n">
        <v>556</v>
      </c>
      <c r="B558" s="34" t="n"/>
      <c r="C558" s="34" t="n"/>
      <c r="D558" s="34" t="n"/>
      <c r="E558" s="34" t="n"/>
      <c r="F558" s="86" t="n"/>
      <c r="G558" s="86" t="n"/>
      <c r="H558" s="111" t="n"/>
      <c r="I558" s="87" t="n"/>
      <c r="J558" s="87" t="n"/>
      <c r="K558" s="111" t="n"/>
      <c r="L558" s="86" t="n"/>
      <c r="M558" s="139" t="inlineStr">
        <is>
          <t>Normal</t>
        </is>
      </c>
      <c r="N558" s="89" t="n"/>
      <c r="O558" s="144" t="n"/>
      <c r="P558" s="31" t="n"/>
      <c r="Q558" s="89" t="n"/>
      <c r="R558" s="89" t="n"/>
      <c r="S558" s="89" t="n"/>
      <c r="T558" s="55" t="n"/>
      <c r="V558" s="1" t="n"/>
      <c r="Y558" s="111" t="n"/>
      <c r="Z558" s="111" t="n"/>
      <c r="AA558" s="111" t="n"/>
      <c r="AK558" s="55" t="n"/>
      <c r="AL558" s="89" t="n"/>
    </row>
    <row r="559" ht="22.5" customHeight="1" s="150">
      <c r="A559" s="34" t="n">
        <v>557</v>
      </c>
      <c r="B559" s="34" t="n"/>
      <c r="C559" s="34" t="n"/>
      <c r="D559" s="34" t="n"/>
      <c r="E559" s="34" t="n"/>
      <c r="F559" s="86" t="n"/>
      <c r="G559" s="86" t="n"/>
      <c r="H559" s="111" t="n"/>
      <c r="I559" s="87" t="n"/>
      <c r="J559" s="87" t="n"/>
      <c r="K559" s="111" t="n"/>
      <c r="L559" s="86" t="n"/>
      <c r="M559" s="142" t="inlineStr">
        <is>
          <t>Very Hard</t>
        </is>
      </c>
      <c r="N559" s="89" t="n"/>
      <c r="O559" s="144" t="n"/>
      <c r="P559" s="31" t="n"/>
      <c r="Q559" s="89" t="n"/>
      <c r="R559" s="89" t="n"/>
      <c r="S559" s="89" t="n"/>
      <c r="T559" s="55" t="n"/>
      <c r="V559" s="1" t="n"/>
      <c r="Y559" s="111" t="n"/>
      <c r="Z559" s="111" t="n"/>
      <c r="AA559" s="111" t="n"/>
      <c r="AK559" s="55" t="n"/>
      <c r="AL559" s="89" t="n"/>
    </row>
    <row r="560" ht="22.5" customHeight="1" s="150">
      <c r="A560" s="34" t="n">
        <v>558</v>
      </c>
      <c r="B560" s="34" t="n"/>
      <c r="C560" s="34" t="n"/>
      <c r="D560" s="34" t="n"/>
      <c r="E560" s="34" t="n"/>
      <c r="F560" s="86" t="n"/>
      <c r="G560" s="86" t="n"/>
      <c r="H560" s="111" t="n"/>
      <c r="I560" s="87" t="n"/>
      <c r="J560" s="87" t="n"/>
      <c r="K560" s="111" t="n"/>
      <c r="L560" s="86" t="n"/>
      <c r="M560" s="139" t="inlineStr">
        <is>
          <t>Normal</t>
        </is>
      </c>
      <c r="N560" s="89" t="n"/>
      <c r="O560" s="144" t="n"/>
      <c r="P560" s="31" t="n"/>
      <c r="Q560" s="89" t="n"/>
      <c r="R560" s="89" t="n"/>
      <c r="S560" s="89" t="n"/>
      <c r="T560" s="55" t="n"/>
      <c r="V560" s="1" t="n"/>
      <c r="Y560" s="111" t="n"/>
      <c r="Z560" s="111" t="n"/>
      <c r="AA560" s="111" t="n"/>
      <c r="AK560" s="55" t="n"/>
      <c r="AL560" s="89" t="n"/>
    </row>
    <row r="561" ht="22.5" customHeight="1" s="150">
      <c r="A561" s="34" t="n">
        <v>559</v>
      </c>
      <c r="B561" s="34" t="n"/>
      <c r="C561" s="34" t="n"/>
      <c r="D561" s="34" t="n"/>
      <c r="E561" s="34" t="n"/>
      <c r="F561" s="86" t="n"/>
      <c r="G561" s="86" t="n"/>
      <c r="H561" s="111" t="n"/>
      <c r="I561" s="87" t="n"/>
      <c r="J561" s="87" t="n"/>
      <c r="K561" s="111" t="n"/>
      <c r="L561" s="86" t="n"/>
      <c r="M561" s="140" t="inlineStr">
        <is>
          <t>Hard</t>
        </is>
      </c>
      <c r="N561" s="89" t="n"/>
      <c r="O561" s="144" t="n"/>
      <c r="P561" s="31" t="n"/>
      <c r="Q561" s="89" t="n"/>
      <c r="R561" s="89" t="n"/>
      <c r="S561" s="89" t="n"/>
      <c r="T561" s="55" t="n"/>
      <c r="V561" s="1" t="n"/>
      <c r="Y561" s="111" t="n"/>
      <c r="Z561" s="111" t="n"/>
      <c r="AA561" s="111" t="n"/>
      <c r="AK561" s="55" t="n"/>
      <c r="AL561" s="89" t="n"/>
    </row>
    <row r="562" ht="22.5" customHeight="1" s="150">
      <c r="A562" s="34" t="n">
        <v>560</v>
      </c>
      <c r="B562" s="34" t="n"/>
      <c r="C562" s="34" t="n"/>
      <c r="D562" s="34" t="n"/>
      <c r="E562" s="34" t="n"/>
      <c r="F562" s="86" t="n"/>
      <c r="G562" s="86" t="n"/>
      <c r="H562" s="111" t="n"/>
      <c r="I562" s="87" t="n"/>
      <c r="J562" s="87" t="n"/>
      <c r="K562" s="111" t="n"/>
      <c r="L562" s="86" t="n"/>
      <c r="M562" s="139" t="inlineStr">
        <is>
          <t>Normal</t>
        </is>
      </c>
      <c r="N562" s="89" t="n"/>
      <c r="O562" s="144" t="n"/>
      <c r="P562" s="31" t="n"/>
      <c r="Q562" s="89" t="n"/>
      <c r="R562" s="89" t="n"/>
      <c r="S562" s="89" t="n"/>
      <c r="T562" s="55" t="n"/>
      <c r="V562" s="1" t="n"/>
      <c r="Y562" s="111" t="n"/>
      <c r="Z562" s="111" t="n"/>
      <c r="AA562" s="111" t="n"/>
      <c r="AK562" s="55" t="n"/>
      <c r="AL562" s="89" t="n"/>
    </row>
    <row r="563" ht="22.5" customHeight="1" s="150">
      <c r="A563" s="34" t="n">
        <v>561</v>
      </c>
      <c r="B563" s="34" t="n"/>
      <c r="C563" s="34" t="n"/>
      <c r="D563" s="34" t="n"/>
      <c r="E563" s="34" t="n"/>
      <c r="F563" s="86" t="n"/>
      <c r="G563" s="86" t="n"/>
      <c r="H563" s="111" t="n"/>
      <c r="I563" s="87" t="n"/>
      <c r="J563" s="87" t="n"/>
      <c r="K563" s="111" t="n"/>
      <c r="L563" s="86" t="n"/>
      <c r="M563" s="138" t="inlineStr">
        <is>
          <t>Normal</t>
        </is>
      </c>
      <c r="N563" s="89" t="n"/>
      <c r="O563" s="144" t="n"/>
      <c r="P563" s="31" t="n"/>
      <c r="Q563" s="89" t="n"/>
      <c r="R563" s="89" t="n"/>
      <c r="S563" s="89" t="n"/>
      <c r="T563" s="55" t="n"/>
      <c r="V563" s="1" t="n"/>
      <c r="Y563" s="111" t="n"/>
      <c r="Z563" s="111" t="n"/>
      <c r="AA563" s="111" t="n"/>
      <c r="AK563" s="55" t="n"/>
      <c r="AL563" s="89" t="n"/>
    </row>
    <row r="564" ht="22.5" customHeight="1" s="150">
      <c r="A564" s="34" t="n">
        <v>562</v>
      </c>
      <c r="B564" s="34" t="n"/>
      <c r="C564" s="34" t="n"/>
      <c r="D564" s="34" t="n"/>
      <c r="E564" s="34" t="n"/>
      <c r="F564" s="86" t="n"/>
      <c r="G564" s="86" t="n"/>
      <c r="H564" s="111" t="n"/>
      <c r="I564" s="87" t="n"/>
      <c r="J564" s="87" t="n"/>
      <c r="K564" s="111" t="n"/>
      <c r="L564" s="86" t="n"/>
      <c r="M564" s="141" t="inlineStr">
        <is>
          <t>Hard</t>
        </is>
      </c>
      <c r="N564" s="89" t="n"/>
      <c r="O564" s="144" t="n"/>
      <c r="P564" s="31" t="n"/>
      <c r="Q564" s="89" t="n"/>
      <c r="R564" s="89" t="n"/>
      <c r="S564" s="89" t="n"/>
      <c r="T564" s="55" t="n"/>
      <c r="V564" s="1" t="n"/>
      <c r="Y564" s="111" t="n"/>
      <c r="Z564" s="111" t="n"/>
      <c r="AA564" s="111" t="n"/>
      <c r="AK564" s="55" t="n"/>
      <c r="AL564" s="89" t="n"/>
    </row>
    <row r="565" ht="22.5" customHeight="1" s="150">
      <c r="A565" s="34" t="n">
        <v>563</v>
      </c>
      <c r="B565" s="34" t="n"/>
      <c r="C565" s="34" t="n"/>
      <c r="D565" s="34" t="n"/>
      <c r="E565" s="34" t="n"/>
      <c r="F565" s="86" t="n"/>
      <c r="G565" s="86" t="n"/>
      <c r="H565" s="111" t="n"/>
      <c r="I565" s="87" t="n"/>
      <c r="J565" s="87" t="n"/>
      <c r="K565" s="111" t="n"/>
      <c r="L565" s="86" t="n"/>
      <c r="M565" s="142" t="inlineStr">
        <is>
          <t>Very Hard</t>
        </is>
      </c>
      <c r="N565" s="89" t="n"/>
      <c r="O565" s="144" t="n"/>
      <c r="P565" s="31" t="n"/>
      <c r="Q565" s="89" t="n"/>
      <c r="R565" s="89" t="n"/>
      <c r="S565" s="89" t="n"/>
      <c r="T565" s="55" t="n"/>
      <c r="V565" s="1" t="n"/>
      <c r="Y565" s="111" t="n"/>
      <c r="Z565" s="111" t="n"/>
      <c r="AA565" s="111" t="n"/>
      <c r="AK565" s="55" t="n"/>
      <c r="AL565" s="89" t="n"/>
    </row>
    <row r="566" ht="22.5" customHeight="1" s="150">
      <c r="A566" s="34" t="n">
        <v>564</v>
      </c>
      <c r="B566" s="34" t="n"/>
      <c r="C566" s="34" t="n"/>
      <c r="D566" s="34" t="n"/>
      <c r="E566" s="34" t="n"/>
      <c r="F566" s="86" t="n"/>
      <c r="G566" s="86" t="n"/>
      <c r="H566" s="111" t="n"/>
      <c r="I566" s="87" t="n"/>
      <c r="J566" s="87" t="n"/>
      <c r="K566" s="111" t="n"/>
      <c r="L566" s="86" t="n"/>
      <c r="M566" s="139" t="inlineStr">
        <is>
          <t>Normal</t>
        </is>
      </c>
      <c r="N566" s="89" t="n"/>
      <c r="O566" s="144" t="n"/>
      <c r="P566" s="31" t="n"/>
      <c r="Q566" s="89" t="n"/>
      <c r="R566" s="89" t="n"/>
      <c r="S566" s="89" t="n"/>
      <c r="T566" s="55" t="n"/>
      <c r="V566" s="1" t="n"/>
      <c r="Y566" s="111" t="n"/>
      <c r="Z566" s="111" t="n"/>
      <c r="AA566" s="111" t="n"/>
      <c r="AK566" s="55" t="n"/>
      <c r="AL566" s="89" t="n"/>
    </row>
    <row r="567" ht="22.5" customHeight="1" s="150">
      <c r="A567" s="34" t="n">
        <v>565</v>
      </c>
      <c r="B567" s="34" t="n"/>
      <c r="C567" s="34" t="n"/>
      <c r="D567" s="34" t="n"/>
      <c r="E567" s="34" t="n"/>
      <c r="F567" s="86" t="n"/>
      <c r="G567" s="86" t="n"/>
      <c r="H567" s="111" t="n"/>
      <c r="I567" s="87" t="n"/>
      <c r="J567" s="87" t="n"/>
      <c r="K567" s="111" t="n"/>
      <c r="L567" s="86" t="n"/>
      <c r="M567" s="138" t="inlineStr">
        <is>
          <t>Normal</t>
        </is>
      </c>
      <c r="N567" s="89" t="n"/>
      <c r="O567" s="144" t="n"/>
      <c r="P567" s="31" t="n"/>
      <c r="Q567" s="89" t="n"/>
      <c r="R567" s="89" t="n"/>
      <c r="S567" s="89" t="n"/>
      <c r="T567" s="55" t="n"/>
      <c r="V567" s="1" t="n"/>
      <c r="Y567" s="111" t="n"/>
      <c r="Z567" s="111" t="n"/>
      <c r="AA567" s="111" t="n"/>
      <c r="AK567" s="55" t="n"/>
      <c r="AL567" s="89" t="n"/>
    </row>
    <row r="568" ht="22.5" customHeight="1" s="150">
      <c r="A568" s="34" t="n">
        <v>566</v>
      </c>
      <c r="B568" s="34" t="n"/>
      <c r="C568" s="34" t="n"/>
      <c r="D568" s="34" t="n"/>
      <c r="E568" s="34" t="n"/>
      <c r="F568" s="86" t="n"/>
      <c r="G568" s="86" t="n"/>
      <c r="H568" s="111" t="n"/>
      <c r="I568" s="87" t="n"/>
      <c r="J568" s="87" t="n"/>
      <c r="K568" s="111" t="n"/>
      <c r="L568" s="86" t="n"/>
      <c r="M568" s="139" t="inlineStr">
        <is>
          <t>Normal</t>
        </is>
      </c>
      <c r="N568" s="89" t="n"/>
      <c r="O568" s="144" t="n"/>
      <c r="P568" s="31" t="n"/>
      <c r="Q568" s="89" t="n"/>
      <c r="R568" s="89" t="n"/>
      <c r="S568" s="89" t="n"/>
      <c r="T568" s="55" t="n"/>
      <c r="V568" s="1" t="n"/>
      <c r="Y568" s="111" t="n"/>
      <c r="Z568" s="111" t="n"/>
      <c r="AA568" s="111" t="n"/>
      <c r="AK568" s="55" t="n"/>
      <c r="AL568" s="89" t="n"/>
    </row>
    <row r="569" ht="22.5" customHeight="1" s="150">
      <c r="A569" s="34" t="n">
        <v>567</v>
      </c>
      <c r="B569" s="34" t="n"/>
      <c r="C569" s="34" t="n"/>
      <c r="D569" s="34" t="n"/>
      <c r="E569" s="34" t="n"/>
      <c r="F569" s="86" t="n"/>
      <c r="G569" s="86" t="n"/>
      <c r="H569" s="111" t="n"/>
      <c r="I569" s="87" t="n"/>
      <c r="J569" s="87" t="n"/>
      <c r="K569" s="111" t="n"/>
      <c r="L569" s="86" t="n"/>
      <c r="M569" s="140" t="inlineStr">
        <is>
          <t>Hard</t>
        </is>
      </c>
      <c r="N569" s="89" t="n"/>
      <c r="O569" s="144" t="n"/>
      <c r="P569" s="31" t="n"/>
      <c r="Q569" s="89" t="n"/>
      <c r="R569" s="89" t="n"/>
      <c r="S569" s="89" t="n"/>
      <c r="T569" s="55" t="n"/>
      <c r="V569" s="1" t="n"/>
      <c r="Y569" s="111" t="n"/>
      <c r="Z569" s="111" t="n"/>
      <c r="AA569" s="111" t="n"/>
      <c r="AK569" s="55" t="n"/>
      <c r="AL569" s="89" t="n"/>
    </row>
    <row r="570" ht="22.5" customHeight="1" s="150">
      <c r="A570" s="34" t="n">
        <v>568</v>
      </c>
      <c r="B570" s="34" t="n"/>
      <c r="C570" s="34" t="n"/>
      <c r="D570" s="34" t="n"/>
      <c r="E570" s="34" t="n"/>
      <c r="F570" s="86" t="n"/>
      <c r="G570" s="86" t="n"/>
      <c r="H570" s="111" t="n"/>
      <c r="I570" s="87" t="n"/>
      <c r="J570" s="87" t="n"/>
      <c r="K570" s="111" t="n"/>
      <c r="L570" s="86" t="n"/>
      <c r="M570" s="143" t="inlineStr">
        <is>
          <t>Very Hard</t>
        </is>
      </c>
      <c r="N570" s="89" t="n"/>
      <c r="O570" s="144" t="n"/>
      <c r="P570" s="31" t="n"/>
      <c r="Q570" s="89" t="n"/>
      <c r="R570" s="89" t="n"/>
      <c r="S570" s="89" t="n"/>
      <c r="T570" s="55" t="n"/>
      <c r="V570" s="1" t="n"/>
      <c r="Y570" s="111" t="n"/>
      <c r="Z570" s="111" t="n"/>
      <c r="AA570" s="111" t="n"/>
      <c r="AK570" s="55" t="n"/>
      <c r="AL570" s="89" t="n"/>
    </row>
    <row r="571" ht="22.5" customHeight="1" s="150">
      <c r="A571" s="34" t="n">
        <v>569</v>
      </c>
      <c r="B571" s="34" t="n"/>
      <c r="C571" s="34" t="n"/>
      <c r="D571" s="34" t="n"/>
      <c r="E571" s="34" t="n"/>
      <c r="F571" s="86" t="n"/>
      <c r="G571" s="86" t="n"/>
      <c r="H571" s="111" t="n"/>
      <c r="I571" s="87" t="n"/>
      <c r="J571" s="87" t="n"/>
      <c r="K571" s="111" t="n"/>
      <c r="L571" s="86" t="n"/>
      <c r="M571" s="138" t="inlineStr">
        <is>
          <t>Normal</t>
        </is>
      </c>
      <c r="N571" s="89" t="n"/>
      <c r="O571" s="144" t="n"/>
      <c r="P571" s="31" t="n"/>
      <c r="Q571" s="89" t="n"/>
      <c r="R571" s="89" t="n"/>
      <c r="S571" s="89" t="n"/>
      <c r="T571" s="55" t="n"/>
      <c r="V571" s="1" t="n"/>
      <c r="Y571" s="111" t="n"/>
      <c r="Z571" s="111" t="n"/>
      <c r="AA571" s="111" t="n"/>
      <c r="AK571" s="55" t="n"/>
      <c r="AL571" s="89" t="n"/>
    </row>
    <row r="572" ht="22.5" customHeight="1" s="150">
      <c r="A572" s="34" t="n">
        <v>570</v>
      </c>
      <c r="B572" s="34" t="n"/>
      <c r="C572" s="34" t="n"/>
      <c r="D572" s="34" t="n"/>
      <c r="E572" s="34" t="n"/>
      <c r="F572" s="86" t="n"/>
      <c r="G572" s="86" t="n"/>
      <c r="H572" s="111" t="n"/>
      <c r="I572" s="87" t="n"/>
      <c r="J572" s="87" t="n"/>
      <c r="K572" s="111" t="n"/>
      <c r="L572" s="86" t="n"/>
      <c r="M572" s="139" t="inlineStr">
        <is>
          <t>Normal</t>
        </is>
      </c>
      <c r="N572" s="89" t="n"/>
      <c r="O572" s="144" t="n"/>
      <c r="P572" s="31" t="n"/>
      <c r="Q572" s="89" t="n"/>
      <c r="R572" s="89" t="n"/>
      <c r="S572" s="89" t="n"/>
      <c r="T572" s="55" t="n"/>
      <c r="V572" s="1" t="n"/>
      <c r="Y572" s="111" t="n"/>
      <c r="Z572" s="111" t="n"/>
      <c r="AA572" s="111" t="n"/>
      <c r="AK572" s="55" t="n"/>
      <c r="AL572" s="89" t="n"/>
    </row>
    <row r="573" ht="22.5" customHeight="1" s="150">
      <c r="A573" s="34" t="n">
        <v>571</v>
      </c>
      <c r="B573" s="34" t="n"/>
      <c r="C573" s="34" t="n"/>
      <c r="D573" s="34" t="n"/>
      <c r="E573" s="34" t="n"/>
      <c r="F573" s="86" t="n"/>
      <c r="G573" s="86" t="n"/>
      <c r="H573" s="111" t="n"/>
      <c r="I573" s="87" t="n"/>
      <c r="J573" s="87" t="n"/>
      <c r="K573" s="111" t="n"/>
      <c r="L573" s="86" t="n"/>
      <c r="M573" s="138" t="inlineStr">
        <is>
          <t>Normal</t>
        </is>
      </c>
      <c r="N573" s="89" t="n"/>
      <c r="O573" s="144" t="n"/>
      <c r="P573" s="31" t="n"/>
      <c r="Q573" s="89" t="n"/>
      <c r="R573" s="89" t="n"/>
      <c r="S573" s="89" t="n"/>
      <c r="T573" s="55" t="n"/>
      <c r="V573" s="1" t="n"/>
      <c r="Y573" s="111" t="n"/>
      <c r="Z573" s="111" t="n"/>
      <c r="AA573" s="111" t="n"/>
      <c r="AK573" s="55" t="n"/>
      <c r="AL573" s="89" t="n"/>
    </row>
    <row r="574" ht="22.5" customHeight="1" s="150">
      <c r="A574" s="34" t="n">
        <v>572</v>
      </c>
      <c r="B574" s="34" t="n"/>
      <c r="C574" s="34" t="n"/>
      <c r="D574" s="34" t="n"/>
      <c r="E574" s="34" t="n"/>
      <c r="F574" s="86" t="n"/>
      <c r="G574" s="86" t="n"/>
      <c r="H574" s="111" t="n"/>
      <c r="I574" s="87" t="n"/>
      <c r="J574" s="87" t="n"/>
      <c r="K574" s="111" t="n"/>
      <c r="L574" s="86" t="n"/>
      <c r="M574" s="141" t="inlineStr">
        <is>
          <t>Hard</t>
        </is>
      </c>
      <c r="N574" s="89" t="n"/>
      <c r="O574" s="144" t="n"/>
      <c r="P574" s="31" t="n"/>
      <c r="Q574" s="89" t="n"/>
      <c r="R574" s="89" t="n"/>
      <c r="S574" s="89" t="n"/>
      <c r="T574" s="55" t="n"/>
      <c r="V574" s="1" t="n"/>
      <c r="Y574" s="111" t="n"/>
      <c r="Z574" s="111" t="n"/>
      <c r="AA574" s="111" t="n"/>
      <c r="AK574" s="55" t="n"/>
      <c r="AL574" s="89" t="n"/>
    </row>
    <row r="575" ht="22.5" customHeight="1" s="150">
      <c r="A575" s="34" t="n">
        <v>573</v>
      </c>
      <c r="B575" s="34" t="n"/>
      <c r="C575" s="34" t="n"/>
      <c r="D575" s="34" t="n"/>
      <c r="E575" s="34" t="n"/>
      <c r="F575" s="86" t="n"/>
      <c r="G575" s="86" t="n"/>
      <c r="H575" s="111" t="n"/>
      <c r="I575" s="87" t="n"/>
      <c r="J575" s="87" t="n"/>
      <c r="K575" s="111" t="n"/>
      <c r="L575" s="86" t="n"/>
      <c r="M575" s="142" t="inlineStr">
        <is>
          <t>Very Hard</t>
        </is>
      </c>
      <c r="N575" s="89" t="n"/>
      <c r="O575" s="144" t="n"/>
      <c r="P575" s="31" t="n"/>
      <c r="Q575" s="89" t="n"/>
      <c r="R575" s="89" t="n"/>
      <c r="S575" s="89" t="n"/>
      <c r="T575" s="55" t="n"/>
      <c r="V575" s="1" t="n"/>
      <c r="Y575" s="111" t="n"/>
      <c r="Z575" s="111" t="n"/>
      <c r="AA575" s="111" t="n"/>
      <c r="AK575" s="55" t="n"/>
      <c r="AL575" s="89" t="n"/>
    </row>
    <row r="576" ht="22.5" customHeight="1" s="150">
      <c r="A576" s="34" t="n">
        <v>574</v>
      </c>
      <c r="B576" s="34" t="n"/>
      <c r="C576" s="34" t="n"/>
      <c r="D576" s="34" t="n"/>
      <c r="E576" s="34" t="n"/>
      <c r="F576" s="86" t="n"/>
      <c r="G576" s="86" t="n"/>
      <c r="H576" s="111" t="n"/>
      <c r="I576" s="87" t="n"/>
      <c r="J576" s="87" t="n"/>
      <c r="K576" s="111" t="n"/>
      <c r="L576" s="86" t="n"/>
      <c r="M576" s="139" t="inlineStr">
        <is>
          <t>Normal</t>
        </is>
      </c>
      <c r="N576" s="89" t="n"/>
      <c r="O576" s="144" t="n"/>
      <c r="P576" s="31" t="n"/>
      <c r="Q576" s="89" t="n"/>
      <c r="R576" s="89" t="n"/>
      <c r="S576" s="89" t="n"/>
      <c r="T576" s="55" t="n"/>
      <c r="V576" s="1" t="n"/>
      <c r="Y576" s="111" t="n"/>
      <c r="Z576" s="111" t="n"/>
      <c r="AA576" s="111" t="n"/>
      <c r="AK576" s="55" t="n"/>
      <c r="AL576" s="89" t="n"/>
    </row>
    <row r="577" ht="22.5" customHeight="1" s="150">
      <c r="A577" s="34" t="n">
        <v>575</v>
      </c>
      <c r="B577" s="34" t="n"/>
      <c r="C577" s="34" t="n"/>
      <c r="D577" s="34" t="n"/>
      <c r="E577" s="34" t="n"/>
      <c r="F577" s="86" t="n"/>
      <c r="G577" s="86" t="n"/>
      <c r="H577" s="111" t="n"/>
      <c r="I577" s="87" t="n"/>
      <c r="J577" s="87" t="n"/>
      <c r="K577" s="111" t="n"/>
      <c r="L577" s="86" t="n"/>
      <c r="M577" s="138" t="inlineStr">
        <is>
          <t>Normal</t>
        </is>
      </c>
      <c r="N577" s="89" t="n"/>
      <c r="O577" s="144" t="n"/>
      <c r="P577" s="31" t="n"/>
      <c r="Q577" s="89" t="n"/>
      <c r="R577" s="89" t="n"/>
      <c r="S577" s="89" t="n"/>
      <c r="T577" s="55" t="n"/>
      <c r="V577" s="1" t="n"/>
      <c r="Y577" s="111" t="n"/>
      <c r="Z577" s="111" t="n"/>
      <c r="AA577" s="111" t="n"/>
      <c r="AK577" s="55" t="n"/>
      <c r="AL577" s="89" t="n"/>
    </row>
    <row r="578" ht="22.5" customHeight="1" s="150">
      <c r="A578" s="34" t="n">
        <v>576</v>
      </c>
      <c r="B578" s="34" t="n"/>
      <c r="C578" s="34" t="n"/>
      <c r="D578" s="34" t="n"/>
      <c r="E578" s="34" t="n"/>
      <c r="F578" s="86" t="n"/>
      <c r="G578" s="86" t="n"/>
      <c r="H578" s="111" t="n"/>
      <c r="I578" s="87" t="n"/>
      <c r="J578" s="87" t="n"/>
      <c r="K578" s="111" t="n"/>
      <c r="L578" s="86" t="n"/>
      <c r="M578" s="139" t="inlineStr">
        <is>
          <t>Normal</t>
        </is>
      </c>
      <c r="N578" s="89" t="n"/>
      <c r="O578" s="144" t="n"/>
      <c r="P578" s="31" t="n"/>
      <c r="Q578" s="89" t="n"/>
      <c r="R578" s="89" t="n"/>
      <c r="S578" s="89" t="n"/>
      <c r="T578" s="55" t="n"/>
      <c r="V578" s="1" t="n"/>
      <c r="Y578" s="111" t="n"/>
      <c r="Z578" s="111" t="n"/>
      <c r="AA578" s="111" t="n"/>
      <c r="AK578" s="55" t="n"/>
      <c r="AL578" s="89" t="n"/>
    </row>
    <row r="579" ht="22.5" customHeight="1" s="150">
      <c r="A579" s="34" t="n">
        <v>577</v>
      </c>
      <c r="B579" s="34" t="n"/>
      <c r="C579" s="34" t="n"/>
      <c r="D579" s="34" t="n"/>
      <c r="E579" s="34" t="n"/>
      <c r="F579" s="86" t="n"/>
      <c r="G579" s="86" t="n"/>
      <c r="H579" s="111" t="n"/>
      <c r="I579" s="87" t="n"/>
      <c r="J579" s="87" t="n"/>
      <c r="K579" s="111" t="n"/>
      <c r="L579" s="86" t="n"/>
      <c r="M579" s="140" t="inlineStr">
        <is>
          <t>Hard</t>
        </is>
      </c>
      <c r="N579" s="89" t="n"/>
      <c r="O579" s="144" t="n"/>
      <c r="P579" s="31" t="n"/>
      <c r="Q579" s="89" t="n"/>
      <c r="R579" s="89" t="n"/>
      <c r="S579" s="89" t="n"/>
      <c r="T579" s="55" t="n"/>
      <c r="V579" s="1" t="n"/>
      <c r="Y579" s="111" t="n"/>
      <c r="Z579" s="111" t="n"/>
      <c r="AA579" s="111" t="n"/>
      <c r="AK579" s="55" t="n"/>
      <c r="AL579" s="89" t="n"/>
    </row>
    <row r="580" ht="22.5" customHeight="1" s="150">
      <c r="A580" s="34" t="n">
        <v>578</v>
      </c>
      <c r="B580" s="34" t="n"/>
      <c r="C580" s="34" t="n"/>
      <c r="D580" s="34" t="n"/>
      <c r="E580" s="34" t="n"/>
      <c r="F580" s="86" t="n"/>
      <c r="G580" s="86" t="n"/>
      <c r="H580" s="111" t="n"/>
      <c r="I580" s="87" t="n"/>
      <c r="J580" s="87" t="n"/>
      <c r="K580" s="111" t="n"/>
      <c r="L580" s="86" t="n"/>
      <c r="M580" s="143" t="inlineStr">
        <is>
          <t>Very Hard</t>
        </is>
      </c>
      <c r="N580" s="89" t="n"/>
      <c r="O580" s="144" t="n"/>
      <c r="P580" s="31" t="n"/>
      <c r="Q580" s="89" t="n"/>
      <c r="R580" s="89" t="n"/>
      <c r="S580" s="89" t="n"/>
      <c r="T580" s="55" t="n"/>
      <c r="V580" s="1" t="n"/>
      <c r="Y580" s="111" t="n"/>
      <c r="Z580" s="111" t="n"/>
      <c r="AA580" s="111" t="n"/>
      <c r="AK580" s="55" t="n"/>
      <c r="AL580" s="89" t="n"/>
    </row>
    <row r="581" ht="22.5" customHeight="1" s="150">
      <c r="A581" s="34" t="n">
        <v>579</v>
      </c>
      <c r="B581" s="34" t="n"/>
      <c r="C581" s="34" t="n"/>
      <c r="D581" s="34" t="n"/>
      <c r="E581" s="34" t="n"/>
      <c r="F581" s="86" t="n"/>
      <c r="G581" s="86" t="n"/>
      <c r="H581" s="111" t="n"/>
      <c r="I581" s="87" t="n"/>
      <c r="J581" s="87" t="n"/>
      <c r="K581" s="111" t="n"/>
      <c r="L581" s="86" t="n"/>
      <c r="M581" s="138" t="inlineStr">
        <is>
          <t>Normal</t>
        </is>
      </c>
      <c r="N581" s="89" t="n"/>
      <c r="O581" s="144" t="n"/>
      <c r="P581" s="31" t="n"/>
      <c r="Q581" s="89" t="n"/>
      <c r="R581" s="89" t="n"/>
      <c r="S581" s="89" t="n"/>
      <c r="T581" s="55" t="n"/>
      <c r="V581" s="1" t="n"/>
      <c r="Y581" s="111" t="n"/>
      <c r="Z581" s="111" t="n"/>
      <c r="AA581" s="111" t="n"/>
      <c r="AK581" s="55" t="n"/>
      <c r="AL581" s="89" t="n"/>
    </row>
    <row r="582" ht="22.5" customHeight="1" s="150">
      <c r="A582" s="34" t="n">
        <v>580</v>
      </c>
      <c r="B582" s="34" t="n"/>
      <c r="C582" s="34" t="n"/>
      <c r="D582" s="34" t="n"/>
      <c r="E582" s="34" t="n"/>
      <c r="F582" s="86" t="n"/>
      <c r="G582" s="86" t="n"/>
      <c r="H582" s="111" t="n"/>
      <c r="I582" s="87" t="n"/>
      <c r="J582" s="87" t="n"/>
      <c r="K582" s="111" t="n"/>
      <c r="L582" s="86" t="n"/>
      <c r="M582" s="139" t="inlineStr">
        <is>
          <t>Normal</t>
        </is>
      </c>
      <c r="N582" s="89" t="n"/>
      <c r="O582" s="144" t="n"/>
      <c r="P582" s="31" t="n"/>
      <c r="Q582" s="89" t="n"/>
      <c r="R582" s="89" t="n"/>
      <c r="S582" s="89" t="n"/>
      <c r="T582" s="55" t="n"/>
      <c r="V582" s="1" t="n"/>
      <c r="Y582" s="111" t="n"/>
      <c r="Z582" s="111" t="n"/>
      <c r="AA582" s="111" t="n"/>
      <c r="AK582" s="55" t="n"/>
      <c r="AL582" s="89" t="n"/>
    </row>
    <row r="583" ht="22.5" customHeight="1" s="150">
      <c r="A583" s="34" t="n">
        <v>581</v>
      </c>
      <c r="B583" s="34" t="n"/>
      <c r="C583" s="34" t="n"/>
      <c r="D583" s="34" t="n"/>
      <c r="E583" s="34" t="n"/>
      <c r="F583" s="86" t="n"/>
      <c r="G583" s="86" t="n"/>
      <c r="H583" s="111" t="n"/>
      <c r="I583" s="87" t="n"/>
      <c r="J583" s="87" t="n"/>
      <c r="K583" s="111" t="n"/>
      <c r="L583" s="86" t="n"/>
      <c r="M583" s="138" t="inlineStr">
        <is>
          <t>Normal</t>
        </is>
      </c>
      <c r="N583" s="89" t="n"/>
      <c r="O583" s="144" t="n"/>
      <c r="P583" s="31" t="n"/>
      <c r="Q583" s="89" t="n"/>
      <c r="R583" s="89" t="n"/>
      <c r="S583" s="89" t="n"/>
      <c r="T583" s="55" t="n"/>
      <c r="V583" s="1" t="n"/>
      <c r="Y583" s="111" t="n"/>
      <c r="Z583" s="111" t="n"/>
      <c r="AA583" s="111" t="n"/>
      <c r="AK583" s="55" t="n"/>
      <c r="AL583" s="89" t="n"/>
    </row>
    <row r="584" ht="22.5" customHeight="1" s="150">
      <c r="A584" s="34" t="n">
        <v>582</v>
      </c>
      <c r="B584" s="34" t="n"/>
      <c r="C584" s="34" t="n"/>
      <c r="D584" s="34" t="n"/>
      <c r="E584" s="34" t="n"/>
      <c r="F584" s="86" t="n"/>
      <c r="G584" s="86" t="n"/>
      <c r="H584" s="111" t="n"/>
      <c r="I584" s="87" t="n"/>
      <c r="J584" s="87" t="n"/>
      <c r="K584" s="111" t="n"/>
      <c r="L584" s="86" t="n"/>
      <c r="M584" s="141" t="inlineStr">
        <is>
          <t>Hard</t>
        </is>
      </c>
      <c r="N584" s="89" t="n"/>
      <c r="O584" s="144" t="n"/>
      <c r="P584" s="31" t="n"/>
      <c r="Q584" s="89" t="n"/>
      <c r="R584" s="89" t="n"/>
      <c r="S584" s="89" t="n"/>
      <c r="T584" s="55" t="n"/>
      <c r="V584" s="1" t="n"/>
      <c r="Y584" s="111" t="n"/>
      <c r="Z584" s="111" t="n"/>
      <c r="AA584" s="111" t="n"/>
      <c r="AK584" s="55" t="n"/>
      <c r="AL584" s="89" t="n"/>
    </row>
    <row r="585" ht="22.5" customHeight="1" s="150">
      <c r="A585" s="34" t="n">
        <v>583</v>
      </c>
      <c r="B585" s="34" t="n"/>
      <c r="C585" s="34" t="n"/>
      <c r="D585" s="34" t="n"/>
      <c r="E585" s="34" t="n"/>
      <c r="F585" s="86" t="n"/>
      <c r="G585" s="86" t="n"/>
      <c r="H585" s="111" t="n"/>
      <c r="I585" s="87" t="n"/>
      <c r="J585" s="87" t="n"/>
      <c r="K585" s="111" t="n"/>
      <c r="L585" s="86" t="n"/>
      <c r="M585" s="142" t="inlineStr">
        <is>
          <t>Very Hard</t>
        </is>
      </c>
      <c r="N585" s="89" t="n"/>
      <c r="O585" s="144" t="n"/>
      <c r="P585" s="31" t="n"/>
      <c r="Q585" s="89" t="n"/>
      <c r="R585" s="89" t="n"/>
      <c r="S585" s="89" t="n"/>
      <c r="T585" s="55" t="n"/>
      <c r="V585" s="1" t="n"/>
      <c r="Y585" s="111" t="n"/>
      <c r="Z585" s="111" t="n"/>
      <c r="AA585" s="111" t="n"/>
      <c r="AK585" s="55" t="n"/>
      <c r="AL585" s="89" t="n"/>
    </row>
    <row r="586" ht="22.5" customHeight="1" s="150">
      <c r="A586" s="34" t="n">
        <v>584</v>
      </c>
      <c r="B586" s="34" t="n"/>
      <c r="C586" s="34" t="n"/>
      <c r="D586" s="34" t="n"/>
      <c r="E586" s="34" t="n"/>
      <c r="F586" s="86" t="n"/>
      <c r="G586" s="86" t="n"/>
      <c r="H586" s="111" t="n"/>
      <c r="I586" s="87" t="n"/>
      <c r="J586" s="87" t="n"/>
      <c r="K586" s="111" t="n"/>
      <c r="L586" s="86" t="n"/>
      <c r="M586" s="139" t="inlineStr">
        <is>
          <t>Normal</t>
        </is>
      </c>
      <c r="N586" s="89" t="n"/>
      <c r="O586" s="144" t="n"/>
      <c r="P586" s="31" t="n"/>
      <c r="Q586" s="89" t="n"/>
      <c r="R586" s="89" t="n"/>
      <c r="S586" s="89" t="n"/>
      <c r="T586" s="55" t="n"/>
      <c r="V586" s="1" t="n"/>
      <c r="Y586" s="111" t="n"/>
      <c r="Z586" s="111" t="n"/>
      <c r="AA586" s="111" t="n"/>
      <c r="AK586" s="55" t="n"/>
      <c r="AL586" s="89" t="n"/>
    </row>
    <row r="587" ht="22.5" customHeight="1" s="150">
      <c r="A587" s="34" t="n">
        <v>585</v>
      </c>
      <c r="B587" s="34" t="n"/>
      <c r="C587" s="34" t="n"/>
      <c r="D587" s="34" t="n"/>
      <c r="E587" s="34" t="n"/>
      <c r="F587" s="86" t="n"/>
      <c r="G587" s="86" t="n"/>
      <c r="H587" s="111" t="n"/>
      <c r="I587" s="87" t="n"/>
      <c r="J587" s="87" t="n"/>
      <c r="K587" s="111" t="n"/>
      <c r="L587" s="86" t="n"/>
      <c r="M587" s="138" t="inlineStr">
        <is>
          <t>Normal</t>
        </is>
      </c>
      <c r="N587" s="89" t="n"/>
      <c r="O587" s="144" t="n"/>
      <c r="P587" s="31" t="n"/>
      <c r="Q587" s="89" t="n"/>
      <c r="R587" s="89" t="n"/>
      <c r="S587" s="89" t="n"/>
      <c r="T587" s="55" t="n"/>
      <c r="V587" s="1" t="n"/>
      <c r="Y587" s="111" t="n"/>
      <c r="Z587" s="111" t="n"/>
      <c r="AA587" s="111" t="n"/>
      <c r="AK587" s="55" t="n"/>
      <c r="AL587" s="89" t="n"/>
    </row>
    <row r="588" ht="22.5" customHeight="1" s="150">
      <c r="A588" s="34" t="n">
        <v>586</v>
      </c>
      <c r="B588" s="34" t="n"/>
      <c r="C588" s="34" t="n"/>
      <c r="D588" s="34" t="n"/>
      <c r="E588" s="34" t="n"/>
      <c r="F588" s="86" t="n"/>
      <c r="G588" s="86" t="n"/>
      <c r="H588" s="111" t="n"/>
      <c r="I588" s="87" t="n"/>
      <c r="J588" s="87" t="n"/>
      <c r="K588" s="111" t="n"/>
      <c r="L588" s="86" t="n"/>
      <c r="M588" s="139" t="inlineStr">
        <is>
          <t>Normal</t>
        </is>
      </c>
      <c r="N588" s="89" t="n"/>
      <c r="O588" s="144" t="n"/>
      <c r="P588" s="31" t="n"/>
      <c r="Q588" s="89" t="n"/>
      <c r="R588" s="89" t="n"/>
      <c r="S588" s="89" t="n"/>
      <c r="T588" s="55" t="n"/>
      <c r="V588" s="1" t="n"/>
      <c r="Y588" s="111" t="n"/>
      <c r="Z588" s="111" t="n"/>
      <c r="AA588" s="111" t="n"/>
      <c r="AK588" s="55" t="n"/>
      <c r="AL588" s="89" t="n"/>
    </row>
    <row r="589" ht="22.5" customHeight="1" s="150">
      <c r="A589" s="34" t="n">
        <v>587</v>
      </c>
      <c r="B589" s="34" t="n"/>
      <c r="C589" s="34" t="n"/>
      <c r="D589" s="34" t="n"/>
      <c r="E589" s="34" t="n"/>
      <c r="F589" s="86" t="n"/>
      <c r="G589" s="86" t="n"/>
      <c r="H589" s="111" t="n"/>
      <c r="I589" s="87" t="n"/>
      <c r="J589" s="87" t="n"/>
      <c r="K589" s="111" t="n"/>
      <c r="L589" s="86" t="n"/>
      <c r="M589" s="140" t="inlineStr">
        <is>
          <t>Hard</t>
        </is>
      </c>
      <c r="N589" s="89" t="n"/>
      <c r="O589" s="144" t="n"/>
      <c r="P589" s="31" t="n"/>
      <c r="Q589" s="89" t="n"/>
      <c r="R589" s="89" t="n"/>
      <c r="S589" s="89" t="n"/>
      <c r="T589" s="55" t="n"/>
      <c r="V589" s="1" t="n"/>
      <c r="Y589" s="111" t="n"/>
      <c r="Z589" s="111" t="n"/>
      <c r="AA589" s="111" t="n"/>
      <c r="AK589" s="55" t="n"/>
      <c r="AL589" s="89" t="n"/>
    </row>
    <row r="590" ht="22.5" customHeight="1" s="150">
      <c r="A590" s="34" t="n">
        <v>588</v>
      </c>
      <c r="B590" s="34" t="n"/>
      <c r="C590" s="34" t="n"/>
      <c r="D590" s="34" t="n"/>
      <c r="E590" s="34" t="n"/>
      <c r="F590" s="86" t="n"/>
      <c r="G590" s="86" t="n"/>
      <c r="H590" s="111" t="n"/>
      <c r="I590" s="87" t="n"/>
      <c r="J590" s="87" t="n"/>
      <c r="K590" s="111" t="n"/>
      <c r="L590" s="86" t="n"/>
      <c r="M590" s="143" t="inlineStr">
        <is>
          <t>Very Hard</t>
        </is>
      </c>
      <c r="N590" s="89" t="n"/>
      <c r="O590" s="144" t="n"/>
      <c r="P590" s="31" t="n"/>
      <c r="Q590" s="89" t="n"/>
      <c r="R590" s="89" t="n"/>
      <c r="S590" s="89" t="n"/>
      <c r="T590" s="55" t="n"/>
      <c r="V590" s="1" t="n"/>
      <c r="Y590" s="111" t="n"/>
      <c r="Z590" s="111" t="n"/>
      <c r="AA590" s="111" t="n"/>
      <c r="AK590" s="55" t="n"/>
      <c r="AL590" s="89" t="n"/>
    </row>
    <row r="591" ht="22.5" customHeight="1" s="150">
      <c r="A591" s="34" t="n">
        <v>589</v>
      </c>
      <c r="B591" s="34" t="n"/>
      <c r="C591" s="34" t="n"/>
      <c r="D591" s="34" t="n"/>
      <c r="E591" s="34" t="n"/>
      <c r="F591" s="86" t="n"/>
      <c r="G591" s="86" t="n"/>
      <c r="H591" s="111" t="n"/>
      <c r="I591" s="87" t="n"/>
      <c r="J591" s="87" t="n"/>
      <c r="K591" s="111" t="n"/>
      <c r="L591" s="86" t="n"/>
      <c r="M591" s="138" t="inlineStr">
        <is>
          <t>Normal</t>
        </is>
      </c>
      <c r="N591" s="89" t="n"/>
      <c r="O591" s="144" t="n"/>
      <c r="P591" s="31" t="n"/>
      <c r="Q591" s="89" t="n"/>
      <c r="R591" s="89" t="n"/>
      <c r="S591" s="89" t="n"/>
      <c r="T591" s="55" t="n"/>
      <c r="V591" s="1" t="n"/>
      <c r="Y591" s="111" t="n"/>
      <c r="Z591" s="111" t="n"/>
      <c r="AA591" s="111" t="n"/>
      <c r="AK591" s="55" t="n"/>
      <c r="AL591" s="89" t="n"/>
    </row>
    <row r="592" ht="22.5" customHeight="1" s="150">
      <c r="A592" s="34" t="n">
        <v>590</v>
      </c>
      <c r="B592" s="34" t="n"/>
      <c r="C592" s="34" t="n"/>
      <c r="D592" s="34" t="n"/>
      <c r="E592" s="34" t="n"/>
      <c r="F592" s="86" t="n"/>
      <c r="G592" s="86" t="n"/>
      <c r="H592" s="111" t="n"/>
      <c r="I592" s="87" t="n"/>
      <c r="J592" s="87" t="n"/>
      <c r="K592" s="111" t="n"/>
      <c r="L592" s="86" t="n"/>
      <c r="M592" s="139" t="inlineStr">
        <is>
          <t>Normal</t>
        </is>
      </c>
      <c r="N592" s="89" t="n"/>
      <c r="O592" s="144" t="n"/>
      <c r="P592" s="31" t="n"/>
      <c r="Q592" s="89" t="n"/>
      <c r="R592" s="89" t="n"/>
      <c r="S592" s="89" t="n"/>
      <c r="T592" s="55" t="n"/>
      <c r="V592" s="1" t="n"/>
      <c r="Y592" s="111" t="n"/>
      <c r="Z592" s="111" t="n"/>
      <c r="AA592" s="111" t="n"/>
      <c r="AK592" s="55" t="n"/>
      <c r="AL592" s="89" t="n"/>
    </row>
    <row r="593" ht="22.5" customHeight="1" s="150">
      <c r="A593" s="34" t="n">
        <v>591</v>
      </c>
      <c r="B593" s="34" t="n"/>
      <c r="C593" s="34" t="n"/>
      <c r="D593" s="34" t="n"/>
      <c r="E593" s="34" t="n"/>
      <c r="F593" s="86" t="n"/>
      <c r="G593" s="86" t="n"/>
      <c r="H593" s="111" t="n"/>
      <c r="I593" s="87" t="n"/>
      <c r="J593" s="87" t="n"/>
      <c r="K593" s="111" t="n"/>
      <c r="L593" s="86" t="n"/>
      <c r="M593" s="138" t="inlineStr">
        <is>
          <t>Normal</t>
        </is>
      </c>
      <c r="N593" s="89" t="n"/>
      <c r="O593" s="144" t="n"/>
      <c r="P593" s="31" t="n"/>
      <c r="Q593" s="89" t="n"/>
      <c r="R593" s="89" t="n"/>
      <c r="S593" s="89" t="n"/>
      <c r="T593" s="55" t="n"/>
      <c r="V593" s="1" t="n"/>
      <c r="Y593" s="111" t="n"/>
      <c r="Z593" s="111" t="n"/>
      <c r="AA593" s="111" t="n"/>
      <c r="AK593" s="55" t="n"/>
      <c r="AL593" s="89" t="n"/>
    </row>
    <row r="594" ht="22.5" customHeight="1" s="150">
      <c r="A594" s="34" t="n">
        <v>592</v>
      </c>
      <c r="B594" s="34" t="n"/>
      <c r="C594" s="34" t="n"/>
      <c r="D594" s="34" t="n"/>
      <c r="E594" s="34" t="n"/>
      <c r="F594" s="86" t="n"/>
      <c r="G594" s="86" t="n"/>
      <c r="H594" s="111" t="n"/>
      <c r="I594" s="87" t="n"/>
      <c r="J594" s="87" t="n"/>
      <c r="K594" s="111" t="n"/>
      <c r="L594" s="86" t="n"/>
      <c r="M594" s="141" t="inlineStr">
        <is>
          <t>Hard</t>
        </is>
      </c>
      <c r="N594" s="89" t="n"/>
      <c r="O594" s="144" t="n"/>
      <c r="P594" s="31" t="n"/>
      <c r="Q594" s="89" t="n"/>
      <c r="R594" s="89" t="n"/>
      <c r="S594" s="89" t="n"/>
      <c r="T594" s="55" t="n"/>
      <c r="V594" s="1" t="n"/>
      <c r="Y594" s="111" t="n"/>
      <c r="Z594" s="111" t="n"/>
      <c r="AA594" s="111" t="n"/>
      <c r="AK594" s="55" t="n"/>
      <c r="AL594" s="89" t="n"/>
    </row>
    <row r="595" ht="22.5" customHeight="1" s="150">
      <c r="A595" s="34" t="n">
        <v>593</v>
      </c>
      <c r="B595" s="34" t="n"/>
      <c r="C595" s="34" t="n"/>
      <c r="D595" s="34" t="n"/>
      <c r="E595" s="34" t="n"/>
      <c r="F595" s="86" t="n"/>
      <c r="G595" s="86" t="n"/>
      <c r="H595" s="111" t="n"/>
      <c r="I595" s="87" t="n"/>
      <c r="J595" s="87" t="n"/>
      <c r="K595" s="111" t="n"/>
      <c r="L595" s="86" t="n"/>
      <c r="M595" s="142" t="inlineStr">
        <is>
          <t>Very Hard</t>
        </is>
      </c>
      <c r="N595" s="89" t="n"/>
      <c r="O595" s="144" t="n"/>
      <c r="P595" s="31" t="n"/>
      <c r="Q595" s="89" t="n"/>
      <c r="R595" s="89" t="n"/>
      <c r="S595" s="89" t="n"/>
      <c r="T595" s="55" t="n"/>
      <c r="V595" s="1" t="n"/>
      <c r="Y595" s="111" t="n"/>
      <c r="Z595" s="111" t="n"/>
      <c r="AA595" s="111" t="n"/>
      <c r="AK595" s="55" t="n"/>
      <c r="AL595" s="89" t="n"/>
    </row>
    <row r="596" ht="22.5" customHeight="1" s="150">
      <c r="A596" s="34" t="n">
        <v>594</v>
      </c>
      <c r="B596" s="34" t="n"/>
      <c r="C596" s="34" t="n"/>
      <c r="D596" s="34" t="n"/>
      <c r="E596" s="34" t="n"/>
      <c r="F596" s="86" t="n"/>
      <c r="G596" s="86" t="n"/>
      <c r="H596" s="111" t="n"/>
      <c r="I596" s="87" t="n"/>
      <c r="J596" s="87" t="n"/>
      <c r="K596" s="111" t="n"/>
      <c r="L596" s="86" t="n"/>
      <c r="M596" s="139" t="inlineStr">
        <is>
          <t>Normal</t>
        </is>
      </c>
      <c r="N596" s="89" t="n"/>
      <c r="O596" s="144" t="n"/>
      <c r="P596" s="31" t="n"/>
      <c r="Q596" s="89" t="n"/>
      <c r="R596" s="89" t="n"/>
      <c r="S596" s="89" t="n"/>
      <c r="T596" s="55" t="n"/>
      <c r="V596" s="1" t="n"/>
      <c r="Y596" s="111" t="n"/>
      <c r="Z596" s="111" t="n"/>
      <c r="AA596" s="111" t="n"/>
      <c r="AK596" s="55" t="n"/>
      <c r="AL596" s="89" t="n"/>
    </row>
    <row r="597" ht="22.5" customHeight="1" s="150">
      <c r="A597" s="34" t="n">
        <v>595</v>
      </c>
      <c r="B597" s="34" t="n"/>
      <c r="C597" s="34" t="n"/>
      <c r="D597" s="34" t="n"/>
      <c r="E597" s="34" t="n"/>
      <c r="F597" s="86" t="n"/>
      <c r="G597" s="86" t="n"/>
      <c r="H597" s="111" t="n"/>
      <c r="I597" s="87" t="n"/>
      <c r="J597" s="87" t="n"/>
      <c r="K597" s="111" t="n"/>
      <c r="L597" s="86" t="n"/>
      <c r="M597" s="138" t="inlineStr">
        <is>
          <t>Normal</t>
        </is>
      </c>
      <c r="N597" s="89" t="n"/>
      <c r="O597" s="144" t="n"/>
      <c r="P597" s="31" t="n"/>
      <c r="Q597" s="89" t="n"/>
      <c r="R597" s="89" t="n"/>
      <c r="S597" s="89" t="n"/>
      <c r="T597" s="55" t="n"/>
      <c r="V597" s="1" t="n"/>
      <c r="Y597" s="111" t="n"/>
      <c r="Z597" s="111" t="n"/>
      <c r="AA597" s="111" t="n"/>
      <c r="AK597" s="55" t="n"/>
      <c r="AL597" s="89" t="n"/>
    </row>
    <row r="598" ht="22.5" customHeight="1" s="150">
      <c r="A598" s="34" t="n">
        <v>596</v>
      </c>
      <c r="B598" s="34" t="n"/>
      <c r="C598" s="34" t="n"/>
      <c r="D598" s="34" t="n"/>
      <c r="E598" s="34" t="n"/>
      <c r="F598" s="86" t="n"/>
      <c r="G598" s="86" t="n"/>
      <c r="H598" s="111" t="n"/>
      <c r="I598" s="87" t="n"/>
      <c r="J598" s="87" t="n"/>
      <c r="K598" s="111" t="n"/>
      <c r="L598" s="86" t="n"/>
      <c r="M598" s="139" t="inlineStr">
        <is>
          <t>Normal</t>
        </is>
      </c>
      <c r="N598" s="89" t="n"/>
      <c r="O598" s="144" t="n"/>
      <c r="P598" s="31" t="n"/>
      <c r="Q598" s="89" t="n"/>
      <c r="R598" s="89" t="n"/>
      <c r="S598" s="89" t="n"/>
      <c r="T598" s="55" t="n"/>
      <c r="V598" s="1" t="n"/>
      <c r="Y598" s="111" t="n"/>
      <c r="Z598" s="111" t="n"/>
      <c r="AA598" s="111" t="n"/>
      <c r="AK598" s="55" t="n"/>
      <c r="AL598" s="89" t="n"/>
    </row>
    <row r="599" ht="22.5" customHeight="1" s="150">
      <c r="A599" s="34" t="n">
        <v>597</v>
      </c>
      <c r="B599" s="34" t="n"/>
      <c r="C599" s="34" t="n"/>
      <c r="D599" s="34" t="n"/>
      <c r="E599" s="34" t="n"/>
      <c r="F599" s="86" t="n"/>
      <c r="G599" s="86" t="n"/>
      <c r="H599" s="111" t="n"/>
      <c r="I599" s="87" t="n"/>
      <c r="J599" s="87" t="n"/>
      <c r="K599" s="111" t="n"/>
      <c r="L599" s="86" t="n"/>
      <c r="M599" s="140" t="inlineStr">
        <is>
          <t>Hard</t>
        </is>
      </c>
      <c r="N599" s="89" t="n"/>
      <c r="O599" s="144" t="n"/>
      <c r="P599" s="31" t="n"/>
      <c r="Q599" s="89" t="n"/>
      <c r="R599" s="89" t="n"/>
      <c r="S599" s="89" t="n"/>
      <c r="T599" s="55" t="n"/>
      <c r="V599" s="1" t="n"/>
      <c r="Y599" s="111" t="n"/>
      <c r="Z599" s="111" t="n"/>
      <c r="AA599" s="111" t="n"/>
      <c r="AK599" s="55" t="n"/>
      <c r="AL599" s="89" t="n"/>
    </row>
    <row r="600" ht="22.5" customHeight="1" s="150">
      <c r="A600" s="34" t="n">
        <v>598</v>
      </c>
      <c r="B600" s="34" t="n"/>
      <c r="C600" s="34" t="n"/>
      <c r="D600" s="34" t="n"/>
      <c r="E600" s="34" t="n"/>
      <c r="F600" s="86" t="n"/>
      <c r="G600" s="86" t="n"/>
      <c r="H600" s="111" t="n"/>
      <c r="I600" s="87" t="n"/>
      <c r="J600" s="87" t="n"/>
      <c r="K600" s="111" t="n"/>
      <c r="L600" s="86" t="n"/>
      <c r="M600" s="143" t="inlineStr">
        <is>
          <t>Very Hard</t>
        </is>
      </c>
      <c r="N600" s="89" t="n"/>
      <c r="O600" s="144" t="n"/>
      <c r="P600" s="31" t="n"/>
      <c r="Q600" s="89" t="n"/>
      <c r="R600" s="89" t="n"/>
      <c r="S600" s="89" t="n"/>
      <c r="T600" s="55" t="n"/>
      <c r="V600" s="1" t="n"/>
      <c r="Y600" s="111" t="n"/>
      <c r="Z600" s="111" t="n"/>
      <c r="AA600" s="111" t="n"/>
      <c r="AK600" s="55" t="n"/>
      <c r="AL600" s="89" t="n"/>
    </row>
    <row r="601" ht="22.5" customHeight="1" s="150">
      <c r="A601" s="34" t="n">
        <v>599</v>
      </c>
      <c r="B601" s="34" t="n"/>
      <c r="C601" s="34" t="n"/>
      <c r="D601" s="34" t="n"/>
      <c r="E601" s="34" t="n"/>
      <c r="F601" s="86" t="n"/>
      <c r="G601" s="86" t="n"/>
      <c r="H601" s="111" t="n"/>
      <c r="I601" s="87" t="n"/>
      <c r="J601" s="87" t="n"/>
      <c r="K601" s="111" t="n"/>
      <c r="L601" s="86" t="n"/>
      <c r="M601" s="138" t="inlineStr">
        <is>
          <t>Normal</t>
        </is>
      </c>
      <c r="N601" s="89" t="n"/>
      <c r="O601" s="144" t="n"/>
      <c r="P601" s="31" t="n"/>
      <c r="Q601" s="89" t="n"/>
      <c r="R601" s="89" t="n"/>
      <c r="S601" s="89" t="n"/>
      <c r="T601" s="55" t="n"/>
      <c r="V601" s="1" t="n"/>
      <c r="Y601" s="111" t="n"/>
      <c r="Z601" s="111" t="n"/>
      <c r="AA601" s="111" t="n"/>
      <c r="AK601" s="55" t="n"/>
      <c r="AL601" s="89" t="n"/>
    </row>
    <row r="602" ht="22.5" customHeight="1" s="150">
      <c r="A602" s="34" t="n">
        <v>600</v>
      </c>
      <c r="B602" s="34" t="n"/>
      <c r="C602" s="34" t="n"/>
      <c r="D602" s="34" t="n"/>
      <c r="E602" s="34" t="n"/>
      <c r="F602" s="86" t="n"/>
      <c r="G602" s="86" t="n"/>
      <c r="H602" s="111" t="n"/>
      <c r="I602" s="87" t="n"/>
      <c r="J602" s="87" t="n"/>
      <c r="K602" s="111" t="n"/>
      <c r="L602" s="86" t="n"/>
      <c r="M602" s="139" t="inlineStr">
        <is>
          <t>Normal</t>
        </is>
      </c>
      <c r="N602" s="89" t="n"/>
      <c r="O602" s="144" t="n"/>
      <c r="P602" s="31" t="n"/>
      <c r="Q602" s="89" t="n"/>
      <c r="R602" s="89" t="n"/>
      <c r="S602" s="89" t="n"/>
      <c r="T602" s="55" t="n"/>
      <c r="V602" s="1" t="n"/>
      <c r="Y602" s="111" t="n"/>
      <c r="Z602" s="111" t="n"/>
      <c r="AA602" s="111" t="n"/>
      <c r="AK602" s="55" t="n"/>
      <c r="AL602" s="89" t="n"/>
    </row>
    <row r="603" ht="22.5" customHeight="1" s="150">
      <c r="A603" s="34" t="n">
        <v>601</v>
      </c>
      <c r="B603" s="34" t="n"/>
      <c r="C603" s="34" t="n"/>
      <c r="D603" s="34" t="n"/>
      <c r="E603" s="34" t="n"/>
      <c r="F603" s="86" t="n"/>
      <c r="G603" s="86" t="n"/>
      <c r="H603" s="111" t="n"/>
      <c r="I603" s="87" t="n"/>
      <c r="J603" s="87" t="n"/>
      <c r="K603" s="111" t="n"/>
      <c r="L603" s="86" t="n"/>
      <c r="M603" s="145" t="n"/>
      <c r="N603" s="89" t="n"/>
      <c r="O603" s="144" t="n"/>
      <c r="P603" s="31" t="n"/>
      <c r="Q603" s="89" t="n"/>
      <c r="R603" s="89" t="n"/>
      <c r="S603" s="89" t="n"/>
      <c r="T603" s="55" t="n"/>
      <c r="V603" s="1" t="n"/>
      <c r="Y603" s="111" t="n"/>
      <c r="Z603" s="111" t="n"/>
      <c r="AA603" s="111" t="n"/>
      <c r="AK603" s="55" t="n"/>
      <c r="AL603" s="89" t="n"/>
    </row>
    <row r="604" ht="22.5" customHeight="1" s="150">
      <c r="A604" s="34" t="n">
        <v>602</v>
      </c>
      <c r="B604" s="34" t="n"/>
      <c r="C604" s="34" t="n"/>
      <c r="D604" s="34" t="n"/>
      <c r="E604" s="34" t="n"/>
      <c r="F604" s="86" t="n"/>
      <c r="G604" s="86" t="n"/>
      <c r="H604" s="111" t="n"/>
      <c r="I604" s="87" t="n"/>
      <c r="J604" s="87" t="n"/>
      <c r="K604" s="111" t="n"/>
      <c r="L604" s="86" t="n"/>
      <c r="M604" s="146" t="n"/>
      <c r="N604" s="89" t="n"/>
      <c r="O604" s="144" t="n"/>
      <c r="P604" s="31" t="n"/>
      <c r="Q604" s="89" t="n"/>
      <c r="R604" s="89" t="n"/>
      <c r="S604" s="89" t="n"/>
      <c r="T604" s="55" t="n"/>
      <c r="V604" s="1" t="n"/>
      <c r="Y604" s="111" t="n"/>
      <c r="Z604" s="111" t="n"/>
      <c r="AA604" s="111" t="n"/>
      <c r="AK604" s="55" t="n"/>
      <c r="AL604" s="89" t="n"/>
    </row>
    <row r="605" ht="22.5" customHeight="1" s="150">
      <c r="A605" s="34" t="n">
        <v>603</v>
      </c>
      <c r="B605" s="34" t="n"/>
      <c r="C605" s="34" t="n"/>
      <c r="D605" s="34" t="n"/>
      <c r="E605" s="34" t="n"/>
      <c r="F605" s="86" t="n"/>
      <c r="G605" s="86" t="n"/>
      <c r="H605" s="111" t="n"/>
      <c r="I605" s="87" t="n"/>
      <c r="J605" s="87" t="n"/>
      <c r="K605" s="111" t="n"/>
      <c r="L605" s="86" t="n"/>
      <c r="M605" s="145" t="n"/>
      <c r="N605" s="89" t="n"/>
      <c r="O605" s="144" t="n"/>
      <c r="P605" s="31" t="n"/>
      <c r="Q605" s="89" t="n"/>
      <c r="R605" s="89" t="n"/>
      <c r="S605" s="89" t="n"/>
      <c r="T605" s="55" t="n"/>
      <c r="V605" s="1" t="n"/>
      <c r="Y605" s="111" t="n"/>
      <c r="Z605" s="111" t="n"/>
      <c r="AA605" s="111" t="n"/>
      <c r="AK605" s="55" t="n"/>
      <c r="AL605" s="89" t="n"/>
    </row>
    <row r="606" ht="22.5" customHeight="1" s="150">
      <c r="A606" s="34" t="n">
        <v>604</v>
      </c>
      <c r="B606" s="34" t="n"/>
      <c r="C606" s="34" t="n"/>
      <c r="D606" s="34" t="n"/>
      <c r="E606" s="34" t="n"/>
      <c r="F606" s="86" t="n"/>
      <c r="G606" s="86" t="n"/>
      <c r="H606" s="111" t="n"/>
      <c r="I606" s="87" t="n"/>
      <c r="J606" s="87" t="n"/>
      <c r="K606" s="111" t="n"/>
      <c r="L606" s="86" t="n"/>
      <c r="M606" s="146" t="n"/>
      <c r="N606" s="89" t="n"/>
      <c r="O606" s="144" t="n"/>
      <c r="P606" s="31" t="n"/>
      <c r="Q606" s="89" t="n"/>
      <c r="R606" s="89" t="n"/>
      <c r="S606" s="89" t="n"/>
      <c r="T606" s="55" t="n"/>
      <c r="V606" s="1" t="n"/>
      <c r="Y606" s="111" t="n"/>
      <c r="Z606" s="111" t="n"/>
      <c r="AA606" s="111" t="n"/>
      <c r="AK606" s="55" t="n"/>
      <c r="AL606" s="89" t="n"/>
    </row>
    <row r="607" ht="22.5" customHeight="1" s="150">
      <c r="A607" s="34" t="n">
        <v>605</v>
      </c>
      <c r="B607" s="34" t="n"/>
      <c r="C607" s="34" t="n"/>
      <c r="D607" s="34" t="n"/>
      <c r="E607" s="34" t="n"/>
      <c r="F607" s="86" t="n"/>
      <c r="G607" s="86" t="n"/>
      <c r="H607" s="111" t="n"/>
      <c r="I607" s="87" t="n"/>
      <c r="J607" s="87" t="n"/>
      <c r="K607" s="111" t="n"/>
      <c r="L607" s="86" t="n"/>
      <c r="M607" s="145" t="n"/>
      <c r="N607" s="89" t="n"/>
      <c r="O607" s="144" t="n"/>
      <c r="P607" s="31" t="n"/>
      <c r="Q607" s="89" t="n"/>
      <c r="R607" s="89" t="n"/>
      <c r="S607" s="89" t="n"/>
      <c r="T607" s="55" t="n"/>
      <c r="V607" s="1" t="n"/>
      <c r="Y607" s="111" t="n"/>
      <c r="Z607" s="111" t="n"/>
      <c r="AA607" s="111" t="n"/>
      <c r="AK607" s="55" t="n"/>
      <c r="AL607" s="89" t="n"/>
    </row>
    <row r="608" ht="22.5" customHeight="1" s="150">
      <c r="A608" s="34" t="n">
        <v>606</v>
      </c>
      <c r="B608" s="34" t="n"/>
      <c r="C608" s="34" t="n"/>
      <c r="D608" s="34" t="n"/>
      <c r="E608" s="34" t="n"/>
      <c r="F608" s="86" t="n"/>
      <c r="G608" s="86" t="n"/>
      <c r="H608" s="111" t="n"/>
      <c r="I608" s="87" t="n"/>
      <c r="J608" s="87" t="n"/>
      <c r="K608" s="111" t="n"/>
      <c r="L608" s="86" t="n"/>
      <c r="M608" s="146" t="n"/>
      <c r="N608" s="89" t="n"/>
      <c r="O608" s="144" t="n"/>
      <c r="P608" s="31" t="n"/>
      <c r="Q608" s="89" t="n"/>
      <c r="R608" s="89" t="n"/>
      <c r="S608" s="89" t="n"/>
      <c r="T608" s="55" t="n"/>
      <c r="V608" s="1" t="n"/>
      <c r="Y608" s="111" t="n"/>
      <c r="Z608" s="111" t="n"/>
      <c r="AA608" s="111" t="n"/>
      <c r="AK608" s="55" t="n"/>
      <c r="AL608" s="89" t="n"/>
    </row>
    <row r="609" ht="22.5" customHeight="1" s="150">
      <c r="A609" s="34" t="n">
        <v>607</v>
      </c>
      <c r="B609" s="34" t="n"/>
      <c r="C609" s="34" t="n"/>
      <c r="D609" s="34" t="n"/>
      <c r="E609" s="34" t="n"/>
      <c r="F609" s="86" t="n"/>
      <c r="G609" s="86" t="n"/>
      <c r="H609" s="111" t="n"/>
      <c r="I609" s="87" t="n"/>
      <c r="J609" s="87" t="n"/>
      <c r="K609" s="111" t="n"/>
      <c r="L609" s="86" t="n"/>
      <c r="M609" s="145" t="n"/>
      <c r="N609" s="89" t="n"/>
      <c r="O609" s="144" t="n"/>
      <c r="P609" s="31" t="n"/>
      <c r="Q609" s="89" t="n"/>
      <c r="R609" s="89" t="n"/>
      <c r="S609" s="89" t="n"/>
      <c r="T609" s="55" t="n"/>
      <c r="V609" s="1" t="n"/>
      <c r="Y609" s="111" t="n"/>
      <c r="Z609" s="111" t="n"/>
      <c r="AA609" s="111" t="n"/>
      <c r="AK609" s="55" t="n"/>
      <c r="AL609" s="89" t="n"/>
    </row>
    <row r="610" ht="22.5" customHeight="1" s="150">
      <c r="A610" s="34" t="n">
        <v>608</v>
      </c>
      <c r="B610" s="34" t="n"/>
      <c r="C610" s="34" t="n"/>
      <c r="D610" s="34" t="n"/>
      <c r="E610" s="34" t="n"/>
      <c r="F610" s="86" t="n"/>
      <c r="G610" s="86" t="n"/>
      <c r="H610" s="111" t="n"/>
      <c r="I610" s="87" t="n"/>
      <c r="J610" s="87" t="n"/>
      <c r="K610" s="111" t="n"/>
      <c r="L610" s="86" t="n"/>
      <c r="M610" s="146" t="n"/>
      <c r="N610" s="89" t="n"/>
      <c r="O610" s="144" t="n"/>
      <c r="P610" s="31" t="n"/>
      <c r="Q610" s="89" t="n"/>
      <c r="R610" s="89" t="n"/>
      <c r="S610" s="89" t="n"/>
      <c r="T610" s="55" t="n"/>
      <c r="V610" s="1" t="n"/>
      <c r="Y610" s="111" t="n"/>
      <c r="Z610" s="111" t="n"/>
      <c r="AA610" s="111" t="n"/>
      <c r="AK610" s="55" t="n"/>
      <c r="AL610" s="89" t="n"/>
    </row>
    <row r="611" ht="22.5" customHeight="1" s="150">
      <c r="A611" s="34" t="n">
        <v>609</v>
      </c>
      <c r="B611" s="34" t="n"/>
      <c r="C611" s="34" t="n"/>
      <c r="D611" s="34" t="n"/>
      <c r="E611" s="34" t="n"/>
      <c r="F611" s="86" t="n"/>
      <c r="G611" s="86" t="n"/>
      <c r="H611" s="111" t="n"/>
      <c r="I611" s="87" t="n"/>
      <c r="J611" s="87" t="n"/>
      <c r="K611" s="111" t="n"/>
      <c r="L611" s="86" t="n"/>
      <c r="M611" s="145" t="n"/>
      <c r="N611" s="89" t="n"/>
      <c r="O611" s="144" t="n"/>
      <c r="P611" s="31" t="n"/>
      <c r="Q611" s="89" t="n"/>
      <c r="R611" s="89" t="n"/>
      <c r="S611" s="89" t="n"/>
      <c r="T611" s="55" t="n"/>
      <c r="V611" s="1" t="n"/>
      <c r="Y611" s="111" t="n"/>
      <c r="Z611" s="111" t="n"/>
      <c r="AA611" s="111" t="n"/>
      <c r="AK611" s="55" t="n"/>
      <c r="AL611" s="89" t="n"/>
    </row>
    <row r="612" ht="22.5" customHeight="1" s="150">
      <c r="A612" s="34" t="n">
        <v>610</v>
      </c>
      <c r="B612" s="34" t="n"/>
      <c r="C612" s="34" t="n"/>
      <c r="D612" s="34" t="n"/>
      <c r="E612" s="34" t="n"/>
      <c r="F612" s="86" t="n"/>
      <c r="G612" s="86" t="n"/>
      <c r="H612" s="111" t="n"/>
      <c r="I612" s="87" t="n"/>
      <c r="J612" s="87" t="n"/>
      <c r="K612" s="111" t="n"/>
      <c r="L612" s="86" t="n"/>
      <c r="M612" s="146" t="n"/>
      <c r="N612" s="89" t="n"/>
      <c r="O612" s="144" t="n"/>
      <c r="P612" s="31" t="n"/>
      <c r="Q612" s="89" t="n"/>
      <c r="R612" s="89" t="n"/>
      <c r="S612" s="89" t="n"/>
      <c r="T612" s="55" t="n"/>
      <c r="V612" s="1" t="n"/>
      <c r="Y612" s="111" t="n"/>
      <c r="Z612" s="111" t="n"/>
      <c r="AA612" s="111" t="n"/>
      <c r="AK612" s="55" t="n"/>
      <c r="AL612" s="89" t="n"/>
    </row>
    <row r="613" ht="22.5" customHeight="1" s="150">
      <c r="A613" s="34" t="n">
        <v>611</v>
      </c>
      <c r="B613" s="34" t="n"/>
      <c r="C613" s="34" t="n"/>
      <c r="D613" s="34" t="n"/>
      <c r="E613" s="34" t="n"/>
      <c r="F613" s="86" t="n"/>
      <c r="G613" s="86" t="n"/>
      <c r="H613" s="111" t="n"/>
      <c r="I613" s="87" t="n"/>
      <c r="J613" s="87" t="n"/>
      <c r="K613" s="111" t="n"/>
      <c r="L613" s="86" t="n"/>
      <c r="M613" s="145" t="n"/>
      <c r="N613" s="89" t="n"/>
      <c r="O613" s="144" t="n"/>
      <c r="P613" s="31" t="n"/>
      <c r="Q613" s="89" t="n"/>
      <c r="R613" s="89" t="n"/>
      <c r="S613" s="89" t="n"/>
      <c r="T613" s="55" t="n"/>
      <c r="V613" s="1" t="n"/>
      <c r="Y613" s="111" t="n"/>
      <c r="Z613" s="111" t="n"/>
      <c r="AA613" s="111" t="n"/>
      <c r="AK613" s="55" t="n"/>
      <c r="AL613" s="89" t="n"/>
    </row>
    <row r="614" ht="22.5" customHeight="1" s="150">
      <c r="A614" s="34" t="n">
        <v>612</v>
      </c>
      <c r="B614" s="34" t="n"/>
      <c r="C614" s="34" t="n"/>
      <c r="D614" s="34" t="n"/>
      <c r="E614" s="34" t="n"/>
      <c r="F614" s="86" t="n"/>
      <c r="G614" s="86" t="n"/>
      <c r="H614" s="111" t="n"/>
      <c r="I614" s="87" t="n"/>
      <c r="J614" s="87" t="n"/>
      <c r="K614" s="111" t="n"/>
      <c r="L614" s="86" t="n"/>
      <c r="M614" s="146" t="n"/>
      <c r="N614" s="89" t="n"/>
      <c r="O614" s="144" t="n"/>
      <c r="P614" s="31" t="n"/>
      <c r="Q614" s="89" t="n"/>
      <c r="R614" s="89" t="n"/>
      <c r="S614" s="89" t="n"/>
      <c r="T614" s="55" t="n"/>
      <c r="V614" s="1" t="n"/>
      <c r="Y614" s="111" t="n"/>
      <c r="Z614" s="111" t="n"/>
      <c r="AA614" s="111" t="n"/>
      <c r="AK614" s="55" t="n"/>
      <c r="AL614" s="89" t="n"/>
    </row>
    <row r="615" ht="22.5" customHeight="1" s="150">
      <c r="A615" s="34" t="n">
        <v>613</v>
      </c>
      <c r="B615" s="34" t="n"/>
      <c r="C615" s="34" t="n"/>
      <c r="D615" s="34" t="n"/>
      <c r="E615" s="34" t="n"/>
      <c r="F615" s="86" t="n"/>
      <c r="G615" s="86" t="n"/>
      <c r="H615" s="111" t="n"/>
      <c r="I615" s="87" t="n"/>
      <c r="J615" s="87" t="n"/>
      <c r="K615" s="111" t="n"/>
      <c r="L615" s="86" t="n"/>
      <c r="M615" s="145" t="n"/>
      <c r="N615" s="89" t="n"/>
      <c r="O615" s="144" t="n"/>
      <c r="P615" s="31" t="n"/>
      <c r="Q615" s="89" t="n"/>
      <c r="R615" s="89" t="n"/>
      <c r="S615" s="89" t="n"/>
      <c r="T615" s="55" t="n"/>
      <c r="V615" s="1" t="n"/>
      <c r="Y615" s="111" t="n"/>
      <c r="Z615" s="111" t="n"/>
      <c r="AA615" s="111" t="n"/>
      <c r="AK615" s="55" t="n"/>
      <c r="AL615" s="89" t="n"/>
    </row>
    <row r="616" ht="22.5" customHeight="1" s="150">
      <c r="A616" s="34" t="n">
        <v>614</v>
      </c>
      <c r="B616" s="34" t="n"/>
      <c r="C616" s="34" t="n"/>
      <c r="D616" s="34" t="n"/>
      <c r="E616" s="34" t="n"/>
      <c r="F616" s="86" t="n"/>
      <c r="G616" s="86" t="n"/>
      <c r="H616" s="111" t="n"/>
      <c r="I616" s="87" t="n"/>
      <c r="J616" s="87" t="n"/>
      <c r="K616" s="111" t="n"/>
      <c r="L616" s="86" t="n"/>
      <c r="M616" s="146" t="n"/>
      <c r="N616" s="89" t="n"/>
      <c r="O616" s="144" t="n"/>
      <c r="P616" s="31" t="n"/>
      <c r="Q616" s="89" t="n"/>
      <c r="R616" s="89" t="n"/>
      <c r="S616" s="89" t="n"/>
      <c r="T616" s="55" t="n"/>
      <c r="V616" s="1" t="n"/>
      <c r="Y616" s="111" t="n"/>
      <c r="Z616" s="111" t="n"/>
      <c r="AA616" s="111" t="n"/>
      <c r="AK616" s="55" t="n"/>
      <c r="AL616" s="89" t="n"/>
    </row>
    <row r="617" ht="22.5" customHeight="1" s="150">
      <c r="A617" s="34" t="n">
        <v>615</v>
      </c>
      <c r="B617" s="34" t="n"/>
      <c r="C617" s="34" t="n"/>
      <c r="D617" s="34" t="n"/>
      <c r="E617" s="34" t="n"/>
      <c r="F617" s="86" t="n"/>
      <c r="G617" s="86" t="n"/>
      <c r="H617" s="111" t="n"/>
      <c r="I617" s="87" t="n"/>
      <c r="J617" s="87" t="n"/>
      <c r="K617" s="111" t="n"/>
      <c r="L617" s="86" t="n"/>
      <c r="M617" s="145" t="n"/>
      <c r="N617" s="89" t="n"/>
      <c r="O617" s="144" t="n"/>
      <c r="P617" s="31" t="n"/>
      <c r="Q617" s="89" t="n"/>
      <c r="R617" s="89" t="n"/>
      <c r="S617" s="89" t="n"/>
      <c r="T617" s="55" t="n"/>
      <c r="V617" s="1" t="n"/>
      <c r="Y617" s="111" t="n"/>
      <c r="Z617" s="111" t="n"/>
      <c r="AA617" s="111" t="n"/>
      <c r="AK617" s="55" t="n"/>
      <c r="AL617" s="89" t="n"/>
    </row>
    <row r="618" ht="22.5" customHeight="1" s="150">
      <c r="A618" s="34" t="n">
        <v>616</v>
      </c>
      <c r="B618" s="34" t="n"/>
      <c r="C618" s="34" t="n"/>
      <c r="D618" s="34" t="n"/>
      <c r="E618" s="34" t="n"/>
      <c r="F618" s="86" t="n"/>
      <c r="G618" s="86" t="n"/>
      <c r="H618" s="111" t="n"/>
      <c r="I618" s="87" t="n"/>
      <c r="J618" s="87" t="n"/>
      <c r="K618" s="111" t="n"/>
      <c r="L618" s="86" t="n"/>
      <c r="M618" s="146" t="n"/>
      <c r="N618" s="89" t="n"/>
      <c r="O618" s="144" t="n"/>
      <c r="P618" s="31" t="n"/>
      <c r="Q618" s="89" t="n"/>
      <c r="R618" s="89" t="n"/>
      <c r="S618" s="89" t="n"/>
      <c r="T618" s="55" t="n"/>
      <c r="V618" s="1" t="n"/>
      <c r="Y618" s="111" t="n"/>
      <c r="Z618" s="111" t="n"/>
      <c r="AA618" s="111" t="n"/>
      <c r="AK618" s="55" t="n"/>
      <c r="AL618" s="89" t="n"/>
    </row>
    <row r="619" ht="22.5" customHeight="1" s="150">
      <c r="A619" s="34" t="n">
        <v>617</v>
      </c>
      <c r="B619" s="34" t="n"/>
      <c r="C619" s="34" t="n"/>
      <c r="D619" s="34" t="n"/>
      <c r="E619" s="34" t="n"/>
      <c r="F619" s="86" t="n"/>
      <c r="G619" s="86" t="n"/>
      <c r="H619" s="111" t="n"/>
      <c r="I619" s="87" t="n"/>
      <c r="J619" s="87" t="n"/>
      <c r="K619" s="111" t="n"/>
      <c r="L619" s="86" t="n"/>
      <c r="M619" s="145" t="n"/>
      <c r="N619" s="89" t="n"/>
      <c r="O619" s="144" t="n"/>
      <c r="P619" s="31" t="n"/>
      <c r="Q619" s="89" t="n"/>
      <c r="R619" s="89" t="n"/>
      <c r="S619" s="89" t="n"/>
      <c r="T619" s="55" t="n"/>
      <c r="V619" s="1" t="n"/>
      <c r="Y619" s="111" t="n"/>
      <c r="Z619" s="111" t="n"/>
      <c r="AA619" s="111" t="n"/>
      <c r="AK619" s="55" t="n"/>
      <c r="AL619" s="89" t="n"/>
    </row>
    <row r="620" ht="22.5" customHeight="1" s="150">
      <c r="A620" s="34" t="n">
        <v>618</v>
      </c>
      <c r="B620" s="34" t="n"/>
      <c r="C620" s="34" t="n"/>
      <c r="D620" s="34" t="n"/>
      <c r="E620" s="34" t="n"/>
      <c r="F620" s="86" t="n"/>
      <c r="G620" s="86" t="n"/>
      <c r="H620" s="111" t="n"/>
      <c r="I620" s="87" t="n"/>
      <c r="J620" s="87" t="n"/>
      <c r="K620" s="111" t="n"/>
      <c r="L620" s="86" t="n"/>
      <c r="M620" s="146" t="n"/>
      <c r="N620" s="89" t="n"/>
      <c r="O620" s="144" t="n"/>
      <c r="P620" s="31" t="n"/>
      <c r="Q620" s="89" t="n"/>
      <c r="R620" s="89" t="n"/>
      <c r="S620" s="89" t="n"/>
      <c r="T620" s="55" t="n"/>
      <c r="V620" s="1" t="n"/>
      <c r="Y620" s="111" t="n"/>
      <c r="Z620" s="111" t="n"/>
      <c r="AA620" s="111" t="n"/>
      <c r="AK620" s="55" t="n"/>
      <c r="AL620" s="89" t="n"/>
    </row>
    <row r="621" ht="22.5" customHeight="1" s="150">
      <c r="A621" s="34" t="n">
        <v>619</v>
      </c>
      <c r="B621" s="34" t="n"/>
      <c r="C621" s="34" t="n"/>
      <c r="D621" s="34" t="n"/>
      <c r="E621" s="34" t="n"/>
      <c r="F621" s="86" t="n"/>
      <c r="G621" s="86" t="n"/>
      <c r="H621" s="111" t="n"/>
      <c r="I621" s="87" t="n"/>
      <c r="J621" s="87" t="n"/>
      <c r="K621" s="111" t="n"/>
      <c r="L621" s="86" t="n"/>
      <c r="M621" s="145" t="n"/>
      <c r="N621" s="89" t="n"/>
      <c r="O621" s="144" t="n"/>
      <c r="P621" s="31" t="n"/>
      <c r="Q621" s="89" t="n"/>
      <c r="R621" s="89" t="n"/>
      <c r="S621" s="89" t="n"/>
      <c r="T621" s="55" t="n"/>
      <c r="V621" s="1" t="n"/>
      <c r="Y621" s="111" t="n"/>
      <c r="Z621" s="111" t="n"/>
      <c r="AA621" s="111" t="n"/>
      <c r="AK621" s="55" t="n"/>
      <c r="AL621" s="89" t="n"/>
    </row>
    <row r="622" ht="22.5" customHeight="1" s="150">
      <c r="A622" s="34" t="n">
        <v>620</v>
      </c>
      <c r="B622" s="34" t="n"/>
      <c r="C622" s="34" t="n"/>
      <c r="D622" s="34" t="n"/>
      <c r="E622" s="34" t="n"/>
      <c r="F622" s="86" t="n"/>
      <c r="G622" s="86" t="n"/>
      <c r="H622" s="111" t="n"/>
      <c r="I622" s="87" t="n"/>
      <c r="J622" s="87" t="n"/>
      <c r="K622" s="111" t="n"/>
      <c r="L622" s="86" t="n"/>
      <c r="M622" s="146" t="n"/>
      <c r="N622" s="89" t="n"/>
      <c r="O622" s="144" t="n"/>
      <c r="P622" s="31" t="n"/>
      <c r="Q622" s="89" t="n"/>
      <c r="R622" s="89" t="n"/>
      <c r="S622" s="89" t="n"/>
      <c r="T622" s="55" t="n"/>
      <c r="V622" s="1" t="n"/>
      <c r="Y622" s="111" t="n"/>
      <c r="Z622" s="111" t="n"/>
      <c r="AA622" s="111" t="n"/>
      <c r="AK622" s="55" t="n"/>
      <c r="AL622" s="89" t="n"/>
    </row>
    <row r="623" ht="22.5" customHeight="1" s="150">
      <c r="A623" s="34" t="n">
        <v>621</v>
      </c>
      <c r="B623" s="34" t="n"/>
      <c r="C623" s="34" t="n"/>
      <c r="D623" s="34" t="n"/>
      <c r="E623" s="34" t="n"/>
      <c r="F623" s="86" t="n"/>
      <c r="G623" s="86" t="n"/>
      <c r="H623" s="111" t="n"/>
      <c r="I623" s="87" t="n"/>
      <c r="J623" s="87" t="n"/>
      <c r="K623" s="111" t="n"/>
      <c r="L623" s="86" t="n"/>
      <c r="M623" s="145" t="n"/>
      <c r="N623" s="89" t="n"/>
      <c r="O623" s="144" t="n"/>
      <c r="P623" s="31" t="n"/>
      <c r="Q623" s="89" t="n"/>
      <c r="R623" s="89" t="n"/>
      <c r="S623" s="89" t="n"/>
      <c r="T623" s="55" t="n"/>
      <c r="V623" s="1" t="n"/>
      <c r="Y623" s="111" t="n"/>
      <c r="Z623" s="111" t="n"/>
      <c r="AA623" s="111" t="n"/>
      <c r="AK623" s="55" t="n"/>
      <c r="AL623" s="89" t="n"/>
    </row>
    <row r="624" ht="22.5" customHeight="1" s="150">
      <c r="A624" s="34" t="n">
        <v>622</v>
      </c>
      <c r="B624" s="34" t="n"/>
      <c r="C624" s="34" t="n"/>
      <c r="D624" s="34" t="n"/>
      <c r="E624" s="34" t="n"/>
      <c r="F624" s="86" t="n"/>
      <c r="G624" s="86" t="n"/>
      <c r="H624" s="111" t="n"/>
      <c r="I624" s="87" t="n"/>
      <c r="J624" s="87" t="n"/>
      <c r="K624" s="111" t="n"/>
      <c r="L624" s="86" t="n"/>
      <c r="M624" s="146" t="n"/>
      <c r="N624" s="89" t="n"/>
      <c r="O624" s="144" t="n"/>
      <c r="P624" s="31" t="n"/>
      <c r="Q624" s="89" t="n"/>
      <c r="R624" s="89" t="n"/>
      <c r="S624" s="89" t="n"/>
      <c r="T624" s="55" t="n"/>
      <c r="V624" s="1" t="n"/>
      <c r="Y624" s="111" t="n"/>
      <c r="Z624" s="111" t="n"/>
      <c r="AA624" s="111" t="n"/>
      <c r="AK624" s="55" t="n"/>
      <c r="AL624" s="89" t="n"/>
    </row>
    <row r="625" ht="22.5" customHeight="1" s="150">
      <c r="A625" s="34" t="n">
        <v>623</v>
      </c>
      <c r="B625" s="34" t="n"/>
      <c r="C625" s="34" t="n"/>
      <c r="D625" s="34" t="n"/>
      <c r="E625" s="34" t="n"/>
      <c r="F625" s="86" t="n"/>
      <c r="G625" s="86" t="n"/>
      <c r="H625" s="111" t="n"/>
      <c r="I625" s="87" t="n"/>
      <c r="J625" s="87" t="n"/>
      <c r="K625" s="111" t="n"/>
      <c r="L625" s="86" t="n"/>
      <c r="M625" s="145" t="n"/>
      <c r="N625" s="89" t="n"/>
      <c r="O625" s="144" t="n"/>
      <c r="P625" s="31" t="n"/>
      <c r="Q625" s="89" t="n"/>
      <c r="R625" s="89" t="n"/>
      <c r="S625" s="89" t="n"/>
      <c r="T625" s="55" t="n"/>
      <c r="V625" s="1" t="n"/>
      <c r="Y625" s="111" t="n"/>
      <c r="Z625" s="111" t="n"/>
      <c r="AA625" s="111" t="n"/>
      <c r="AK625" s="55" t="n"/>
      <c r="AL625" s="89" t="n"/>
    </row>
    <row r="626" ht="22.5" customHeight="1" s="150">
      <c r="A626" s="34" t="n">
        <v>624</v>
      </c>
      <c r="B626" s="34" t="n"/>
      <c r="C626" s="34" t="n"/>
      <c r="D626" s="34" t="n"/>
      <c r="E626" s="34" t="n"/>
      <c r="F626" s="86" t="n"/>
      <c r="G626" s="86" t="n"/>
      <c r="H626" s="111" t="n"/>
      <c r="I626" s="87" t="n"/>
      <c r="J626" s="87" t="n"/>
      <c r="K626" s="111" t="n"/>
      <c r="L626" s="86" t="n"/>
      <c r="M626" s="146" t="n"/>
      <c r="N626" s="89" t="n"/>
      <c r="O626" s="144" t="n"/>
      <c r="P626" s="31" t="n"/>
      <c r="Q626" s="89" t="n"/>
      <c r="R626" s="89" t="n"/>
      <c r="S626" s="89" t="n"/>
      <c r="T626" s="55" t="n"/>
      <c r="V626" s="1" t="n"/>
      <c r="Y626" s="111" t="n"/>
      <c r="Z626" s="111" t="n"/>
      <c r="AA626" s="111" t="n"/>
      <c r="AK626" s="55" t="n"/>
      <c r="AL626" s="89" t="n"/>
    </row>
    <row r="627" ht="22.5" customHeight="1" s="150">
      <c r="A627" s="34" t="n">
        <v>625</v>
      </c>
      <c r="B627" s="34" t="n"/>
      <c r="C627" s="34" t="n"/>
      <c r="D627" s="34" t="n"/>
      <c r="E627" s="34" t="n"/>
      <c r="F627" s="86" t="n"/>
      <c r="G627" s="86" t="n"/>
      <c r="H627" s="111" t="n"/>
      <c r="I627" s="87" t="n"/>
      <c r="J627" s="87" t="n"/>
      <c r="K627" s="111" t="n"/>
      <c r="L627" s="86" t="n"/>
      <c r="M627" s="145" t="n"/>
      <c r="N627" s="89" t="n"/>
      <c r="O627" s="144" t="n"/>
      <c r="P627" s="31" t="n"/>
      <c r="Q627" s="89" t="n"/>
      <c r="R627" s="89" t="n"/>
      <c r="S627" s="89" t="n"/>
      <c r="T627" s="55" t="n"/>
      <c r="V627" s="1" t="n"/>
      <c r="Y627" s="111" t="n"/>
      <c r="Z627" s="111" t="n"/>
      <c r="AA627" s="111" t="n"/>
      <c r="AK627" s="55" t="n"/>
      <c r="AL627" s="89" t="n"/>
    </row>
    <row r="628" ht="22.5" customHeight="1" s="150">
      <c r="A628" s="34" t="n">
        <v>626</v>
      </c>
      <c r="B628" s="34" t="n"/>
      <c r="C628" s="34" t="n"/>
      <c r="D628" s="34" t="n"/>
      <c r="E628" s="34" t="n"/>
      <c r="F628" s="86" t="n"/>
      <c r="G628" s="86" t="n"/>
      <c r="H628" s="111" t="n"/>
      <c r="I628" s="87" t="n"/>
      <c r="J628" s="87" t="n"/>
      <c r="K628" s="111" t="n"/>
      <c r="L628" s="86" t="n"/>
      <c r="M628" s="146" t="n"/>
      <c r="N628" s="89" t="n"/>
      <c r="O628" s="144" t="n"/>
      <c r="P628" s="31" t="n"/>
      <c r="Q628" s="89" t="n"/>
      <c r="R628" s="89" t="n"/>
      <c r="S628" s="89" t="n"/>
      <c r="T628" s="55" t="n"/>
      <c r="V628" s="1" t="n"/>
      <c r="Y628" s="111" t="n"/>
      <c r="Z628" s="111" t="n"/>
      <c r="AA628" s="111" t="n"/>
      <c r="AK628" s="55" t="n"/>
      <c r="AL628" s="89" t="n"/>
    </row>
    <row r="629" ht="22.5" customHeight="1" s="150">
      <c r="A629" s="34" t="n">
        <v>627</v>
      </c>
      <c r="B629" s="34" t="n"/>
      <c r="C629" s="34" t="n"/>
      <c r="D629" s="34" t="n"/>
      <c r="E629" s="34" t="n"/>
      <c r="F629" s="86" t="n"/>
      <c r="G629" s="86" t="n"/>
      <c r="H629" s="111" t="n"/>
      <c r="I629" s="87" t="n"/>
      <c r="J629" s="87" t="n"/>
      <c r="K629" s="111" t="n"/>
      <c r="L629" s="86" t="n"/>
      <c r="M629" s="145" t="n"/>
      <c r="N629" s="89" t="n"/>
      <c r="O629" s="144" t="n"/>
      <c r="P629" s="31" t="n"/>
      <c r="Q629" s="89" t="n"/>
      <c r="R629" s="89" t="n"/>
      <c r="S629" s="89" t="n"/>
      <c r="T629" s="55" t="n"/>
      <c r="V629" s="1" t="n"/>
      <c r="Y629" s="111" t="n"/>
      <c r="Z629" s="111" t="n"/>
      <c r="AA629" s="111" t="n"/>
      <c r="AK629" s="55" t="n"/>
      <c r="AL629" s="89" t="n"/>
    </row>
    <row r="630" ht="22.5" customHeight="1" s="150">
      <c r="A630" s="34" t="n">
        <v>628</v>
      </c>
      <c r="B630" s="34" t="n"/>
      <c r="C630" s="34" t="n"/>
      <c r="D630" s="34" t="n"/>
      <c r="E630" s="34" t="n"/>
      <c r="F630" s="86" t="n"/>
      <c r="G630" s="86" t="n"/>
      <c r="H630" s="111" t="n"/>
      <c r="I630" s="87" t="n"/>
      <c r="J630" s="87" t="n"/>
      <c r="K630" s="111" t="n"/>
      <c r="L630" s="86" t="n"/>
      <c r="M630" s="146" t="n"/>
      <c r="N630" s="89" t="n"/>
      <c r="O630" s="144" t="n"/>
      <c r="P630" s="31" t="n"/>
      <c r="Q630" s="89" t="n"/>
      <c r="R630" s="89" t="n"/>
      <c r="S630" s="89" t="n"/>
      <c r="T630" s="55" t="n"/>
      <c r="V630" s="1" t="n"/>
      <c r="Y630" s="111" t="n"/>
      <c r="Z630" s="111" t="n"/>
      <c r="AA630" s="111" t="n"/>
      <c r="AK630" s="55" t="n"/>
      <c r="AL630" s="89" t="n"/>
    </row>
    <row r="631" ht="22.5" customHeight="1" s="150">
      <c r="A631" s="34" t="n">
        <v>629</v>
      </c>
      <c r="B631" s="34" t="n"/>
      <c r="C631" s="34" t="n"/>
      <c r="D631" s="34" t="n"/>
      <c r="E631" s="34" t="n"/>
      <c r="F631" s="86" t="n"/>
      <c r="G631" s="86" t="n"/>
      <c r="H631" s="111" t="n"/>
      <c r="I631" s="87" t="n"/>
      <c r="J631" s="87" t="n"/>
      <c r="K631" s="111" t="n"/>
      <c r="L631" s="86" t="n"/>
      <c r="M631" s="145" t="n"/>
      <c r="N631" s="89" t="n"/>
      <c r="O631" s="144" t="n"/>
      <c r="P631" s="31" t="n"/>
      <c r="Q631" s="89" t="n"/>
      <c r="R631" s="89" t="n"/>
      <c r="S631" s="89" t="n"/>
      <c r="T631" s="55" t="n"/>
      <c r="V631" s="1" t="n"/>
      <c r="Y631" s="111" t="n"/>
      <c r="Z631" s="111" t="n"/>
      <c r="AA631" s="111" t="n"/>
      <c r="AK631" s="55" t="n"/>
      <c r="AL631" s="89" t="n"/>
    </row>
    <row r="632" ht="22.5" customHeight="1" s="150">
      <c r="A632" s="34" t="n">
        <v>630</v>
      </c>
      <c r="B632" s="34" t="n"/>
      <c r="C632" s="34" t="n"/>
      <c r="D632" s="34" t="n"/>
      <c r="E632" s="34" t="n"/>
      <c r="F632" s="86" t="n"/>
      <c r="G632" s="86" t="n"/>
      <c r="H632" s="111" t="n"/>
      <c r="I632" s="87" t="n"/>
      <c r="J632" s="87" t="n"/>
      <c r="K632" s="111" t="n"/>
      <c r="L632" s="86" t="n"/>
      <c r="M632" s="146" t="n"/>
      <c r="N632" s="89" t="n"/>
      <c r="O632" s="144" t="n"/>
      <c r="P632" s="31" t="n"/>
      <c r="Q632" s="89" t="n"/>
      <c r="R632" s="89" t="n"/>
      <c r="S632" s="89" t="n"/>
      <c r="T632" s="55" t="n"/>
      <c r="V632" s="1" t="n"/>
      <c r="Y632" s="111" t="n"/>
      <c r="Z632" s="111" t="n"/>
      <c r="AA632" s="111" t="n"/>
      <c r="AK632" s="55" t="n"/>
      <c r="AL632" s="89" t="n"/>
    </row>
    <row r="633" ht="22.5" customHeight="1" s="150">
      <c r="A633" s="34" t="n">
        <v>631</v>
      </c>
      <c r="B633" s="34" t="n"/>
      <c r="C633" s="34" t="n"/>
      <c r="D633" s="34" t="n"/>
      <c r="E633" s="34" t="n"/>
      <c r="F633" s="86" t="n"/>
      <c r="G633" s="86" t="n"/>
      <c r="H633" s="111" t="n"/>
      <c r="I633" s="87" t="n"/>
      <c r="J633" s="87" t="n"/>
      <c r="K633" s="111" t="n"/>
      <c r="L633" s="86" t="n"/>
      <c r="M633" s="145" t="n"/>
      <c r="N633" s="89" t="n"/>
      <c r="O633" s="144" t="n"/>
      <c r="P633" s="31" t="n"/>
      <c r="Q633" s="89" t="n"/>
      <c r="R633" s="89" t="n"/>
      <c r="S633" s="89" t="n"/>
      <c r="T633" s="55" t="n"/>
      <c r="V633" s="1" t="n"/>
      <c r="Y633" s="111" t="n"/>
      <c r="Z633" s="111" t="n"/>
      <c r="AA633" s="111" t="n"/>
      <c r="AK633" s="55" t="n"/>
      <c r="AL633" s="89" t="n"/>
    </row>
    <row r="634" ht="22.5" customHeight="1" s="150">
      <c r="A634" s="34" t="n">
        <v>632</v>
      </c>
      <c r="B634" s="34" t="n"/>
      <c r="C634" s="34" t="n"/>
      <c r="D634" s="34" t="n"/>
      <c r="E634" s="34" t="n"/>
      <c r="F634" s="86" t="n"/>
      <c r="G634" s="86" t="n"/>
      <c r="H634" s="111" t="n"/>
      <c r="I634" s="87" t="n"/>
      <c r="J634" s="87" t="n"/>
      <c r="K634" s="111" t="n"/>
      <c r="L634" s="86" t="n"/>
      <c r="M634" s="146" t="n"/>
      <c r="N634" s="89" t="n"/>
      <c r="O634" s="144" t="n"/>
      <c r="P634" s="31" t="n"/>
      <c r="Q634" s="89" t="n"/>
      <c r="R634" s="89" t="n"/>
      <c r="S634" s="89" t="n"/>
      <c r="T634" s="55" t="n"/>
      <c r="V634" s="1" t="n"/>
      <c r="Y634" s="111" t="n"/>
      <c r="Z634" s="111" t="n"/>
      <c r="AA634" s="111" t="n"/>
      <c r="AK634" s="55" t="n"/>
      <c r="AL634" s="89" t="n"/>
    </row>
    <row r="635" ht="22.5" customHeight="1" s="150">
      <c r="A635" s="34" t="n">
        <v>633</v>
      </c>
      <c r="B635" s="34" t="n"/>
      <c r="C635" s="34" t="n"/>
      <c r="D635" s="34" t="n"/>
      <c r="E635" s="34" t="n"/>
      <c r="F635" s="86" t="n"/>
      <c r="G635" s="86" t="n"/>
      <c r="H635" s="111" t="n"/>
      <c r="I635" s="87" t="n"/>
      <c r="J635" s="87" t="n"/>
      <c r="K635" s="111" t="n"/>
      <c r="L635" s="86" t="n"/>
      <c r="M635" s="145" t="n"/>
      <c r="N635" s="89" t="n"/>
      <c r="O635" s="144" t="n"/>
      <c r="P635" s="31" t="n"/>
      <c r="Q635" s="89" t="n"/>
      <c r="R635" s="89" t="n"/>
      <c r="S635" s="89" t="n"/>
      <c r="T635" s="55" t="n"/>
      <c r="V635" s="1" t="n"/>
      <c r="Y635" s="111" t="n"/>
      <c r="Z635" s="111" t="n"/>
      <c r="AA635" s="111" t="n"/>
      <c r="AK635" s="55" t="n"/>
      <c r="AL635" s="89" t="n"/>
    </row>
    <row r="636" ht="22.5" customHeight="1" s="150">
      <c r="A636" s="34" t="n">
        <v>634</v>
      </c>
      <c r="B636" s="34" t="n"/>
      <c r="C636" s="34" t="n"/>
      <c r="D636" s="34" t="n"/>
      <c r="E636" s="34" t="n"/>
      <c r="F636" s="86" t="n"/>
      <c r="G636" s="86" t="n"/>
      <c r="H636" s="111" t="n"/>
      <c r="I636" s="87" t="n"/>
      <c r="J636" s="87" t="n"/>
      <c r="K636" s="111" t="n"/>
      <c r="L636" s="86" t="n"/>
      <c r="M636" s="146" t="n"/>
      <c r="N636" s="89" t="n"/>
      <c r="O636" s="144" t="n"/>
      <c r="P636" s="31" t="n"/>
      <c r="Q636" s="89" t="n"/>
      <c r="R636" s="89" t="n"/>
      <c r="S636" s="89" t="n"/>
      <c r="T636" s="55" t="n"/>
      <c r="V636" s="1" t="n"/>
      <c r="Y636" s="111" t="n"/>
      <c r="Z636" s="111" t="n"/>
      <c r="AA636" s="111" t="n"/>
      <c r="AK636" s="55" t="n"/>
      <c r="AL636" s="89" t="n"/>
    </row>
    <row r="637" ht="22.5" customHeight="1" s="150">
      <c r="A637" s="34" t="n">
        <v>635</v>
      </c>
      <c r="B637" s="34" t="n"/>
      <c r="C637" s="34" t="n"/>
      <c r="D637" s="34" t="n"/>
      <c r="E637" s="34" t="n"/>
      <c r="F637" s="86" t="n"/>
      <c r="G637" s="86" t="n"/>
      <c r="H637" s="111" t="n"/>
      <c r="I637" s="87" t="n"/>
      <c r="J637" s="87" t="n"/>
      <c r="K637" s="111" t="n"/>
      <c r="L637" s="86" t="n"/>
      <c r="M637" s="145" t="n"/>
      <c r="N637" s="89" t="n"/>
      <c r="O637" s="144" t="n"/>
      <c r="P637" s="31" t="n"/>
      <c r="Q637" s="89" t="n"/>
      <c r="R637" s="89" t="n"/>
      <c r="S637" s="89" t="n"/>
      <c r="T637" s="55" t="n"/>
      <c r="V637" s="1" t="n"/>
      <c r="Y637" s="111" t="n"/>
      <c r="Z637" s="111" t="n"/>
      <c r="AA637" s="111" t="n"/>
      <c r="AK637" s="55" t="n"/>
      <c r="AL637" s="89" t="n"/>
    </row>
    <row r="638" ht="22.5" customHeight="1" s="150">
      <c r="A638" s="34" t="n">
        <v>636</v>
      </c>
      <c r="B638" s="34" t="n"/>
      <c r="C638" s="34" t="n"/>
      <c r="D638" s="34" t="n"/>
      <c r="E638" s="34" t="n"/>
      <c r="F638" s="86" t="n"/>
      <c r="G638" s="86" t="n"/>
      <c r="H638" s="111" t="n"/>
      <c r="I638" s="87" t="n"/>
      <c r="J638" s="87" t="n"/>
      <c r="K638" s="111" t="n"/>
      <c r="L638" s="86" t="n"/>
      <c r="M638" s="146" t="n"/>
      <c r="N638" s="89" t="n"/>
      <c r="O638" s="144" t="n"/>
      <c r="P638" s="31" t="n"/>
      <c r="Q638" s="89" t="n"/>
      <c r="R638" s="89" t="n"/>
      <c r="S638" s="89" t="n"/>
      <c r="T638" s="55" t="n"/>
      <c r="V638" s="1" t="n"/>
      <c r="Y638" s="111" t="n"/>
      <c r="Z638" s="111" t="n"/>
      <c r="AA638" s="111" t="n"/>
      <c r="AK638" s="55" t="n"/>
      <c r="AL638" s="89" t="n"/>
    </row>
    <row r="639" ht="22.5" customHeight="1" s="150">
      <c r="A639" s="34" t="n">
        <v>637</v>
      </c>
      <c r="B639" s="34" t="n"/>
      <c r="C639" s="34" t="n"/>
      <c r="D639" s="34" t="n"/>
      <c r="E639" s="34" t="n"/>
      <c r="F639" s="86" t="n"/>
      <c r="G639" s="86" t="n"/>
      <c r="H639" s="111" t="n"/>
      <c r="I639" s="87" t="n"/>
      <c r="J639" s="87" t="n"/>
      <c r="K639" s="111" t="n"/>
      <c r="L639" s="86" t="n"/>
      <c r="M639" s="145" t="n"/>
      <c r="N639" s="89" t="n"/>
      <c r="O639" s="144" t="n"/>
      <c r="P639" s="31" t="n"/>
      <c r="Q639" s="89" t="n"/>
      <c r="R639" s="89" t="n"/>
      <c r="S639" s="89" t="n"/>
      <c r="T639" s="55" t="n"/>
      <c r="V639" s="1" t="n"/>
      <c r="Y639" s="111" t="n"/>
      <c r="Z639" s="111" t="n"/>
      <c r="AA639" s="111" t="n"/>
      <c r="AK639" s="55" t="n"/>
      <c r="AL639" s="89" t="n"/>
    </row>
    <row r="640" ht="22.5" customHeight="1" s="150">
      <c r="A640" s="34" t="n">
        <v>638</v>
      </c>
      <c r="B640" s="34" t="n"/>
      <c r="C640" s="34" t="n"/>
      <c r="D640" s="34" t="n"/>
      <c r="E640" s="34" t="n"/>
      <c r="F640" s="86" t="n"/>
      <c r="G640" s="86" t="n"/>
      <c r="H640" s="111" t="n"/>
      <c r="I640" s="87" t="n"/>
      <c r="J640" s="87" t="n"/>
      <c r="K640" s="111" t="n"/>
      <c r="L640" s="86" t="n"/>
      <c r="M640" s="146" t="n"/>
      <c r="N640" s="89" t="n"/>
      <c r="O640" s="144" t="n"/>
      <c r="P640" s="31" t="n"/>
      <c r="Q640" s="89" t="n"/>
      <c r="R640" s="89" t="n"/>
      <c r="S640" s="89" t="n"/>
      <c r="T640" s="55" t="n"/>
      <c r="V640" s="1" t="n"/>
      <c r="Y640" s="111" t="n"/>
      <c r="Z640" s="111" t="n"/>
      <c r="AA640" s="111" t="n"/>
      <c r="AK640" s="55" t="n"/>
      <c r="AL640" s="89" t="n"/>
    </row>
    <row r="641" ht="22.5" customHeight="1" s="150">
      <c r="A641" s="34" t="n">
        <v>639</v>
      </c>
      <c r="B641" s="34" t="n"/>
      <c r="C641" s="34" t="n"/>
      <c r="D641" s="34" t="n"/>
      <c r="E641" s="34" t="n"/>
      <c r="F641" s="86" t="n"/>
      <c r="G641" s="86" t="n"/>
      <c r="H641" s="111" t="n"/>
      <c r="I641" s="87" t="n"/>
      <c r="J641" s="87" t="n"/>
      <c r="K641" s="111" t="n"/>
      <c r="L641" s="86" t="n"/>
      <c r="M641" s="145" t="n"/>
      <c r="N641" s="89" t="n"/>
      <c r="O641" s="144" t="n"/>
      <c r="P641" s="31" t="n"/>
      <c r="Q641" s="89" t="n"/>
      <c r="R641" s="89" t="n"/>
      <c r="S641" s="89" t="n"/>
      <c r="T641" s="55" t="n"/>
      <c r="V641" s="1" t="n"/>
      <c r="Y641" s="111" t="n"/>
      <c r="Z641" s="111" t="n"/>
      <c r="AA641" s="111" t="n"/>
      <c r="AK641" s="55" t="n"/>
      <c r="AL641" s="89" t="n"/>
    </row>
    <row r="642" ht="22.5" customHeight="1" s="150">
      <c r="A642" s="34" t="n">
        <v>640</v>
      </c>
      <c r="B642" s="34" t="n"/>
      <c r="C642" s="34" t="n"/>
      <c r="D642" s="34" t="n"/>
      <c r="E642" s="34" t="n"/>
      <c r="F642" s="86" t="n"/>
      <c r="G642" s="86" t="n"/>
      <c r="H642" s="111" t="n"/>
      <c r="I642" s="87" t="n"/>
      <c r="J642" s="87" t="n"/>
      <c r="K642" s="111" t="n"/>
      <c r="L642" s="86" t="n"/>
      <c r="M642" s="146" t="n"/>
      <c r="N642" s="89" t="n"/>
      <c r="O642" s="144" t="n"/>
      <c r="P642" s="31" t="n"/>
      <c r="Q642" s="89" t="n"/>
      <c r="R642" s="89" t="n"/>
      <c r="S642" s="89" t="n"/>
      <c r="T642" s="55" t="n"/>
      <c r="V642" s="1" t="n"/>
      <c r="Y642" s="111" t="n"/>
      <c r="Z642" s="111" t="n"/>
      <c r="AA642" s="111" t="n"/>
      <c r="AK642" s="55" t="n"/>
      <c r="AL642" s="89" t="n"/>
    </row>
    <row r="643" ht="22.5" customHeight="1" s="150">
      <c r="A643" s="34" t="n">
        <v>641</v>
      </c>
      <c r="B643" s="34" t="n"/>
      <c r="C643" s="34" t="n"/>
      <c r="D643" s="34" t="n"/>
      <c r="E643" s="34" t="n"/>
      <c r="F643" s="86" t="n"/>
      <c r="G643" s="86" t="n"/>
      <c r="H643" s="111" t="n"/>
      <c r="I643" s="87" t="n"/>
      <c r="J643" s="87" t="n"/>
      <c r="K643" s="111" t="n"/>
      <c r="L643" s="86" t="n"/>
      <c r="M643" s="145" t="n"/>
      <c r="N643" s="89" t="n"/>
      <c r="O643" s="144" t="n"/>
      <c r="P643" s="31" t="n"/>
      <c r="Q643" s="89" t="n"/>
      <c r="R643" s="89" t="n"/>
      <c r="S643" s="89" t="n"/>
      <c r="T643" s="55" t="n"/>
      <c r="V643" s="1" t="n"/>
      <c r="Y643" s="111" t="n"/>
      <c r="Z643" s="111" t="n"/>
      <c r="AA643" s="111" t="n"/>
      <c r="AK643" s="55" t="n"/>
      <c r="AL643" s="89" t="n"/>
    </row>
    <row r="644" ht="22.5" customHeight="1" s="150">
      <c r="A644" s="34" t="n">
        <v>642</v>
      </c>
      <c r="B644" s="34" t="n"/>
      <c r="C644" s="34" t="n"/>
      <c r="D644" s="34" t="n"/>
      <c r="E644" s="34" t="n"/>
      <c r="F644" s="86" t="n"/>
      <c r="G644" s="86" t="n"/>
      <c r="H644" s="111" t="n"/>
      <c r="I644" s="87" t="n"/>
      <c r="J644" s="87" t="n"/>
      <c r="K644" s="111" t="n"/>
      <c r="L644" s="86" t="n"/>
      <c r="M644" s="146" t="n"/>
      <c r="N644" s="89" t="n"/>
      <c r="O644" s="144" t="n"/>
      <c r="P644" s="31" t="n"/>
      <c r="Q644" s="89" t="n"/>
      <c r="R644" s="89" t="n"/>
      <c r="S644" s="89" t="n"/>
      <c r="T644" s="55" t="n"/>
      <c r="V644" s="1" t="n"/>
      <c r="Y644" s="111" t="n"/>
      <c r="Z644" s="111" t="n"/>
      <c r="AA644" s="111" t="n"/>
      <c r="AK644" s="55" t="n"/>
      <c r="AL644" s="89" t="n"/>
    </row>
    <row r="645" ht="22.5" customHeight="1" s="150">
      <c r="A645" s="34" t="n">
        <v>643</v>
      </c>
      <c r="B645" s="34" t="n"/>
      <c r="C645" s="34" t="n"/>
      <c r="D645" s="34" t="n"/>
      <c r="E645" s="34" t="n"/>
      <c r="F645" s="86" t="n"/>
      <c r="G645" s="86" t="n"/>
      <c r="H645" s="111" t="n"/>
      <c r="I645" s="87" t="n"/>
      <c r="J645" s="87" t="n"/>
      <c r="K645" s="111" t="n"/>
      <c r="L645" s="86" t="n"/>
      <c r="M645" s="145" t="n"/>
      <c r="N645" s="89" t="n"/>
      <c r="O645" s="144" t="n"/>
      <c r="P645" s="31" t="n"/>
      <c r="Q645" s="89" t="n"/>
      <c r="R645" s="89" t="n"/>
      <c r="S645" s="89" t="n"/>
      <c r="T645" s="55" t="n"/>
      <c r="V645" s="1" t="n"/>
      <c r="Y645" s="111" t="n"/>
      <c r="Z645" s="111" t="n"/>
      <c r="AA645" s="111" t="n"/>
      <c r="AK645" s="55" t="n"/>
      <c r="AL645" s="89" t="n"/>
    </row>
    <row r="646" ht="22.5" customHeight="1" s="150">
      <c r="A646" s="34" t="n">
        <v>644</v>
      </c>
      <c r="B646" s="34" t="n"/>
      <c r="C646" s="34" t="n"/>
      <c r="D646" s="34" t="n"/>
      <c r="E646" s="34" t="n"/>
      <c r="F646" s="86" t="n"/>
      <c r="G646" s="86" t="n"/>
      <c r="H646" s="111" t="n"/>
      <c r="I646" s="87" t="n"/>
      <c r="J646" s="87" t="n"/>
      <c r="K646" s="111" t="n"/>
      <c r="L646" s="86" t="n"/>
      <c r="M646" s="146" t="n"/>
      <c r="N646" s="89" t="n"/>
      <c r="O646" s="144" t="n"/>
      <c r="P646" s="31" t="n"/>
      <c r="Q646" s="89" t="n"/>
      <c r="R646" s="89" t="n"/>
      <c r="S646" s="89" t="n"/>
      <c r="T646" s="55" t="n"/>
      <c r="V646" s="1" t="n"/>
      <c r="Y646" s="111" t="n"/>
      <c r="Z646" s="111" t="n"/>
      <c r="AA646" s="111" t="n"/>
      <c r="AK646" s="55" t="n"/>
      <c r="AL646" s="89" t="n"/>
    </row>
    <row r="647" ht="22.5" customHeight="1" s="150">
      <c r="A647" s="34" t="n">
        <v>645</v>
      </c>
      <c r="B647" s="34" t="n"/>
      <c r="C647" s="34" t="n"/>
      <c r="D647" s="34" t="n"/>
      <c r="E647" s="34" t="n"/>
      <c r="F647" s="86" t="n"/>
      <c r="G647" s="86" t="n"/>
      <c r="H647" s="111" t="n"/>
      <c r="I647" s="87" t="n"/>
      <c r="J647" s="87" t="n"/>
      <c r="K647" s="111" t="n"/>
      <c r="L647" s="86" t="n"/>
      <c r="M647" s="145" t="n"/>
      <c r="N647" s="89" t="n"/>
      <c r="O647" s="144" t="n"/>
      <c r="P647" s="31" t="n"/>
      <c r="Q647" s="89" t="n"/>
      <c r="R647" s="89" t="n"/>
      <c r="S647" s="89" t="n"/>
      <c r="T647" s="55" t="n"/>
      <c r="V647" s="1" t="n"/>
      <c r="Y647" s="111" t="n"/>
      <c r="Z647" s="111" t="n"/>
      <c r="AA647" s="111" t="n"/>
      <c r="AK647" s="55" t="n"/>
      <c r="AL647" s="89" t="n"/>
    </row>
    <row r="648" ht="22.5" customHeight="1" s="150">
      <c r="A648" s="34" t="n">
        <v>646</v>
      </c>
      <c r="B648" s="34" t="n"/>
      <c r="C648" s="34" t="n"/>
      <c r="D648" s="34" t="n"/>
      <c r="E648" s="34" t="n"/>
      <c r="F648" s="86" t="n"/>
      <c r="G648" s="86" t="n"/>
      <c r="H648" s="111" t="n"/>
      <c r="I648" s="87" t="n"/>
      <c r="J648" s="87" t="n"/>
      <c r="K648" s="111" t="n"/>
      <c r="L648" s="86" t="n"/>
      <c r="M648" s="146" t="n"/>
      <c r="N648" s="89" t="n"/>
      <c r="O648" s="144" t="n"/>
      <c r="P648" s="31" t="n"/>
      <c r="Q648" s="89" t="n"/>
      <c r="R648" s="89" t="n"/>
      <c r="S648" s="89" t="n"/>
      <c r="T648" s="55" t="n"/>
      <c r="V648" s="1" t="n"/>
      <c r="Y648" s="111" t="n"/>
      <c r="Z648" s="111" t="n"/>
      <c r="AA648" s="111" t="n"/>
      <c r="AK648" s="55" t="n"/>
      <c r="AL648" s="89" t="n"/>
    </row>
    <row r="649" ht="22.5" customHeight="1" s="150">
      <c r="A649" s="34" t="n">
        <v>647</v>
      </c>
      <c r="B649" s="34" t="n"/>
      <c r="C649" s="34" t="n"/>
      <c r="D649" s="34" t="n"/>
      <c r="E649" s="34" t="n"/>
      <c r="F649" s="86" t="n"/>
      <c r="G649" s="86" t="n"/>
      <c r="H649" s="111" t="n"/>
      <c r="I649" s="87" t="n"/>
      <c r="J649" s="87" t="n"/>
      <c r="K649" s="111" t="n"/>
      <c r="L649" s="86" t="n"/>
      <c r="M649" s="145" t="n"/>
      <c r="N649" s="89" t="n"/>
      <c r="O649" s="144" t="n"/>
      <c r="P649" s="31" t="n"/>
      <c r="Q649" s="89" t="n"/>
      <c r="R649" s="89" t="n"/>
      <c r="S649" s="89" t="n"/>
      <c r="T649" s="55" t="n"/>
      <c r="V649" s="1" t="n"/>
      <c r="Y649" s="111" t="n"/>
      <c r="Z649" s="111" t="n"/>
      <c r="AA649" s="111" t="n"/>
      <c r="AK649" s="55" t="n"/>
      <c r="AL649" s="89" t="n"/>
    </row>
    <row r="650" ht="22.5" customHeight="1" s="150">
      <c r="A650" s="34" t="n">
        <v>648</v>
      </c>
      <c r="B650" s="34" t="n"/>
      <c r="C650" s="34" t="n"/>
      <c r="D650" s="34" t="n"/>
      <c r="E650" s="34" t="n"/>
      <c r="F650" s="86" t="n"/>
      <c r="G650" s="86" t="n"/>
      <c r="H650" s="111" t="n"/>
      <c r="I650" s="87" t="n"/>
      <c r="J650" s="87" t="n"/>
      <c r="K650" s="111" t="n"/>
      <c r="L650" s="86" t="n"/>
      <c r="M650" s="146" t="n"/>
      <c r="N650" s="89" t="n"/>
      <c r="O650" s="144" t="n"/>
      <c r="P650" s="31" t="n"/>
      <c r="Q650" s="89" t="n"/>
      <c r="R650" s="89" t="n"/>
      <c r="S650" s="89" t="n"/>
      <c r="T650" s="55" t="n"/>
      <c r="V650" s="1" t="n"/>
      <c r="Y650" s="111" t="n"/>
      <c r="Z650" s="111" t="n"/>
      <c r="AA650" s="111" t="n"/>
      <c r="AK650" s="55" t="n"/>
      <c r="AL650" s="89" t="n"/>
    </row>
    <row r="651" ht="22.5" customHeight="1" s="150">
      <c r="A651" s="34" t="n">
        <v>649</v>
      </c>
      <c r="B651" s="34" t="n"/>
      <c r="C651" s="34" t="n"/>
      <c r="D651" s="34" t="n"/>
      <c r="E651" s="34" t="n"/>
      <c r="F651" s="86" t="n"/>
      <c r="G651" s="86" t="n"/>
      <c r="H651" s="111" t="n"/>
      <c r="I651" s="87" t="n"/>
      <c r="J651" s="87" t="n"/>
      <c r="K651" s="111" t="n"/>
      <c r="L651" s="86" t="n"/>
      <c r="M651" s="145" t="n"/>
      <c r="N651" s="89" t="n"/>
      <c r="O651" s="144" t="n"/>
      <c r="P651" s="31" t="n"/>
      <c r="Q651" s="89" t="n"/>
      <c r="R651" s="89" t="n"/>
      <c r="S651" s="89" t="n"/>
      <c r="T651" s="55" t="n"/>
      <c r="V651" s="1" t="n"/>
      <c r="Y651" s="111" t="n"/>
      <c r="Z651" s="111" t="n"/>
      <c r="AA651" s="111" t="n"/>
      <c r="AK651" s="55" t="n"/>
      <c r="AL651" s="89" t="n"/>
    </row>
    <row r="652" ht="22.5" customHeight="1" s="150">
      <c r="A652" s="34" t="n">
        <v>650</v>
      </c>
      <c r="B652" s="34" t="n"/>
      <c r="C652" s="34" t="n"/>
      <c r="D652" s="34" t="n"/>
      <c r="E652" s="34" t="n"/>
      <c r="F652" s="86" t="n"/>
      <c r="G652" s="86" t="n"/>
      <c r="H652" s="111" t="n"/>
      <c r="I652" s="87" t="n"/>
      <c r="J652" s="87" t="n"/>
      <c r="K652" s="111" t="n"/>
      <c r="L652" s="86" t="n"/>
      <c r="M652" s="146" t="n"/>
      <c r="N652" s="89" t="n"/>
      <c r="O652" s="144" t="n"/>
      <c r="P652" s="31" t="n"/>
      <c r="Q652" s="89" t="n"/>
      <c r="R652" s="89" t="n"/>
      <c r="S652" s="89" t="n"/>
      <c r="T652" s="55" t="n"/>
      <c r="V652" s="1" t="n"/>
      <c r="Y652" s="111" t="n"/>
      <c r="Z652" s="111" t="n"/>
      <c r="AA652" s="111" t="n"/>
      <c r="AK652" s="55" t="n"/>
      <c r="AL652" s="89" t="n"/>
    </row>
    <row r="653" ht="22.5" customHeight="1" s="150">
      <c r="A653" s="34" t="n">
        <v>651</v>
      </c>
      <c r="B653" s="34" t="n"/>
      <c r="C653" s="34" t="n"/>
      <c r="D653" s="34" t="n"/>
      <c r="E653" s="34" t="n"/>
      <c r="F653" s="86" t="n"/>
      <c r="G653" s="86" t="n"/>
      <c r="H653" s="111" t="n"/>
      <c r="I653" s="87" t="n"/>
      <c r="J653" s="87" t="n"/>
      <c r="K653" s="111" t="n"/>
      <c r="L653" s="86" t="n"/>
      <c r="M653" s="145" t="n"/>
      <c r="N653" s="89" t="n"/>
      <c r="O653" s="144" t="n"/>
      <c r="P653" s="31" t="n"/>
      <c r="Q653" s="89" t="n"/>
      <c r="R653" s="89" t="n"/>
      <c r="S653" s="89" t="n"/>
      <c r="T653" s="55" t="n"/>
      <c r="V653" s="1" t="n"/>
      <c r="Y653" s="111" t="n"/>
      <c r="Z653" s="111" t="n"/>
      <c r="AA653" s="111" t="n"/>
      <c r="AK653" s="55" t="n"/>
      <c r="AL653" s="89" t="n"/>
    </row>
    <row r="654" ht="22.5" customHeight="1" s="150">
      <c r="A654" s="34" t="n">
        <v>652</v>
      </c>
      <c r="B654" s="34" t="n"/>
      <c r="C654" s="34" t="n"/>
      <c r="D654" s="34" t="n"/>
      <c r="E654" s="34" t="n"/>
      <c r="F654" s="86" t="n"/>
      <c r="G654" s="86" t="n"/>
      <c r="H654" s="111" t="n"/>
      <c r="I654" s="87" t="n"/>
      <c r="J654" s="87" t="n"/>
      <c r="K654" s="111" t="n"/>
      <c r="L654" s="86" t="n"/>
      <c r="M654" s="146" t="n"/>
      <c r="N654" s="89" t="n"/>
      <c r="O654" s="144" t="n"/>
      <c r="P654" s="31" t="n"/>
      <c r="Q654" s="89" t="n"/>
      <c r="R654" s="89" t="n"/>
      <c r="S654" s="89" t="n"/>
      <c r="T654" s="55" t="n"/>
      <c r="V654" s="1" t="n"/>
      <c r="Y654" s="111" t="n"/>
      <c r="Z654" s="111" t="n"/>
      <c r="AA654" s="111" t="n"/>
      <c r="AK654" s="55" t="n"/>
      <c r="AL654" s="89" t="n"/>
    </row>
    <row r="655" ht="22.5" customHeight="1" s="150">
      <c r="A655" s="34" t="n">
        <v>653</v>
      </c>
      <c r="B655" s="34" t="n"/>
      <c r="C655" s="34" t="n"/>
      <c r="D655" s="34" t="n"/>
      <c r="E655" s="34" t="n"/>
      <c r="F655" s="86" t="n"/>
      <c r="G655" s="86" t="n"/>
      <c r="H655" s="111" t="n"/>
      <c r="I655" s="87" t="n"/>
      <c r="J655" s="87" t="n"/>
      <c r="K655" s="111" t="n"/>
      <c r="L655" s="86" t="n"/>
      <c r="M655" s="145" t="n"/>
      <c r="N655" s="89" t="n"/>
      <c r="O655" s="144" t="n"/>
      <c r="P655" s="31" t="n"/>
      <c r="Q655" s="89" t="n"/>
      <c r="R655" s="89" t="n"/>
      <c r="S655" s="89" t="n"/>
      <c r="T655" s="55" t="n"/>
      <c r="V655" s="1" t="n"/>
      <c r="Y655" s="111" t="n"/>
      <c r="Z655" s="111" t="n"/>
      <c r="AA655" s="111" t="n"/>
      <c r="AK655" s="55" t="n"/>
      <c r="AL655" s="89" t="n"/>
    </row>
    <row r="656" ht="22.5" customHeight="1" s="150">
      <c r="A656" s="34" t="n">
        <v>654</v>
      </c>
      <c r="B656" s="34" t="n"/>
      <c r="C656" s="34" t="n"/>
      <c r="D656" s="34" t="n"/>
      <c r="E656" s="34" t="n"/>
      <c r="F656" s="86" t="n"/>
      <c r="G656" s="86" t="n"/>
      <c r="H656" s="111" t="n"/>
      <c r="I656" s="87" t="n"/>
      <c r="J656" s="87" t="n"/>
      <c r="K656" s="111" t="n"/>
      <c r="L656" s="86" t="n"/>
      <c r="M656" s="146" t="n"/>
      <c r="N656" s="89" t="n"/>
      <c r="O656" s="144" t="n"/>
      <c r="P656" s="31" t="n"/>
      <c r="Q656" s="89" t="n"/>
      <c r="R656" s="89" t="n"/>
      <c r="S656" s="89" t="n"/>
      <c r="T656" s="55" t="n"/>
      <c r="V656" s="1" t="n"/>
      <c r="Y656" s="111" t="n"/>
      <c r="Z656" s="111" t="n"/>
      <c r="AA656" s="111" t="n"/>
      <c r="AK656" s="55" t="n"/>
      <c r="AL656" s="89" t="n"/>
    </row>
    <row r="657" ht="22.5" customHeight="1" s="150">
      <c r="A657" s="34" t="n">
        <v>655</v>
      </c>
      <c r="B657" s="34" t="n"/>
      <c r="C657" s="34" t="n"/>
      <c r="D657" s="34" t="n"/>
      <c r="E657" s="34" t="n"/>
      <c r="F657" s="86" t="n"/>
      <c r="G657" s="86" t="n"/>
      <c r="H657" s="111" t="n"/>
      <c r="I657" s="87" t="n"/>
      <c r="J657" s="87" t="n"/>
      <c r="K657" s="111" t="n"/>
      <c r="L657" s="86" t="n"/>
      <c r="M657" s="145" t="n"/>
      <c r="N657" s="89" t="n"/>
      <c r="O657" s="144" t="n"/>
      <c r="P657" s="31" t="n"/>
      <c r="Q657" s="89" t="n"/>
      <c r="R657" s="89" t="n"/>
      <c r="S657" s="89" t="n"/>
      <c r="T657" s="55" t="n"/>
      <c r="V657" s="1" t="n"/>
      <c r="Y657" s="111" t="n"/>
      <c r="Z657" s="111" t="n"/>
      <c r="AA657" s="111" t="n"/>
      <c r="AK657" s="55" t="n"/>
      <c r="AL657" s="89" t="n"/>
    </row>
    <row r="658" ht="22.5" customHeight="1" s="150">
      <c r="A658" s="34" t="n">
        <v>656</v>
      </c>
      <c r="B658" s="34" t="n"/>
      <c r="C658" s="34" t="n"/>
      <c r="D658" s="34" t="n"/>
      <c r="E658" s="34" t="n"/>
      <c r="F658" s="86" t="n"/>
      <c r="G658" s="86" t="n"/>
      <c r="H658" s="111" t="n"/>
      <c r="I658" s="87" t="n"/>
      <c r="J658" s="87" t="n"/>
      <c r="K658" s="111" t="n"/>
      <c r="L658" s="86" t="n"/>
      <c r="M658" s="146" t="n"/>
      <c r="N658" s="89" t="n"/>
      <c r="O658" s="144" t="n"/>
      <c r="P658" s="31" t="n"/>
      <c r="Q658" s="89" t="n"/>
      <c r="R658" s="89" t="n"/>
      <c r="S658" s="89" t="n"/>
      <c r="T658" s="55" t="n"/>
      <c r="V658" s="1" t="n"/>
      <c r="Y658" s="111" t="n"/>
      <c r="Z658" s="111" t="n"/>
      <c r="AA658" s="111" t="n"/>
      <c r="AK658" s="55" t="n"/>
      <c r="AL658" s="89" t="n"/>
    </row>
    <row r="659" ht="22.5" customHeight="1" s="150">
      <c r="A659" s="34" t="n">
        <v>657</v>
      </c>
      <c r="B659" s="34" t="n"/>
      <c r="C659" s="34" t="n"/>
      <c r="D659" s="34" t="n"/>
      <c r="E659" s="34" t="n"/>
      <c r="F659" s="86" t="n"/>
      <c r="G659" s="86" t="n"/>
      <c r="H659" s="111" t="n"/>
      <c r="I659" s="87" t="n"/>
      <c r="J659" s="87" t="n"/>
      <c r="K659" s="111" t="n"/>
      <c r="L659" s="86" t="n"/>
      <c r="M659" s="145" t="n"/>
      <c r="N659" s="89" t="n"/>
      <c r="O659" s="144" t="n"/>
      <c r="P659" s="31" t="n"/>
      <c r="Q659" s="89" t="n"/>
      <c r="R659" s="89" t="n"/>
      <c r="S659" s="89" t="n"/>
      <c r="T659" s="55" t="n"/>
      <c r="V659" s="1" t="n"/>
      <c r="Y659" s="111" t="n"/>
      <c r="Z659" s="111" t="n"/>
      <c r="AA659" s="111" t="n"/>
      <c r="AK659" s="55" t="n"/>
      <c r="AL659" s="89" t="n"/>
    </row>
    <row r="660" ht="22.5" customHeight="1" s="150">
      <c r="A660" s="34" t="n">
        <v>658</v>
      </c>
      <c r="B660" s="34" t="n"/>
      <c r="C660" s="34" t="n"/>
      <c r="D660" s="34" t="n"/>
      <c r="E660" s="34" t="n"/>
      <c r="F660" s="86" t="n"/>
      <c r="G660" s="86" t="n"/>
      <c r="H660" s="111" t="n"/>
      <c r="I660" s="87" t="n"/>
      <c r="J660" s="87" t="n"/>
      <c r="K660" s="111" t="n"/>
      <c r="L660" s="86" t="n"/>
      <c r="M660" s="146" t="n"/>
      <c r="N660" s="89" t="n"/>
      <c r="O660" s="144" t="n"/>
      <c r="P660" s="31" t="n"/>
      <c r="Q660" s="89" t="n"/>
      <c r="R660" s="89" t="n"/>
      <c r="S660" s="89" t="n"/>
      <c r="T660" s="55" t="n"/>
      <c r="V660" s="1" t="n"/>
      <c r="Y660" s="111" t="n"/>
      <c r="Z660" s="111" t="n"/>
      <c r="AA660" s="111" t="n"/>
      <c r="AK660" s="55" t="n"/>
      <c r="AL660" s="89" t="n"/>
    </row>
    <row r="661" ht="22.5" customHeight="1" s="150">
      <c r="A661" s="34" t="n">
        <v>659</v>
      </c>
      <c r="B661" s="34" t="n"/>
      <c r="C661" s="34" t="n"/>
      <c r="D661" s="34" t="n"/>
      <c r="E661" s="34" t="n"/>
      <c r="F661" s="86" t="n"/>
      <c r="G661" s="86" t="n"/>
      <c r="H661" s="111" t="n"/>
      <c r="I661" s="87" t="n"/>
      <c r="J661" s="87" t="n"/>
      <c r="K661" s="111" t="n"/>
      <c r="L661" s="86" t="n"/>
      <c r="M661" s="145" t="n"/>
      <c r="N661" s="89" t="n"/>
      <c r="O661" s="144" t="n"/>
      <c r="P661" s="31" t="n"/>
      <c r="Q661" s="89" t="n"/>
      <c r="R661" s="89" t="n"/>
      <c r="S661" s="89" t="n"/>
      <c r="T661" s="55" t="n"/>
      <c r="V661" s="1" t="n"/>
      <c r="Y661" s="111" t="n"/>
      <c r="Z661" s="111" t="n"/>
      <c r="AA661" s="111" t="n"/>
      <c r="AK661" s="55" t="n"/>
      <c r="AL661" s="89" t="n"/>
    </row>
    <row r="662" ht="22.5" customHeight="1" s="150">
      <c r="A662" s="34" t="n">
        <v>660</v>
      </c>
      <c r="B662" s="34" t="n"/>
      <c r="C662" s="34" t="n"/>
      <c r="D662" s="34" t="n"/>
      <c r="E662" s="34" t="n"/>
      <c r="F662" s="86" t="n"/>
      <c r="G662" s="86" t="n"/>
      <c r="H662" s="111" t="n"/>
      <c r="I662" s="87" t="n"/>
      <c r="J662" s="87" t="n"/>
      <c r="K662" s="111" t="n"/>
      <c r="L662" s="86" t="n"/>
      <c r="M662" s="146" t="n"/>
      <c r="N662" s="89" t="n"/>
      <c r="O662" s="144" t="n"/>
      <c r="P662" s="31" t="n"/>
      <c r="Q662" s="89" t="n"/>
      <c r="R662" s="89" t="n"/>
      <c r="S662" s="89" t="n"/>
      <c r="T662" s="55" t="n"/>
      <c r="V662" s="1" t="n"/>
      <c r="Y662" s="111" t="n"/>
      <c r="Z662" s="111" t="n"/>
      <c r="AA662" s="111" t="n"/>
      <c r="AK662" s="55" t="n"/>
      <c r="AL662" s="89" t="n"/>
    </row>
    <row r="663" ht="22.5" customHeight="1" s="150">
      <c r="A663" s="34" t="n">
        <v>661</v>
      </c>
      <c r="B663" s="34" t="n"/>
      <c r="C663" s="34" t="n"/>
      <c r="D663" s="34" t="n"/>
      <c r="E663" s="34" t="n"/>
      <c r="F663" s="86" t="n"/>
      <c r="G663" s="86" t="n"/>
      <c r="H663" s="111" t="n"/>
      <c r="I663" s="87" t="n"/>
      <c r="J663" s="87" t="n"/>
      <c r="K663" s="111" t="n"/>
      <c r="L663" s="86" t="n"/>
      <c r="M663" s="145" t="n"/>
      <c r="N663" s="89" t="n"/>
      <c r="O663" s="144" t="n"/>
      <c r="P663" s="31" t="n"/>
      <c r="Q663" s="89" t="n"/>
      <c r="R663" s="89" t="n"/>
      <c r="S663" s="89" t="n"/>
      <c r="T663" s="55" t="n"/>
      <c r="V663" s="1" t="n"/>
      <c r="Y663" s="111" t="n"/>
      <c r="Z663" s="111" t="n"/>
      <c r="AA663" s="111" t="n"/>
      <c r="AK663" s="55" t="n"/>
      <c r="AL663" s="89" t="n"/>
    </row>
    <row r="664" ht="22.5" customHeight="1" s="150">
      <c r="A664" s="34" t="n">
        <v>662</v>
      </c>
      <c r="B664" s="34" t="n"/>
      <c r="C664" s="34" t="n"/>
      <c r="D664" s="34" t="n"/>
      <c r="E664" s="34" t="n"/>
      <c r="F664" s="86" t="n"/>
      <c r="G664" s="86" t="n"/>
      <c r="H664" s="111" t="n"/>
      <c r="I664" s="87" t="n"/>
      <c r="J664" s="87" t="n"/>
      <c r="K664" s="111" t="n"/>
      <c r="L664" s="86" t="n"/>
      <c r="M664" s="146" t="n"/>
      <c r="N664" s="89" t="n"/>
      <c r="O664" s="144" t="n"/>
      <c r="P664" s="31" t="n"/>
      <c r="Q664" s="89" t="n"/>
      <c r="R664" s="89" t="n"/>
      <c r="S664" s="89" t="n"/>
      <c r="T664" s="55" t="n"/>
      <c r="V664" s="1" t="n"/>
      <c r="Y664" s="111" t="n"/>
      <c r="Z664" s="111" t="n"/>
      <c r="AA664" s="111" t="n"/>
      <c r="AK664" s="55" t="n"/>
      <c r="AL664" s="89" t="n"/>
    </row>
    <row r="665" ht="22.5" customHeight="1" s="150">
      <c r="A665" s="34" t="n">
        <v>663</v>
      </c>
      <c r="B665" s="34" t="n"/>
      <c r="C665" s="34" t="n"/>
      <c r="D665" s="34" t="n"/>
      <c r="E665" s="34" t="n"/>
      <c r="F665" s="86" t="n"/>
      <c r="G665" s="86" t="n"/>
      <c r="H665" s="111" t="n"/>
      <c r="I665" s="87" t="n"/>
      <c r="J665" s="87" t="n"/>
      <c r="K665" s="111" t="n"/>
      <c r="L665" s="86" t="n"/>
      <c r="M665" s="145" t="n"/>
      <c r="N665" s="89" t="n"/>
      <c r="O665" s="144" t="n"/>
      <c r="P665" s="31" t="n"/>
      <c r="Q665" s="89" t="n"/>
      <c r="R665" s="89" t="n"/>
      <c r="S665" s="89" t="n"/>
      <c r="T665" s="55" t="n"/>
      <c r="V665" s="1" t="n"/>
      <c r="Y665" s="111" t="n"/>
      <c r="Z665" s="111" t="n"/>
      <c r="AA665" s="111" t="n"/>
      <c r="AK665" s="55" t="n"/>
      <c r="AL665" s="89" t="n"/>
    </row>
    <row r="666" ht="22.5" customHeight="1" s="150">
      <c r="A666" s="34" t="n">
        <v>664</v>
      </c>
      <c r="B666" s="34" t="n"/>
      <c r="C666" s="34" t="n"/>
      <c r="D666" s="34" t="n"/>
      <c r="E666" s="34" t="n"/>
      <c r="F666" s="86" t="n"/>
      <c r="G666" s="86" t="n"/>
      <c r="H666" s="111" t="n"/>
      <c r="I666" s="87" t="n"/>
      <c r="J666" s="87" t="n"/>
      <c r="K666" s="111" t="n"/>
      <c r="L666" s="86" t="n"/>
      <c r="M666" s="146" t="n"/>
      <c r="N666" s="89" t="n"/>
      <c r="O666" s="144" t="n"/>
      <c r="P666" s="31" t="n"/>
      <c r="Q666" s="89" t="n"/>
      <c r="R666" s="89" t="n"/>
      <c r="S666" s="89" t="n"/>
      <c r="T666" s="55" t="n"/>
      <c r="V666" s="1" t="n"/>
      <c r="Y666" s="111" t="n"/>
      <c r="Z666" s="111" t="n"/>
      <c r="AA666" s="111" t="n"/>
      <c r="AK666" s="55" t="n"/>
      <c r="AL666" s="89" t="n"/>
    </row>
    <row r="667" ht="22.5" customHeight="1" s="150">
      <c r="A667" s="34" t="n">
        <v>665</v>
      </c>
      <c r="B667" s="34" t="n"/>
      <c r="C667" s="34" t="n"/>
      <c r="D667" s="34" t="n"/>
      <c r="E667" s="34" t="n"/>
      <c r="F667" s="86" t="n"/>
      <c r="G667" s="86" t="n"/>
      <c r="H667" s="111" t="n"/>
      <c r="I667" s="87" t="n"/>
      <c r="J667" s="87" t="n"/>
      <c r="K667" s="111" t="n"/>
      <c r="L667" s="86" t="n"/>
      <c r="M667" s="145" t="n"/>
      <c r="N667" s="89" t="n"/>
      <c r="O667" s="144" t="n"/>
      <c r="P667" s="31" t="n"/>
      <c r="Q667" s="89" t="n"/>
      <c r="R667" s="89" t="n"/>
      <c r="S667" s="89" t="n"/>
      <c r="T667" s="55" t="n"/>
      <c r="V667" s="1" t="n"/>
      <c r="Y667" s="111" t="n"/>
      <c r="Z667" s="111" t="n"/>
      <c r="AA667" s="111" t="n"/>
      <c r="AK667" s="55" t="n"/>
      <c r="AL667" s="89" t="n"/>
    </row>
    <row r="668" ht="22.5" customHeight="1" s="150">
      <c r="A668" s="34" t="n">
        <v>666</v>
      </c>
      <c r="B668" s="34" t="n"/>
      <c r="C668" s="34" t="n"/>
      <c r="D668" s="34" t="n"/>
      <c r="E668" s="34" t="n"/>
      <c r="F668" s="86" t="n"/>
      <c r="G668" s="86" t="n"/>
      <c r="H668" s="111" t="n"/>
      <c r="I668" s="87" t="n"/>
      <c r="J668" s="87" t="n"/>
      <c r="K668" s="111" t="n"/>
      <c r="L668" s="86" t="n"/>
      <c r="M668" s="146" t="n"/>
      <c r="N668" s="89" t="n"/>
      <c r="O668" s="144" t="n"/>
      <c r="P668" s="31" t="n"/>
      <c r="Q668" s="89" t="n"/>
      <c r="R668" s="89" t="n"/>
      <c r="S668" s="89" t="n"/>
      <c r="T668" s="55" t="n"/>
      <c r="V668" s="1" t="n"/>
      <c r="Y668" s="111" t="n"/>
      <c r="Z668" s="111" t="n"/>
      <c r="AA668" s="111" t="n"/>
      <c r="AK668" s="55" t="n"/>
      <c r="AL668" s="89" t="n"/>
    </row>
    <row r="669" ht="22.5" customHeight="1" s="150">
      <c r="A669" s="34" t="n">
        <v>667</v>
      </c>
      <c r="B669" s="34" t="n"/>
      <c r="C669" s="34" t="n"/>
      <c r="D669" s="34" t="n"/>
      <c r="E669" s="34" t="n"/>
      <c r="F669" s="86" t="n"/>
      <c r="G669" s="86" t="n"/>
      <c r="H669" s="111" t="n"/>
      <c r="I669" s="87" t="n"/>
      <c r="J669" s="87" t="n"/>
      <c r="K669" s="111" t="n"/>
      <c r="L669" s="86" t="n"/>
      <c r="M669" s="145" t="n"/>
      <c r="N669" s="89" t="n"/>
      <c r="O669" s="144" t="n"/>
      <c r="P669" s="31" t="n"/>
      <c r="Q669" s="89" t="n"/>
      <c r="R669" s="89" t="n"/>
      <c r="S669" s="89" t="n"/>
      <c r="T669" s="55" t="n"/>
      <c r="V669" s="1" t="n"/>
      <c r="Y669" s="111" t="n"/>
      <c r="Z669" s="111" t="n"/>
      <c r="AA669" s="111" t="n"/>
      <c r="AK669" s="55" t="n"/>
      <c r="AL669" s="89" t="n"/>
    </row>
    <row r="670" ht="22.5" customHeight="1" s="150">
      <c r="A670" s="34" t="n">
        <v>668</v>
      </c>
      <c r="B670" s="34" t="n"/>
      <c r="C670" s="34" t="n"/>
      <c r="D670" s="34" t="n"/>
      <c r="E670" s="34" t="n"/>
      <c r="F670" s="86" t="n"/>
      <c r="G670" s="86" t="n"/>
      <c r="H670" s="111" t="n"/>
      <c r="I670" s="87" t="n"/>
      <c r="J670" s="87" t="n"/>
      <c r="K670" s="111" t="n"/>
      <c r="L670" s="86" t="n"/>
      <c r="M670" s="146" t="n"/>
      <c r="N670" s="89" t="n"/>
      <c r="O670" s="144" t="n"/>
      <c r="P670" s="31" t="n"/>
      <c r="Q670" s="89" t="n"/>
      <c r="R670" s="89" t="n"/>
      <c r="S670" s="89" t="n"/>
      <c r="T670" s="55" t="n"/>
      <c r="V670" s="1" t="n"/>
      <c r="Y670" s="111" t="n"/>
      <c r="Z670" s="111" t="n"/>
      <c r="AA670" s="111" t="n"/>
      <c r="AK670" s="55" t="n"/>
      <c r="AL670" s="89" t="n"/>
    </row>
    <row r="671" ht="22.5" customHeight="1" s="150">
      <c r="A671" s="34" t="n">
        <v>669</v>
      </c>
      <c r="B671" s="34" t="n"/>
      <c r="C671" s="34" t="n"/>
      <c r="D671" s="34" t="n"/>
      <c r="E671" s="34" t="n"/>
      <c r="F671" s="86" t="n"/>
      <c r="G671" s="86" t="n"/>
      <c r="H671" s="111" t="n"/>
      <c r="I671" s="87" t="n"/>
      <c r="J671" s="87" t="n"/>
      <c r="K671" s="111" t="n"/>
      <c r="L671" s="86" t="n"/>
      <c r="M671" s="145" t="n"/>
      <c r="N671" s="89" t="n"/>
      <c r="O671" s="144" t="n"/>
      <c r="P671" s="31" t="n"/>
      <c r="Q671" s="89" t="n"/>
      <c r="R671" s="89" t="n"/>
      <c r="S671" s="89" t="n"/>
      <c r="T671" s="55" t="n"/>
      <c r="V671" s="1" t="n"/>
      <c r="Y671" s="111" t="n"/>
      <c r="Z671" s="111" t="n"/>
      <c r="AA671" s="111" t="n"/>
      <c r="AK671" s="55" t="n"/>
      <c r="AL671" s="89" t="n"/>
    </row>
    <row r="672" ht="22.5" customHeight="1" s="150">
      <c r="A672" s="34" t="n">
        <v>670</v>
      </c>
      <c r="B672" s="34" t="n"/>
      <c r="C672" s="34" t="n"/>
      <c r="D672" s="34" t="n"/>
      <c r="E672" s="34" t="n"/>
      <c r="F672" s="86" t="n"/>
      <c r="G672" s="86" t="n"/>
      <c r="H672" s="111" t="n"/>
      <c r="I672" s="87" t="n"/>
      <c r="J672" s="87" t="n"/>
      <c r="K672" s="111" t="n"/>
      <c r="L672" s="86" t="n"/>
      <c r="M672" s="146" t="n"/>
      <c r="N672" s="89" t="n"/>
      <c r="O672" s="144" t="n"/>
      <c r="P672" s="31" t="n"/>
      <c r="Q672" s="89" t="n"/>
      <c r="R672" s="89" t="n"/>
      <c r="S672" s="89" t="n"/>
      <c r="T672" s="55" t="n"/>
      <c r="V672" s="1" t="n"/>
      <c r="Y672" s="111" t="n"/>
      <c r="Z672" s="111" t="n"/>
      <c r="AA672" s="111" t="n"/>
      <c r="AK672" s="55" t="n"/>
      <c r="AL672" s="89" t="n"/>
    </row>
    <row r="673" ht="22.5" customHeight="1" s="150">
      <c r="A673" s="34" t="n">
        <v>671</v>
      </c>
      <c r="B673" s="34" t="n"/>
      <c r="C673" s="34" t="n"/>
      <c r="D673" s="34" t="n"/>
      <c r="E673" s="34" t="n"/>
      <c r="F673" s="86" t="n"/>
      <c r="G673" s="86" t="n"/>
      <c r="H673" s="111" t="n"/>
      <c r="I673" s="87" t="n"/>
      <c r="J673" s="87" t="n"/>
      <c r="K673" s="111" t="n"/>
      <c r="L673" s="86" t="n"/>
      <c r="M673" s="145" t="n"/>
      <c r="N673" s="89" t="n"/>
      <c r="O673" s="144" t="n"/>
      <c r="P673" s="31" t="n"/>
      <c r="Q673" s="89" t="n"/>
      <c r="R673" s="89" t="n"/>
      <c r="S673" s="89" t="n"/>
      <c r="T673" s="55" t="n"/>
      <c r="V673" s="1" t="n"/>
      <c r="Y673" s="111" t="n"/>
      <c r="Z673" s="111" t="n"/>
      <c r="AA673" s="111" t="n"/>
      <c r="AK673" s="55" t="n"/>
      <c r="AL673" s="89" t="n"/>
    </row>
    <row r="674" ht="22.5" customHeight="1" s="150">
      <c r="A674" s="34" t="n">
        <v>672</v>
      </c>
      <c r="B674" s="34" t="n"/>
      <c r="C674" s="34" t="n"/>
      <c r="D674" s="34" t="n"/>
      <c r="E674" s="34" t="n"/>
      <c r="F674" s="86" t="n"/>
      <c r="G674" s="86" t="n"/>
      <c r="H674" s="111" t="n"/>
      <c r="I674" s="87" t="n"/>
      <c r="J674" s="87" t="n"/>
      <c r="K674" s="111" t="n"/>
      <c r="L674" s="86" t="n"/>
      <c r="M674" s="146" t="n"/>
      <c r="N674" s="89" t="n"/>
      <c r="O674" s="144" t="n"/>
      <c r="P674" s="31" t="n"/>
      <c r="Q674" s="89" t="n"/>
      <c r="R674" s="89" t="n"/>
      <c r="S674" s="89" t="n"/>
      <c r="T674" s="55" t="n"/>
      <c r="V674" s="1" t="n"/>
      <c r="Y674" s="111" t="n"/>
      <c r="Z674" s="111" t="n"/>
      <c r="AA674" s="111" t="n"/>
      <c r="AK674" s="55" t="n"/>
      <c r="AL674" s="89" t="n"/>
    </row>
    <row r="675" ht="22.5" customHeight="1" s="150">
      <c r="A675" s="34" t="n">
        <v>673</v>
      </c>
      <c r="B675" s="34" t="n"/>
      <c r="C675" s="34" t="n"/>
      <c r="D675" s="34" t="n"/>
      <c r="E675" s="34" t="n"/>
      <c r="F675" s="86" t="n"/>
      <c r="G675" s="86" t="n"/>
      <c r="H675" s="111" t="n"/>
      <c r="I675" s="87" t="n"/>
      <c r="J675" s="87" t="n"/>
      <c r="K675" s="111" t="n"/>
      <c r="L675" s="86" t="n"/>
      <c r="M675" s="145" t="n"/>
      <c r="N675" s="89" t="n"/>
      <c r="O675" s="144" t="n"/>
      <c r="P675" s="31" t="n"/>
      <c r="Q675" s="89" t="n"/>
      <c r="R675" s="89" t="n"/>
      <c r="S675" s="89" t="n"/>
      <c r="T675" s="55" t="n"/>
      <c r="V675" s="1" t="n"/>
      <c r="Y675" s="111" t="n"/>
      <c r="Z675" s="111" t="n"/>
      <c r="AA675" s="111" t="n"/>
      <c r="AK675" s="55" t="n"/>
      <c r="AL675" s="89" t="n"/>
    </row>
    <row r="676" ht="22.5" customHeight="1" s="150">
      <c r="A676" s="34" t="n">
        <v>674</v>
      </c>
      <c r="B676" s="34" t="n"/>
      <c r="C676" s="34" t="n"/>
      <c r="D676" s="34" t="n"/>
      <c r="E676" s="34" t="n"/>
      <c r="F676" s="86" t="n"/>
      <c r="G676" s="86" t="n"/>
      <c r="H676" s="111" t="n"/>
      <c r="I676" s="87" t="n"/>
      <c r="J676" s="87" t="n"/>
      <c r="K676" s="111" t="n"/>
      <c r="L676" s="86" t="n"/>
      <c r="M676" s="146" t="n"/>
      <c r="N676" s="89" t="n"/>
      <c r="O676" s="144" t="n"/>
      <c r="P676" s="31" t="n"/>
      <c r="Q676" s="89" t="n"/>
      <c r="R676" s="89" t="n"/>
      <c r="S676" s="89" t="n"/>
      <c r="T676" s="55" t="n"/>
      <c r="V676" s="1" t="n"/>
      <c r="Y676" s="111" t="n"/>
      <c r="Z676" s="111" t="n"/>
      <c r="AA676" s="111" t="n"/>
      <c r="AK676" s="55" t="n"/>
      <c r="AL676" s="89" t="n"/>
    </row>
    <row r="677" ht="22.5" customHeight="1" s="150">
      <c r="A677" s="34" t="n">
        <v>675</v>
      </c>
      <c r="B677" s="34" t="n"/>
      <c r="C677" s="34" t="n"/>
      <c r="D677" s="34" t="n"/>
      <c r="E677" s="34" t="n"/>
      <c r="F677" s="86" t="n"/>
      <c r="G677" s="86" t="n"/>
      <c r="H677" s="111" t="n"/>
      <c r="I677" s="87" t="n"/>
      <c r="J677" s="87" t="n"/>
      <c r="K677" s="111" t="n"/>
      <c r="L677" s="86" t="n"/>
      <c r="M677" s="145" t="n"/>
      <c r="N677" s="89" t="n"/>
      <c r="O677" s="144" t="n"/>
      <c r="P677" s="31" t="n"/>
      <c r="Q677" s="89" t="n"/>
      <c r="R677" s="89" t="n"/>
      <c r="S677" s="89" t="n"/>
      <c r="T677" s="55" t="n"/>
      <c r="V677" s="1" t="n"/>
      <c r="Y677" s="111" t="n"/>
      <c r="Z677" s="111" t="n"/>
      <c r="AA677" s="111" t="n"/>
      <c r="AK677" s="55" t="n"/>
      <c r="AL677" s="89" t="n"/>
    </row>
    <row r="678" ht="22.5" customHeight="1" s="150">
      <c r="A678" s="34" t="n">
        <v>676</v>
      </c>
      <c r="B678" s="34" t="n"/>
      <c r="C678" s="34" t="n"/>
      <c r="D678" s="34" t="n"/>
      <c r="E678" s="34" t="n"/>
      <c r="F678" s="86" t="n"/>
      <c r="G678" s="86" t="n"/>
      <c r="H678" s="111" t="n"/>
      <c r="I678" s="87" t="n"/>
      <c r="J678" s="87" t="n"/>
      <c r="K678" s="111" t="n"/>
      <c r="L678" s="86" t="n"/>
      <c r="M678" s="146" t="n"/>
      <c r="N678" s="89" t="n"/>
      <c r="O678" s="144" t="n"/>
      <c r="P678" s="31" t="n"/>
      <c r="Q678" s="89" t="n"/>
      <c r="R678" s="89" t="n"/>
      <c r="S678" s="89" t="n"/>
      <c r="T678" s="55" t="n"/>
      <c r="V678" s="1" t="n"/>
      <c r="Y678" s="111" t="n"/>
      <c r="Z678" s="111" t="n"/>
      <c r="AA678" s="111" t="n"/>
      <c r="AK678" s="55" t="n"/>
      <c r="AL678" s="89" t="n"/>
    </row>
    <row r="679" ht="22.5" customHeight="1" s="150">
      <c r="A679" s="34" t="n">
        <v>677</v>
      </c>
      <c r="B679" s="34" t="n"/>
      <c r="C679" s="34" t="n"/>
      <c r="D679" s="34" t="n"/>
      <c r="E679" s="34" t="n"/>
      <c r="F679" s="86" t="n"/>
      <c r="G679" s="86" t="n"/>
      <c r="H679" s="111" t="n"/>
      <c r="I679" s="87" t="n"/>
      <c r="J679" s="87" t="n"/>
      <c r="K679" s="111" t="n"/>
      <c r="L679" s="86" t="n"/>
      <c r="M679" s="145" t="n"/>
      <c r="N679" s="89" t="n"/>
      <c r="O679" s="144" t="n"/>
      <c r="P679" s="31" t="n"/>
      <c r="Q679" s="89" t="n"/>
      <c r="R679" s="89" t="n"/>
      <c r="S679" s="89" t="n"/>
      <c r="T679" s="55" t="n"/>
      <c r="V679" s="1" t="n"/>
      <c r="Y679" s="111" t="n"/>
      <c r="Z679" s="111" t="n"/>
      <c r="AA679" s="111" t="n"/>
      <c r="AK679" s="55" t="n"/>
      <c r="AL679" s="89" t="n"/>
    </row>
    <row r="680" ht="22.5" customHeight="1" s="150">
      <c r="A680" s="34" t="n">
        <v>678</v>
      </c>
      <c r="B680" s="34" t="n"/>
      <c r="C680" s="34" t="n"/>
      <c r="D680" s="34" t="n"/>
      <c r="E680" s="34" t="n"/>
      <c r="F680" s="86" t="n"/>
      <c r="G680" s="86" t="n"/>
      <c r="H680" s="111" t="n"/>
      <c r="I680" s="87" t="n"/>
      <c r="J680" s="87" t="n"/>
      <c r="K680" s="111" t="n"/>
      <c r="L680" s="86" t="n"/>
      <c r="M680" s="146" t="n"/>
      <c r="N680" s="89" t="n"/>
      <c r="O680" s="144" t="n"/>
      <c r="P680" s="31" t="n"/>
      <c r="Q680" s="89" t="n"/>
      <c r="R680" s="89" t="n"/>
      <c r="S680" s="89" t="n"/>
      <c r="T680" s="55" t="n"/>
      <c r="V680" s="1" t="n"/>
      <c r="Y680" s="111" t="n"/>
      <c r="Z680" s="111" t="n"/>
      <c r="AA680" s="111" t="n"/>
      <c r="AK680" s="55" t="n"/>
      <c r="AL680" s="89" t="n"/>
    </row>
    <row r="681" ht="22.5" customHeight="1" s="150">
      <c r="A681" s="34" t="n">
        <v>679</v>
      </c>
      <c r="B681" s="34" t="n"/>
      <c r="C681" s="34" t="n"/>
      <c r="D681" s="34" t="n"/>
      <c r="E681" s="34" t="n"/>
      <c r="F681" s="86" t="n"/>
      <c r="G681" s="86" t="n"/>
      <c r="H681" s="111" t="n"/>
      <c r="I681" s="87" t="n"/>
      <c r="J681" s="87" t="n"/>
      <c r="K681" s="111" t="n"/>
      <c r="L681" s="86" t="n"/>
      <c r="M681" s="145" t="n"/>
      <c r="N681" s="89" t="n"/>
      <c r="O681" s="144" t="n"/>
      <c r="P681" s="31" t="n"/>
      <c r="Q681" s="89" t="n"/>
      <c r="R681" s="89" t="n"/>
      <c r="S681" s="89" t="n"/>
      <c r="T681" s="55" t="n"/>
      <c r="V681" s="1" t="n"/>
      <c r="Y681" s="111" t="n"/>
      <c r="Z681" s="111" t="n"/>
      <c r="AA681" s="111" t="n"/>
      <c r="AK681" s="55" t="n"/>
      <c r="AL681" s="89" t="n"/>
    </row>
    <row r="682" ht="22.5" customHeight="1" s="150">
      <c r="A682" s="34" t="n">
        <v>680</v>
      </c>
      <c r="B682" s="34" t="n"/>
      <c r="C682" s="34" t="n"/>
      <c r="D682" s="34" t="n"/>
      <c r="E682" s="34" t="n"/>
      <c r="F682" s="86" t="n"/>
      <c r="G682" s="86" t="n"/>
      <c r="H682" s="111" t="n"/>
      <c r="I682" s="87" t="n"/>
      <c r="J682" s="87" t="n"/>
      <c r="K682" s="111" t="n"/>
      <c r="L682" s="86" t="n"/>
      <c r="M682" s="146" t="n"/>
      <c r="N682" s="89" t="n"/>
      <c r="O682" s="144" t="n"/>
      <c r="P682" s="31" t="n"/>
      <c r="Q682" s="89" t="n"/>
      <c r="R682" s="89" t="n"/>
      <c r="S682" s="89" t="n"/>
      <c r="T682" s="55" t="n"/>
      <c r="V682" s="1" t="n"/>
      <c r="Y682" s="111" t="n"/>
      <c r="Z682" s="111" t="n"/>
      <c r="AA682" s="111" t="n"/>
      <c r="AK682" s="55" t="n"/>
      <c r="AL682" s="89" t="n"/>
    </row>
    <row r="683" ht="22.5" customHeight="1" s="150">
      <c r="A683" s="34" t="n">
        <v>681</v>
      </c>
      <c r="B683" s="34" t="n"/>
      <c r="C683" s="34" t="n"/>
      <c r="D683" s="34" t="n"/>
      <c r="E683" s="34" t="n"/>
      <c r="F683" s="86" t="n"/>
      <c r="G683" s="86" t="n"/>
      <c r="H683" s="111" t="n"/>
      <c r="I683" s="87" t="n"/>
      <c r="J683" s="87" t="n"/>
      <c r="K683" s="111" t="n"/>
      <c r="L683" s="86" t="n"/>
      <c r="M683" s="145" t="n"/>
      <c r="N683" s="89" t="n"/>
      <c r="O683" s="144" t="n"/>
      <c r="P683" s="31" t="n"/>
      <c r="Q683" s="89" t="n"/>
      <c r="R683" s="89" t="n"/>
      <c r="S683" s="89" t="n"/>
      <c r="T683" s="55" t="n"/>
      <c r="V683" s="1" t="n"/>
      <c r="Y683" s="111" t="n"/>
      <c r="Z683" s="111" t="n"/>
      <c r="AA683" s="111" t="n"/>
      <c r="AK683" s="55" t="n"/>
      <c r="AL683" s="89" t="n"/>
    </row>
    <row r="684" ht="22.5" customHeight="1" s="150">
      <c r="A684" s="34" t="n">
        <v>682</v>
      </c>
      <c r="B684" s="34" t="n"/>
      <c r="C684" s="34" t="n"/>
      <c r="D684" s="34" t="n"/>
      <c r="E684" s="34" t="n"/>
      <c r="F684" s="86" t="n"/>
      <c r="G684" s="86" t="n"/>
      <c r="H684" s="111" t="n"/>
      <c r="I684" s="87" t="n"/>
      <c r="J684" s="87" t="n"/>
      <c r="K684" s="111" t="n"/>
      <c r="L684" s="86" t="n"/>
      <c r="M684" s="146" t="n"/>
      <c r="N684" s="89" t="n"/>
      <c r="O684" s="144" t="n"/>
      <c r="P684" s="31" t="n"/>
      <c r="Q684" s="89" t="n"/>
      <c r="R684" s="89" t="n"/>
      <c r="S684" s="89" t="n"/>
      <c r="T684" s="55" t="n"/>
      <c r="V684" s="1" t="n"/>
      <c r="Y684" s="111" t="n"/>
      <c r="Z684" s="111" t="n"/>
      <c r="AA684" s="111" t="n"/>
      <c r="AK684" s="55" t="n"/>
      <c r="AL684" s="89" t="n"/>
    </row>
    <row r="685" ht="22.5" customHeight="1" s="150">
      <c r="A685" s="34" t="n">
        <v>683</v>
      </c>
      <c r="B685" s="34" t="n"/>
      <c r="C685" s="34" t="n"/>
      <c r="D685" s="34" t="n"/>
      <c r="E685" s="34" t="n"/>
      <c r="F685" s="86" t="n"/>
      <c r="G685" s="86" t="n"/>
      <c r="H685" s="111" t="n"/>
      <c r="I685" s="87" t="n"/>
      <c r="J685" s="87" t="n"/>
      <c r="K685" s="111" t="n"/>
      <c r="L685" s="86" t="n"/>
      <c r="M685" s="145" t="n"/>
      <c r="N685" s="89" t="n"/>
      <c r="O685" s="144" t="n"/>
      <c r="P685" s="31" t="n"/>
      <c r="Q685" s="89" t="n"/>
      <c r="R685" s="89" t="n"/>
      <c r="S685" s="89" t="n"/>
      <c r="T685" s="55" t="n"/>
      <c r="V685" s="1" t="n"/>
      <c r="Y685" s="111" t="n"/>
      <c r="Z685" s="111" t="n"/>
      <c r="AA685" s="111" t="n"/>
      <c r="AK685" s="55" t="n"/>
      <c r="AL685" s="89" t="n"/>
    </row>
    <row r="686" ht="22.5" customHeight="1" s="150">
      <c r="A686" s="34" t="n">
        <v>684</v>
      </c>
      <c r="B686" s="34" t="n"/>
      <c r="C686" s="34" t="n"/>
      <c r="D686" s="34" t="n"/>
      <c r="E686" s="34" t="n"/>
      <c r="F686" s="86" t="n"/>
      <c r="G686" s="86" t="n"/>
      <c r="H686" s="111" t="n"/>
      <c r="I686" s="87" t="n"/>
      <c r="J686" s="87" t="n"/>
      <c r="K686" s="111" t="n"/>
      <c r="L686" s="86" t="n"/>
      <c r="M686" s="146" t="n"/>
      <c r="N686" s="89" t="n"/>
      <c r="O686" s="144" t="n"/>
      <c r="P686" s="31" t="n"/>
      <c r="Q686" s="89" t="n"/>
      <c r="R686" s="89" t="n"/>
      <c r="S686" s="89" t="n"/>
      <c r="T686" s="55" t="n"/>
      <c r="V686" s="1" t="n"/>
      <c r="Y686" s="111" t="n"/>
      <c r="Z686" s="111" t="n"/>
      <c r="AA686" s="111" t="n"/>
      <c r="AK686" s="55" t="n"/>
      <c r="AL686" s="89" t="n"/>
    </row>
    <row r="687" ht="22.5" customHeight="1" s="150">
      <c r="A687" s="34" t="n">
        <v>685</v>
      </c>
      <c r="B687" s="34" t="n"/>
      <c r="C687" s="34" t="n"/>
      <c r="D687" s="34" t="n"/>
      <c r="E687" s="34" t="n"/>
      <c r="F687" s="86" t="n"/>
      <c r="G687" s="86" t="n"/>
      <c r="H687" s="111" t="n"/>
      <c r="I687" s="87" t="n"/>
      <c r="J687" s="87" t="n"/>
      <c r="K687" s="111" t="n"/>
      <c r="L687" s="86" t="n"/>
      <c r="M687" s="145" t="n"/>
      <c r="N687" s="89" t="n"/>
      <c r="O687" s="144" t="n"/>
      <c r="P687" s="31" t="n"/>
      <c r="Q687" s="89" t="n"/>
      <c r="R687" s="89" t="n"/>
      <c r="S687" s="89" t="n"/>
      <c r="T687" s="55" t="n"/>
      <c r="V687" s="1" t="n"/>
      <c r="Y687" s="111" t="n"/>
      <c r="Z687" s="111" t="n"/>
      <c r="AA687" s="111" t="n"/>
      <c r="AK687" s="55" t="n"/>
      <c r="AL687" s="89" t="n"/>
    </row>
    <row r="688" ht="22.5" customHeight="1" s="150">
      <c r="A688" s="34" t="n">
        <v>686</v>
      </c>
      <c r="B688" s="34" t="n"/>
      <c r="C688" s="34" t="n"/>
      <c r="D688" s="34" t="n"/>
      <c r="E688" s="34" t="n"/>
      <c r="F688" s="86" t="n"/>
      <c r="G688" s="86" t="n"/>
      <c r="H688" s="111" t="n"/>
      <c r="I688" s="87" t="n"/>
      <c r="J688" s="87" t="n"/>
      <c r="K688" s="111" t="n"/>
      <c r="L688" s="86" t="n"/>
      <c r="M688" s="146" t="n"/>
      <c r="N688" s="89" t="n"/>
      <c r="O688" s="144" t="n"/>
      <c r="P688" s="31" t="n"/>
      <c r="Q688" s="89" t="n"/>
      <c r="R688" s="89" t="n"/>
      <c r="S688" s="89" t="n"/>
      <c r="T688" s="55" t="n"/>
      <c r="V688" s="1" t="n"/>
      <c r="Y688" s="111" t="n"/>
      <c r="Z688" s="111" t="n"/>
      <c r="AA688" s="111" t="n"/>
      <c r="AK688" s="55" t="n"/>
      <c r="AL688" s="89" t="n"/>
    </row>
    <row r="689" ht="22.5" customHeight="1" s="150">
      <c r="A689" s="34" t="n">
        <v>687</v>
      </c>
      <c r="B689" s="34" t="n"/>
      <c r="C689" s="34" t="n"/>
      <c r="D689" s="34" t="n"/>
      <c r="E689" s="34" t="n"/>
      <c r="F689" s="86" t="n"/>
      <c r="G689" s="86" t="n"/>
      <c r="H689" s="111" t="n"/>
      <c r="I689" s="87" t="n"/>
      <c r="J689" s="87" t="n"/>
      <c r="K689" s="111" t="n"/>
      <c r="L689" s="86" t="n"/>
      <c r="M689" s="145" t="n"/>
      <c r="N689" s="89" t="n"/>
      <c r="O689" s="144" t="n"/>
      <c r="P689" s="31" t="n"/>
      <c r="Q689" s="89" t="n"/>
      <c r="R689" s="89" t="n"/>
      <c r="S689" s="89" t="n"/>
      <c r="T689" s="55" t="n"/>
      <c r="V689" s="1" t="n"/>
      <c r="Y689" s="111" t="n"/>
      <c r="Z689" s="111" t="n"/>
      <c r="AA689" s="111" t="n"/>
      <c r="AK689" s="55" t="n"/>
      <c r="AL689" s="89" t="n"/>
    </row>
    <row r="690" ht="22.5" customHeight="1" s="150">
      <c r="A690" s="34" t="n">
        <v>688</v>
      </c>
      <c r="B690" s="34" t="n"/>
      <c r="C690" s="34" t="n"/>
      <c r="D690" s="34" t="n"/>
      <c r="E690" s="34" t="n"/>
      <c r="F690" s="86" t="n"/>
      <c r="G690" s="86" t="n"/>
      <c r="H690" s="111" t="n"/>
      <c r="I690" s="87" t="n"/>
      <c r="J690" s="87" t="n"/>
      <c r="K690" s="111" t="n"/>
      <c r="L690" s="86" t="n"/>
      <c r="M690" s="146" t="n"/>
      <c r="N690" s="89" t="n"/>
      <c r="O690" s="144" t="n"/>
      <c r="P690" s="31" t="n"/>
      <c r="Q690" s="89" t="n"/>
      <c r="R690" s="89" t="n"/>
      <c r="S690" s="89" t="n"/>
      <c r="T690" s="55" t="n"/>
      <c r="V690" s="1" t="n"/>
      <c r="Y690" s="111" t="n"/>
      <c r="Z690" s="111" t="n"/>
      <c r="AA690" s="111" t="n"/>
      <c r="AK690" s="55" t="n"/>
      <c r="AL690" s="89" t="n"/>
    </row>
    <row r="691" ht="22.5" customHeight="1" s="150">
      <c r="A691" s="34" t="n">
        <v>689</v>
      </c>
      <c r="B691" s="34" t="n"/>
      <c r="C691" s="34" t="n"/>
      <c r="D691" s="34" t="n"/>
      <c r="E691" s="34" t="n"/>
      <c r="F691" s="86" t="n"/>
      <c r="G691" s="86" t="n"/>
      <c r="H691" s="111" t="n"/>
      <c r="I691" s="87" t="n"/>
      <c r="J691" s="87" t="n"/>
      <c r="K691" s="111" t="n"/>
      <c r="L691" s="86" t="n"/>
      <c r="M691" s="145" t="n"/>
      <c r="N691" s="89" t="n"/>
      <c r="O691" s="144" t="n"/>
      <c r="P691" s="31" t="n"/>
      <c r="Q691" s="89" t="n"/>
      <c r="R691" s="89" t="n"/>
      <c r="S691" s="89" t="n"/>
      <c r="T691" s="55" t="n"/>
      <c r="V691" s="1" t="n"/>
      <c r="Y691" s="111" t="n"/>
      <c r="Z691" s="111" t="n"/>
      <c r="AA691" s="111" t="n"/>
      <c r="AK691" s="55" t="n"/>
      <c r="AL691" s="89" t="n"/>
    </row>
    <row r="692" ht="22.5" customHeight="1" s="150">
      <c r="A692" s="34" t="n">
        <v>690</v>
      </c>
      <c r="B692" s="34" t="n"/>
      <c r="C692" s="34" t="n"/>
      <c r="D692" s="34" t="n"/>
      <c r="E692" s="34" t="n"/>
      <c r="F692" s="86" t="n"/>
      <c r="G692" s="86" t="n"/>
      <c r="H692" s="111" t="n"/>
      <c r="I692" s="87" t="n"/>
      <c r="J692" s="87" t="n"/>
      <c r="K692" s="111" t="n"/>
      <c r="L692" s="86" t="n"/>
      <c r="M692" s="146" t="n"/>
      <c r="N692" s="89" t="n"/>
      <c r="O692" s="144" t="n"/>
      <c r="P692" s="31" t="n"/>
      <c r="Q692" s="89" t="n"/>
      <c r="R692" s="89" t="n"/>
      <c r="S692" s="89" t="n"/>
      <c r="T692" s="55" t="n"/>
      <c r="V692" s="1" t="n"/>
      <c r="Y692" s="111" t="n"/>
      <c r="Z692" s="111" t="n"/>
      <c r="AA692" s="111" t="n"/>
      <c r="AK692" s="55" t="n"/>
      <c r="AL692" s="89" t="n"/>
    </row>
    <row r="693" ht="22.5" customHeight="1" s="150">
      <c r="A693" s="34" t="n">
        <v>691</v>
      </c>
      <c r="B693" s="34" t="n"/>
      <c r="C693" s="34" t="n"/>
      <c r="D693" s="34" t="n"/>
      <c r="E693" s="34" t="n"/>
      <c r="F693" s="86" t="n"/>
      <c r="G693" s="86" t="n"/>
      <c r="H693" s="111" t="n"/>
      <c r="I693" s="87" t="n"/>
      <c r="J693" s="87" t="n"/>
      <c r="K693" s="111" t="n"/>
      <c r="L693" s="86" t="n"/>
      <c r="M693" s="145" t="n"/>
      <c r="N693" s="89" t="n"/>
      <c r="O693" s="144" t="n"/>
      <c r="P693" s="31" t="n"/>
      <c r="Q693" s="89" t="n"/>
      <c r="R693" s="89" t="n"/>
      <c r="S693" s="89" t="n"/>
      <c r="T693" s="55" t="n"/>
      <c r="V693" s="1" t="n"/>
      <c r="Y693" s="111" t="n"/>
      <c r="Z693" s="111" t="n"/>
      <c r="AA693" s="111" t="n"/>
      <c r="AK693" s="55" t="n"/>
      <c r="AL693" s="89" t="n"/>
    </row>
    <row r="694" ht="22.5" customHeight="1" s="150">
      <c r="A694" s="34" t="n">
        <v>692</v>
      </c>
      <c r="B694" s="34" t="n"/>
      <c r="C694" s="34" t="n"/>
      <c r="D694" s="34" t="n"/>
      <c r="E694" s="34" t="n"/>
      <c r="F694" s="86" t="n"/>
      <c r="G694" s="86" t="n"/>
      <c r="H694" s="111" t="n"/>
      <c r="I694" s="87" t="n"/>
      <c r="J694" s="87" t="n"/>
      <c r="K694" s="111" t="n"/>
      <c r="L694" s="86" t="n"/>
      <c r="M694" s="146" t="n"/>
      <c r="N694" s="89" t="n"/>
      <c r="O694" s="144" t="n"/>
      <c r="P694" s="31" t="n"/>
      <c r="Q694" s="89" t="n"/>
      <c r="R694" s="89" t="n"/>
      <c r="S694" s="89" t="n"/>
      <c r="T694" s="55" t="n"/>
      <c r="V694" s="1" t="n"/>
      <c r="Y694" s="111" t="n"/>
      <c r="Z694" s="111" t="n"/>
      <c r="AA694" s="111" t="n"/>
      <c r="AK694" s="55" t="n"/>
      <c r="AL694" s="89" t="n"/>
    </row>
    <row r="695" ht="22.5" customHeight="1" s="150">
      <c r="A695" s="34" t="n">
        <v>693</v>
      </c>
      <c r="B695" s="34" t="n"/>
      <c r="C695" s="34" t="n"/>
      <c r="D695" s="34" t="n"/>
      <c r="E695" s="34" t="n"/>
      <c r="F695" s="86" t="n"/>
      <c r="G695" s="86" t="n"/>
      <c r="H695" s="111" t="n"/>
      <c r="I695" s="87" t="n"/>
      <c r="J695" s="87" t="n"/>
      <c r="K695" s="111" t="n"/>
      <c r="L695" s="86" t="n"/>
      <c r="M695" s="145" t="n"/>
      <c r="N695" s="89" t="n"/>
      <c r="O695" s="144" t="n"/>
      <c r="P695" s="31" t="n"/>
      <c r="Q695" s="89" t="n"/>
      <c r="R695" s="89" t="n"/>
      <c r="S695" s="89" t="n"/>
      <c r="T695" s="55" t="n"/>
      <c r="V695" s="1" t="n"/>
      <c r="Y695" s="111" t="n"/>
      <c r="Z695" s="111" t="n"/>
      <c r="AA695" s="111" t="n"/>
      <c r="AK695" s="55" t="n"/>
      <c r="AL695" s="89" t="n"/>
    </row>
    <row r="696" ht="22.5" customHeight="1" s="150">
      <c r="A696" s="34" t="n">
        <v>694</v>
      </c>
      <c r="B696" s="34" t="n"/>
      <c r="C696" s="34" t="n"/>
      <c r="D696" s="34" t="n"/>
      <c r="E696" s="34" t="n"/>
      <c r="F696" s="86" t="n"/>
      <c r="G696" s="86" t="n"/>
      <c r="H696" s="111" t="n"/>
      <c r="I696" s="87" t="n"/>
      <c r="J696" s="87" t="n"/>
      <c r="K696" s="111" t="n"/>
      <c r="L696" s="86" t="n"/>
      <c r="M696" s="146" t="n"/>
      <c r="N696" s="89" t="n"/>
      <c r="O696" s="144" t="n"/>
      <c r="P696" s="31" t="n"/>
      <c r="Q696" s="89" t="n"/>
      <c r="R696" s="89" t="n"/>
      <c r="S696" s="89" t="n"/>
      <c r="T696" s="55" t="n"/>
      <c r="V696" s="1" t="n"/>
      <c r="Y696" s="111" t="n"/>
      <c r="Z696" s="111" t="n"/>
      <c r="AA696" s="111" t="n"/>
      <c r="AK696" s="55" t="n"/>
      <c r="AL696" s="89" t="n"/>
    </row>
    <row r="697" ht="22.5" customHeight="1" s="150">
      <c r="A697" s="34" t="n">
        <v>695</v>
      </c>
      <c r="B697" s="34" t="n"/>
      <c r="C697" s="34" t="n"/>
      <c r="D697" s="34" t="n"/>
      <c r="E697" s="34" t="n"/>
      <c r="F697" s="86" t="n"/>
      <c r="G697" s="86" t="n"/>
      <c r="H697" s="111" t="n"/>
      <c r="I697" s="87" t="n"/>
      <c r="J697" s="87" t="n"/>
      <c r="K697" s="111" t="n"/>
      <c r="L697" s="86" t="n"/>
      <c r="M697" s="145" t="n"/>
      <c r="N697" s="89" t="n"/>
      <c r="O697" s="144" t="n"/>
      <c r="P697" s="31" t="n"/>
      <c r="Q697" s="89" t="n"/>
      <c r="R697" s="89" t="n"/>
      <c r="S697" s="89" t="n"/>
      <c r="T697" s="55" t="n"/>
      <c r="V697" s="1" t="n"/>
      <c r="Y697" s="111" t="n"/>
      <c r="Z697" s="111" t="n"/>
      <c r="AA697" s="111" t="n"/>
      <c r="AK697" s="55" t="n"/>
      <c r="AL697" s="89" t="n"/>
    </row>
    <row r="698" ht="22.5" customHeight="1" s="150">
      <c r="A698" s="34" t="n">
        <v>696</v>
      </c>
      <c r="B698" s="34" t="n"/>
      <c r="C698" s="34" t="n"/>
      <c r="D698" s="34" t="n"/>
      <c r="E698" s="34" t="n"/>
      <c r="F698" s="86" t="n"/>
      <c r="G698" s="86" t="n"/>
      <c r="H698" s="111" t="n"/>
      <c r="I698" s="87" t="n"/>
      <c r="J698" s="87" t="n"/>
      <c r="K698" s="111" t="n"/>
      <c r="L698" s="86" t="n"/>
      <c r="M698" s="146" t="n"/>
      <c r="N698" s="89" t="n"/>
      <c r="O698" s="144" t="n"/>
      <c r="P698" s="31" t="n"/>
      <c r="Q698" s="89" t="n"/>
      <c r="R698" s="89" t="n"/>
      <c r="S698" s="89" t="n"/>
      <c r="T698" s="55" t="n"/>
      <c r="V698" s="1" t="n"/>
      <c r="Y698" s="111" t="n"/>
      <c r="Z698" s="111" t="n"/>
      <c r="AA698" s="111" t="n"/>
      <c r="AK698" s="55" t="n"/>
      <c r="AL698" s="89" t="n"/>
    </row>
    <row r="699" ht="22.5" customHeight="1" s="150">
      <c r="A699" s="34" t="n">
        <v>697</v>
      </c>
      <c r="B699" s="34" t="n"/>
      <c r="C699" s="34" t="n"/>
      <c r="D699" s="34" t="n"/>
      <c r="E699" s="34" t="n"/>
      <c r="F699" s="86" t="n"/>
      <c r="G699" s="86" t="n"/>
      <c r="H699" s="111" t="n"/>
      <c r="I699" s="87" t="n"/>
      <c r="J699" s="87" t="n"/>
      <c r="K699" s="111" t="n"/>
      <c r="L699" s="86" t="n"/>
      <c r="M699" s="145" t="n"/>
      <c r="N699" s="89" t="n"/>
      <c r="O699" s="144" t="n"/>
      <c r="P699" s="31" t="n"/>
      <c r="Q699" s="89" t="n"/>
      <c r="R699" s="89" t="n"/>
      <c r="S699" s="89" t="n"/>
      <c r="T699" s="55" t="n"/>
      <c r="V699" s="1" t="n"/>
      <c r="Y699" s="111" t="n"/>
      <c r="Z699" s="111" t="n"/>
      <c r="AA699" s="111" t="n"/>
      <c r="AK699" s="55" t="n"/>
      <c r="AL699" s="89" t="n"/>
    </row>
    <row r="700" ht="22.5" customHeight="1" s="150">
      <c r="A700" s="34" t="n">
        <v>698</v>
      </c>
      <c r="B700" s="34" t="n"/>
      <c r="C700" s="34" t="n"/>
      <c r="D700" s="34" t="n"/>
      <c r="E700" s="34" t="n"/>
      <c r="F700" s="86" t="n"/>
      <c r="G700" s="86" t="n"/>
      <c r="H700" s="111" t="n"/>
      <c r="I700" s="87" t="n"/>
      <c r="J700" s="87" t="n"/>
      <c r="K700" s="111" t="n"/>
      <c r="L700" s="86" t="n"/>
      <c r="M700" s="146" t="n"/>
      <c r="N700" s="89" t="n"/>
      <c r="O700" s="144" t="n"/>
      <c r="P700" s="31" t="n"/>
      <c r="Q700" s="89" t="n"/>
      <c r="R700" s="89" t="n"/>
      <c r="S700" s="89" t="n"/>
      <c r="T700" s="55" t="n"/>
      <c r="V700" s="1" t="n"/>
      <c r="Y700" s="111" t="n"/>
      <c r="Z700" s="111" t="n"/>
      <c r="AA700" s="111" t="n"/>
      <c r="AK700" s="55" t="n"/>
      <c r="AL700" s="89" t="n"/>
    </row>
    <row r="701" ht="22.5" customHeight="1" s="150">
      <c r="A701" s="34" t="n">
        <v>699</v>
      </c>
      <c r="B701" s="34" t="n"/>
      <c r="C701" s="34" t="n"/>
      <c r="D701" s="34" t="n"/>
      <c r="E701" s="34" t="n"/>
      <c r="F701" s="86" t="n"/>
      <c r="G701" s="86" t="n"/>
      <c r="H701" s="111" t="n"/>
      <c r="I701" s="87" t="n"/>
      <c r="J701" s="87" t="n"/>
      <c r="K701" s="111" t="n"/>
      <c r="L701" s="86" t="n"/>
      <c r="M701" s="145" t="n"/>
      <c r="N701" s="89" t="n"/>
      <c r="O701" s="144" t="n"/>
      <c r="P701" s="31" t="n"/>
      <c r="Q701" s="89" t="n"/>
      <c r="R701" s="89" t="n"/>
      <c r="S701" s="89" t="n"/>
      <c r="T701" s="55" t="n"/>
      <c r="V701" s="1" t="n"/>
      <c r="Y701" s="111" t="n"/>
      <c r="Z701" s="111" t="n"/>
      <c r="AA701" s="111" t="n"/>
      <c r="AK701" s="55" t="n"/>
      <c r="AL701" s="89" t="n"/>
    </row>
    <row r="702" ht="22.5" customHeight="1" s="150">
      <c r="A702" s="34" t="n">
        <v>700</v>
      </c>
      <c r="B702" s="34" t="n"/>
      <c r="C702" s="34" t="n"/>
      <c r="D702" s="34" t="n"/>
      <c r="E702" s="34" t="n"/>
      <c r="F702" s="86" t="n"/>
      <c r="G702" s="86" t="n"/>
      <c r="H702" s="111" t="n"/>
      <c r="I702" s="87" t="n"/>
      <c r="J702" s="87" t="n"/>
      <c r="K702" s="111" t="n"/>
      <c r="L702" s="86" t="n"/>
      <c r="M702" s="146" t="n"/>
      <c r="N702" s="89" t="n"/>
      <c r="O702" s="144" t="n"/>
      <c r="P702" s="31" t="n"/>
      <c r="Q702" s="89" t="n"/>
      <c r="R702" s="89" t="n"/>
      <c r="S702" s="89" t="n"/>
      <c r="T702" s="55" t="n"/>
      <c r="V702" s="1" t="n"/>
      <c r="Y702" s="111" t="n"/>
      <c r="Z702" s="111" t="n"/>
      <c r="AA702" s="111" t="n"/>
      <c r="AK702" s="55" t="n"/>
      <c r="AL702" s="89" t="n"/>
    </row>
    <row r="703" ht="22.5" customHeight="1" s="150">
      <c r="A703" s="34" t="n">
        <v>701</v>
      </c>
      <c r="B703" s="34" t="n"/>
      <c r="C703" s="34" t="n"/>
      <c r="D703" s="34" t="n"/>
      <c r="E703" s="34" t="n"/>
      <c r="F703" s="86" t="n"/>
      <c r="G703" s="86" t="n"/>
      <c r="H703" s="111" t="n"/>
      <c r="I703" s="87" t="n"/>
      <c r="J703" s="87" t="n"/>
      <c r="K703" s="111" t="n"/>
      <c r="L703" s="86" t="n"/>
      <c r="M703" s="145" t="n"/>
      <c r="N703" s="89" t="n"/>
      <c r="O703" s="144" t="n"/>
      <c r="P703" s="31" t="n"/>
      <c r="Q703" s="89" t="n"/>
      <c r="R703" s="89" t="n"/>
      <c r="S703" s="89" t="n"/>
      <c r="T703" s="55" t="n"/>
      <c r="V703" s="1" t="n"/>
      <c r="Y703" s="111" t="n"/>
      <c r="Z703" s="111" t="n"/>
      <c r="AA703" s="111" t="n"/>
      <c r="AK703" s="55" t="n"/>
      <c r="AL703" s="89" t="n"/>
    </row>
    <row r="704" ht="22.5" customHeight="1" s="150">
      <c r="A704" s="34" t="n">
        <v>702</v>
      </c>
      <c r="B704" s="34" t="n"/>
      <c r="C704" s="34" t="n"/>
      <c r="D704" s="34" t="n"/>
      <c r="E704" s="34" t="n"/>
      <c r="F704" s="86" t="n"/>
      <c r="G704" s="86" t="n"/>
      <c r="H704" s="111" t="n"/>
      <c r="I704" s="87" t="n"/>
      <c r="J704" s="87" t="n"/>
      <c r="K704" s="111" t="n"/>
      <c r="L704" s="86" t="n"/>
      <c r="M704" s="146" t="n"/>
      <c r="N704" s="89" t="n"/>
      <c r="O704" s="144" t="n"/>
      <c r="P704" s="31" t="n"/>
      <c r="Q704" s="89" t="n"/>
      <c r="R704" s="89" t="n"/>
      <c r="S704" s="89" t="n"/>
      <c r="T704" s="55" t="n"/>
      <c r="V704" s="1" t="n"/>
      <c r="Y704" s="111" t="n"/>
      <c r="Z704" s="111" t="n"/>
      <c r="AA704" s="111" t="n"/>
      <c r="AK704" s="55" t="n"/>
      <c r="AL704" s="89" t="n"/>
    </row>
    <row r="705" ht="22.5" customHeight="1" s="150">
      <c r="A705" s="34" t="n">
        <v>703</v>
      </c>
      <c r="B705" s="34" t="n"/>
      <c r="C705" s="34" t="n"/>
      <c r="D705" s="34" t="n"/>
      <c r="E705" s="34" t="n"/>
      <c r="F705" s="86" t="n"/>
      <c r="G705" s="86" t="n"/>
      <c r="H705" s="111" t="n"/>
      <c r="I705" s="87" t="n"/>
      <c r="J705" s="87" t="n"/>
      <c r="K705" s="111" t="n"/>
      <c r="L705" s="86" t="n"/>
      <c r="M705" s="145" t="n"/>
      <c r="N705" s="89" t="n"/>
      <c r="O705" s="144" t="n"/>
      <c r="P705" s="31" t="n"/>
      <c r="Q705" s="89" t="n"/>
      <c r="R705" s="89" t="n"/>
      <c r="S705" s="89" t="n"/>
      <c r="T705" s="55" t="n"/>
      <c r="V705" s="1" t="n"/>
      <c r="Y705" s="111" t="n"/>
      <c r="Z705" s="111" t="n"/>
      <c r="AA705" s="111" t="n"/>
      <c r="AK705" s="55" t="n"/>
      <c r="AL705" s="89" t="n"/>
    </row>
    <row r="706" ht="22.5" customHeight="1" s="150">
      <c r="A706" s="34" t="n">
        <v>704</v>
      </c>
      <c r="B706" s="34" t="n"/>
      <c r="C706" s="34" t="n"/>
      <c r="D706" s="34" t="n"/>
      <c r="E706" s="34" t="n"/>
      <c r="F706" s="86" t="n"/>
      <c r="G706" s="86" t="n"/>
      <c r="H706" s="111" t="n"/>
      <c r="I706" s="87" t="n"/>
      <c r="J706" s="87" t="n"/>
      <c r="K706" s="111" t="n"/>
      <c r="L706" s="86" t="n"/>
      <c r="M706" s="146" t="n"/>
      <c r="N706" s="89" t="n"/>
      <c r="O706" s="144" t="n"/>
      <c r="P706" s="31" t="n"/>
      <c r="Q706" s="89" t="n"/>
      <c r="R706" s="89" t="n"/>
      <c r="S706" s="89" t="n"/>
      <c r="T706" s="55" t="n"/>
      <c r="V706" s="1" t="n"/>
      <c r="Y706" s="111" t="n"/>
      <c r="Z706" s="111" t="n"/>
      <c r="AA706" s="111" t="n"/>
      <c r="AK706" s="55" t="n"/>
      <c r="AL706" s="89" t="n"/>
    </row>
    <row r="707" ht="22.5" customHeight="1" s="150">
      <c r="A707" s="34" t="n">
        <v>705</v>
      </c>
      <c r="B707" s="34" t="n"/>
      <c r="C707" s="34" t="n"/>
      <c r="D707" s="34" t="n"/>
      <c r="E707" s="34" t="n"/>
      <c r="F707" s="86" t="n"/>
      <c r="G707" s="86" t="n"/>
      <c r="H707" s="111" t="n"/>
      <c r="I707" s="87" t="n"/>
      <c r="J707" s="87" t="n"/>
      <c r="K707" s="111" t="n"/>
      <c r="L707" s="86" t="n"/>
      <c r="M707" s="145" t="n"/>
      <c r="N707" s="89" t="n"/>
      <c r="O707" s="144" t="n"/>
      <c r="P707" s="31" t="n"/>
      <c r="Q707" s="89" t="n"/>
      <c r="R707" s="89" t="n"/>
      <c r="S707" s="89" t="n"/>
      <c r="T707" s="55" t="n"/>
      <c r="V707" s="1" t="n"/>
      <c r="Y707" s="111" t="n"/>
      <c r="Z707" s="111" t="n"/>
      <c r="AA707" s="111" t="n"/>
      <c r="AK707" s="55" t="n"/>
      <c r="AL707" s="89" t="n"/>
    </row>
    <row r="708" ht="22.5" customHeight="1" s="150">
      <c r="A708" s="34" t="n">
        <v>706</v>
      </c>
      <c r="B708" s="34" t="n"/>
      <c r="C708" s="34" t="n"/>
      <c r="D708" s="34" t="n"/>
      <c r="E708" s="34" t="n"/>
      <c r="F708" s="86" t="n"/>
      <c r="G708" s="86" t="n"/>
      <c r="H708" s="111" t="n"/>
      <c r="I708" s="87" t="n"/>
      <c r="J708" s="87" t="n"/>
      <c r="K708" s="111" t="n"/>
      <c r="L708" s="86" t="n"/>
      <c r="M708" s="146" t="n"/>
      <c r="N708" s="89" t="n"/>
      <c r="O708" s="144" t="n"/>
      <c r="P708" s="31" t="n"/>
      <c r="Q708" s="89" t="n"/>
      <c r="R708" s="89" t="n"/>
      <c r="S708" s="89" t="n"/>
      <c r="T708" s="55" t="n"/>
      <c r="V708" s="1" t="n"/>
      <c r="Y708" s="111" t="n"/>
      <c r="Z708" s="111" t="n"/>
      <c r="AA708" s="111" t="n"/>
      <c r="AK708" s="55" t="n"/>
      <c r="AL708" s="89" t="n"/>
    </row>
    <row r="709" ht="22.5" customHeight="1" s="150">
      <c r="A709" s="34" t="n">
        <v>707</v>
      </c>
      <c r="B709" s="34" t="n"/>
      <c r="C709" s="34" t="n"/>
      <c r="D709" s="34" t="n"/>
      <c r="E709" s="34" t="n"/>
      <c r="F709" s="86" t="n"/>
      <c r="G709" s="86" t="n"/>
      <c r="H709" s="111" t="n"/>
      <c r="I709" s="87" t="n"/>
      <c r="J709" s="87" t="n"/>
      <c r="K709" s="111" t="n"/>
      <c r="L709" s="86" t="n"/>
      <c r="M709" s="145" t="n"/>
      <c r="N709" s="89" t="n"/>
      <c r="O709" s="144" t="n"/>
      <c r="P709" s="31" t="n"/>
      <c r="Q709" s="89" t="n"/>
      <c r="R709" s="89" t="n"/>
      <c r="S709" s="89" t="n"/>
      <c r="T709" s="55" t="n"/>
      <c r="V709" s="1" t="n"/>
      <c r="Y709" s="111" t="n"/>
      <c r="Z709" s="111" t="n"/>
      <c r="AA709" s="111" t="n"/>
      <c r="AK709" s="55" t="n"/>
      <c r="AL709" s="89" t="n"/>
    </row>
    <row r="710" ht="22.5" customHeight="1" s="150">
      <c r="A710" s="34" t="n">
        <v>708</v>
      </c>
      <c r="B710" s="34" t="n"/>
      <c r="C710" s="34" t="n"/>
      <c r="D710" s="34" t="n"/>
      <c r="E710" s="34" t="n"/>
      <c r="F710" s="86" t="n"/>
      <c r="G710" s="86" t="n"/>
      <c r="H710" s="111" t="n"/>
      <c r="I710" s="87" t="n"/>
      <c r="J710" s="87" t="n"/>
      <c r="K710" s="111" t="n"/>
      <c r="L710" s="86" t="n"/>
      <c r="M710" s="146" t="n"/>
      <c r="N710" s="89" t="n"/>
      <c r="O710" s="144" t="n"/>
      <c r="P710" s="31" t="n"/>
      <c r="Q710" s="89" t="n"/>
      <c r="R710" s="89" t="n"/>
      <c r="S710" s="89" t="n"/>
      <c r="T710" s="55" t="n"/>
      <c r="V710" s="1" t="n"/>
      <c r="Y710" s="111" t="n"/>
      <c r="Z710" s="111" t="n"/>
      <c r="AA710" s="111" t="n"/>
      <c r="AK710" s="55" t="n"/>
      <c r="AL710" s="89" t="n"/>
    </row>
    <row r="711" ht="22.5" customHeight="1" s="150">
      <c r="A711" s="34" t="n">
        <v>709</v>
      </c>
      <c r="B711" s="34" t="n"/>
      <c r="C711" s="34" t="n"/>
      <c r="D711" s="34" t="n"/>
      <c r="E711" s="34" t="n"/>
      <c r="F711" s="86" t="n"/>
      <c r="G711" s="86" t="n"/>
      <c r="H711" s="111" t="n"/>
      <c r="I711" s="87" t="n"/>
      <c r="J711" s="87" t="n"/>
      <c r="K711" s="111" t="n"/>
      <c r="L711" s="86" t="n"/>
      <c r="M711" s="145" t="n"/>
      <c r="N711" s="89" t="n"/>
      <c r="O711" s="144" t="n"/>
      <c r="P711" s="31" t="n"/>
      <c r="Q711" s="89" t="n"/>
      <c r="R711" s="89" t="n"/>
      <c r="S711" s="89" t="n"/>
      <c r="T711" s="55" t="n"/>
      <c r="V711" s="1" t="n"/>
      <c r="Y711" s="111" t="n"/>
      <c r="Z711" s="111" t="n"/>
      <c r="AA711" s="111" t="n"/>
      <c r="AK711" s="55" t="n"/>
      <c r="AL711" s="89" t="n"/>
    </row>
    <row r="712" ht="22.5" customHeight="1" s="150">
      <c r="A712" s="34" t="n">
        <v>710</v>
      </c>
      <c r="B712" s="34" t="n"/>
      <c r="C712" s="34" t="n"/>
      <c r="D712" s="34" t="n"/>
      <c r="E712" s="34" t="n"/>
      <c r="F712" s="86" t="n"/>
      <c r="G712" s="86" t="n"/>
      <c r="H712" s="111" t="n"/>
      <c r="I712" s="87" t="n"/>
      <c r="J712" s="87" t="n"/>
      <c r="K712" s="111" t="n"/>
      <c r="L712" s="86" t="n"/>
      <c r="M712" s="146" t="n"/>
      <c r="N712" s="89" t="n"/>
      <c r="O712" s="144" t="n"/>
      <c r="P712" s="31" t="n"/>
      <c r="Q712" s="89" t="n"/>
      <c r="R712" s="89" t="n"/>
      <c r="S712" s="89" t="n"/>
      <c r="T712" s="55" t="n"/>
      <c r="V712" s="1" t="n"/>
      <c r="Y712" s="111" t="n"/>
      <c r="Z712" s="111" t="n"/>
      <c r="AA712" s="111" t="n"/>
      <c r="AK712" s="55" t="n"/>
      <c r="AL712" s="89" t="n"/>
    </row>
    <row r="713" ht="22.5" customHeight="1" s="150">
      <c r="A713" s="34" t="n">
        <v>711</v>
      </c>
      <c r="B713" s="34" t="n"/>
      <c r="C713" s="34" t="n"/>
      <c r="D713" s="34" t="n"/>
      <c r="E713" s="34" t="n"/>
      <c r="F713" s="86" t="n"/>
      <c r="G713" s="86" t="n"/>
      <c r="H713" s="111" t="n"/>
      <c r="I713" s="87" t="n"/>
      <c r="J713" s="87" t="n"/>
      <c r="K713" s="111" t="n"/>
      <c r="L713" s="86" t="n"/>
      <c r="M713" s="145" t="n"/>
      <c r="N713" s="89" t="n"/>
      <c r="O713" s="144" t="n"/>
      <c r="P713" s="31" t="n"/>
      <c r="Q713" s="89" t="n"/>
      <c r="R713" s="89" t="n"/>
      <c r="S713" s="89" t="n"/>
      <c r="T713" s="55" t="n"/>
      <c r="V713" s="1" t="n"/>
      <c r="Y713" s="111" t="n"/>
      <c r="Z713" s="111" t="n"/>
      <c r="AA713" s="111" t="n"/>
      <c r="AK713" s="55" t="n"/>
      <c r="AL713" s="89" t="n"/>
    </row>
    <row r="714" ht="22.5" customHeight="1" s="150">
      <c r="A714" s="34" t="n">
        <v>712</v>
      </c>
      <c r="B714" s="34" t="n"/>
      <c r="C714" s="34" t="n"/>
      <c r="D714" s="34" t="n"/>
      <c r="E714" s="34" t="n"/>
      <c r="F714" s="86" t="n"/>
      <c r="G714" s="86" t="n"/>
      <c r="H714" s="111" t="n"/>
      <c r="I714" s="87" t="n"/>
      <c r="J714" s="87" t="n"/>
      <c r="K714" s="111" t="n"/>
      <c r="L714" s="86" t="n"/>
      <c r="M714" s="146" t="n"/>
      <c r="N714" s="89" t="n"/>
      <c r="O714" s="144" t="n"/>
      <c r="P714" s="31" t="n"/>
      <c r="Q714" s="89" t="n"/>
      <c r="R714" s="89" t="n"/>
      <c r="S714" s="89" t="n"/>
      <c r="T714" s="55" t="n"/>
      <c r="V714" s="1" t="n"/>
      <c r="Y714" s="111" t="n"/>
      <c r="Z714" s="111" t="n"/>
      <c r="AA714" s="111" t="n"/>
      <c r="AK714" s="55" t="n"/>
      <c r="AL714" s="89" t="n"/>
    </row>
    <row r="715" ht="22.5" customHeight="1" s="150">
      <c r="A715" s="34" t="n">
        <v>713</v>
      </c>
      <c r="B715" s="34" t="n"/>
      <c r="C715" s="34" t="n"/>
      <c r="D715" s="34" t="n"/>
      <c r="E715" s="34" t="n"/>
      <c r="F715" s="86" t="n"/>
      <c r="G715" s="86" t="n"/>
      <c r="H715" s="111" t="n"/>
      <c r="I715" s="87" t="n"/>
      <c r="J715" s="87" t="n"/>
      <c r="K715" s="111" t="n"/>
      <c r="L715" s="86" t="n"/>
      <c r="M715" s="145" t="n"/>
      <c r="N715" s="89" t="n"/>
      <c r="O715" s="144" t="n"/>
      <c r="P715" s="31" t="n"/>
      <c r="Q715" s="89" t="n"/>
      <c r="R715" s="89" t="n"/>
      <c r="S715" s="89" t="n"/>
      <c r="T715" s="55" t="n"/>
      <c r="V715" s="1" t="n"/>
      <c r="Y715" s="111" t="n"/>
      <c r="Z715" s="111" t="n"/>
      <c r="AA715" s="111" t="n"/>
      <c r="AK715" s="55" t="n"/>
      <c r="AL715" s="89" t="n"/>
    </row>
    <row r="716" ht="22.5" customHeight="1" s="150">
      <c r="A716" s="34" t="n">
        <v>714</v>
      </c>
      <c r="B716" s="34" t="n"/>
      <c r="C716" s="34" t="n"/>
      <c r="D716" s="34" t="n"/>
      <c r="E716" s="34" t="n"/>
      <c r="F716" s="86" t="n"/>
      <c r="G716" s="86" t="n"/>
      <c r="H716" s="111" t="n"/>
      <c r="I716" s="87" t="n"/>
      <c r="J716" s="87" t="n"/>
      <c r="K716" s="111" t="n"/>
      <c r="L716" s="86" t="n"/>
      <c r="M716" s="146" t="n"/>
      <c r="N716" s="89" t="n"/>
      <c r="O716" s="144" t="n"/>
      <c r="P716" s="31" t="n"/>
      <c r="Q716" s="89" t="n"/>
      <c r="R716" s="89" t="n"/>
      <c r="S716" s="89" t="n"/>
      <c r="T716" s="55" t="n"/>
      <c r="V716" s="1" t="n"/>
      <c r="Y716" s="111" t="n"/>
      <c r="Z716" s="111" t="n"/>
      <c r="AA716" s="111" t="n"/>
      <c r="AK716" s="55" t="n"/>
      <c r="AL716" s="89" t="n"/>
    </row>
    <row r="717" ht="22.5" customHeight="1" s="150">
      <c r="A717" s="34" t="n">
        <v>715</v>
      </c>
      <c r="B717" s="34" t="n"/>
      <c r="C717" s="34" t="n"/>
      <c r="D717" s="34" t="n"/>
      <c r="E717" s="34" t="n"/>
      <c r="F717" s="86" t="n"/>
      <c r="G717" s="86" t="n"/>
      <c r="H717" s="111" t="n"/>
      <c r="I717" s="87" t="n"/>
      <c r="J717" s="87" t="n"/>
      <c r="K717" s="111" t="n"/>
      <c r="L717" s="86" t="n"/>
      <c r="M717" s="145" t="n"/>
      <c r="N717" s="89" t="n"/>
      <c r="O717" s="144" t="n"/>
      <c r="P717" s="31" t="n"/>
      <c r="Q717" s="89" t="n"/>
      <c r="R717" s="89" t="n"/>
      <c r="S717" s="89" t="n"/>
      <c r="T717" s="55" t="n"/>
      <c r="V717" s="1" t="n"/>
      <c r="Y717" s="111" t="n"/>
      <c r="Z717" s="111" t="n"/>
      <c r="AA717" s="111" t="n"/>
      <c r="AK717" s="55" t="n"/>
      <c r="AL717" s="89" t="n"/>
    </row>
    <row r="718" ht="22.5" customHeight="1" s="150">
      <c r="A718" s="34" t="n">
        <v>716</v>
      </c>
      <c r="B718" s="34" t="n"/>
      <c r="C718" s="34" t="n"/>
      <c r="D718" s="34" t="n"/>
      <c r="E718" s="34" t="n"/>
      <c r="F718" s="86" t="n"/>
      <c r="G718" s="86" t="n"/>
      <c r="H718" s="111" t="n"/>
      <c r="I718" s="87" t="n"/>
      <c r="J718" s="87" t="n"/>
      <c r="K718" s="111" t="n"/>
      <c r="L718" s="86" t="n"/>
      <c r="M718" s="146" t="n"/>
      <c r="N718" s="89" t="n"/>
      <c r="O718" s="144" t="n"/>
      <c r="P718" s="31" t="n"/>
      <c r="Q718" s="89" t="n"/>
      <c r="R718" s="89" t="n"/>
      <c r="S718" s="89" t="n"/>
      <c r="T718" s="55" t="n"/>
      <c r="V718" s="1" t="n"/>
      <c r="Y718" s="111" t="n"/>
      <c r="Z718" s="111" t="n"/>
      <c r="AA718" s="111" t="n"/>
      <c r="AK718" s="55" t="n"/>
      <c r="AL718" s="89" t="n"/>
    </row>
    <row r="719" ht="22.5" customHeight="1" s="150">
      <c r="A719" s="34" t="n">
        <v>717</v>
      </c>
      <c r="B719" s="34" t="n"/>
      <c r="C719" s="34" t="n"/>
      <c r="D719" s="34" t="n"/>
      <c r="E719" s="34" t="n"/>
      <c r="F719" s="86" t="n"/>
      <c r="G719" s="86" t="n"/>
      <c r="H719" s="111" t="n"/>
      <c r="I719" s="87" t="n"/>
      <c r="J719" s="87" t="n"/>
      <c r="K719" s="111" t="n"/>
      <c r="L719" s="86" t="n"/>
      <c r="M719" s="145" t="n"/>
      <c r="N719" s="89" t="n"/>
      <c r="O719" s="144" t="n"/>
      <c r="P719" s="31" t="n"/>
      <c r="Q719" s="89" t="n"/>
      <c r="R719" s="89" t="n"/>
      <c r="S719" s="89" t="n"/>
      <c r="T719" s="55" t="n"/>
      <c r="V719" s="1" t="n"/>
      <c r="Y719" s="111" t="n"/>
      <c r="Z719" s="111" t="n"/>
      <c r="AA719" s="111" t="n"/>
      <c r="AK719" s="55" t="n"/>
      <c r="AL719" s="89" t="n"/>
    </row>
    <row r="720" ht="22.5" customHeight="1" s="150">
      <c r="A720" s="34" t="n">
        <v>718</v>
      </c>
      <c r="B720" s="34" t="n"/>
      <c r="C720" s="34" t="n"/>
      <c r="D720" s="34" t="n"/>
      <c r="E720" s="34" t="n"/>
      <c r="F720" s="86" t="n"/>
      <c r="G720" s="86" t="n"/>
      <c r="H720" s="111" t="n"/>
      <c r="I720" s="87" t="n"/>
      <c r="J720" s="87" t="n"/>
      <c r="K720" s="111" t="n"/>
      <c r="L720" s="86" t="n"/>
      <c r="M720" s="146" t="n"/>
      <c r="N720" s="89" t="n"/>
      <c r="O720" s="144" t="n"/>
      <c r="P720" s="31" t="n"/>
      <c r="Q720" s="89" t="n"/>
      <c r="R720" s="89" t="n"/>
      <c r="S720" s="89" t="n"/>
      <c r="T720" s="55" t="n"/>
      <c r="V720" s="1" t="n"/>
      <c r="Y720" s="111" t="n"/>
      <c r="Z720" s="111" t="n"/>
      <c r="AA720" s="111" t="n"/>
      <c r="AK720" s="55" t="n"/>
      <c r="AL720" s="89" t="n"/>
    </row>
    <row r="721" ht="22.5" customHeight="1" s="150">
      <c r="A721" s="34" t="n">
        <v>719</v>
      </c>
      <c r="B721" s="34" t="n"/>
      <c r="C721" s="34" t="n"/>
      <c r="D721" s="34" t="n"/>
      <c r="E721" s="34" t="n"/>
      <c r="F721" s="86" t="n"/>
      <c r="G721" s="86" t="n"/>
      <c r="H721" s="111" t="n"/>
      <c r="I721" s="87" t="n"/>
      <c r="J721" s="87" t="n"/>
      <c r="K721" s="111" t="n"/>
      <c r="L721" s="86" t="n"/>
      <c r="M721" s="145" t="n"/>
      <c r="N721" s="89" t="n"/>
      <c r="O721" s="144" t="n"/>
      <c r="P721" s="31" t="n"/>
      <c r="Q721" s="89" t="n"/>
      <c r="R721" s="89" t="n"/>
      <c r="S721" s="89" t="n"/>
      <c r="T721" s="55" t="n"/>
      <c r="V721" s="1" t="n"/>
      <c r="Y721" s="111" t="n"/>
      <c r="Z721" s="111" t="n"/>
      <c r="AA721" s="111" t="n"/>
      <c r="AK721" s="55" t="n"/>
      <c r="AL721" s="89" t="n"/>
    </row>
    <row r="722" ht="22.5" customHeight="1" s="150">
      <c r="A722" s="34" t="n">
        <v>720</v>
      </c>
      <c r="B722" s="34" t="n"/>
      <c r="C722" s="34" t="n"/>
      <c r="D722" s="34" t="n"/>
      <c r="E722" s="34" t="n"/>
      <c r="F722" s="86" t="n"/>
      <c r="G722" s="86" t="n"/>
      <c r="H722" s="111" t="n"/>
      <c r="I722" s="87" t="n"/>
      <c r="J722" s="87" t="n"/>
      <c r="K722" s="111" t="n"/>
      <c r="L722" s="86" t="n"/>
      <c r="M722" s="146" t="n"/>
      <c r="N722" s="89" t="n"/>
      <c r="O722" s="144" t="n"/>
      <c r="P722" s="31" t="n"/>
      <c r="Q722" s="89" t="n"/>
      <c r="R722" s="89" t="n"/>
      <c r="S722" s="89" t="n"/>
      <c r="T722" s="55" t="n"/>
      <c r="V722" s="1" t="n"/>
      <c r="Y722" s="111" t="n"/>
      <c r="Z722" s="111" t="n"/>
      <c r="AA722" s="111" t="n"/>
      <c r="AK722" s="55" t="n"/>
      <c r="AL722" s="89" t="n"/>
    </row>
    <row r="723" ht="22.5" customHeight="1" s="150">
      <c r="A723" s="34" t="n">
        <v>721</v>
      </c>
      <c r="B723" s="34" t="n"/>
      <c r="C723" s="34" t="n"/>
      <c r="D723" s="34" t="n"/>
      <c r="E723" s="34" t="n"/>
      <c r="F723" s="86" t="n"/>
      <c r="G723" s="86" t="n"/>
      <c r="H723" s="111" t="n"/>
      <c r="I723" s="87" t="n"/>
      <c r="J723" s="87" t="n"/>
      <c r="K723" s="111" t="n"/>
      <c r="L723" s="86" t="n"/>
      <c r="M723" s="145" t="n"/>
      <c r="N723" s="89" t="n"/>
      <c r="O723" s="144" t="n"/>
      <c r="P723" s="31" t="n"/>
      <c r="Q723" s="89" t="n"/>
      <c r="R723" s="89" t="n"/>
      <c r="S723" s="89" t="n"/>
      <c r="T723" s="55" t="n"/>
      <c r="V723" s="1" t="n"/>
      <c r="Y723" s="111" t="n"/>
      <c r="Z723" s="111" t="n"/>
      <c r="AA723" s="111" t="n"/>
      <c r="AK723" s="55" t="n"/>
      <c r="AL723" s="89" t="n"/>
    </row>
    <row r="724" ht="22.5" customHeight="1" s="150">
      <c r="A724" s="34" t="n">
        <v>722</v>
      </c>
      <c r="B724" s="34" t="n"/>
      <c r="C724" s="34" t="n"/>
      <c r="D724" s="34" t="n"/>
      <c r="E724" s="34" t="n"/>
      <c r="F724" s="86" t="n"/>
      <c r="G724" s="86" t="n"/>
      <c r="H724" s="111" t="n"/>
      <c r="I724" s="87" t="n"/>
      <c r="J724" s="87" t="n"/>
      <c r="K724" s="111" t="n"/>
      <c r="L724" s="86" t="n"/>
      <c r="M724" s="146" t="n"/>
      <c r="N724" s="89" t="n"/>
      <c r="O724" s="144" t="n"/>
      <c r="P724" s="31" t="n"/>
      <c r="Q724" s="89" t="n"/>
      <c r="R724" s="89" t="n"/>
      <c r="S724" s="89" t="n"/>
      <c r="T724" s="55" t="n"/>
      <c r="V724" s="1" t="n"/>
      <c r="Y724" s="111" t="n"/>
      <c r="Z724" s="111" t="n"/>
      <c r="AA724" s="111" t="n"/>
      <c r="AK724" s="55" t="n"/>
      <c r="AL724" s="89" t="n"/>
    </row>
    <row r="725" ht="22.5" customHeight="1" s="150">
      <c r="A725" s="34" t="n">
        <v>723</v>
      </c>
      <c r="B725" s="34" t="n"/>
      <c r="C725" s="34" t="n"/>
      <c r="D725" s="34" t="n"/>
      <c r="E725" s="34" t="n"/>
      <c r="F725" s="86" t="n"/>
      <c r="G725" s="86" t="n"/>
      <c r="H725" s="111" t="n"/>
      <c r="I725" s="87" t="n"/>
      <c r="J725" s="87" t="n"/>
      <c r="K725" s="111" t="n"/>
      <c r="L725" s="86" t="n"/>
      <c r="M725" s="145" t="n"/>
      <c r="N725" s="89" t="n"/>
      <c r="O725" s="144" t="n"/>
      <c r="P725" s="31" t="n"/>
      <c r="Q725" s="89" t="n"/>
      <c r="R725" s="89" t="n"/>
      <c r="S725" s="89" t="n"/>
      <c r="T725" s="55" t="n"/>
      <c r="V725" s="1" t="n"/>
      <c r="Y725" s="111" t="n"/>
      <c r="Z725" s="111" t="n"/>
      <c r="AA725" s="111" t="n"/>
      <c r="AK725" s="55" t="n"/>
      <c r="AL725" s="89" t="n"/>
    </row>
    <row r="726" ht="22.5" customHeight="1" s="150">
      <c r="A726" s="34" t="n">
        <v>724</v>
      </c>
      <c r="B726" s="34" t="n"/>
      <c r="C726" s="34" t="n"/>
      <c r="D726" s="34" t="n"/>
      <c r="E726" s="34" t="n"/>
      <c r="F726" s="86" t="n"/>
      <c r="G726" s="86" t="n"/>
      <c r="H726" s="111" t="n"/>
      <c r="I726" s="87" t="n"/>
      <c r="J726" s="87" t="n"/>
      <c r="K726" s="111" t="n"/>
      <c r="L726" s="86" t="n"/>
      <c r="M726" s="146" t="n"/>
      <c r="N726" s="89" t="n"/>
      <c r="O726" s="144" t="n"/>
      <c r="P726" s="31" t="n"/>
      <c r="Q726" s="89" t="n"/>
      <c r="R726" s="89" t="n"/>
      <c r="S726" s="89" t="n"/>
      <c r="T726" s="55" t="n"/>
      <c r="V726" s="1" t="n"/>
      <c r="Y726" s="111" t="n"/>
      <c r="Z726" s="111" t="n"/>
      <c r="AA726" s="111" t="n"/>
      <c r="AK726" s="55" t="n"/>
      <c r="AL726" s="89" t="n"/>
    </row>
    <row r="727" ht="22.5" customHeight="1" s="150">
      <c r="A727" s="34" t="n">
        <v>725</v>
      </c>
      <c r="B727" s="34" t="n"/>
      <c r="C727" s="34" t="n"/>
      <c r="D727" s="34" t="n"/>
      <c r="E727" s="34" t="n"/>
      <c r="F727" s="86" t="n"/>
      <c r="G727" s="86" t="n"/>
      <c r="H727" s="111" t="n"/>
      <c r="I727" s="87" t="n"/>
      <c r="J727" s="87" t="n"/>
      <c r="K727" s="111" t="n"/>
      <c r="L727" s="86" t="n"/>
      <c r="M727" s="145" t="n"/>
      <c r="N727" s="89" t="n"/>
      <c r="O727" s="144" t="n"/>
      <c r="P727" s="31" t="n"/>
      <c r="Q727" s="89" t="n"/>
      <c r="R727" s="89" t="n"/>
      <c r="S727" s="89" t="n"/>
      <c r="T727" s="55" t="n"/>
      <c r="V727" s="1" t="n"/>
      <c r="Y727" s="111" t="n"/>
      <c r="Z727" s="111" t="n"/>
      <c r="AA727" s="111" t="n"/>
      <c r="AK727" s="55" t="n"/>
      <c r="AL727" s="89" t="n"/>
    </row>
    <row r="728" ht="22.5" customHeight="1" s="150">
      <c r="A728" s="34" t="n">
        <v>726</v>
      </c>
      <c r="B728" s="34" t="n"/>
      <c r="C728" s="34" t="n"/>
      <c r="D728" s="34" t="n"/>
      <c r="E728" s="34" t="n"/>
      <c r="F728" s="86" t="n"/>
      <c r="G728" s="86" t="n"/>
      <c r="H728" s="111" t="n"/>
      <c r="I728" s="87" t="n"/>
      <c r="J728" s="87" t="n"/>
      <c r="K728" s="111" t="n"/>
      <c r="L728" s="86" t="n"/>
      <c r="M728" s="146" t="n"/>
      <c r="N728" s="89" t="n"/>
      <c r="O728" s="144" t="n"/>
      <c r="P728" s="31" t="n"/>
      <c r="Q728" s="89" t="n"/>
      <c r="R728" s="89" t="n"/>
      <c r="S728" s="89" t="n"/>
      <c r="T728" s="55" t="n"/>
      <c r="V728" s="1" t="n"/>
      <c r="Y728" s="111" t="n"/>
      <c r="Z728" s="111" t="n"/>
      <c r="AA728" s="111" t="n"/>
      <c r="AK728" s="55" t="n"/>
      <c r="AL728" s="89" t="n"/>
    </row>
    <row r="729" ht="22.5" customHeight="1" s="150">
      <c r="A729" s="34" t="n">
        <v>727</v>
      </c>
      <c r="B729" s="34" t="n"/>
      <c r="C729" s="34" t="n"/>
      <c r="D729" s="34" t="n"/>
      <c r="E729" s="34" t="n"/>
      <c r="F729" s="86" t="n"/>
      <c r="G729" s="86" t="n"/>
      <c r="H729" s="111" t="n"/>
      <c r="I729" s="87" t="n"/>
      <c r="J729" s="87" t="n"/>
      <c r="K729" s="111" t="n"/>
      <c r="L729" s="86" t="n"/>
      <c r="M729" s="145" t="n"/>
      <c r="N729" s="89" t="n"/>
      <c r="O729" s="144" t="n"/>
      <c r="P729" s="31" t="n"/>
      <c r="Q729" s="89" t="n"/>
      <c r="R729" s="89" t="n"/>
      <c r="S729" s="89" t="n"/>
      <c r="T729" s="55" t="n"/>
      <c r="V729" s="1" t="n"/>
      <c r="Y729" s="111" t="n"/>
      <c r="Z729" s="111" t="n"/>
      <c r="AA729" s="111" t="n"/>
      <c r="AK729" s="55" t="n"/>
      <c r="AL729" s="89" t="n"/>
    </row>
    <row r="730" ht="22.5" customHeight="1" s="150">
      <c r="A730" s="34" t="n">
        <v>728</v>
      </c>
      <c r="B730" s="34" t="n"/>
      <c r="C730" s="34" t="n"/>
      <c r="D730" s="34" t="n"/>
      <c r="E730" s="34" t="n"/>
      <c r="F730" s="86" t="n"/>
      <c r="G730" s="86" t="n"/>
      <c r="H730" s="111" t="n"/>
      <c r="I730" s="87" t="n"/>
      <c r="J730" s="87" t="n"/>
      <c r="K730" s="111" t="n"/>
      <c r="L730" s="86" t="n"/>
      <c r="M730" s="146" t="n"/>
      <c r="N730" s="89" t="n"/>
      <c r="O730" s="144" t="n"/>
      <c r="P730" s="31" t="n"/>
      <c r="Q730" s="89" t="n"/>
      <c r="R730" s="89" t="n"/>
      <c r="S730" s="89" t="n"/>
      <c r="T730" s="55" t="n"/>
      <c r="V730" s="1" t="n"/>
      <c r="Y730" s="111" t="n"/>
      <c r="Z730" s="111" t="n"/>
      <c r="AA730" s="111" t="n"/>
      <c r="AK730" s="55" t="n"/>
      <c r="AL730" s="89" t="n"/>
    </row>
    <row r="731" ht="22.5" customHeight="1" s="150">
      <c r="A731" s="34" t="n">
        <v>729</v>
      </c>
      <c r="B731" s="34" t="n"/>
      <c r="C731" s="34" t="n"/>
      <c r="D731" s="34" t="n"/>
      <c r="E731" s="34" t="n"/>
      <c r="F731" s="86" t="n"/>
      <c r="G731" s="86" t="n"/>
      <c r="H731" s="111" t="n"/>
      <c r="I731" s="87" t="n"/>
      <c r="J731" s="87" t="n"/>
      <c r="K731" s="111" t="n"/>
      <c r="L731" s="86" t="n"/>
      <c r="M731" s="145" t="n"/>
      <c r="N731" s="89" t="n"/>
      <c r="O731" s="144" t="n"/>
      <c r="P731" s="31" t="n"/>
      <c r="Q731" s="89" t="n"/>
      <c r="R731" s="89" t="n"/>
      <c r="S731" s="89" t="n"/>
      <c r="T731" s="55" t="n"/>
      <c r="V731" s="1" t="n"/>
      <c r="Y731" s="111" t="n"/>
      <c r="Z731" s="111" t="n"/>
      <c r="AA731" s="111" t="n"/>
      <c r="AK731" s="55" t="n"/>
      <c r="AL731" s="89" t="n"/>
    </row>
    <row r="732" ht="22.5" customHeight="1" s="150">
      <c r="A732" s="34" t="n">
        <v>730</v>
      </c>
      <c r="B732" s="34" t="n"/>
      <c r="C732" s="34" t="n"/>
      <c r="D732" s="34" t="n"/>
      <c r="E732" s="34" t="n"/>
      <c r="F732" s="86" t="n"/>
      <c r="G732" s="86" t="n"/>
      <c r="H732" s="111" t="n"/>
      <c r="I732" s="87" t="n"/>
      <c r="J732" s="87" t="n"/>
      <c r="K732" s="111" t="n"/>
      <c r="L732" s="86" t="n"/>
      <c r="M732" s="146" t="n"/>
      <c r="N732" s="89" t="n"/>
      <c r="O732" s="144" t="n"/>
      <c r="P732" s="31" t="n"/>
      <c r="Q732" s="89" t="n"/>
      <c r="R732" s="89" t="n"/>
      <c r="S732" s="89" t="n"/>
      <c r="T732" s="55" t="n"/>
      <c r="V732" s="1" t="n"/>
      <c r="Y732" s="111" t="n"/>
      <c r="Z732" s="111" t="n"/>
      <c r="AA732" s="111" t="n"/>
      <c r="AK732" s="55" t="n"/>
      <c r="AL732" s="89" t="n"/>
    </row>
    <row r="733" ht="22.5" customHeight="1" s="150">
      <c r="A733" s="34" t="n">
        <v>731</v>
      </c>
      <c r="B733" s="34" t="n"/>
      <c r="C733" s="34" t="n"/>
      <c r="D733" s="34" t="n"/>
      <c r="E733" s="34" t="n"/>
      <c r="F733" s="86" t="n"/>
      <c r="G733" s="86" t="n"/>
      <c r="H733" s="111" t="n"/>
      <c r="I733" s="87" t="n"/>
      <c r="J733" s="87" t="n"/>
      <c r="K733" s="111" t="n"/>
      <c r="L733" s="86" t="n"/>
      <c r="M733" s="145" t="n"/>
      <c r="N733" s="89" t="n"/>
      <c r="O733" s="144" t="n"/>
      <c r="P733" s="31" t="n"/>
      <c r="Q733" s="89" t="n"/>
      <c r="R733" s="89" t="n"/>
      <c r="S733" s="89" t="n"/>
      <c r="T733" s="55" t="n"/>
      <c r="V733" s="1" t="n"/>
      <c r="Y733" s="111" t="n"/>
      <c r="Z733" s="111" t="n"/>
      <c r="AA733" s="111" t="n"/>
      <c r="AK733" s="55" t="n"/>
      <c r="AL733" s="89" t="n"/>
    </row>
    <row r="734" ht="22.5" customHeight="1" s="150">
      <c r="A734" s="34" t="n">
        <v>732</v>
      </c>
      <c r="B734" s="34" t="n"/>
      <c r="C734" s="34" t="n"/>
      <c r="D734" s="34" t="n"/>
      <c r="E734" s="34" t="n"/>
      <c r="F734" s="86" t="n"/>
      <c r="G734" s="86" t="n"/>
      <c r="H734" s="111" t="n"/>
      <c r="I734" s="87" t="n"/>
      <c r="J734" s="87" t="n"/>
      <c r="K734" s="111" t="n"/>
      <c r="L734" s="86" t="n"/>
      <c r="M734" s="146" t="n"/>
      <c r="N734" s="89" t="n"/>
      <c r="O734" s="144" t="n"/>
      <c r="P734" s="31" t="n"/>
      <c r="Q734" s="89" t="n"/>
      <c r="R734" s="89" t="n"/>
      <c r="S734" s="89" t="n"/>
      <c r="T734" s="55" t="n"/>
      <c r="V734" s="1" t="n"/>
      <c r="Y734" s="111" t="n"/>
      <c r="Z734" s="111" t="n"/>
      <c r="AA734" s="111" t="n"/>
      <c r="AK734" s="55" t="n"/>
      <c r="AL734" s="89" t="n"/>
    </row>
    <row r="735" ht="22.5" customHeight="1" s="150">
      <c r="A735" s="34" t="n">
        <v>733</v>
      </c>
      <c r="B735" s="34" t="n"/>
      <c r="C735" s="34" t="n"/>
      <c r="D735" s="34" t="n"/>
      <c r="E735" s="34" t="n"/>
      <c r="F735" s="86" t="n"/>
      <c r="G735" s="86" t="n"/>
      <c r="H735" s="111" t="n"/>
      <c r="I735" s="87" t="n"/>
      <c r="J735" s="87" t="n"/>
      <c r="K735" s="111" t="n"/>
      <c r="L735" s="86" t="n"/>
      <c r="M735" s="145" t="n"/>
      <c r="N735" s="89" t="n"/>
      <c r="O735" s="144" t="n"/>
      <c r="P735" s="31" t="n"/>
      <c r="Q735" s="89" t="n"/>
      <c r="R735" s="89" t="n"/>
      <c r="S735" s="89" t="n"/>
      <c r="T735" s="55" t="n"/>
      <c r="V735" s="1" t="n"/>
      <c r="Y735" s="111" t="n"/>
      <c r="Z735" s="111" t="n"/>
      <c r="AA735" s="111" t="n"/>
      <c r="AK735" s="55" t="n"/>
      <c r="AL735" s="89" t="n"/>
    </row>
    <row r="736" ht="22.5" customHeight="1" s="150">
      <c r="A736" s="34" t="n">
        <v>734</v>
      </c>
      <c r="B736" s="34" t="n"/>
      <c r="C736" s="34" t="n"/>
      <c r="D736" s="34" t="n"/>
      <c r="E736" s="34" t="n"/>
      <c r="F736" s="86" t="n"/>
      <c r="G736" s="86" t="n"/>
      <c r="H736" s="111" t="n"/>
      <c r="I736" s="87" t="n"/>
      <c r="J736" s="87" t="n"/>
      <c r="K736" s="111" t="n"/>
      <c r="L736" s="86" t="n"/>
      <c r="M736" s="146" t="n"/>
      <c r="N736" s="89" t="n"/>
      <c r="O736" s="144" t="n"/>
      <c r="P736" s="31" t="n"/>
      <c r="Q736" s="89" t="n"/>
      <c r="R736" s="89" t="n"/>
      <c r="S736" s="89" t="n"/>
      <c r="T736" s="55" t="n"/>
      <c r="V736" s="1" t="n"/>
      <c r="Y736" s="111" t="n"/>
      <c r="Z736" s="111" t="n"/>
      <c r="AA736" s="111" t="n"/>
      <c r="AK736" s="55" t="n"/>
      <c r="AL736" s="89" t="n"/>
    </row>
    <row r="737" ht="22.5" customHeight="1" s="150">
      <c r="A737" s="34" t="n">
        <v>735</v>
      </c>
      <c r="B737" s="34" t="n"/>
      <c r="C737" s="34" t="n"/>
      <c r="D737" s="34" t="n"/>
      <c r="E737" s="34" t="n"/>
      <c r="F737" s="86" t="n"/>
      <c r="G737" s="86" t="n"/>
      <c r="H737" s="111" t="n"/>
      <c r="I737" s="87" t="n"/>
      <c r="J737" s="87" t="n"/>
      <c r="K737" s="111" t="n"/>
      <c r="L737" s="86" t="n"/>
      <c r="M737" s="145" t="n"/>
      <c r="N737" s="89" t="n"/>
      <c r="O737" s="144" t="n"/>
      <c r="P737" s="31" t="n"/>
      <c r="Q737" s="89" t="n"/>
      <c r="R737" s="89" t="n"/>
      <c r="S737" s="89" t="n"/>
      <c r="T737" s="55" t="n"/>
      <c r="V737" s="1" t="n"/>
      <c r="Y737" s="111" t="n"/>
      <c r="Z737" s="111" t="n"/>
      <c r="AA737" s="111" t="n"/>
      <c r="AK737" s="55" t="n"/>
      <c r="AL737" s="89" t="n"/>
    </row>
    <row r="738" ht="22.5" customHeight="1" s="150">
      <c r="A738" s="34" t="n">
        <v>736</v>
      </c>
      <c r="B738" s="34" t="n"/>
      <c r="C738" s="34" t="n"/>
      <c r="D738" s="34" t="n"/>
      <c r="E738" s="34" t="n"/>
      <c r="F738" s="86" t="n"/>
      <c r="G738" s="86" t="n"/>
      <c r="H738" s="111" t="n"/>
      <c r="I738" s="87" t="n"/>
      <c r="J738" s="87" t="n"/>
      <c r="K738" s="111" t="n"/>
      <c r="L738" s="86" t="n"/>
      <c r="M738" s="146" t="n"/>
      <c r="N738" s="89" t="n"/>
      <c r="O738" s="144" t="n"/>
      <c r="P738" s="31" t="n"/>
      <c r="Q738" s="89" t="n"/>
      <c r="R738" s="89" t="n"/>
      <c r="S738" s="89" t="n"/>
      <c r="T738" s="55" t="n"/>
      <c r="V738" s="1" t="n"/>
      <c r="Y738" s="111" t="n"/>
      <c r="Z738" s="111" t="n"/>
      <c r="AA738" s="111" t="n"/>
      <c r="AK738" s="55" t="n"/>
      <c r="AL738" s="89" t="n"/>
    </row>
    <row r="739" ht="22.5" customHeight="1" s="150">
      <c r="A739" s="34" t="n">
        <v>737</v>
      </c>
      <c r="B739" s="34" t="n"/>
      <c r="C739" s="34" t="n"/>
      <c r="D739" s="34" t="n"/>
      <c r="E739" s="34" t="n"/>
      <c r="F739" s="86" t="n"/>
      <c r="G739" s="86" t="n"/>
      <c r="H739" s="111" t="n"/>
      <c r="I739" s="87" t="n"/>
      <c r="J739" s="87" t="n"/>
      <c r="K739" s="111" t="n"/>
      <c r="L739" s="86" t="n"/>
      <c r="M739" s="145" t="n"/>
      <c r="N739" s="89" t="n"/>
      <c r="O739" s="144" t="n"/>
      <c r="P739" s="31" t="n"/>
      <c r="Q739" s="89" t="n"/>
      <c r="R739" s="89" t="n"/>
      <c r="S739" s="89" t="n"/>
      <c r="T739" s="55" t="n"/>
      <c r="V739" s="1" t="n"/>
      <c r="Y739" s="111" t="n"/>
      <c r="Z739" s="111" t="n"/>
      <c r="AA739" s="111" t="n"/>
      <c r="AK739" s="55" t="n"/>
      <c r="AL739" s="89" t="n"/>
    </row>
    <row r="740" ht="22.5" customHeight="1" s="150">
      <c r="A740" s="34" t="n">
        <v>738</v>
      </c>
      <c r="B740" s="34" t="n"/>
      <c r="C740" s="34" t="n"/>
      <c r="D740" s="34" t="n"/>
      <c r="E740" s="34" t="n"/>
      <c r="F740" s="86" t="n"/>
      <c r="G740" s="86" t="n"/>
      <c r="H740" s="111" t="n"/>
      <c r="I740" s="87" t="n"/>
      <c r="J740" s="87" t="n"/>
      <c r="K740" s="111" t="n"/>
      <c r="L740" s="86" t="n"/>
      <c r="M740" s="146" t="n"/>
      <c r="N740" s="89" t="n"/>
      <c r="O740" s="144" t="n"/>
      <c r="P740" s="31" t="n"/>
      <c r="Q740" s="89" t="n"/>
      <c r="R740" s="89" t="n"/>
      <c r="S740" s="89" t="n"/>
      <c r="T740" s="55" t="n"/>
      <c r="V740" s="1" t="n"/>
      <c r="Y740" s="111" t="n"/>
      <c r="Z740" s="111" t="n"/>
      <c r="AA740" s="111" t="n"/>
      <c r="AK740" s="55" t="n"/>
      <c r="AL740" s="89" t="n"/>
    </row>
    <row r="741" ht="22.5" customHeight="1" s="150">
      <c r="A741" s="34" t="n">
        <v>739</v>
      </c>
      <c r="B741" s="34" t="n"/>
      <c r="C741" s="34" t="n"/>
      <c r="D741" s="34" t="n"/>
      <c r="E741" s="34" t="n"/>
      <c r="F741" s="86" t="n"/>
      <c r="G741" s="86" t="n"/>
      <c r="H741" s="111" t="n"/>
      <c r="I741" s="87" t="n"/>
      <c r="J741" s="87" t="n"/>
      <c r="K741" s="111" t="n"/>
      <c r="L741" s="86" t="n"/>
      <c r="M741" s="145" t="n"/>
      <c r="N741" s="89" t="n"/>
      <c r="O741" s="144" t="n"/>
      <c r="P741" s="31" t="n"/>
      <c r="Q741" s="89" t="n"/>
      <c r="R741" s="89" t="n"/>
      <c r="S741" s="89" t="n"/>
      <c r="T741" s="55" t="n"/>
      <c r="V741" s="1" t="n"/>
      <c r="Y741" s="111" t="n"/>
      <c r="Z741" s="111" t="n"/>
      <c r="AA741" s="111" t="n"/>
      <c r="AK741" s="55" t="n"/>
      <c r="AL741" s="89" t="n"/>
    </row>
    <row r="742" ht="22.5" customHeight="1" s="150">
      <c r="A742" s="34" t="n">
        <v>740</v>
      </c>
      <c r="B742" s="34" t="n"/>
      <c r="C742" s="34" t="n"/>
      <c r="D742" s="34" t="n"/>
      <c r="E742" s="34" t="n"/>
      <c r="F742" s="86" t="n"/>
      <c r="G742" s="86" t="n"/>
      <c r="H742" s="111" t="n"/>
      <c r="I742" s="87" t="n"/>
      <c r="J742" s="87" t="n"/>
      <c r="K742" s="111" t="n"/>
      <c r="L742" s="86" t="n"/>
      <c r="M742" s="146" t="n"/>
      <c r="N742" s="89" t="n"/>
      <c r="O742" s="144" t="n"/>
      <c r="P742" s="31" t="n"/>
      <c r="Q742" s="89" t="n"/>
      <c r="R742" s="89" t="n"/>
      <c r="S742" s="89" t="n"/>
      <c r="T742" s="55" t="n"/>
      <c r="V742" s="1" t="n"/>
      <c r="Y742" s="111" t="n"/>
      <c r="Z742" s="111" t="n"/>
      <c r="AA742" s="111" t="n"/>
      <c r="AK742" s="55" t="n"/>
      <c r="AL742" s="89" t="n"/>
    </row>
    <row r="743" ht="22.5" customHeight="1" s="150">
      <c r="A743" s="34" t="n">
        <v>741</v>
      </c>
      <c r="B743" s="34" t="n"/>
      <c r="C743" s="34" t="n"/>
      <c r="D743" s="34" t="n"/>
      <c r="E743" s="34" t="n"/>
      <c r="F743" s="86" t="n"/>
      <c r="G743" s="86" t="n"/>
      <c r="H743" s="111" t="n"/>
      <c r="I743" s="87" t="n"/>
      <c r="J743" s="87" t="n"/>
      <c r="K743" s="111" t="n"/>
      <c r="L743" s="86" t="n"/>
      <c r="M743" s="145" t="n"/>
      <c r="N743" s="89" t="n"/>
      <c r="O743" s="144" t="n"/>
      <c r="P743" s="31" t="n"/>
      <c r="Q743" s="89" t="n"/>
      <c r="R743" s="89" t="n"/>
      <c r="S743" s="89" t="n"/>
      <c r="T743" s="55" t="n"/>
      <c r="V743" s="1" t="n"/>
      <c r="Y743" s="111" t="n"/>
      <c r="Z743" s="111" t="n"/>
      <c r="AA743" s="111" t="n"/>
      <c r="AK743" s="55" t="n"/>
      <c r="AL743" s="89" t="n"/>
    </row>
    <row r="744" ht="22.5" customHeight="1" s="150">
      <c r="A744" s="34" t="n">
        <v>742</v>
      </c>
      <c r="B744" s="34" t="n"/>
      <c r="C744" s="34" t="n"/>
      <c r="D744" s="34" t="n"/>
      <c r="E744" s="34" t="n"/>
      <c r="F744" s="86" t="n"/>
      <c r="G744" s="86" t="n"/>
      <c r="H744" s="111" t="n"/>
      <c r="I744" s="87" t="n"/>
      <c r="J744" s="87" t="n"/>
      <c r="K744" s="111" t="n"/>
      <c r="L744" s="86" t="n"/>
      <c r="M744" s="146" t="n"/>
      <c r="N744" s="89" t="n"/>
      <c r="O744" s="144" t="n"/>
      <c r="P744" s="31" t="n"/>
      <c r="Q744" s="89" t="n"/>
      <c r="R744" s="89" t="n"/>
      <c r="S744" s="89" t="n"/>
      <c r="T744" s="55" t="n"/>
      <c r="V744" s="1" t="n"/>
      <c r="Y744" s="111" t="n"/>
      <c r="Z744" s="111" t="n"/>
      <c r="AA744" s="111" t="n"/>
      <c r="AK744" s="55" t="n"/>
      <c r="AL744" s="89" t="n"/>
    </row>
    <row r="745" ht="22.5" customHeight="1" s="150">
      <c r="A745" s="34" t="n">
        <v>743</v>
      </c>
      <c r="B745" s="34" t="n"/>
      <c r="C745" s="34" t="n"/>
      <c r="D745" s="34" t="n"/>
      <c r="E745" s="34" t="n"/>
      <c r="F745" s="86" t="n"/>
      <c r="G745" s="86" t="n"/>
      <c r="H745" s="111" t="n"/>
      <c r="I745" s="87" t="n"/>
      <c r="J745" s="87" t="n"/>
      <c r="K745" s="111" t="n"/>
      <c r="L745" s="86" t="n"/>
      <c r="M745" s="145" t="n"/>
      <c r="N745" s="89" t="n"/>
      <c r="O745" s="144" t="n"/>
      <c r="P745" s="31" t="n"/>
      <c r="Q745" s="89" t="n"/>
      <c r="R745" s="89" t="n"/>
      <c r="S745" s="89" t="n"/>
      <c r="T745" s="55" t="n"/>
      <c r="V745" s="1" t="n"/>
      <c r="Y745" s="111" t="n"/>
      <c r="Z745" s="111" t="n"/>
      <c r="AA745" s="111" t="n"/>
      <c r="AK745" s="55" t="n"/>
      <c r="AL745" s="89" t="n"/>
    </row>
    <row r="746" ht="22.5" customHeight="1" s="150">
      <c r="A746" s="34" t="n">
        <v>744</v>
      </c>
      <c r="B746" s="34" t="n"/>
      <c r="C746" s="34" t="n"/>
      <c r="D746" s="34" t="n"/>
      <c r="E746" s="34" t="n"/>
      <c r="F746" s="86" t="n"/>
      <c r="G746" s="86" t="n"/>
      <c r="H746" s="111" t="n"/>
      <c r="I746" s="87" t="n"/>
      <c r="J746" s="87" t="n"/>
      <c r="K746" s="111" t="n"/>
      <c r="L746" s="86" t="n"/>
      <c r="M746" s="146" t="n"/>
      <c r="N746" s="89" t="n"/>
      <c r="O746" s="144" t="n"/>
      <c r="P746" s="31" t="n"/>
      <c r="Q746" s="89" t="n"/>
      <c r="R746" s="89" t="n"/>
      <c r="S746" s="89" t="n"/>
      <c r="T746" s="55" t="n"/>
      <c r="V746" s="1" t="n"/>
      <c r="Y746" s="111" t="n"/>
      <c r="Z746" s="111" t="n"/>
      <c r="AA746" s="111" t="n"/>
      <c r="AK746" s="55" t="n"/>
      <c r="AL746" s="89" t="n"/>
    </row>
    <row r="747" ht="22.5" customHeight="1" s="150">
      <c r="A747" s="34" t="n">
        <v>745</v>
      </c>
      <c r="B747" s="34" t="n"/>
      <c r="C747" s="34" t="n"/>
      <c r="D747" s="34" t="n"/>
      <c r="E747" s="34" t="n"/>
      <c r="F747" s="86" t="n"/>
      <c r="G747" s="86" t="n"/>
      <c r="H747" s="111" t="n"/>
      <c r="I747" s="87" t="n"/>
      <c r="J747" s="87" t="n"/>
      <c r="K747" s="111" t="n"/>
      <c r="L747" s="86" t="n"/>
      <c r="M747" s="145" t="n"/>
      <c r="N747" s="89" t="n"/>
      <c r="O747" s="144" t="n"/>
      <c r="P747" s="31" t="n"/>
      <c r="Q747" s="89" t="n"/>
      <c r="R747" s="89" t="n"/>
      <c r="S747" s="89" t="n"/>
      <c r="T747" s="55" t="n"/>
      <c r="V747" s="1" t="n"/>
      <c r="Y747" s="111" t="n"/>
      <c r="Z747" s="111" t="n"/>
      <c r="AA747" s="111" t="n"/>
      <c r="AK747" s="55" t="n"/>
      <c r="AL747" s="89" t="n"/>
    </row>
    <row r="748" ht="22.5" customHeight="1" s="150">
      <c r="A748" s="34" t="n">
        <v>746</v>
      </c>
      <c r="B748" s="34" t="n"/>
      <c r="C748" s="34" t="n"/>
      <c r="D748" s="34" t="n"/>
      <c r="E748" s="34" t="n"/>
      <c r="F748" s="86" t="n"/>
      <c r="G748" s="86" t="n"/>
      <c r="H748" s="111" t="n"/>
      <c r="I748" s="87" t="n"/>
      <c r="J748" s="87" t="n"/>
      <c r="K748" s="111" t="n"/>
      <c r="L748" s="86" t="n"/>
      <c r="M748" s="146" t="n"/>
      <c r="N748" s="89" t="n"/>
      <c r="O748" s="144" t="n"/>
      <c r="P748" s="31" t="n"/>
      <c r="Q748" s="89" t="n"/>
      <c r="R748" s="89" t="n"/>
      <c r="S748" s="89" t="n"/>
      <c r="T748" s="55" t="n"/>
      <c r="V748" s="1" t="n"/>
      <c r="Y748" s="111" t="n"/>
      <c r="Z748" s="111" t="n"/>
      <c r="AA748" s="111" t="n"/>
      <c r="AK748" s="55" t="n"/>
      <c r="AL748" s="89" t="n"/>
    </row>
    <row r="749" ht="22.5" customHeight="1" s="150">
      <c r="A749" s="34" t="n">
        <v>747</v>
      </c>
      <c r="B749" s="34" t="n"/>
      <c r="C749" s="34" t="n"/>
      <c r="D749" s="34" t="n"/>
      <c r="E749" s="34" t="n"/>
      <c r="F749" s="86" t="n"/>
      <c r="G749" s="86" t="n"/>
      <c r="H749" s="111" t="n"/>
      <c r="I749" s="87" t="n"/>
      <c r="J749" s="87" t="n"/>
      <c r="K749" s="111" t="n"/>
      <c r="L749" s="86" t="n"/>
      <c r="M749" s="145" t="n"/>
      <c r="N749" s="89" t="n"/>
      <c r="O749" s="144" t="n"/>
      <c r="P749" s="31" t="n"/>
      <c r="Q749" s="89" t="n"/>
      <c r="R749" s="89" t="n"/>
      <c r="S749" s="89" t="n"/>
      <c r="T749" s="55" t="n"/>
      <c r="V749" s="1" t="n"/>
      <c r="Y749" s="111" t="n"/>
      <c r="Z749" s="111" t="n"/>
      <c r="AA749" s="111" t="n"/>
      <c r="AK749" s="55" t="n"/>
      <c r="AL749" s="89" t="n"/>
    </row>
    <row r="750" ht="22.5" customHeight="1" s="150">
      <c r="A750" s="34" t="n">
        <v>748</v>
      </c>
      <c r="B750" s="34" t="n"/>
      <c r="C750" s="34" t="n"/>
      <c r="D750" s="34" t="n"/>
      <c r="E750" s="34" t="n"/>
      <c r="F750" s="86" t="n"/>
      <c r="G750" s="86" t="n"/>
      <c r="H750" s="111" t="n"/>
      <c r="I750" s="87" t="n"/>
      <c r="J750" s="87" t="n"/>
      <c r="K750" s="111" t="n"/>
      <c r="L750" s="86" t="n"/>
      <c r="M750" s="146" t="n"/>
      <c r="N750" s="89" t="n"/>
      <c r="O750" s="144" t="n"/>
      <c r="P750" s="31" t="n"/>
      <c r="Q750" s="89" t="n"/>
      <c r="R750" s="89" t="n"/>
      <c r="S750" s="89" t="n"/>
      <c r="T750" s="55" t="n"/>
      <c r="V750" s="1" t="n"/>
      <c r="Y750" s="111" t="n"/>
      <c r="Z750" s="111" t="n"/>
      <c r="AA750" s="111" t="n"/>
      <c r="AK750" s="55" t="n"/>
      <c r="AL750" s="89" t="n"/>
    </row>
    <row r="751" ht="22.5" customHeight="1" s="150">
      <c r="A751" s="34" t="n">
        <v>749</v>
      </c>
      <c r="B751" s="34" t="n"/>
      <c r="C751" s="34" t="n"/>
      <c r="D751" s="34" t="n"/>
      <c r="E751" s="34" t="n"/>
      <c r="F751" s="86" t="n"/>
      <c r="G751" s="86" t="n"/>
      <c r="H751" s="111" t="n"/>
      <c r="I751" s="87" t="n"/>
      <c r="J751" s="87" t="n"/>
      <c r="K751" s="111" t="n"/>
      <c r="L751" s="86" t="n"/>
      <c r="M751" s="145" t="n"/>
      <c r="N751" s="89" t="n"/>
      <c r="O751" s="144" t="n"/>
      <c r="P751" s="31" t="n"/>
      <c r="Q751" s="89" t="n"/>
      <c r="R751" s="89" t="n"/>
      <c r="S751" s="89" t="n"/>
      <c r="T751" s="55" t="n"/>
      <c r="V751" s="1" t="n"/>
      <c r="Y751" s="111" t="n"/>
      <c r="Z751" s="111" t="n"/>
      <c r="AA751" s="111" t="n"/>
      <c r="AK751" s="55" t="n"/>
      <c r="AL751" s="89" t="n"/>
    </row>
    <row r="752" ht="22.5" customHeight="1" s="150">
      <c r="A752" s="34" t="n">
        <v>750</v>
      </c>
      <c r="B752" s="34" t="n"/>
      <c r="C752" s="34" t="n"/>
      <c r="D752" s="34" t="n"/>
      <c r="E752" s="34" t="n"/>
      <c r="F752" s="86" t="n"/>
      <c r="G752" s="86" t="n"/>
      <c r="H752" s="111" t="n"/>
      <c r="I752" s="87" t="n"/>
      <c r="J752" s="87" t="n"/>
      <c r="K752" s="111" t="n"/>
      <c r="L752" s="86" t="n"/>
      <c r="M752" s="146" t="n"/>
      <c r="N752" s="89" t="n"/>
      <c r="O752" s="144" t="n"/>
      <c r="P752" s="31" t="n"/>
      <c r="Q752" s="89" t="n"/>
      <c r="R752" s="89" t="n"/>
      <c r="S752" s="89" t="n"/>
      <c r="T752" s="55" t="n"/>
      <c r="V752" s="1" t="n"/>
      <c r="Y752" s="111" t="n"/>
      <c r="Z752" s="111" t="n"/>
      <c r="AA752" s="111" t="n"/>
      <c r="AK752" s="55" t="n"/>
      <c r="AL752" s="89" t="n"/>
    </row>
    <row r="753" ht="22.5" customHeight="1" s="150">
      <c r="A753" s="34" t="n">
        <v>751</v>
      </c>
      <c r="B753" s="34" t="n"/>
      <c r="C753" s="34" t="n"/>
      <c r="D753" s="34" t="n"/>
      <c r="E753" s="34" t="n"/>
      <c r="F753" s="86" t="n"/>
      <c r="G753" s="86" t="n"/>
      <c r="H753" s="111" t="n"/>
      <c r="I753" s="87" t="n"/>
      <c r="J753" s="87" t="n"/>
      <c r="K753" s="111" t="n"/>
      <c r="L753" s="86" t="n"/>
      <c r="M753" s="145" t="n"/>
      <c r="N753" s="89" t="n"/>
      <c r="O753" s="144" t="n"/>
      <c r="P753" s="31" t="n"/>
      <c r="Q753" s="89" t="n"/>
      <c r="R753" s="89" t="n"/>
      <c r="S753" s="89" t="n"/>
      <c r="T753" s="55" t="n"/>
      <c r="V753" s="1" t="n"/>
      <c r="Y753" s="111" t="n"/>
      <c r="Z753" s="111" t="n"/>
      <c r="AA753" s="111" t="n"/>
      <c r="AK753" s="55" t="n"/>
      <c r="AL753" s="89" t="n"/>
    </row>
    <row r="754" ht="22.5" customHeight="1" s="150">
      <c r="A754" s="34" t="n">
        <v>752</v>
      </c>
      <c r="B754" s="34" t="n"/>
      <c r="C754" s="34" t="n"/>
      <c r="D754" s="34" t="n"/>
      <c r="E754" s="34" t="n"/>
      <c r="F754" s="86" t="n"/>
      <c r="G754" s="86" t="n"/>
      <c r="H754" s="111" t="n"/>
      <c r="I754" s="87" t="n"/>
      <c r="J754" s="87" t="n"/>
      <c r="K754" s="111" t="n"/>
      <c r="L754" s="86" t="n"/>
      <c r="M754" s="146" t="n"/>
      <c r="N754" s="89" t="n"/>
      <c r="O754" s="144" t="n"/>
      <c r="P754" s="31" t="n"/>
      <c r="Q754" s="89" t="n"/>
      <c r="R754" s="89" t="n"/>
      <c r="S754" s="89" t="n"/>
      <c r="T754" s="55" t="n"/>
      <c r="V754" s="1" t="n"/>
      <c r="Y754" s="111" t="n"/>
      <c r="Z754" s="111" t="n"/>
      <c r="AA754" s="111" t="n"/>
      <c r="AK754" s="55" t="n"/>
      <c r="AL754" s="89" t="n"/>
    </row>
    <row r="755" ht="22.5" customHeight="1" s="150">
      <c r="A755" s="34" t="n">
        <v>753</v>
      </c>
      <c r="B755" s="34" t="n"/>
      <c r="C755" s="34" t="n"/>
      <c r="D755" s="34" t="n"/>
      <c r="E755" s="34" t="n"/>
      <c r="F755" s="86" t="n"/>
      <c r="G755" s="86" t="n"/>
      <c r="H755" s="111" t="n"/>
      <c r="I755" s="87" t="n"/>
      <c r="J755" s="87" t="n"/>
      <c r="K755" s="111" t="n"/>
      <c r="L755" s="86" t="n"/>
      <c r="M755" s="145" t="n"/>
      <c r="N755" s="89" t="n"/>
      <c r="O755" s="144" t="n"/>
      <c r="P755" s="31" t="n"/>
      <c r="Q755" s="89" t="n"/>
      <c r="R755" s="89" t="n"/>
      <c r="S755" s="89" t="n"/>
      <c r="T755" s="55" t="n"/>
      <c r="V755" s="1" t="n"/>
      <c r="Y755" s="111" t="n"/>
      <c r="Z755" s="111" t="n"/>
      <c r="AA755" s="111" t="n"/>
      <c r="AK755" s="55" t="n"/>
      <c r="AL755" s="89" t="n"/>
    </row>
    <row r="756" ht="22.5" customHeight="1" s="150">
      <c r="A756" s="34" t="n">
        <v>754</v>
      </c>
      <c r="B756" s="34" t="n"/>
      <c r="C756" s="34" t="n"/>
      <c r="D756" s="34" t="n"/>
      <c r="E756" s="34" t="n"/>
      <c r="F756" s="86" t="n"/>
      <c r="G756" s="86" t="n"/>
      <c r="H756" s="111" t="n"/>
      <c r="I756" s="87" t="n"/>
      <c r="J756" s="87" t="n"/>
      <c r="K756" s="111" t="n"/>
      <c r="L756" s="86" t="n"/>
      <c r="M756" s="146" t="n"/>
      <c r="N756" s="89" t="n"/>
      <c r="O756" s="144" t="n"/>
      <c r="P756" s="31" t="n"/>
      <c r="Q756" s="89" t="n"/>
      <c r="R756" s="89" t="n"/>
      <c r="S756" s="89" t="n"/>
      <c r="T756" s="55" t="n"/>
      <c r="V756" s="1" t="n"/>
      <c r="Y756" s="111" t="n"/>
      <c r="Z756" s="111" t="n"/>
      <c r="AA756" s="111" t="n"/>
      <c r="AK756" s="55" t="n"/>
      <c r="AL756" s="89" t="n"/>
    </row>
    <row r="757" ht="22.5" customHeight="1" s="150">
      <c r="A757" s="34" t="n">
        <v>755</v>
      </c>
      <c r="B757" s="34" t="n"/>
      <c r="C757" s="34" t="n"/>
      <c r="D757" s="34" t="n"/>
      <c r="E757" s="34" t="n"/>
      <c r="F757" s="86" t="n"/>
      <c r="G757" s="86" t="n"/>
      <c r="H757" s="111" t="n"/>
      <c r="I757" s="87" t="n"/>
      <c r="J757" s="87" t="n"/>
      <c r="K757" s="111" t="n"/>
      <c r="L757" s="86" t="n"/>
      <c r="M757" s="145" t="n"/>
      <c r="N757" s="89" t="n"/>
      <c r="O757" s="144" t="n"/>
      <c r="P757" s="31" t="n"/>
      <c r="Q757" s="89" t="n"/>
      <c r="R757" s="89" t="n"/>
      <c r="S757" s="89" t="n"/>
      <c r="T757" s="55" t="n"/>
      <c r="V757" s="1" t="n"/>
      <c r="Y757" s="111" t="n"/>
      <c r="Z757" s="111" t="n"/>
      <c r="AA757" s="111" t="n"/>
      <c r="AK757" s="55" t="n"/>
      <c r="AL757" s="89" t="n"/>
    </row>
    <row r="758" ht="22.5" customHeight="1" s="150">
      <c r="A758" s="34" t="n">
        <v>756</v>
      </c>
      <c r="B758" s="34" t="n"/>
      <c r="C758" s="34" t="n"/>
      <c r="D758" s="34" t="n"/>
      <c r="E758" s="34" t="n"/>
      <c r="F758" s="86" t="n"/>
      <c r="G758" s="86" t="n"/>
      <c r="H758" s="111" t="n"/>
      <c r="I758" s="87" t="n"/>
      <c r="J758" s="87" t="n"/>
      <c r="K758" s="111" t="n"/>
      <c r="L758" s="86" t="n"/>
      <c r="M758" s="146" t="n"/>
      <c r="N758" s="89" t="n"/>
      <c r="O758" s="144" t="n"/>
      <c r="P758" s="31" t="n"/>
      <c r="Q758" s="89" t="n"/>
      <c r="R758" s="89" t="n"/>
      <c r="S758" s="89" t="n"/>
      <c r="T758" s="55" t="n"/>
      <c r="V758" s="1" t="n"/>
      <c r="Y758" s="111" t="n"/>
      <c r="Z758" s="111" t="n"/>
      <c r="AA758" s="111" t="n"/>
      <c r="AK758" s="55" t="n"/>
      <c r="AL758" s="89" t="n"/>
    </row>
    <row r="759" ht="22.5" customHeight="1" s="150">
      <c r="A759" s="34" t="n">
        <v>757</v>
      </c>
      <c r="B759" s="34" t="n"/>
      <c r="C759" s="34" t="n"/>
      <c r="D759" s="34" t="n"/>
      <c r="E759" s="34" t="n"/>
      <c r="F759" s="86" t="n"/>
      <c r="G759" s="86" t="n"/>
      <c r="H759" s="111" t="n"/>
      <c r="I759" s="87" t="n"/>
      <c r="J759" s="87" t="n"/>
      <c r="K759" s="111" t="n"/>
      <c r="L759" s="86" t="n"/>
      <c r="M759" s="145" t="n"/>
      <c r="N759" s="89" t="n"/>
      <c r="O759" s="144" t="n"/>
      <c r="P759" s="31" t="n"/>
      <c r="Q759" s="89" t="n"/>
      <c r="R759" s="89" t="n"/>
      <c r="S759" s="89" t="n"/>
      <c r="T759" s="55" t="n"/>
      <c r="V759" s="1" t="n"/>
      <c r="Y759" s="111" t="n"/>
      <c r="Z759" s="111" t="n"/>
      <c r="AA759" s="111" t="n"/>
      <c r="AK759" s="55" t="n"/>
      <c r="AL759" s="89" t="n"/>
    </row>
    <row r="760" ht="22.5" customHeight="1" s="150">
      <c r="A760" s="34" t="n">
        <v>758</v>
      </c>
      <c r="B760" s="34" t="n"/>
      <c r="C760" s="34" t="n"/>
      <c r="D760" s="34" t="n"/>
      <c r="E760" s="34" t="n"/>
      <c r="F760" s="86" t="n"/>
      <c r="G760" s="86" t="n"/>
      <c r="H760" s="111" t="n"/>
      <c r="I760" s="87" t="n"/>
      <c r="J760" s="87" t="n"/>
      <c r="K760" s="111" t="n"/>
      <c r="L760" s="86" t="n"/>
      <c r="M760" s="146" t="n"/>
      <c r="N760" s="89" t="n"/>
      <c r="O760" s="144" t="n"/>
      <c r="P760" s="31" t="n"/>
      <c r="Q760" s="89" t="n"/>
      <c r="R760" s="89" t="n"/>
      <c r="S760" s="89" t="n"/>
      <c r="T760" s="55" t="n"/>
      <c r="V760" s="1" t="n"/>
      <c r="Y760" s="111" t="n"/>
      <c r="Z760" s="111" t="n"/>
      <c r="AA760" s="111" t="n"/>
      <c r="AK760" s="55" t="n"/>
      <c r="AL760" s="89" t="n"/>
    </row>
    <row r="761" ht="22.5" customHeight="1" s="150">
      <c r="A761" s="34" t="n">
        <v>759</v>
      </c>
      <c r="B761" s="34" t="n"/>
      <c r="C761" s="34" t="n"/>
      <c r="D761" s="34" t="n"/>
      <c r="E761" s="34" t="n"/>
      <c r="F761" s="86" t="n"/>
      <c r="G761" s="86" t="n"/>
      <c r="H761" s="111" t="n"/>
      <c r="I761" s="87" t="n"/>
      <c r="J761" s="87" t="n"/>
      <c r="K761" s="111" t="n"/>
      <c r="L761" s="86" t="n"/>
      <c r="M761" s="145" t="n"/>
      <c r="N761" s="89" t="n"/>
      <c r="O761" s="144" t="n"/>
      <c r="P761" s="31" t="n"/>
      <c r="Q761" s="89" t="n"/>
      <c r="R761" s="89" t="n"/>
      <c r="S761" s="89" t="n"/>
      <c r="T761" s="55" t="n"/>
      <c r="V761" s="1" t="n"/>
      <c r="Y761" s="111" t="n"/>
      <c r="Z761" s="111" t="n"/>
      <c r="AA761" s="111" t="n"/>
      <c r="AK761" s="55" t="n"/>
      <c r="AL761" s="89" t="n"/>
    </row>
    <row r="762" ht="22.5" customHeight="1" s="150">
      <c r="A762" s="34" t="n">
        <v>760</v>
      </c>
      <c r="B762" s="34" t="n"/>
      <c r="C762" s="34" t="n"/>
      <c r="D762" s="34" t="n"/>
      <c r="E762" s="34" t="n"/>
      <c r="F762" s="86" t="n"/>
      <c r="G762" s="86" t="n"/>
      <c r="H762" s="111" t="n"/>
      <c r="I762" s="87" t="n"/>
      <c r="J762" s="87" t="n"/>
      <c r="K762" s="111" t="n"/>
      <c r="L762" s="86" t="n"/>
      <c r="M762" s="146" t="n"/>
      <c r="N762" s="89" t="n"/>
      <c r="O762" s="144" t="n"/>
      <c r="P762" s="31" t="n"/>
      <c r="Q762" s="89" t="n"/>
      <c r="R762" s="89" t="n"/>
      <c r="S762" s="89" t="n"/>
      <c r="T762" s="55" t="n"/>
      <c r="V762" s="1" t="n"/>
      <c r="Y762" s="111" t="n"/>
      <c r="Z762" s="111" t="n"/>
      <c r="AA762" s="111" t="n"/>
      <c r="AK762" s="55" t="n"/>
      <c r="AL762" s="89" t="n"/>
    </row>
    <row r="763" ht="22.5" customHeight="1" s="150">
      <c r="A763" s="34" t="n">
        <v>761</v>
      </c>
      <c r="B763" s="34" t="n"/>
      <c r="C763" s="34" t="n"/>
      <c r="D763" s="34" t="n"/>
      <c r="E763" s="34" t="n"/>
      <c r="F763" s="86" t="n"/>
      <c r="G763" s="86" t="n"/>
      <c r="H763" s="111" t="n"/>
      <c r="I763" s="87" t="n"/>
      <c r="J763" s="87" t="n"/>
      <c r="K763" s="111" t="n"/>
      <c r="L763" s="86" t="n"/>
      <c r="M763" s="145" t="n"/>
      <c r="N763" s="89" t="n"/>
      <c r="O763" s="144" t="n"/>
      <c r="P763" s="31" t="n"/>
      <c r="Q763" s="89" t="n"/>
      <c r="R763" s="89" t="n"/>
      <c r="S763" s="89" t="n"/>
      <c r="T763" s="55" t="n"/>
      <c r="V763" s="1" t="n"/>
      <c r="Y763" s="111" t="n"/>
      <c r="Z763" s="111" t="n"/>
      <c r="AA763" s="111" t="n"/>
      <c r="AK763" s="55" t="n"/>
      <c r="AL763" s="89" t="n"/>
    </row>
    <row r="764" ht="22.5" customHeight="1" s="150">
      <c r="A764" s="34" t="n">
        <v>762</v>
      </c>
      <c r="B764" s="34" t="n"/>
      <c r="C764" s="34" t="n"/>
      <c r="D764" s="34" t="n"/>
      <c r="E764" s="34" t="n"/>
      <c r="F764" s="86" t="n"/>
      <c r="G764" s="86" t="n"/>
      <c r="H764" s="111" t="n"/>
      <c r="I764" s="87" t="n"/>
      <c r="J764" s="87" t="n"/>
      <c r="K764" s="111" t="n"/>
      <c r="L764" s="86" t="n"/>
      <c r="M764" s="146" t="n"/>
      <c r="N764" s="89" t="n"/>
      <c r="O764" s="144" t="n"/>
      <c r="P764" s="31" t="n"/>
      <c r="Q764" s="89" t="n"/>
      <c r="R764" s="89" t="n"/>
      <c r="S764" s="89" t="n"/>
      <c r="T764" s="55" t="n"/>
      <c r="V764" s="1" t="n"/>
      <c r="Y764" s="111" t="n"/>
      <c r="Z764" s="111" t="n"/>
      <c r="AA764" s="111" t="n"/>
      <c r="AK764" s="55" t="n"/>
      <c r="AL764" s="89" t="n"/>
    </row>
    <row r="765" ht="22.5" customHeight="1" s="150">
      <c r="A765" s="34" t="n">
        <v>763</v>
      </c>
      <c r="B765" s="34" t="n"/>
      <c r="C765" s="34" t="n"/>
      <c r="D765" s="34" t="n"/>
      <c r="E765" s="34" t="n"/>
      <c r="F765" s="86" t="n"/>
      <c r="G765" s="86" t="n"/>
      <c r="H765" s="111" t="n"/>
      <c r="I765" s="87" t="n"/>
      <c r="J765" s="87" t="n"/>
      <c r="K765" s="111" t="n"/>
      <c r="L765" s="86" t="n"/>
      <c r="M765" s="145" t="n"/>
      <c r="N765" s="89" t="n"/>
      <c r="O765" s="144" t="n"/>
      <c r="P765" s="31" t="n"/>
      <c r="Q765" s="89" t="n"/>
      <c r="R765" s="89" t="n"/>
      <c r="S765" s="89" t="n"/>
      <c r="T765" s="55" t="n"/>
      <c r="V765" s="1" t="n"/>
      <c r="Y765" s="111" t="n"/>
      <c r="Z765" s="111" t="n"/>
      <c r="AA765" s="111" t="n"/>
      <c r="AK765" s="55" t="n"/>
      <c r="AL765" s="89" t="n"/>
    </row>
    <row r="766" ht="22.5" customHeight="1" s="150">
      <c r="A766" s="34" t="n">
        <v>764</v>
      </c>
      <c r="B766" s="34" t="n"/>
      <c r="C766" s="34" t="n"/>
      <c r="D766" s="34" t="n"/>
      <c r="E766" s="34" t="n"/>
      <c r="F766" s="86" t="n"/>
      <c r="G766" s="86" t="n"/>
      <c r="H766" s="111" t="n"/>
      <c r="I766" s="87" t="n"/>
      <c r="J766" s="87" t="n"/>
      <c r="K766" s="111" t="n"/>
      <c r="L766" s="86" t="n"/>
      <c r="M766" s="146" t="n"/>
      <c r="N766" s="89" t="n"/>
      <c r="O766" s="144" t="n"/>
      <c r="P766" s="31" t="n"/>
      <c r="Q766" s="89" t="n"/>
      <c r="R766" s="89" t="n"/>
      <c r="S766" s="89" t="n"/>
      <c r="T766" s="55" t="n"/>
      <c r="V766" s="1" t="n"/>
      <c r="Y766" s="111" t="n"/>
      <c r="Z766" s="111" t="n"/>
      <c r="AA766" s="111" t="n"/>
      <c r="AK766" s="55" t="n"/>
      <c r="AL766" s="89" t="n"/>
    </row>
    <row r="767" ht="22.5" customHeight="1" s="150">
      <c r="A767" s="34" t="n">
        <v>765</v>
      </c>
      <c r="B767" s="34" t="n"/>
      <c r="C767" s="34" t="n"/>
      <c r="D767" s="34" t="n"/>
      <c r="E767" s="34" t="n"/>
      <c r="F767" s="86" t="n"/>
      <c r="G767" s="86" t="n"/>
      <c r="H767" s="111" t="n"/>
      <c r="I767" s="87" t="n"/>
      <c r="J767" s="87" t="n"/>
      <c r="K767" s="111" t="n"/>
      <c r="L767" s="86" t="n"/>
      <c r="M767" s="145" t="n"/>
      <c r="N767" s="89" t="n"/>
      <c r="O767" s="144" t="n"/>
      <c r="P767" s="31" t="n"/>
      <c r="Q767" s="89" t="n"/>
      <c r="R767" s="89" t="n"/>
      <c r="S767" s="89" t="n"/>
      <c r="T767" s="55" t="n"/>
      <c r="V767" s="1" t="n"/>
      <c r="Y767" s="111" t="n"/>
      <c r="Z767" s="111" t="n"/>
      <c r="AA767" s="111" t="n"/>
      <c r="AK767" s="55" t="n"/>
      <c r="AL767" s="89" t="n"/>
    </row>
    <row r="768" ht="22.5" customHeight="1" s="150">
      <c r="A768" s="34" t="n">
        <v>766</v>
      </c>
      <c r="B768" s="34" t="n"/>
      <c r="C768" s="34" t="n"/>
      <c r="D768" s="34" t="n"/>
      <c r="E768" s="34" t="n"/>
      <c r="F768" s="86" t="n"/>
      <c r="G768" s="86" t="n"/>
      <c r="H768" s="111" t="n"/>
      <c r="I768" s="87" t="n"/>
      <c r="J768" s="87" t="n"/>
      <c r="K768" s="111" t="n"/>
      <c r="L768" s="86" t="n"/>
      <c r="M768" s="146" t="n"/>
      <c r="N768" s="89" t="n"/>
      <c r="O768" s="144" t="n"/>
      <c r="P768" s="31" t="n"/>
      <c r="Q768" s="89" t="n"/>
      <c r="R768" s="89" t="n"/>
      <c r="S768" s="89" t="n"/>
      <c r="T768" s="55" t="n"/>
      <c r="V768" s="1" t="n"/>
      <c r="Y768" s="111" t="n"/>
      <c r="Z768" s="111" t="n"/>
      <c r="AA768" s="111" t="n"/>
      <c r="AK768" s="55" t="n"/>
      <c r="AL768" s="89" t="n"/>
    </row>
    <row r="769" ht="22.5" customHeight="1" s="150">
      <c r="A769" s="34" t="n">
        <v>767</v>
      </c>
      <c r="B769" s="34" t="n"/>
      <c r="C769" s="34" t="n"/>
      <c r="D769" s="34" t="n"/>
      <c r="E769" s="34" t="n"/>
      <c r="F769" s="86" t="n"/>
      <c r="G769" s="86" t="n"/>
      <c r="H769" s="111" t="n"/>
      <c r="I769" s="87" t="n"/>
      <c r="J769" s="87" t="n"/>
      <c r="K769" s="111" t="n"/>
      <c r="L769" s="86" t="n"/>
      <c r="M769" s="145" t="n"/>
      <c r="N769" s="89" t="n"/>
      <c r="O769" s="144" t="n"/>
      <c r="P769" s="31" t="n"/>
      <c r="Q769" s="89" t="n"/>
      <c r="R769" s="89" t="n"/>
      <c r="S769" s="89" t="n"/>
      <c r="T769" s="55" t="n"/>
      <c r="V769" s="1" t="n"/>
      <c r="Y769" s="111" t="n"/>
      <c r="Z769" s="111" t="n"/>
      <c r="AA769" s="111" t="n"/>
      <c r="AK769" s="55" t="n"/>
      <c r="AL769" s="89" t="n"/>
    </row>
    <row r="770" ht="22.5" customHeight="1" s="150">
      <c r="A770" s="34" t="n">
        <v>768</v>
      </c>
      <c r="B770" s="34" t="n"/>
      <c r="C770" s="34" t="n"/>
      <c r="D770" s="34" t="n"/>
      <c r="E770" s="34" t="n"/>
      <c r="F770" s="86" t="n"/>
      <c r="G770" s="86" t="n"/>
      <c r="H770" s="111" t="n"/>
      <c r="I770" s="87" t="n"/>
      <c r="J770" s="87" t="n"/>
      <c r="K770" s="111" t="n"/>
      <c r="L770" s="86" t="n"/>
      <c r="M770" s="146" t="n"/>
      <c r="N770" s="89" t="n"/>
      <c r="O770" s="144" t="n"/>
      <c r="P770" s="31" t="n"/>
      <c r="Q770" s="89" t="n"/>
      <c r="R770" s="89" t="n"/>
      <c r="S770" s="89" t="n"/>
      <c r="T770" s="55" t="n"/>
      <c r="V770" s="1" t="n"/>
      <c r="Y770" s="111" t="n"/>
      <c r="Z770" s="111" t="n"/>
      <c r="AA770" s="111" t="n"/>
      <c r="AK770" s="55" t="n"/>
      <c r="AL770" s="89" t="n"/>
    </row>
    <row r="771" ht="22.5" customHeight="1" s="150">
      <c r="A771" s="34" t="n">
        <v>769</v>
      </c>
      <c r="B771" s="34" t="n"/>
      <c r="C771" s="34" t="n"/>
      <c r="D771" s="34" t="n"/>
      <c r="E771" s="34" t="n"/>
      <c r="F771" s="86" t="n"/>
      <c r="G771" s="86" t="n"/>
      <c r="H771" s="111" t="n"/>
      <c r="I771" s="87" t="n"/>
      <c r="J771" s="87" t="n"/>
      <c r="K771" s="111" t="n"/>
      <c r="L771" s="86" t="n"/>
      <c r="M771" s="145" t="n"/>
      <c r="N771" s="89" t="n"/>
      <c r="O771" s="144" t="n"/>
      <c r="P771" s="31" t="n"/>
      <c r="Q771" s="89" t="n"/>
      <c r="R771" s="89" t="n"/>
      <c r="S771" s="89" t="n"/>
      <c r="T771" s="55" t="n"/>
      <c r="V771" s="1" t="n"/>
      <c r="Y771" s="111" t="n"/>
      <c r="Z771" s="111" t="n"/>
      <c r="AA771" s="111" t="n"/>
      <c r="AK771" s="55" t="n"/>
      <c r="AL771" s="89" t="n"/>
    </row>
    <row r="772" ht="22.5" customHeight="1" s="150">
      <c r="A772" s="34" t="n">
        <v>770</v>
      </c>
      <c r="B772" s="34" t="n"/>
      <c r="C772" s="34" t="n"/>
      <c r="D772" s="34" t="n"/>
      <c r="E772" s="34" t="n"/>
      <c r="F772" s="86" t="n"/>
      <c r="G772" s="86" t="n"/>
      <c r="H772" s="111" t="n"/>
      <c r="I772" s="87" t="n"/>
      <c r="J772" s="87" t="n"/>
      <c r="K772" s="111" t="n"/>
      <c r="L772" s="86" t="n"/>
      <c r="M772" s="146" t="n"/>
      <c r="N772" s="89" t="n"/>
      <c r="O772" s="144" t="n"/>
      <c r="P772" s="31" t="n"/>
      <c r="Q772" s="89" t="n"/>
      <c r="R772" s="89" t="n"/>
      <c r="S772" s="89" t="n"/>
      <c r="T772" s="55" t="n"/>
      <c r="V772" s="1" t="n"/>
      <c r="Y772" s="111" t="n"/>
      <c r="Z772" s="111" t="n"/>
      <c r="AA772" s="111" t="n"/>
      <c r="AK772" s="55" t="n"/>
      <c r="AL772" s="89" t="n"/>
    </row>
    <row r="773" ht="22.5" customHeight="1" s="150">
      <c r="A773" s="34" t="n">
        <v>771</v>
      </c>
      <c r="B773" s="34" t="n"/>
      <c r="C773" s="34" t="n"/>
      <c r="D773" s="34" t="n"/>
      <c r="E773" s="34" t="n"/>
      <c r="F773" s="86" t="n"/>
      <c r="G773" s="86" t="n"/>
      <c r="H773" s="111" t="n"/>
      <c r="I773" s="87" t="n"/>
      <c r="J773" s="87" t="n"/>
      <c r="K773" s="111" t="n"/>
      <c r="L773" s="86" t="n"/>
      <c r="M773" s="145" t="n"/>
      <c r="N773" s="89" t="n"/>
      <c r="O773" s="144" t="n"/>
      <c r="P773" s="31" t="n"/>
      <c r="Q773" s="89" t="n"/>
      <c r="R773" s="89" t="n"/>
      <c r="S773" s="89" t="n"/>
      <c r="T773" s="55" t="n"/>
      <c r="V773" s="1" t="n"/>
      <c r="Y773" s="111" t="n"/>
      <c r="Z773" s="111" t="n"/>
      <c r="AA773" s="111" t="n"/>
      <c r="AK773" s="55" t="n"/>
      <c r="AL773" s="89" t="n"/>
    </row>
    <row r="774" ht="22.5" customHeight="1" s="150">
      <c r="A774" s="34" t="n">
        <v>772</v>
      </c>
      <c r="B774" s="34" t="n"/>
      <c r="C774" s="34" t="n"/>
      <c r="D774" s="34" t="n"/>
      <c r="E774" s="34" t="n"/>
      <c r="F774" s="86" t="n"/>
      <c r="G774" s="86" t="n"/>
      <c r="H774" s="111" t="n"/>
      <c r="I774" s="87" t="n"/>
      <c r="J774" s="87" t="n"/>
      <c r="K774" s="111" t="n"/>
      <c r="L774" s="86" t="n"/>
      <c r="M774" s="146" t="n"/>
      <c r="N774" s="89" t="n"/>
      <c r="O774" s="144" t="n"/>
      <c r="P774" s="31" t="n"/>
      <c r="Q774" s="89" t="n"/>
      <c r="R774" s="89" t="n"/>
      <c r="S774" s="89" t="n"/>
      <c r="T774" s="55" t="n"/>
      <c r="V774" s="1" t="n"/>
      <c r="Y774" s="111" t="n"/>
      <c r="Z774" s="111" t="n"/>
      <c r="AA774" s="111" t="n"/>
      <c r="AK774" s="55" t="n"/>
      <c r="AL774" s="89" t="n"/>
    </row>
    <row r="775" ht="22.5" customHeight="1" s="150">
      <c r="A775" s="34" t="n">
        <v>773</v>
      </c>
      <c r="B775" s="34" t="n"/>
      <c r="C775" s="34" t="n"/>
      <c r="D775" s="34" t="n"/>
      <c r="E775" s="34" t="n"/>
      <c r="F775" s="86" t="n"/>
      <c r="G775" s="86" t="n"/>
      <c r="H775" s="111" t="n"/>
      <c r="I775" s="87" t="n"/>
      <c r="J775" s="87" t="n"/>
      <c r="K775" s="111" t="n"/>
      <c r="L775" s="86" t="n"/>
      <c r="M775" s="145" t="n"/>
      <c r="N775" s="89" t="n"/>
      <c r="O775" s="144" t="n"/>
      <c r="P775" s="31" t="n"/>
      <c r="Q775" s="89" t="n"/>
      <c r="R775" s="89" t="n"/>
      <c r="S775" s="89" t="n"/>
      <c r="T775" s="55" t="n"/>
      <c r="V775" s="1" t="n"/>
      <c r="Y775" s="111" t="n"/>
      <c r="Z775" s="111" t="n"/>
      <c r="AA775" s="111" t="n"/>
      <c r="AK775" s="55" t="n"/>
      <c r="AL775" s="89" t="n"/>
    </row>
    <row r="776" ht="22.5" customHeight="1" s="150">
      <c r="A776" s="34" t="n">
        <v>774</v>
      </c>
      <c r="B776" s="34" t="n"/>
      <c r="C776" s="34" t="n"/>
      <c r="D776" s="34" t="n"/>
      <c r="E776" s="34" t="n"/>
      <c r="F776" s="86" t="n"/>
      <c r="G776" s="86" t="n"/>
      <c r="H776" s="111" t="n"/>
      <c r="I776" s="87" t="n"/>
      <c r="J776" s="87" t="n"/>
      <c r="K776" s="111" t="n"/>
      <c r="L776" s="86" t="n"/>
      <c r="M776" s="146" t="n"/>
      <c r="N776" s="89" t="n"/>
      <c r="O776" s="144" t="n"/>
      <c r="P776" s="31" t="n"/>
      <c r="Q776" s="89" t="n"/>
      <c r="R776" s="89" t="n"/>
      <c r="S776" s="89" t="n"/>
      <c r="T776" s="55" t="n"/>
      <c r="V776" s="1" t="n"/>
      <c r="Y776" s="111" t="n"/>
      <c r="Z776" s="111" t="n"/>
      <c r="AA776" s="111" t="n"/>
      <c r="AK776" s="55" t="n"/>
      <c r="AL776" s="89" t="n"/>
    </row>
    <row r="777" ht="22.5" customHeight="1" s="150">
      <c r="A777" s="34" t="n">
        <v>775</v>
      </c>
      <c r="B777" s="34" t="n"/>
      <c r="C777" s="34" t="n"/>
      <c r="D777" s="34" t="n"/>
      <c r="E777" s="34" t="n"/>
      <c r="F777" s="86" t="n"/>
      <c r="G777" s="86" t="n"/>
      <c r="H777" s="111" t="n"/>
      <c r="I777" s="87" t="n"/>
      <c r="J777" s="87" t="n"/>
      <c r="K777" s="111" t="n"/>
      <c r="L777" s="86" t="n"/>
      <c r="M777" s="145" t="n"/>
      <c r="N777" s="89" t="n"/>
      <c r="O777" s="144" t="n"/>
      <c r="P777" s="31" t="n"/>
      <c r="Q777" s="89" t="n"/>
      <c r="R777" s="89" t="n"/>
      <c r="S777" s="89" t="n"/>
      <c r="T777" s="55" t="n"/>
      <c r="V777" s="1" t="n"/>
      <c r="Y777" s="111" t="n"/>
      <c r="Z777" s="111" t="n"/>
      <c r="AA777" s="111" t="n"/>
      <c r="AK777" s="55" t="n"/>
      <c r="AL777" s="89" t="n"/>
    </row>
    <row r="778" ht="22.5" customHeight="1" s="150">
      <c r="A778" s="34" t="n">
        <v>776</v>
      </c>
      <c r="B778" s="34" t="n"/>
      <c r="C778" s="34" t="n"/>
      <c r="D778" s="34" t="n"/>
      <c r="E778" s="34" t="n"/>
      <c r="F778" s="86" t="n"/>
      <c r="G778" s="86" t="n"/>
      <c r="H778" s="111" t="n"/>
      <c r="I778" s="87" t="n"/>
      <c r="J778" s="87" t="n"/>
      <c r="K778" s="111" t="n"/>
      <c r="L778" s="86" t="n"/>
      <c r="M778" s="146" t="n"/>
      <c r="N778" s="89" t="n"/>
      <c r="O778" s="144" t="n"/>
      <c r="P778" s="31" t="n"/>
      <c r="Q778" s="89" t="n"/>
      <c r="R778" s="89" t="n"/>
      <c r="S778" s="89" t="n"/>
      <c r="T778" s="55" t="n"/>
      <c r="V778" s="1" t="n"/>
      <c r="Y778" s="111" t="n"/>
      <c r="Z778" s="111" t="n"/>
      <c r="AA778" s="111" t="n"/>
      <c r="AK778" s="55" t="n"/>
      <c r="AL778" s="89" t="n"/>
    </row>
    <row r="779" ht="22.5" customHeight="1" s="150">
      <c r="A779" s="34" t="n">
        <v>777</v>
      </c>
      <c r="B779" s="34" t="n"/>
      <c r="C779" s="34" t="n"/>
      <c r="D779" s="34" t="n"/>
      <c r="E779" s="34" t="n"/>
      <c r="F779" s="86" t="n"/>
      <c r="G779" s="86" t="n"/>
      <c r="H779" s="111" t="n"/>
      <c r="I779" s="87" t="n"/>
      <c r="J779" s="87" t="n"/>
      <c r="K779" s="111" t="n"/>
      <c r="L779" s="86" t="n"/>
      <c r="M779" s="145" t="n"/>
      <c r="N779" s="89" t="n"/>
      <c r="O779" s="144" t="n"/>
      <c r="P779" s="31" t="n"/>
      <c r="Q779" s="89" t="n"/>
      <c r="R779" s="89" t="n"/>
      <c r="S779" s="89" t="n"/>
      <c r="T779" s="55" t="n"/>
      <c r="V779" s="1" t="n"/>
      <c r="Y779" s="111" t="n"/>
      <c r="Z779" s="111" t="n"/>
      <c r="AA779" s="111" t="n"/>
      <c r="AK779" s="55" t="n"/>
      <c r="AL779" s="89" t="n"/>
    </row>
    <row r="780" ht="22.5" customHeight="1" s="150">
      <c r="A780" s="34" t="n">
        <v>778</v>
      </c>
      <c r="B780" s="34" t="n"/>
      <c r="C780" s="34" t="n"/>
      <c r="D780" s="34" t="n"/>
      <c r="E780" s="34" t="n"/>
      <c r="F780" s="86" t="n"/>
      <c r="G780" s="86" t="n"/>
      <c r="H780" s="111" t="n"/>
      <c r="I780" s="87" t="n"/>
      <c r="J780" s="87" t="n"/>
      <c r="K780" s="111" t="n"/>
      <c r="L780" s="86" t="n"/>
      <c r="M780" s="146" t="n"/>
      <c r="N780" s="89" t="n"/>
      <c r="O780" s="144" t="n"/>
      <c r="P780" s="31" t="n"/>
      <c r="Q780" s="89" t="n"/>
      <c r="R780" s="89" t="n"/>
      <c r="S780" s="89" t="n"/>
      <c r="T780" s="55" t="n"/>
      <c r="V780" s="1" t="n"/>
      <c r="Y780" s="111" t="n"/>
      <c r="Z780" s="111" t="n"/>
      <c r="AA780" s="111" t="n"/>
      <c r="AK780" s="55" t="n"/>
      <c r="AL780" s="89" t="n"/>
    </row>
    <row r="781" ht="22.5" customHeight="1" s="150">
      <c r="A781" s="34" t="n">
        <v>779</v>
      </c>
      <c r="B781" s="34" t="n"/>
      <c r="C781" s="34" t="n"/>
      <c r="D781" s="34" t="n"/>
      <c r="E781" s="34" t="n"/>
      <c r="F781" s="86" t="n"/>
      <c r="G781" s="86" t="n"/>
      <c r="H781" s="111" t="n"/>
      <c r="I781" s="87" t="n"/>
      <c r="J781" s="87" t="n"/>
      <c r="K781" s="111" t="n"/>
      <c r="L781" s="86" t="n"/>
      <c r="M781" s="145" t="n"/>
      <c r="N781" s="89" t="n"/>
      <c r="O781" s="144" t="n"/>
      <c r="P781" s="31" t="n"/>
      <c r="Q781" s="89" t="n"/>
      <c r="R781" s="89" t="n"/>
      <c r="S781" s="89" t="n"/>
      <c r="T781" s="55" t="n"/>
      <c r="V781" s="1" t="n"/>
      <c r="Y781" s="111" t="n"/>
      <c r="Z781" s="111" t="n"/>
      <c r="AA781" s="111" t="n"/>
      <c r="AK781" s="55" t="n"/>
      <c r="AL781" s="89" t="n"/>
    </row>
    <row r="782" ht="22.5" customHeight="1" s="150">
      <c r="A782" s="34" t="n">
        <v>780</v>
      </c>
      <c r="B782" s="34" t="n"/>
      <c r="C782" s="34" t="n"/>
      <c r="D782" s="34" t="n"/>
      <c r="E782" s="34" t="n"/>
      <c r="F782" s="86" t="n"/>
      <c r="G782" s="86" t="n"/>
      <c r="H782" s="111" t="n"/>
      <c r="I782" s="87" t="n"/>
      <c r="J782" s="87" t="n"/>
      <c r="K782" s="111" t="n"/>
      <c r="L782" s="86" t="n"/>
      <c r="M782" s="146" t="n"/>
      <c r="N782" s="89" t="n"/>
      <c r="O782" s="144" t="n"/>
      <c r="P782" s="31" t="n"/>
      <c r="Q782" s="89" t="n"/>
      <c r="R782" s="89" t="n"/>
      <c r="S782" s="89" t="n"/>
      <c r="T782" s="55" t="n"/>
      <c r="V782" s="1" t="n"/>
      <c r="Y782" s="111" t="n"/>
      <c r="Z782" s="111" t="n"/>
      <c r="AA782" s="111" t="n"/>
      <c r="AK782" s="55" t="n"/>
      <c r="AL782" s="89" t="n"/>
    </row>
    <row r="783" ht="22.5" customHeight="1" s="150">
      <c r="A783" s="34" t="n">
        <v>781</v>
      </c>
      <c r="B783" s="34" t="n"/>
      <c r="C783" s="34" t="n"/>
      <c r="D783" s="34" t="n"/>
      <c r="E783" s="34" t="n"/>
      <c r="F783" s="86" t="n"/>
      <c r="G783" s="86" t="n"/>
      <c r="H783" s="111" t="n"/>
      <c r="I783" s="87" t="n"/>
      <c r="J783" s="87" t="n"/>
      <c r="K783" s="111" t="n"/>
      <c r="L783" s="86" t="n"/>
      <c r="M783" s="145" t="n"/>
      <c r="N783" s="89" t="n"/>
      <c r="O783" s="144" t="n"/>
      <c r="P783" s="31" t="n"/>
      <c r="Q783" s="89" t="n"/>
      <c r="R783" s="89" t="n"/>
      <c r="S783" s="89" t="n"/>
      <c r="T783" s="55" t="n"/>
      <c r="V783" s="1" t="n"/>
      <c r="Y783" s="111" t="n"/>
      <c r="Z783" s="111" t="n"/>
      <c r="AA783" s="111" t="n"/>
      <c r="AK783" s="55" t="n"/>
      <c r="AL783" s="89" t="n"/>
    </row>
    <row r="784" ht="22.5" customHeight="1" s="150">
      <c r="A784" s="34" t="n">
        <v>782</v>
      </c>
      <c r="B784" s="34" t="n"/>
      <c r="C784" s="34" t="n"/>
      <c r="D784" s="34" t="n"/>
      <c r="E784" s="34" t="n"/>
      <c r="F784" s="86" t="n"/>
      <c r="G784" s="86" t="n"/>
      <c r="H784" s="111" t="n"/>
      <c r="I784" s="87" t="n"/>
      <c r="J784" s="87" t="n"/>
      <c r="K784" s="111" t="n"/>
      <c r="L784" s="86" t="n"/>
      <c r="M784" s="146" t="n"/>
      <c r="N784" s="89" t="n"/>
      <c r="O784" s="144" t="n"/>
      <c r="P784" s="31" t="n"/>
      <c r="Q784" s="89" t="n"/>
      <c r="R784" s="89" t="n"/>
      <c r="S784" s="89" t="n"/>
      <c r="T784" s="55" t="n"/>
      <c r="V784" s="1" t="n"/>
      <c r="Y784" s="111" t="n"/>
      <c r="Z784" s="111" t="n"/>
      <c r="AA784" s="111" t="n"/>
      <c r="AK784" s="55" t="n"/>
      <c r="AL784" s="89" t="n"/>
    </row>
    <row r="785" ht="22.5" customHeight="1" s="150">
      <c r="A785" s="34" t="n">
        <v>783</v>
      </c>
      <c r="B785" s="34" t="n"/>
      <c r="C785" s="34" t="n"/>
      <c r="D785" s="34" t="n"/>
      <c r="E785" s="34" t="n"/>
      <c r="F785" s="86" t="n"/>
      <c r="G785" s="86" t="n"/>
      <c r="H785" s="111" t="n"/>
      <c r="I785" s="87" t="n"/>
      <c r="J785" s="87" t="n"/>
      <c r="K785" s="111" t="n"/>
      <c r="L785" s="86" t="n"/>
      <c r="M785" s="145" t="n"/>
      <c r="N785" s="89" t="n"/>
      <c r="O785" s="144" t="n"/>
      <c r="P785" s="31" t="n"/>
      <c r="Q785" s="89" t="n"/>
      <c r="R785" s="89" t="n"/>
      <c r="S785" s="89" t="n"/>
      <c r="T785" s="55" t="n"/>
      <c r="V785" s="1" t="n"/>
      <c r="Y785" s="111" t="n"/>
      <c r="Z785" s="111" t="n"/>
      <c r="AA785" s="111" t="n"/>
      <c r="AK785" s="55" t="n"/>
      <c r="AL785" s="89" t="n"/>
    </row>
    <row r="786" ht="22.5" customHeight="1" s="150">
      <c r="A786" s="34" t="n">
        <v>784</v>
      </c>
      <c r="B786" s="34" t="n"/>
      <c r="C786" s="34" t="n"/>
      <c r="D786" s="34" t="n"/>
      <c r="E786" s="34" t="n"/>
      <c r="F786" s="86" t="n"/>
      <c r="G786" s="86" t="n"/>
      <c r="H786" s="111" t="n"/>
      <c r="I786" s="87" t="n"/>
      <c r="J786" s="87" t="n"/>
      <c r="K786" s="111" t="n"/>
      <c r="L786" s="86" t="n"/>
      <c r="M786" s="146" t="n"/>
      <c r="N786" s="89" t="n"/>
      <c r="O786" s="144" t="n"/>
      <c r="P786" s="31" t="n"/>
      <c r="Q786" s="89" t="n"/>
      <c r="R786" s="89" t="n"/>
      <c r="S786" s="89" t="n"/>
      <c r="T786" s="55" t="n"/>
      <c r="V786" s="1" t="n"/>
      <c r="Y786" s="111" t="n"/>
      <c r="Z786" s="111" t="n"/>
      <c r="AA786" s="111" t="n"/>
      <c r="AK786" s="55" t="n"/>
      <c r="AL786" s="89" t="n"/>
    </row>
    <row r="787" ht="22.5" customHeight="1" s="150">
      <c r="A787" s="34" t="n">
        <v>785</v>
      </c>
      <c r="B787" s="34" t="n"/>
      <c r="C787" s="34" t="n"/>
      <c r="D787" s="34" t="n"/>
      <c r="E787" s="34" t="n"/>
      <c r="F787" s="86" t="n"/>
      <c r="G787" s="86" t="n"/>
      <c r="H787" s="111" t="n"/>
      <c r="I787" s="87" t="n"/>
      <c r="J787" s="87" t="n"/>
      <c r="K787" s="111" t="n"/>
      <c r="L787" s="86" t="n"/>
      <c r="M787" s="145" t="n"/>
      <c r="N787" s="89" t="n"/>
      <c r="O787" s="144" t="n"/>
      <c r="P787" s="31" t="n"/>
      <c r="Q787" s="89" t="n"/>
      <c r="R787" s="89" t="n"/>
      <c r="S787" s="89" t="n"/>
      <c r="T787" s="55" t="n"/>
      <c r="V787" s="1" t="n"/>
      <c r="Y787" s="111" t="n"/>
      <c r="Z787" s="111" t="n"/>
      <c r="AA787" s="111" t="n"/>
      <c r="AK787" s="55" t="n"/>
      <c r="AL787" s="89" t="n"/>
    </row>
    <row r="788" ht="22.5" customHeight="1" s="150">
      <c r="A788" s="34" t="n">
        <v>786</v>
      </c>
      <c r="B788" s="34" t="n"/>
      <c r="C788" s="34" t="n"/>
      <c r="D788" s="34" t="n"/>
      <c r="E788" s="34" t="n"/>
      <c r="F788" s="86" t="n"/>
      <c r="G788" s="86" t="n"/>
      <c r="H788" s="111" t="n"/>
      <c r="I788" s="87" t="n"/>
      <c r="J788" s="87" t="n"/>
      <c r="K788" s="111" t="n"/>
      <c r="L788" s="86" t="n"/>
      <c r="M788" s="146" t="n"/>
      <c r="N788" s="89" t="n"/>
      <c r="O788" s="144" t="n"/>
      <c r="P788" s="31" t="n"/>
      <c r="Q788" s="89" t="n"/>
      <c r="R788" s="89" t="n"/>
      <c r="S788" s="89" t="n"/>
      <c r="T788" s="55" t="n"/>
      <c r="V788" s="1" t="n"/>
      <c r="Y788" s="111" t="n"/>
      <c r="Z788" s="111" t="n"/>
      <c r="AA788" s="111" t="n"/>
      <c r="AK788" s="55" t="n"/>
      <c r="AL788" s="89" t="n"/>
    </row>
    <row r="789" ht="22.5" customHeight="1" s="150">
      <c r="A789" s="34" t="n">
        <v>787</v>
      </c>
      <c r="B789" s="34" t="n"/>
      <c r="C789" s="34" t="n"/>
      <c r="D789" s="34" t="n"/>
      <c r="E789" s="34" t="n"/>
      <c r="F789" s="86" t="n"/>
      <c r="G789" s="86" t="n"/>
      <c r="H789" s="111" t="n"/>
      <c r="I789" s="87" t="n"/>
      <c r="J789" s="87" t="n"/>
      <c r="K789" s="111" t="n"/>
      <c r="L789" s="86" t="n"/>
      <c r="M789" s="145" t="n"/>
      <c r="N789" s="89" t="n"/>
      <c r="O789" s="144" t="n"/>
      <c r="P789" s="31" t="n"/>
      <c r="Q789" s="89" t="n"/>
      <c r="R789" s="89" t="n"/>
      <c r="S789" s="89" t="n"/>
      <c r="T789" s="55" t="n"/>
      <c r="V789" s="1" t="n"/>
      <c r="Y789" s="111" t="n"/>
      <c r="Z789" s="111" t="n"/>
      <c r="AA789" s="111" t="n"/>
      <c r="AK789" s="55" t="n"/>
      <c r="AL789" s="89" t="n"/>
    </row>
    <row r="790" ht="22.5" customHeight="1" s="150">
      <c r="A790" s="34" t="n">
        <v>788</v>
      </c>
      <c r="B790" s="34" t="n"/>
      <c r="C790" s="34" t="n"/>
      <c r="D790" s="34" t="n"/>
      <c r="E790" s="34" t="n"/>
      <c r="F790" s="86" t="n"/>
      <c r="G790" s="86" t="n"/>
      <c r="H790" s="111" t="n"/>
      <c r="I790" s="87" t="n"/>
      <c r="J790" s="87" t="n"/>
      <c r="K790" s="111" t="n"/>
      <c r="L790" s="86" t="n"/>
      <c r="M790" s="146" t="n"/>
      <c r="N790" s="89" t="n"/>
      <c r="O790" s="144" t="n"/>
      <c r="P790" s="31" t="n"/>
      <c r="Q790" s="89" t="n"/>
      <c r="R790" s="89" t="n"/>
      <c r="S790" s="89" t="n"/>
      <c r="T790" s="55" t="n"/>
      <c r="V790" s="1" t="n"/>
      <c r="Y790" s="111" t="n"/>
      <c r="Z790" s="111" t="n"/>
      <c r="AA790" s="111" t="n"/>
      <c r="AK790" s="55" t="n"/>
      <c r="AL790" s="89" t="n"/>
    </row>
    <row r="791" ht="22.5" customHeight="1" s="150">
      <c r="A791" s="34" t="n">
        <v>789</v>
      </c>
      <c r="B791" s="34" t="n"/>
      <c r="C791" s="34" t="n"/>
      <c r="D791" s="34" t="n"/>
      <c r="E791" s="34" t="n"/>
      <c r="F791" s="86" t="n"/>
      <c r="G791" s="86" t="n"/>
      <c r="H791" s="111" t="n"/>
      <c r="I791" s="87" t="n"/>
      <c r="J791" s="87" t="n"/>
      <c r="K791" s="111" t="n"/>
      <c r="L791" s="86" t="n"/>
      <c r="M791" s="145" t="n"/>
      <c r="N791" s="89" t="n"/>
      <c r="O791" s="144" t="n"/>
      <c r="P791" s="31" t="n"/>
      <c r="Q791" s="89" t="n"/>
      <c r="R791" s="89" t="n"/>
      <c r="S791" s="89" t="n"/>
      <c r="T791" s="55" t="n"/>
      <c r="V791" s="1" t="n"/>
      <c r="Y791" s="111" t="n"/>
      <c r="Z791" s="111" t="n"/>
      <c r="AA791" s="111" t="n"/>
      <c r="AK791" s="55" t="n"/>
      <c r="AL791" s="89" t="n"/>
    </row>
    <row r="792" ht="22.5" customHeight="1" s="150">
      <c r="A792" s="34" t="n">
        <v>790</v>
      </c>
      <c r="B792" s="34" t="n"/>
      <c r="C792" s="34" t="n"/>
      <c r="D792" s="34" t="n"/>
      <c r="E792" s="34" t="n"/>
      <c r="F792" s="86" t="n"/>
      <c r="G792" s="86" t="n"/>
      <c r="H792" s="111" t="n"/>
      <c r="I792" s="87" t="n"/>
      <c r="J792" s="87" t="n"/>
      <c r="K792" s="111" t="n"/>
      <c r="L792" s="86" t="n"/>
      <c r="M792" s="146" t="n"/>
      <c r="N792" s="89" t="n"/>
      <c r="O792" s="144" t="n"/>
      <c r="P792" s="31" t="n"/>
      <c r="Q792" s="89" t="n"/>
      <c r="R792" s="89" t="n"/>
      <c r="S792" s="89" t="n"/>
      <c r="T792" s="55" t="n"/>
      <c r="V792" s="1" t="n"/>
      <c r="Y792" s="111" t="n"/>
      <c r="Z792" s="111" t="n"/>
      <c r="AA792" s="111" t="n"/>
      <c r="AK792" s="55" t="n"/>
      <c r="AL792" s="89" t="n"/>
    </row>
    <row r="793" ht="22.5" customHeight="1" s="150">
      <c r="A793" s="34" t="n">
        <v>791</v>
      </c>
      <c r="B793" s="34" t="n"/>
      <c r="C793" s="34" t="n"/>
      <c r="D793" s="34" t="n"/>
      <c r="E793" s="34" t="n"/>
      <c r="F793" s="86" t="n"/>
      <c r="G793" s="86" t="n"/>
      <c r="H793" s="111" t="n"/>
      <c r="I793" s="87" t="n"/>
      <c r="J793" s="87" t="n"/>
      <c r="K793" s="111" t="n"/>
      <c r="L793" s="86" t="n"/>
      <c r="M793" s="145" t="n"/>
      <c r="N793" s="89" t="n"/>
      <c r="O793" s="144" t="n"/>
      <c r="P793" s="31" t="n"/>
      <c r="Q793" s="89" t="n"/>
      <c r="R793" s="89" t="n"/>
      <c r="S793" s="89" t="n"/>
      <c r="T793" s="55" t="n"/>
      <c r="V793" s="1" t="n"/>
      <c r="Y793" s="111" t="n"/>
      <c r="Z793" s="111" t="n"/>
      <c r="AA793" s="111" t="n"/>
      <c r="AK793" s="55" t="n"/>
      <c r="AL793" s="89" t="n"/>
    </row>
    <row r="794" ht="22.5" customHeight="1" s="150">
      <c r="A794" s="34" t="n">
        <v>792</v>
      </c>
      <c r="B794" s="34" t="n"/>
      <c r="C794" s="34" t="n"/>
      <c r="D794" s="34" t="n"/>
      <c r="E794" s="34" t="n"/>
      <c r="F794" s="86" t="n"/>
      <c r="G794" s="86" t="n"/>
      <c r="H794" s="111" t="n"/>
      <c r="I794" s="87" t="n"/>
      <c r="J794" s="87" t="n"/>
      <c r="K794" s="111" t="n"/>
      <c r="L794" s="86" t="n"/>
      <c r="M794" s="146" t="n"/>
      <c r="N794" s="89" t="n"/>
      <c r="O794" s="144" t="n"/>
      <c r="P794" s="31" t="n"/>
      <c r="Q794" s="89" t="n"/>
      <c r="R794" s="89" t="n"/>
      <c r="S794" s="89" t="n"/>
      <c r="T794" s="55" t="n"/>
      <c r="V794" s="1" t="n"/>
      <c r="Y794" s="111" t="n"/>
      <c r="Z794" s="111" t="n"/>
      <c r="AA794" s="111" t="n"/>
      <c r="AK794" s="55" t="n"/>
      <c r="AL794" s="89" t="n"/>
    </row>
    <row r="795" ht="22.5" customHeight="1" s="150">
      <c r="A795" s="34" t="n">
        <v>793</v>
      </c>
      <c r="B795" s="34" t="n"/>
      <c r="C795" s="34" t="n"/>
      <c r="D795" s="34" t="n"/>
      <c r="E795" s="34" t="n"/>
      <c r="F795" s="86" t="n"/>
      <c r="G795" s="86" t="n"/>
      <c r="H795" s="111" t="n"/>
      <c r="I795" s="87" t="n"/>
      <c r="J795" s="87" t="n"/>
      <c r="K795" s="111" t="n"/>
      <c r="L795" s="86" t="n"/>
      <c r="M795" s="145" t="n"/>
      <c r="N795" s="89" t="n"/>
      <c r="O795" s="144" t="n"/>
      <c r="P795" s="31" t="n"/>
      <c r="Q795" s="89" t="n"/>
      <c r="R795" s="89" t="n"/>
      <c r="S795" s="89" t="n"/>
      <c r="T795" s="55" t="n"/>
      <c r="V795" s="1" t="n"/>
      <c r="Y795" s="111" t="n"/>
      <c r="Z795" s="111" t="n"/>
      <c r="AA795" s="111" t="n"/>
      <c r="AK795" s="55" t="n"/>
      <c r="AL795" s="89" t="n"/>
    </row>
    <row r="796" ht="22.5" customHeight="1" s="150">
      <c r="A796" s="34" t="n">
        <v>794</v>
      </c>
      <c r="B796" s="34" t="n"/>
      <c r="C796" s="34" t="n"/>
      <c r="D796" s="34" t="n"/>
      <c r="E796" s="34" t="n"/>
      <c r="F796" s="86" t="n"/>
      <c r="G796" s="86" t="n"/>
      <c r="H796" s="111" t="n"/>
      <c r="I796" s="87" t="n"/>
      <c r="J796" s="87" t="n"/>
      <c r="K796" s="111" t="n"/>
      <c r="L796" s="86" t="n"/>
      <c r="M796" s="146" t="n"/>
      <c r="N796" s="89" t="n"/>
      <c r="O796" s="144" t="n"/>
      <c r="P796" s="31" t="n"/>
      <c r="Q796" s="89" t="n"/>
      <c r="R796" s="89" t="n"/>
      <c r="S796" s="89" t="n"/>
      <c r="T796" s="55" t="n"/>
      <c r="V796" s="1" t="n"/>
      <c r="Y796" s="111" t="n"/>
      <c r="Z796" s="111" t="n"/>
      <c r="AA796" s="111" t="n"/>
      <c r="AK796" s="55" t="n"/>
      <c r="AL796" s="89" t="n"/>
    </row>
    <row r="797" ht="22.5" customHeight="1" s="150">
      <c r="A797" s="34" t="n">
        <v>795</v>
      </c>
      <c r="B797" s="34" t="n"/>
      <c r="C797" s="34" t="n"/>
      <c r="D797" s="34" t="n"/>
      <c r="E797" s="34" t="n"/>
      <c r="F797" s="86" t="n"/>
      <c r="G797" s="86" t="n"/>
      <c r="H797" s="111" t="n"/>
      <c r="I797" s="87" t="n"/>
      <c r="J797" s="87" t="n"/>
      <c r="K797" s="111" t="n"/>
      <c r="L797" s="86" t="n"/>
      <c r="M797" s="145" t="n"/>
      <c r="N797" s="89" t="n"/>
      <c r="O797" s="144" t="n"/>
      <c r="P797" s="31" t="n"/>
      <c r="Q797" s="89" t="n"/>
      <c r="R797" s="89" t="n"/>
      <c r="S797" s="89" t="n"/>
      <c r="T797" s="55" t="n"/>
      <c r="V797" s="1" t="n"/>
      <c r="Y797" s="111" t="n"/>
      <c r="Z797" s="111" t="n"/>
      <c r="AA797" s="111" t="n"/>
      <c r="AK797" s="55" t="n"/>
      <c r="AL797" s="89" t="n"/>
    </row>
    <row r="798" ht="22.5" customHeight="1" s="150">
      <c r="A798" s="34" t="n">
        <v>796</v>
      </c>
      <c r="B798" s="34" t="n"/>
      <c r="C798" s="34" t="n"/>
      <c r="D798" s="34" t="n"/>
      <c r="E798" s="34" t="n"/>
      <c r="F798" s="86" t="n"/>
      <c r="G798" s="86" t="n"/>
      <c r="H798" s="111" t="n"/>
      <c r="I798" s="87" t="n"/>
      <c r="J798" s="87" t="n"/>
      <c r="K798" s="111" t="n"/>
      <c r="L798" s="86" t="n"/>
      <c r="M798" s="146" t="n"/>
      <c r="N798" s="89" t="n"/>
      <c r="O798" s="144" t="n"/>
      <c r="P798" s="31" t="n"/>
      <c r="Q798" s="89" t="n"/>
      <c r="R798" s="89" t="n"/>
      <c r="S798" s="89" t="n"/>
      <c r="T798" s="55" t="n"/>
      <c r="V798" s="1" t="n"/>
      <c r="Y798" s="111" t="n"/>
      <c r="Z798" s="111" t="n"/>
      <c r="AA798" s="111" t="n"/>
      <c r="AK798" s="55" t="n"/>
      <c r="AL798" s="89" t="n"/>
    </row>
    <row r="799" ht="22.5" customHeight="1" s="150">
      <c r="A799" s="34" t="n">
        <v>797</v>
      </c>
      <c r="B799" s="34" t="n"/>
      <c r="C799" s="34" t="n"/>
      <c r="D799" s="34" t="n"/>
      <c r="E799" s="34" t="n"/>
      <c r="F799" s="86" t="n"/>
      <c r="G799" s="86" t="n"/>
      <c r="H799" s="111" t="n"/>
      <c r="I799" s="87" t="n"/>
      <c r="J799" s="87" t="n"/>
      <c r="K799" s="111" t="n"/>
      <c r="L799" s="86" t="n"/>
      <c r="M799" s="145" t="n"/>
      <c r="N799" s="89" t="n"/>
      <c r="O799" s="144" t="n"/>
      <c r="P799" s="31" t="n"/>
      <c r="Q799" s="89" t="n"/>
      <c r="R799" s="89" t="n"/>
      <c r="S799" s="89" t="n"/>
      <c r="T799" s="55" t="n"/>
      <c r="V799" s="1" t="n"/>
      <c r="Y799" s="111" t="n"/>
      <c r="Z799" s="111" t="n"/>
      <c r="AA799" s="111" t="n"/>
      <c r="AK799" s="55" t="n"/>
      <c r="AL799" s="89" t="n"/>
    </row>
    <row r="800" ht="22.5" customHeight="1" s="150">
      <c r="A800" s="34" t="n">
        <v>798</v>
      </c>
      <c r="B800" s="34" t="n"/>
      <c r="C800" s="34" t="n"/>
      <c r="D800" s="34" t="n"/>
      <c r="E800" s="34" t="n"/>
      <c r="F800" s="86" t="n"/>
      <c r="G800" s="86" t="n"/>
      <c r="H800" s="111" t="n"/>
      <c r="I800" s="87" t="n"/>
      <c r="J800" s="87" t="n"/>
      <c r="K800" s="111" t="n"/>
      <c r="L800" s="86" t="n"/>
      <c r="M800" s="146" t="n"/>
      <c r="N800" s="89" t="n"/>
      <c r="O800" s="144" t="n"/>
      <c r="P800" s="31" t="n"/>
      <c r="Q800" s="89" t="n"/>
      <c r="R800" s="89" t="n"/>
      <c r="S800" s="89" t="n"/>
      <c r="T800" s="55" t="n"/>
      <c r="V800" s="1" t="n"/>
      <c r="Y800" s="111" t="n"/>
      <c r="Z800" s="111" t="n"/>
      <c r="AA800" s="111" t="n"/>
      <c r="AK800" s="55" t="n"/>
      <c r="AL800" s="89" t="n"/>
    </row>
    <row r="801" ht="22.5" customHeight="1" s="150">
      <c r="A801" s="34" t="n">
        <v>799</v>
      </c>
      <c r="B801" s="34" t="n"/>
      <c r="C801" s="34" t="n"/>
      <c r="D801" s="34" t="n"/>
      <c r="E801" s="34" t="n"/>
      <c r="F801" s="86" t="n"/>
      <c r="G801" s="86" t="n"/>
      <c r="H801" s="111" t="n"/>
      <c r="I801" s="87" t="n"/>
      <c r="J801" s="87" t="n"/>
      <c r="K801" s="111" t="n"/>
      <c r="L801" s="86" t="n"/>
      <c r="M801" s="145" t="n"/>
      <c r="N801" s="89" t="n"/>
      <c r="O801" s="144" t="n"/>
      <c r="P801" s="31" t="n"/>
      <c r="Q801" s="89" t="n"/>
      <c r="R801" s="89" t="n"/>
      <c r="S801" s="89" t="n"/>
      <c r="T801" s="55" t="n"/>
      <c r="V801" s="1" t="n"/>
      <c r="Y801" s="111" t="n"/>
      <c r="Z801" s="111" t="n"/>
      <c r="AA801" s="111" t="n"/>
      <c r="AK801" s="55" t="n"/>
      <c r="AL801" s="89" t="n"/>
    </row>
    <row r="802" ht="22.5" customHeight="1" s="150">
      <c r="A802" s="34" t="n">
        <v>800</v>
      </c>
      <c r="B802" s="34" t="n"/>
      <c r="C802" s="34" t="n"/>
      <c r="D802" s="34" t="n"/>
      <c r="E802" s="34" t="n"/>
      <c r="F802" s="86" t="n"/>
      <c r="G802" s="86" t="n"/>
      <c r="H802" s="111" t="n"/>
      <c r="I802" s="87" t="n"/>
      <c r="J802" s="87" t="n"/>
      <c r="K802" s="111" t="n"/>
      <c r="L802" s="86" t="n"/>
      <c r="M802" s="146" t="n"/>
      <c r="N802" s="89" t="n"/>
      <c r="O802" s="144" t="n"/>
      <c r="P802" s="31" t="n"/>
      <c r="Q802" s="89" t="n"/>
      <c r="R802" s="89" t="n"/>
      <c r="S802" s="89" t="n"/>
      <c r="T802" s="55" t="n"/>
      <c r="V802" s="1" t="n"/>
      <c r="Y802" s="111" t="n"/>
      <c r="Z802" s="111" t="n"/>
      <c r="AA802" s="111" t="n"/>
      <c r="AK802" s="55" t="n"/>
      <c r="AL802" s="89" t="n"/>
    </row>
    <row r="803" ht="22.5" customHeight="1" s="150">
      <c r="A803" s="34" t="n">
        <v>801</v>
      </c>
      <c r="B803" s="34" t="n"/>
      <c r="C803" s="34" t="n"/>
      <c r="D803" s="34" t="n"/>
      <c r="E803" s="34" t="n"/>
      <c r="F803" s="86" t="n"/>
      <c r="G803" s="86" t="n"/>
      <c r="H803" s="111" t="n"/>
      <c r="I803" s="87" t="n"/>
      <c r="J803" s="87" t="n"/>
      <c r="K803" s="111" t="n"/>
      <c r="L803" s="86" t="n"/>
      <c r="M803" s="145" t="n"/>
      <c r="N803" s="89" t="n"/>
      <c r="O803" s="144" t="n"/>
      <c r="P803" s="31" t="n"/>
      <c r="Q803" s="89" t="n"/>
      <c r="R803" s="89" t="n"/>
      <c r="S803" s="89" t="n"/>
      <c r="T803" s="55" t="n"/>
      <c r="V803" s="1" t="n"/>
      <c r="Y803" s="111" t="n"/>
      <c r="Z803" s="111" t="n"/>
      <c r="AA803" s="111" t="n"/>
      <c r="AK803" s="55" t="n"/>
      <c r="AL803" s="89" t="n"/>
    </row>
    <row r="804" ht="22.5" customHeight="1" s="150">
      <c r="A804" s="34" t="n">
        <v>802</v>
      </c>
      <c r="B804" s="34" t="n"/>
      <c r="C804" s="34" t="n"/>
      <c r="D804" s="34" t="n"/>
      <c r="E804" s="34" t="n"/>
      <c r="F804" s="86" t="n"/>
      <c r="G804" s="86" t="n"/>
      <c r="H804" s="111" t="n"/>
      <c r="I804" s="87" t="n"/>
      <c r="J804" s="87" t="n"/>
      <c r="K804" s="111" t="n"/>
      <c r="L804" s="86" t="n"/>
      <c r="M804" s="146" t="n"/>
      <c r="N804" s="89" t="n"/>
      <c r="O804" s="144" t="n"/>
      <c r="P804" s="31" t="n"/>
      <c r="Q804" s="89" t="n"/>
      <c r="R804" s="89" t="n"/>
      <c r="S804" s="89" t="n"/>
      <c r="T804" s="55" t="n"/>
      <c r="V804" s="1" t="n"/>
      <c r="Y804" s="111" t="n"/>
      <c r="Z804" s="111" t="n"/>
      <c r="AA804" s="111" t="n"/>
      <c r="AK804" s="55" t="n"/>
      <c r="AL804" s="89" t="n"/>
    </row>
    <row r="805" ht="22.5" customHeight="1" s="150">
      <c r="A805" s="34" t="n">
        <v>803</v>
      </c>
      <c r="B805" s="34" t="n"/>
      <c r="C805" s="34" t="n"/>
      <c r="D805" s="34" t="n"/>
      <c r="E805" s="34" t="n"/>
      <c r="F805" s="86" t="n"/>
      <c r="G805" s="86" t="n"/>
      <c r="H805" s="111" t="n"/>
      <c r="I805" s="87" t="n"/>
      <c r="J805" s="87" t="n"/>
      <c r="K805" s="111" t="n"/>
      <c r="L805" s="86" t="n"/>
      <c r="M805" s="145" t="n"/>
      <c r="N805" s="89" t="n"/>
      <c r="O805" s="144" t="n"/>
      <c r="P805" s="31" t="n"/>
      <c r="Q805" s="89" t="n"/>
      <c r="R805" s="89" t="n"/>
      <c r="S805" s="89" t="n"/>
      <c r="T805" s="55" t="n"/>
      <c r="V805" s="1" t="n"/>
      <c r="Y805" s="111" t="n"/>
      <c r="Z805" s="111" t="n"/>
      <c r="AA805" s="111" t="n"/>
      <c r="AK805" s="55" t="n"/>
      <c r="AL805" s="89" t="n"/>
    </row>
    <row r="806" ht="22.5" customHeight="1" s="150">
      <c r="A806" s="34" t="n">
        <v>804</v>
      </c>
      <c r="B806" s="34" t="n"/>
      <c r="C806" s="34" t="n"/>
      <c r="D806" s="34" t="n"/>
      <c r="E806" s="34" t="n"/>
      <c r="F806" s="86" t="n"/>
      <c r="G806" s="86" t="n"/>
      <c r="H806" s="111" t="n"/>
      <c r="I806" s="87" t="n"/>
      <c r="J806" s="87" t="n"/>
      <c r="K806" s="111" t="n"/>
      <c r="L806" s="86" t="n"/>
      <c r="M806" s="146" t="n"/>
      <c r="N806" s="89" t="n"/>
      <c r="O806" s="144" t="n"/>
      <c r="P806" s="31" t="n"/>
      <c r="Q806" s="89" t="n"/>
      <c r="R806" s="89" t="n"/>
      <c r="S806" s="89" t="n"/>
      <c r="T806" s="55" t="n"/>
      <c r="V806" s="1" t="n"/>
      <c r="Y806" s="111" t="n"/>
      <c r="Z806" s="111" t="n"/>
      <c r="AA806" s="111" t="n"/>
      <c r="AK806" s="55" t="n"/>
      <c r="AL806" s="89" t="n"/>
    </row>
    <row r="807" ht="22.5" customHeight="1" s="150">
      <c r="A807" s="34" t="n">
        <v>805</v>
      </c>
      <c r="B807" s="34" t="n"/>
      <c r="C807" s="34" t="n"/>
      <c r="D807" s="34" t="n"/>
      <c r="E807" s="34" t="n"/>
      <c r="F807" s="86" t="n"/>
      <c r="G807" s="86" t="n"/>
      <c r="H807" s="111" t="n"/>
      <c r="I807" s="87" t="n"/>
      <c r="J807" s="87" t="n"/>
      <c r="K807" s="111" t="n"/>
      <c r="L807" s="86" t="n"/>
      <c r="M807" s="145" t="n"/>
      <c r="N807" s="89" t="n"/>
      <c r="O807" s="144" t="n"/>
      <c r="P807" s="31" t="n"/>
      <c r="Q807" s="89" t="n"/>
      <c r="R807" s="89" t="n"/>
      <c r="S807" s="89" t="n"/>
      <c r="T807" s="55" t="n"/>
      <c r="V807" s="1" t="n"/>
      <c r="Y807" s="111" t="n"/>
      <c r="Z807" s="111" t="n"/>
      <c r="AA807" s="111" t="n"/>
      <c r="AK807" s="55" t="n"/>
      <c r="AL807" s="89" t="n"/>
    </row>
    <row r="808" ht="22.5" customHeight="1" s="150">
      <c r="A808" s="34" t="n">
        <v>806</v>
      </c>
      <c r="B808" s="34" t="n"/>
      <c r="C808" s="34" t="n"/>
      <c r="D808" s="34" t="n"/>
      <c r="E808" s="34" t="n"/>
      <c r="F808" s="86" t="n"/>
      <c r="G808" s="86" t="n"/>
      <c r="H808" s="111" t="n"/>
      <c r="I808" s="87" t="n"/>
      <c r="J808" s="87" t="n"/>
      <c r="K808" s="111" t="n"/>
      <c r="L808" s="86" t="n"/>
      <c r="M808" s="146" t="n"/>
      <c r="N808" s="89" t="n"/>
      <c r="O808" s="144" t="n"/>
      <c r="P808" s="31" t="n"/>
      <c r="Q808" s="89" t="n"/>
      <c r="R808" s="89" t="n"/>
      <c r="S808" s="89" t="n"/>
      <c r="T808" s="55" t="n"/>
      <c r="V808" s="1" t="n"/>
      <c r="Y808" s="111" t="n"/>
      <c r="Z808" s="111" t="n"/>
      <c r="AA808" s="111" t="n"/>
      <c r="AK808" s="55" t="n"/>
      <c r="AL808" s="89" t="n"/>
    </row>
    <row r="809" ht="22.5" customHeight="1" s="150">
      <c r="A809" s="34" t="n">
        <v>807</v>
      </c>
      <c r="B809" s="34" t="n"/>
      <c r="C809" s="34" t="n"/>
      <c r="D809" s="34" t="n"/>
      <c r="E809" s="34" t="n"/>
      <c r="F809" s="86" t="n"/>
      <c r="G809" s="86" t="n"/>
      <c r="H809" s="111" t="n"/>
      <c r="I809" s="87" t="n"/>
      <c r="J809" s="87" t="n"/>
      <c r="K809" s="111" t="n"/>
      <c r="L809" s="86" t="n"/>
      <c r="M809" s="145" t="n"/>
      <c r="N809" s="89" t="n"/>
      <c r="O809" s="144" t="n"/>
      <c r="P809" s="31" t="n"/>
      <c r="Q809" s="89" t="n"/>
      <c r="R809" s="89" t="n"/>
      <c r="S809" s="89" t="n"/>
      <c r="T809" s="55" t="n"/>
      <c r="V809" s="1" t="n"/>
      <c r="Y809" s="111" t="n"/>
      <c r="Z809" s="111" t="n"/>
      <c r="AA809" s="111" t="n"/>
      <c r="AK809" s="55" t="n"/>
      <c r="AL809" s="89" t="n"/>
    </row>
    <row r="810" ht="22.5" customHeight="1" s="150">
      <c r="A810" s="34" t="n">
        <v>808</v>
      </c>
      <c r="B810" s="34" t="n"/>
      <c r="C810" s="34" t="n"/>
      <c r="D810" s="34" t="n"/>
      <c r="E810" s="34" t="n"/>
      <c r="F810" s="86" t="n"/>
      <c r="G810" s="86" t="n"/>
      <c r="H810" s="111" t="n"/>
      <c r="I810" s="87" t="n"/>
      <c r="J810" s="87" t="n"/>
      <c r="K810" s="111" t="n"/>
      <c r="L810" s="86" t="n"/>
      <c r="M810" s="146" t="n"/>
      <c r="N810" s="89" t="n"/>
      <c r="O810" s="144" t="n"/>
      <c r="P810" s="31" t="n"/>
      <c r="Q810" s="89" t="n"/>
      <c r="R810" s="89" t="n"/>
      <c r="S810" s="89" t="n"/>
      <c r="T810" s="55" t="n"/>
      <c r="V810" s="1" t="n"/>
      <c r="Y810" s="111" t="n"/>
      <c r="Z810" s="111" t="n"/>
      <c r="AA810" s="111" t="n"/>
      <c r="AK810" s="55" t="n"/>
      <c r="AL810" s="89" t="n"/>
    </row>
    <row r="811" ht="22.5" customHeight="1" s="150">
      <c r="A811" s="34" t="n">
        <v>809</v>
      </c>
      <c r="B811" s="34" t="n"/>
      <c r="C811" s="34" t="n"/>
      <c r="D811" s="34" t="n"/>
      <c r="E811" s="34" t="n"/>
      <c r="F811" s="86" t="n"/>
      <c r="G811" s="86" t="n"/>
      <c r="H811" s="111" t="n"/>
      <c r="I811" s="87" t="n"/>
      <c r="J811" s="87" t="n"/>
      <c r="K811" s="111" t="n"/>
      <c r="L811" s="86" t="n"/>
      <c r="M811" s="145" t="n"/>
      <c r="N811" s="89" t="n"/>
      <c r="O811" s="144" t="n"/>
      <c r="P811" s="31" t="n"/>
      <c r="Q811" s="89" t="n"/>
      <c r="R811" s="89" t="n"/>
      <c r="S811" s="89" t="n"/>
      <c r="T811" s="55" t="n"/>
      <c r="V811" s="1" t="n"/>
      <c r="Y811" s="111" t="n"/>
      <c r="Z811" s="111" t="n"/>
      <c r="AA811" s="111" t="n"/>
      <c r="AK811" s="55" t="n"/>
      <c r="AL811" s="89" t="n"/>
    </row>
    <row r="812" ht="22.5" customHeight="1" s="150">
      <c r="A812" s="34" t="n">
        <v>810</v>
      </c>
      <c r="B812" s="34" t="n"/>
      <c r="C812" s="34" t="n"/>
      <c r="D812" s="34" t="n"/>
      <c r="E812" s="34" t="n"/>
      <c r="F812" s="86" t="n"/>
      <c r="G812" s="86" t="n"/>
      <c r="H812" s="111" t="n"/>
      <c r="I812" s="87" t="n"/>
      <c r="J812" s="87" t="n"/>
      <c r="K812" s="111" t="n"/>
      <c r="L812" s="86" t="n"/>
      <c r="M812" s="146" t="n"/>
      <c r="N812" s="89" t="n"/>
      <c r="O812" s="144" t="n"/>
      <c r="P812" s="31" t="n"/>
      <c r="Q812" s="89" t="n"/>
      <c r="R812" s="89" t="n"/>
      <c r="S812" s="89" t="n"/>
      <c r="T812" s="55" t="n"/>
      <c r="V812" s="1" t="n"/>
      <c r="Y812" s="111" t="n"/>
      <c r="Z812" s="111" t="n"/>
      <c r="AA812" s="111" t="n"/>
      <c r="AK812" s="55" t="n"/>
      <c r="AL812" s="89" t="n"/>
    </row>
    <row r="813" ht="22.5" customHeight="1" s="150">
      <c r="A813" s="34" t="n">
        <v>811</v>
      </c>
      <c r="B813" s="34" t="n"/>
      <c r="C813" s="34" t="n"/>
      <c r="D813" s="34" t="n"/>
      <c r="E813" s="34" t="n"/>
      <c r="F813" s="86" t="n"/>
      <c r="G813" s="86" t="n"/>
      <c r="H813" s="111" t="n"/>
      <c r="I813" s="87" t="n"/>
      <c r="J813" s="87" t="n"/>
      <c r="K813" s="111" t="n"/>
      <c r="L813" s="86" t="n"/>
      <c r="M813" s="145" t="n"/>
      <c r="N813" s="89" t="n"/>
      <c r="O813" s="144" t="n"/>
      <c r="P813" s="31" t="n"/>
      <c r="Q813" s="89" t="n"/>
      <c r="R813" s="89" t="n"/>
      <c r="S813" s="89" t="n"/>
      <c r="T813" s="55" t="n"/>
      <c r="V813" s="1" t="n"/>
      <c r="Y813" s="111" t="n"/>
      <c r="Z813" s="111" t="n"/>
      <c r="AA813" s="111" t="n"/>
      <c r="AK813" s="55" t="n"/>
      <c r="AL813" s="89" t="n"/>
    </row>
    <row r="814" ht="22.5" customHeight="1" s="150">
      <c r="A814" s="34" t="n">
        <v>812</v>
      </c>
      <c r="B814" s="34" t="n"/>
      <c r="C814" s="34" t="n"/>
      <c r="D814" s="34" t="n"/>
      <c r="E814" s="34" t="n"/>
      <c r="F814" s="86" t="n"/>
      <c r="G814" s="86" t="n"/>
      <c r="H814" s="111" t="n"/>
      <c r="I814" s="87" t="n"/>
      <c r="J814" s="87" t="n"/>
      <c r="K814" s="111" t="n"/>
      <c r="L814" s="86" t="n"/>
      <c r="M814" s="146" t="n"/>
      <c r="N814" s="89" t="n"/>
      <c r="O814" s="144" t="n"/>
      <c r="P814" s="31" t="n"/>
      <c r="Q814" s="89" t="n"/>
      <c r="R814" s="89" t="n"/>
      <c r="S814" s="89" t="n"/>
      <c r="T814" s="55" t="n"/>
      <c r="V814" s="1" t="n"/>
      <c r="Y814" s="111" t="n"/>
      <c r="Z814" s="111" t="n"/>
      <c r="AA814" s="111" t="n"/>
      <c r="AK814" s="55" t="n"/>
      <c r="AL814" s="89" t="n"/>
    </row>
    <row r="815" ht="22.5" customHeight="1" s="150">
      <c r="A815" s="34" t="n">
        <v>813</v>
      </c>
      <c r="B815" s="34" t="n"/>
      <c r="C815" s="34" t="n"/>
      <c r="D815" s="34" t="n"/>
      <c r="E815" s="34" t="n"/>
      <c r="F815" s="86" t="n"/>
      <c r="G815" s="86" t="n"/>
      <c r="H815" s="111" t="n"/>
      <c r="I815" s="87" t="n"/>
      <c r="J815" s="87" t="n"/>
      <c r="K815" s="111" t="n"/>
      <c r="L815" s="86" t="n"/>
      <c r="M815" s="145" t="n"/>
      <c r="N815" s="89" t="n"/>
      <c r="O815" s="144" t="n"/>
      <c r="P815" s="31" t="n"/>
      <c r="Q815" s="89" t="n"/>
      <c r="R815" s="89" t="n"/>
      <c r="S815" s="89" t="n"/>
      <c r="T815" s="55" t="n"/>
      <c r="V815" s="1" t="n"/>
      <c r="Y815" s="111" t="n"/>
      <c r="Z815" s="111" t="n"/>
      <c r="AA815" s="111" t="n"/>
      <c r="AK815" s="55" t="n"/>
      <c r="AL815" s="89" t="n"/>
    </row>
    <row r="816" ht="22.5" customHeight="1" s="150">
      <c r="A816" s="34" t="n">
        <v>814</v>
      </c>
      <c r="B816" s="34" t="n"/>
      <c r="C816" s="34" t="n"/>
      <c r="D816" s="34" t="n"/>
      <c r="E816" s="34" t="n"/>
      <c r="F816" s="86" t="n"/>
      <c r="G816" s="86" t="n"/>
      <c r="H816" s="111" t="n"/>
      <c r="I816" s="87" t="n"/>
      <c r="J816" s="87" t="n"/>
      <c r="K816" s="111" t="n"/>
      <c r="L816" s="86" t="n"/>
      <c r="M816" s="146" t="n"/>
      <c r="N816" s="89" t="n"/>
      <c r="O816" s="144" t="n"/>
      <c r="P816" s="31" t="n"/>
      <c r="Q816" s="89" t="n"/>
      <c r="R816" s="89" t="n"/>
      <c r="S816" s="89" t="n"/>
      <c r="T816" s="55" t="n"/>
      <c r="V816" s="1" t="n"/>
      <c r="Y816" s="111" t="n"/>
      <c r="Z816" s="111" t="n"/>
      <c r="AA816" s="111" t="n"/>
      <c r="AK816" s="55" t="n"/>
      <c r="AL816" s="89" t="n"/>
    </row>
    <row r="817" ht="22.5" customHeight="1" s="150">
      <c r="A817" s="34" t="n">
        <v>815</v>
      </c>
      <c r="B817" s="34" t="n"/>
      <c r="C817" s="34" t="n"/>
      <c r="D817" s="34" t="n"/>
      <c r="E817" s="34" t="n"/>
      <c r="F817" s="86" t="n"/>
      <c r="G817" s="86" t="n"/>
      <c r="H817" s="111" t="n"/>
      <c r="I817" s="87" t="n"/>
      <c r="J817" s="87" t="n"/>
      <c r="K817" s="111" t="n"/>
      <c r="L817" s="86" t="n"/>
      <c r="M817" s="145" t="n"/>
      <c r="N817" s="89" t="n"/>
      <c r="O817" s="144" t="n"/>
      <c r="P817" s="31" t="n"/>
      <c r="Q817" s="89" t="n"/>
      <c r="R817" s="89" t="n"/>
      <c r="S817" s="89" t="n"/>
      <c r="T817" s="55" t="n"/>
      <c r="V817" s="1" t="n"/>
      <c r="Y817" s="111" t="n"/>
      <c r="Z817" s="111" t="n"/>
      <c r="AA817" s="111" t="n"/>
      <c r="AK817" s="55" t="n"/>
      <c r="AL817" s="89" t="n"/>
    </row>
    <row r="818" ht="22.5" customHeight="1" s="150">
      <c r="A818" s="34" t="n">
        <v>816</v>
      </c>
      <c r="B818" s="34" t="n"/>
      <c r="C818" s="34" t="n"/>
      <c r="D818" s="34" t="n"/>
      <c r="E818" s="34" t="n"/>
      <c r="F818" s="86" t="n"/>
      <c r="G818" s="86" t="n"/>
      <c r="H818" s="111" t="n"/>
      <c r="I818" s="87" t="n"/>
      <c r="J818" s="87" t="n"/>
      <c r="K818" s="111" t="n"/>
      <c r="L818" s="86" t="n"/>
      <c r="M818" s="146" t="n"/>
      <c r="N818" s="89" t="n"/>
      <c r="O818" s="144" t="n"/>
      <c r="P818" s="31" t="n"/>
      <c r="Q818" s="89" t="n"/>
      <c r="R818" s="89" t="n"/>
      <c r="S818" s="89" t="n"/>
      <c r="T818" s="55" t="n"/>
      <c r="V818" s="1" t="n"/>
      <c r="Y818" s="111" t="n"/>
      <c r="Z818" s="111" t="n"/>
      <c r="AA818" s="111" t="n"/>
      <c r="AK818" s="55" t="n"/>
      <c r="AL818" s="89" t="n"/>
    </row>
    <row r="819" ht="22.5" customHeight="1" s="150">
      <c r="A819" s="34" t="n">
        <v>817</v>
      </c>
      <c r="B819" s="34" t="n"/>
      <c r="C819" s="34" t="n"/>
      <c r="D819" s="34" t="n"/>
      <c r="E819" s="34" t="n"/>
      <c r="F819" s="86" t="n"/>
      <c r="G819" s="86" t="n"/>
      <c r="H819" s="111" t="n"/>
      <c r="I819" s="87" t="n"/>
      <c r="J819" s="87" t="n"/>
      <c r="K819" s="111" t="n"/>
      <c r="L819" s="86" t="n"/>
      <c r="M819" s="145" t="n"/>
      <c r="N819" s="89" t="n"/>
      <c r="O819" s="144" t="n"/>
      <c r="P819" s="31" t="n"/>
      <c r="Q819" s="89" t="n"/>
      <c r="R819" s="89" t="n"/>
      <c r="S819" s="89" t="n"/>
      <c r="T819" s="55" t="n"/>
      <c r="V819" s="1" t="n"/>
      <c r="Y819" s="111" t="n"/>
      <c r="Z819" s="111" t="n"/>
      <c r="AA819" s="111" t="n"/>
      <c r="AK819" s="55" t="n"/>
      <c r="AL819" s="89" t="n"/>
    </row>
    <row r="820" ht="22.5" customHeight="1" s="150">
      <c r="A820" s="34" t="n">
        <v>818</v>
      </c>
      <c r="B820" s="34" t="n"/>
      <c r="C820" s="34" t="n"/>
      <c r="D820" s="34" t="n"/>
      <c r="E820" s="34" t="n"/>
      <c r="F820" s="86" t="n"/>
      <c r="G820" s="86" t="n"/>
      <c r="H820" s="111" t="n"/>
      <c r="I820" s="87" t="n"/>
      <c r="J820" s="87" t="n"/>
      <c r="K820" s="111" t="n"/>
      <c r="L820" s="86" t="n"/>
      <c r="M820" s="146" t="n"/>
      <c r="N820" s="89" t="n"/>
      <c r="O820" s="144" t="n"/>
      <c r="P820" s="31" t="n"/>
      <c r="Q820" s="89" t="n"/>
      <c r="R820" s="89" t="n"/>
      <c r="S820" s="89" t="n"/>
      <c r="T820" s="55" t="n"/>
      <c r="V820" s="1" t="n"/>
      <c r="Y820" s="111" t="n"/>
      <c r="Z820" s="111" t="n"/>
      <c r="AA820" s="111" t="n"/>
      <c r="AK820" s="55" t="n"/>
      <c r="AL820" s="89" t="n"/>
    </row>
    <row r="821" ht="22.5" customHeight="1" s="150">
      <c r="A821" s="34" t="n">
        <v>819</v>
      </c>
      <c r="B821" s="34" t="n"/>
      <c r="C821" s="34" t="n"/>
      <c r="D821" s="34" t="n"/>
      <c r="E821" s="34" t="n"/>
      <c r="F821" s="86" t="n"/>
      <c r="G821" s="86" t="n"/>
      <c r="H821" s="111" t="n"/>
      <c r="I821" s="87" t="n"/>
      <c r="J821" s="87" t="n"/>
      <c r="K821" s="111" t="n"/>
      <c r="L821" s="86" t="n"/>
      <c r="M821" s="145" t="n"/>
      <c r="N821" s="89" t="n"/>
      <c r="O821" s="144" t="n"/>
      <c r="P821" s="31" t="n"/>
      <c r="Q821" s="89" t="n"/>
      <c r="R821" s="89" t="n"/>
      <c r="S821" s="89" t="n"/>
      <c r="T821" s="55" t="n"/>
      <c r="V821" s="1" t="n"/>
      <c r="Y821" s="111" t="n"/>
      <c r="Z821" s="111" t="n"/>
      <c r="AA821" s="111" t="n"/>
      <c r="AK821" s="55" t="n"/>
      <c r="AL821" s="89" t="n"/>
    </row>
    <row r="822" ht="22.5" customHeight="1" s="150">
      <c r="A822" s="34" t="n">
        <v>820</v>
      </c>
      <c r="B822" s="34" t="n"/>
      <c r="C822" s="34" t="n"/>
      <c r="D822" s="34" t="n"/>
      <c r="E822" s="34" t="n"/>
      <c r="F822" s="86" t="n"/>
      <c r="G822" s="86" t="n"/>
      <c r="H822" s="111" t="n"/>
      <c r="I822" s="87" t="n"/>
      <c r="J822" s="87" t="n"/>
      <c r="K822" s="111" t="n"/>
      <c r="L822" s="86" t="n"/>
      <c r="M822" s="146" t="n"/>
      <c r="N822" s="89" t="n"/>
      <c r="O822" s="144" t="n"/>
      <c r="P822" s="31" t="n"/>
      <c r="Q822" s="89" t="n"/>
      <c r="R822" s="89" t="n"/>
      <c r="S822" s="89" t="n"/>
      <c r="T822" s="55" t="n"/>
      <c r="V822" s="1" t="n"/>
      <c r="Y822" s="111" t="n"/>
      <c r="Z822" s="111" t="n"/>
      <c r="AA822" s="111" t="n"/>
      <c r="AK822" s="55" t="n"/>
      <c r="AL822" s="89" t="n"/>
    </row>
    <row r="823" ht="22.5" customHeight="1" s="150">
      <c r="A823" s="34" t="n">
        <v>821</v>
      </c>
      <c r="B823" s="34" t="n"/>
      <c r="C823" s="34" t="n"/>
      <c r="D823" s="34" t="n"/>
      <c r="E823" s="34" t="n"/>
      <c r="F823" s="86" t="n"/>
      <c r="G823" s="86" t="n"/>
      <c r="H823" s="111" t="n"/>
      <c r="I823" s="87" t="n"/>
      <c r="J823" s="87" t="n"/>
      <c r="K823" s="111" t="n"/>
      <c r="L823" s="86" t="n"/>
      <c r="M823" s="145" t="n"/>
      <c r="N823" s="89" t="n"/>
      <c r="O823" s="144" t="n"/>
      <c r="P823" s="31" t="n"/>
      <c r="Q823" s="89" t="n"/>
      <c r="R823" s="89" t="n"/>
      <c r="S823" s="89" t="n"/>
      <c r="T823" s="55" t="n"/>
      <c r="V823" s="1" t="n"/>
      <c r="Y823" s="111" t="n"/>
      <c r="Z823" s="111" t="n"/>
      <c r="AA823" s="111" t="n"/>
      <c r="AK823" s="55" t="n"/>
      <c r="AL823" s="89" t="n"/>
    </row>
    <row r="824" ht="22.5" customHeight="1" s="150">
      <c r="A824" s="34" t="n">
        <v>822</v>
      </c>
      <c r="B824" s="34" t="n"/>
      <c r="C824" s="34" t="n"/>
      <c r="D824" s="34" t="n"/>
      <c r="E824" s="34" t="n"/>
      <c r="F824" s="86" t="n"/>
      <c r="G824" s="86" t="n"/>
      <c r="H824" s="111" t="n"/>
      <c r="I824" s="87" t="n"/>
      <c r="J824" s="87" t="n"/>
      <c r="K824" s="111" t="n"/>
      <c r="L824" s="86" t="n"/>
      <c r="M824" s="146" t="n"/>
      <c r="N824" s="89" t="n"/>
      <c r="O824" s="144" t="n"/>
      <c r="P824" s="31" t="n"/>
      <c r="Q824" s="89" t="n"/>
      <c r="R824" s="89" t="n"/>
      <c r="S824" s="89" t="n"/>
      <c r="T824" s="55" t="n"/>
      <c r="V824" s="1" t="n"/>
      <c r="Y824" s="111" t="n"/>
      <c r="Z824" s="111" t="n"/>
      <c r="AA824" s="111" t="n"/>
      <c r="AK824" s="55" t="n"/>
      <c r="AL824" s="89" t="n"/>
    </row>
    <row r="825" ht="22.5" customHeight="1" s="150">
      <c r="A825" s="34" t="n">
        <v>823</v>
      </c>
      <c r="B825" s="34" t="n"/>
      <c r="C825" s="34" t="n"/>
      <c r="D825" s="34" t="n"/>
      <c r="E825" s="34" t="n"/>
      <c r="F825" s="86" t="n"/>
      <c r="G825" s="86" t="n"/>
      <c r="H825" s="111" t="n"/>
      <c r="I825" s="87" t="n"/>
      <c r="J825" s="87" t="n"/>
      <c r="K825" s="111" t="n"/>
      <c r="L825" s="86" t="n"/>
      <c r="M825" s="145" t="n"/>
      <c r="N825" s="89" t="n"/>
      <c r="O825" s="144" t="n"/>
      <c r="P825" s="31" t="n"/>
      <c r="Q825" s="89" t="n"/>
      <c r="R825" s="89" t="n"/>
      <c r="S825" s="89" t="n"/>
      <c r="T825" s="55" t="n"/>
      <c r="V825" s="1" t="n"/>
      <c r="Y825" s="111" t="n"/>
      <c r="Z825" s="111" t="n"/>
      <c r="AA825" s="111" t="n"/>
      <c r="AK825" s="55" t="n"/>
      <c r="AL825" s="89" t="n"/>
    </row>
    <row r="826" ht="22.5" customHeight="1" s="150">
      <c r="A826" s="34" t="n">
        <v>824</v>
      </c>
      <c r="B826" s="34" t="n"/>
      <c r="C826" s="34" t="n"/>
      <c r="D826" s="34" t="n"/>
      <c r="E826" s="34" t="n"/>
      <c r="F826" s="86" t="n"/>
      <c r="G826" s="86" t="n"/>
      <c r="H826" s="111" t="n"/>
      <c r="I826" s="87" t="n"/>
      <c r="J826" s="87" t="n"/>
      <c r="K826" s="111" t="n"/>
      <c r="L826" s="86" t="n"/>
      <c r="M826" s="146" t="n"/>
      <c r="N826" s="89" t="n"/>
      <c r="O826" s="144" t="n"/>
      <c r="P826" s="31" t="n"/>
      <c r="Q826" s="89" t="n"/>
      <c r="R826" s="89" t="n"/>
      <c r="S826" s="89" t="n"/>
      <c r="T826" s="55" t="n"/>
      <c r="V826" s="1" t="n"/>
      <c r="Y826" s="111" t="n"/>
      <c r="Z826" s="111" t="n"/>
      <c r="AA826" s="111" t="n"/>
      <c r="AK826" s="55" t="n"/>
      <c r="AL826" s="89" t="n"/>
    </row>
    <row r="827" ht="22.5" customHeight="1" s="150">
      <c r="A827" s="34" t="n">
        <v>825</v>
      </c>
      <c r="B827" s="34" t="n"/>
      <c r="C827" s="34" t="n"/>
      <c r="D827" s="34" t="n"/>
      <c r="E827" s="34" t="n"/>
      <c r="F827" s="86" t="n"/>
      <c r="G827" s="86" t="n"/>
      <c r="H827" s="111" t="n"/>
      <c r="I827" s="87" t="n"/>
      <c r="J827" s="87" t="n"/>
      <c r="K827" s="111" t="n"/>
      <c r="L827" s="86" t="n"/>
      <c r="M827" s="145" t="n"/>
      <c r="N827" s="89" t="n"/>
      <c r="O827" s="144" t="n"/>
      <c r="P827" s="31" t="n"/>
      <c r="Q827" s="89" t="n"/>
      <c r="R827" s="89" t="n"/>
      <c r="S827" s="89" t="n"/>
      <c r="T827" s="55" t="n"/>
      <c r="V827" s="1" t="n"/>
      <c r="Y827" s="111" t="n"/>
      <c r="Z827" s="111" t="n"/>
      <c r="AA827" s="111" t="n"/>
      <c r="AK827" s="55" t="n"/>
      <c r="AL827" s="89" t="n"/>
    </row>
    <row r="828" ht="22.5" customHeight="1" s="150">
      <c r="A828" s="34" t="n">
        <v>826</v>
      </c>
      <c r="B828" s="34" t="n"/>
      <c r="C828" s="34" t="n"/>
      <c r="D828" s="34" t="n"/>
      <c r="E828" s="34" t="n"/>
      <c r="F828" s="86" t="n"/>
      <c r="G828" s="86" t="n"/>
      <c r="H828" s="111" t="n"/>
      <c r="I828" s="87" t="n"/>
      <c r="J828" s="87" t="n"/>
      <c r="K828" s="111" t="n"/>
      <c r="L828" s="86" t="n"/>
      <c r="M828" s="146" t="n"/>
      <c r="N828" s="89" t="n"/>
      <c r="O828" s="144" t="n"/>
      <c r="P828" s="31" t="n"/>
      <c r="Q828" s="89" t="n"/>
      <c r="R828" s="89" t="n"/>
      <c r="S828" s="89" t="n"/>
      <c r="T828" s="55" t="n"/>
      <c r="V828" s="1" t="n"/>
      <c r="Y828" s="111" t="n"/>
      <c r="Z828" s="111" t="n"/>
      <c r="AA828" s="111" t="n"/>
      <c r="AK828" s="55" t="n"/>
      <c r="AL828" s="89" t="n"/>
    </row>
    <row r="829" ht="22.5" customHeight="1" s="150">
      <c r="A829" s="34" t="n">
        <v>827</v>
      </c>
      <c r="B829" s="34" t="n"/>
      <c r="C829" s="34" t="n"/>
      <c r="D829" s="34" t="n"/>
      <c r="E829" s="34" t="n"/>
      <c r="F829" s="86" t="n"/>
      <c r="G829" s="86" t="n"/>
      <c r="H829" s="111" t="n"/>
      <c r="I829" s="87" t="n"/>
      <c r="J829" s="87" t="n"/>
      <c r="K829" s="111" t="n"/>
      <c r="L829" s="86" t="n"/>
      <c r="M829" s="145" t="n"/>
      <c r="N829" s="89" t="n"/>
      <c r="O829" s="144" t="n"/>
      <c r="P829" s="31" t="n"/>
      <c r="Q829" s="89" t="n"/>
      <c r="R829" s="89" t="n"/>
      <c r="S829" s="89" t="n"/>
      <c r="T829" s="55" t="n"/>
      <c r="V829" s="1" t="n"/>
      <c r="Y829" s="111" t="n"/>
      <c r="Z829" s="111" t="n"/>
      <c r="AA829" s="111" t="n"/>
      <c r="AK829" s="55" t="n"/>
      <c r="AL829" s="89" t="n"/>
    </row>
    <row r="830" ht="22.5" customHeight="1" s="150">
      <c r="A830" s="34" t="n">
        <v>828</v>
      </c>
      <c r="B830" s="34" t="n"/>
      <c r="C830" s="34" t="n"/>
      <c r="D830" s="34" t="n"/>
      <c r="E830" s="34" t="n"/>
      <c r="F830" s="86" t="n"/>
      <c r="G830" s="86" t="n"/>
      <c r="H830" s="111" t="n"/>
      <c r="I830" s="87" t="n"/>
      <c r="J830" s="87" t="n"/>
      <c r="K830" s="111" t="n"/>
      <c r="L830" s="86" t="n"/>
      <c r="M830" s="146" t="n"/>
      <c r="N830" s="89" t="n"/>
      <c r="O830" s="144" t="n"/>
      <c r="P830" s="31" t="n"/>
      <c r="Q830" s="89" t="n"/>
      <c r="R830" s="89" t="n"/>
      <c r="S830" s="89" t="n"/>
      <c r="T830" s="55" t="n"/>
      <c r="V830" s="1" t="n"/>
      <c r="Y830" s="111" t="n"/>
      <c r="Z830" s="111" t="n"/>
      <c r="AA830" s="111" t="n"/>
      <c r="AK830" s="55" t="n"/>
      <c r="AL830" s="89" t="n"/>
    </row>
    <row r="831" ht="22.5" customHeight="1" s="150">
      <c r="A831" s="34" t="n">
        <v>829</v>
      </c>
      <c r="B831" s="34" t="n"/>
      <c r="C831" s="34" t="n"/>
      <c r="D831" s="34" t="n"/>
      <c r="E831" s="34" t="n"/>
      <c r="F831" s="86" t="n"/>
      <c r="G831" s="86" t="n"/>
      <c r="H831" s="111" t="n"/>
      <c r="I831" s="87" t="n"/>
      <c r="J831" s="87" t="n"/>
      <c r="K831" s="111" t="n"/>
      <c r="L831" s="86" t="n"/>
      <c r="M831" s="145" t="n"/>
      <c r="N831" s="89" t="n"/>
      <c r="O831" s="144" t="n"/>
      <c r="P831" s="31" t="n"/>
      <c r="Q831" s="89" t="n"/>
      <c r="R831" s="89" t="n"/>
      <c r="S831" s="89" t="n"/>
      <c r="T831" s="55" t="n"/>
      <c r="V831" s="1" t="n"/>
      <c r="Y831" s="111" t="n"/>
      <c r="Z831" s="111" t="n"/>
      <c r="AA831" s="111" t="n"/>
      <c r="AK831" s="55" t="n"/>
      <c r="AL831" s="89" t="n"/>
    </row>
    <row r="832" ht="22.5" customHeight="1" s="150">
      <c r="A832" s="34" t="n">
        <v>830</v>
      </c>
      <c r="B832" s="34" t="n"/>
      <c r="C832" s="34" t="n"/>
      <c r="D832" s="34" t="n"/>
      <c r="E832" s="34" t="n"/>
      <c r="F832" s="86" t="n"/>
      <c r="G832" s="86" t="n"/>
      <c r="H832" s="111" t="n"/>
      <c r="I832" s="87" t="n"/>
      <c r="J832" s="87" t="n"/>
      <c r="K832" s="111" t="n"/>
      <c r="L832" s="86" t="n"/>
      <c r="M832" s="146" t="n"/>
      <c r="N832" s="89" t="n"/>
      <c r="O832" s="144" t="n"/>
      <c r="P832" s="31" t="n"/>
      <c r="Q832" s="89" t="n"/>
      <c r="R832" s="89" t="n"/>
      <c r="S832" s="89" t="n"/>
      <c r="T832" s="55" t="n"/>
      <c r="V832" s="1" t="n"/>
      <c r="Y832" s="111" t="n"/>
      <c r="Z832" s="111" t="n"/>
      <c r="AA832" s="111" t="n"/>
      <c r="AK832" s="55" t="n"/>
      <c r="AL832" s="89" t="n"/>
    </row>
    <row r="833" ht="22.5" customHeight="1" s="150">
      <c r="A833" s="34" t="n">
        <v>831</v>
      </c>
      <c r="B833" s="34" t="n"/>
      <c r="C833" s="34" t="n"/>
      <c r="D833" s="34" t="n"/>
      <c r="E833" s="34" t="n"/>
      <c r="F833" s="86" t="n"/>
      <c r="G833" s="86" t="n"/>
      <c r="H833" s="111" t="n"/>
      <c r="I833" s="87" t="n"/>
      <c r="J833" s="87" t="n"/>
      <c r="K833" s="111" t="n"/>
      <c r="L833" s="86" t="n"/>
      <c r="M833" s="145" t="n"/>
      <c r="N833" s="89" t="n"/>
      <c r="O833" s="144" t="n"/>
      <c r="P833" s="31" t="n"/>
      <c r="Q833" s="89" t="n"/>
      <c r="R833" s="89" t="n"/>
      <c r="S833" s="89" t="n"/>
      <c r="T833" s="55" t="n"/>
      <c r="V833" s="1" t="n"/>
      <c r="Y833" s="111" t="n"/>
      <c r="Z833" s="111" t="n"/>
      <c r="AA833" s="111" t="n"/>
      <c r="AK833" s="55" t="n"/>
      <c r="AL833" s="89" t="n"/>
    </row>
    <row r="834" ht="22.5" customHeight="1" s="150">
      <c r="A834" s="34" t="n">
        <v>832</v>
      </c>
      <c r="B834" s="34" t="n"/>
      <c r="C834" s="34" t="n"/>
      <c r="D834" s="34" t="n"/>
      <c r="E834" s="34" t="n"/>
      <c r="F834" s="86" t="n"/>
      <c r="G834" s="86" t="n"/>
      <c r="H834" s="111" t="n"/>
      <c r="I834" s="87" t="n"/>
      <c r="J834" s="87" t="n"/>
      <c r="K834" s="111" t="n"/>
      <c r="L834" s="86" t="n"/>
      <c r="M834" s="146" t="n"/>
      <c r="N834" s="89" t="n"/>
      <c r="O834" s="144" t="n"/>
      <c r="P834" s="31" t="n"/>
      <c r="Q834" s="89" t="n"/>
      <c r="R834" s="89" t="n"/>
      <c r="S834" s="89" t="n"/>
      <c r="T834" s="55" t="n"/>
      <c r="V834" s="1" t="n"/>
      <c r="Y834" s="111" t="n"/>
      <c r="Z834" s="111" t="n"/>
      <c r="AA834" s="111" t="n"/>
      <c r="AK834" s="55" t="n"/>
      <c r="AL834" s="89" t="n"/>
    </row>
    <row r="835" ht="22.5" customHeight="1" s="150">
      <c r="A835" s="34" t="n">
        <v>833</v>
      </c>
      <c r="B835" s="34" t="n"/>
      <c r="C835" s="34" t="n"/>
      <c r="D835" s="34" t="n"/>
      <c r="E835" s="34" t="n"/>
      <c r="F835" s="86" t="n"/>
      <c r="G835" s="86" t="n"/>
      <c r="H835" s="111" t="n"/>
      <c r="I835" s="87" t="n"/>
      <c r="J835" s="87" t="n"/>
      <c r="K835" s="111" t="n"/>
      <c r="L835" s="86" t="n"/>
      <c r="M835" s="145" t="n"/>
      <c r="N835" s="89" t="n"/>
      <c r="O835" s="144" t="n"/>
      <c r="P835" s="31" t="n"/>
      <c r="Q835" s="89" t="n"/>
      <c r="R835" s="89" t="n"/>
      <c r="S835" s="89" t="n"/>
      <c r="T835" s="55" t="n"/>
      <c r="V835" s="1" t="n"/>
      <c r="Y835" s="111" t="n"/>
      <c r="Z835" s="111" t="n"/>
      <c r="AA835" s="111" t="n"/>
      <c r="AK835" s="55" t="n"/>
      <c r="AL835" s="89" t="n"/>
    </row>
    <row r="836" ht="22.5" customHeight="1" s="150">
      <c r="A836" s="34" t="n">
        <v>834</v>
      </c>
      <c r="B836" s="34" t="n"/>
      <c r="C836" s="34" t="n"/>
      <c r="D836" s="34" t="n"/>
      <c r="E836" s="34" t="n"/>
      <c r="F836" s="86" t="n"/>
      <c r="G836" s="86" t="n"/>
      <c r="H836" s="111" t="n"/>
      <c r="I836" s="87" t="n"/>
      <c r="J836" s="87" t="n"/>
      <c r="K836" s="111" t="n"/>
      <c r="L836" s="86" t="n"/>
      <c r="M836" s="146" t="n"/>
      <c r="N836" s="89" t="n"/>
      <c r="O836" s="144" t="n"/>
      <c r="P836" s="31" t="n"/>
      <c r="Q836" s="89" t="n"/>
      <c r="R836" s="89" t="n"/>
      <c r="S836" s="89" t="n"/>
      <c r="T836" s="55" t="n"/>
      <c r="V836" s="1" t="n"/>
      <c r="Y836" s="111" t="n"/>
      <c r="Z836" s="111" t="n"/>
      <c r="AA836" s="111" t="n"/>
      <c r="AK836" s="55" t="n"/>
      <c r="AL836" s="89" t="n"/>
    </row>
    <row r="837" ht="22.5" customHeight="1" s="150">
      <c r="A837" s="34" t="n">
        <v>835</v>
      </c>
      <c r="B837" s="34" t="n"/>
      <c r="C837" s="34" t="n"/>
      <c r="D837" s="34" t="n"/>
      <c r="E837" s="34" t="n"/>
      <c r="F837" s="86" t="n"/>
      <c r="G837" s="86" t="n"/>
      <c r="H837" s="111" t="n"/>
      <c r="I837" s="87" t="n"/>
      <c r="J837" s="87" t="n"/>
      <c r="K837" s="111" t="n"/>
      <c r="L837" s="86" t="n"/>
      <c r="M837" s="145" t="n"/>
      <c r="N837" s="89" t="n"/>
      <c r="O837" s="144" t="n"/>
      <c r="P837" s="31" t="n"/>
      <c r="Q837" s="89" t="n"/>
      <c r="R837" s="89" t="n"/>
      <c r="S837" s="89" t="n"/>
      <c r="T837" s="55" t="n"/>
      <c r="V837" s="1" t="n"/>
      <c r="Y837" s="111" t="n"/>
      <c r="Z837" s="111" t="n"/>
      <c r="AA837" s="111" t="n"/>
      <c r="AK837" s="55" t="n"/>
      <c r="AL837" s="89" t="n"/>
    </row>
    <row r="838" ht="22.5" customHeight="1" s="150">
      <c r="A838" s="34" t="n">
        <v>836</v>
      </c>
      <c r="B838" s="34" t="n"/>
      <c r="C838" s="34" t="n"/>
      <c r="D838" s="34" t="n"/>
      <c r="E838" s="34" t="n"/>
      <c r="F838" s="86" t="n"/>
      <c r="G838" s="86" t="n"/>
      <c r="H838" s="111" t="n"/>
      <c r="I838" s="87" t="n"/>
      <c r="J838" s="87" t="n"/>
      <c r="K838" s="111" t="n"/>
      <c r="L838" s="86" t="n"/>
      <c r="M838" s="146" t="n"/>
      <c r="N838" s="89" t="n"/>
      <c r="O838" s="144" t="n"/>
      <c r="P838" s="31" t="n"/>
      <c r="Q838" s="89" t="n"/>
      <c r="R838" s="89" t="n"/>
      <c r="S838" s="89" t="n"/>
      <c r="T838" s="55" t="n"/>
      <c r="V838" s="1" t="n"/>
      <c r="Y838" s="111" t="n"/>
      <c r="Z838" s="111" t="n"/>
      <c r="AA838" s="111" t="n"/>
      <c r="AK838" s="55" t="n"/>
      <c r="AL838" s="89" t="n"/>
    </row>
    <row r="839" ht="22.5" customHeight="1" s="150">
      <c r="A839" s="34" t="n">
        <v>837</v>
      </c>
      <c r="B839" s="34" t="n"/>
      <c r="C839" s="34" t="n"/>
      <c r="D839" s="34" t="n"/>
      <c r="E839" s="34" t="n"/>
      <c r="F839" s="86" t="n"/>
      <c r="G839" s="86" t="n"/>
      <c r="H839" s="111" t="n"/>
      <c r="I839" s="87" t="n"/>
      <c r="J839" s="87" t="n"/>
      <c r="K839" s="111" t="n"/>
      <c r="L839" s="86" t="n"/>
      <c r="M839" s="145" t="n"/>
      <c r="N839" s="89" t="n"/>
      <c r="O839" s="144" t="n"/>
      <c r="P839" s="31" t="n"/>
      <c r="Q839" s="89" t="n"/>
      <c r="R839" s="89" t="n"/>
      <c r="S839" s="89" t="n"/>
      <c r="T839" s="55" t="n"/>
      <c r="V839" s="1" t="n"/>
      <c r="Y839" s="111" t="n"/>
      <c r="Z839" s="111" t="n"/>
      <c r="AA839" s="111" t="n"/>
      <c r="AK839" s="55" t="n"/>
      <c r="AL839" s="89" t="n"/>
    </row>
    <row r="840" ht="22.5" customHeight="1" s="150">
      <c r="A840" s="34" t="n">
        <v>838</v>
      </c>
      <c r="B840" s="34" t="n"/>
      <c r="C840" s="34" t="n"/>
      <c r="D840" s="34" t="n"/>
      <c r="E840" s="34" t="n"/>
      <c r="F840" s="86" t="n"/>
      <c r="G840" s="86" t="n"/>
      <c r="H840" s="111" t="n"/>
      <c r="I840" s="87" t="n"/>
      <c r="J840" s="87" t="n"/>
      <c r="K840" s="111" t="n"/>
      <c r="L840" s="86" t="n"/>
      <c r="M840" s="146" t="n"/>
      <c r="N840" s="89" t="n"/>
      <c r="O840" s="144" t="n"/>
      <c r="P840" s="31" t="n"/>
      <c r="Q840" s="89" t="n"/>
      <c r="R840" s="89" t="n"/>
      <c r="S840" s="89" t="n"/>
      <c r="T840" s="55" t="n"/>
      <c r="V840" s="1" t="n"/>
      <c r="Y840" s="111" t="n"/>
      <c r="Z840" s="111" t="n"/>
      <c r="AA840" s="111" t="n"/>
      <c r="AK840" s="55" t="n"/>
      <c r="AL840" s="89" t="n"/>
    </row>
    <row r="841" ht="22.5" customHeight="1" s="150">
      <c r="A841" s="34" t="n">
        <v>839</v>
      </c>
      <c r="B841" s="34" t="n"/>
      <c r="C841" s="34" t="n"/>
      <c r="D841" s="34" t="n"/>
      <c r="E841" s="34" t="n"/>
      <c r="F841" s="86" t="n"/>
      <c r="G841" s="86" t="n"/>
      <c r="H841" s="111" t="n"/>
      <c r="I841" s="87" t="n"/>
      <c r="J841" s="87" t="n"/>
      <c r="K841" s="111" t="n"/>
      <c r="L841" s="86" t="n"/>
      <c r="M841" s="145" t="n"/>
      <c r="N841" s="89" t="n"/>
      <c r="O841" s="144" t="n"/>
      <c r="P841" s="31" t="n"/>
      <c r="Q841" s="89" t="n"/>
      <c r="R841" s="89" t="n"/>
      <c r="S841" s="89" t="n"/>
      <c r="T841" s="55" t="n"/>
      <c r="V841" s="1" t="n"/>
      <c r="Y841" s="111" t="n"/>
      <c r="Z841" s="111" t="n"/>
      <c r="AA841" s="111" t="n"/>
      <c r="AK841" s="55" t="n"/>
      <c r="AL841" s="89" t="n"/>
    </row>
    <row r="842" ht="22.5" customHeight="1" s="150">
      <c r="A842" s="34" t="n">
        <v>840</v>
      </c>
      <c r="B842" s="34" t="n"/>
      <c r="C842" s="34" t="n"/>
      <c r="D842" s="34" t="n"/>
      <c r="E842" s="34" t="n"/>
      <c r="F842" s="86" t="n"/>
      <c r="G842" s="86" t="n"/>
      <c r="H842" s="111" t="n"/>
      <c r="I842" s="87" t="n"/>
      <c r="J842" s="87" t="n"/>
      <c r="K842" s="111" t="n"/>
      <c r="L842" s="86" t="n"/>
      <c r="M842" s="146" t="n"/>
      <c r="N842" s="89" t="n"/>
      <c r="O842" s="144" t="n"/>
      <c r="P842" s="31" t="n"/>
      <c r="Q842" s="89" t="n"/>
      <c r="R842" s="89" t="n"/>
      <c r="S842" s="89" t="n"/>
      <c r="T842" s="55" t="n"/>
      <c r="V842" s="1" t="n"/>
      <c r="Y842" s="111" t="n"/>
      <c r="Z842" s="111" t="n"/>
      <c r="AA842" s="111" t="n"/>
      <c r="AK842" s="55" t="n"/>
      <c r="AL842" s="89" t="n"/>
    </row>
    <row r="843" ht="22.5" customHeight="1" s="150">
      <c r="A843" s="34" t="n">
        <v>841</v>
      </c>
      <c r="B843" s="34" t="n"/>
      <c r="C843" s="34" t="n"/>
      <c r="D843" s="34" t="n"/>
      <c r="E843" s="34" t="n"/>
      <c r="F843" s="86" t="n"/>
      <c r="G843" s="86" t="n"/>
      <c r="H843" s="111" t="n"/>
      <c r="I843" s="87" t="n"/>
      <c r="J843" s="87" t="n"/>
      <c r="K843" s="111" t="n"/>
      <c r="L843" s="86" t="n"/>
      <c r="M843" s="145" t="n"/>
      <c r="N843" s="89" t="n"/>
      <c r="O843" s="144" t="n"/>
      <c r="P843" s="31" t="n"/>
      <c r="Q843" s="89" t="n"/>
      <c r="R843" s="89" t="n"/>
      <c r="S843" s="89" t="n"/>
      <c r="T843" s="55" t="n"/>
      <c r="V843" s="1" t="n"/>
      <c r="Y843" s="111" t="n"/>
      <c r="Z843" s="111" t="n"/>
      <c r="AA843" s="111" t="n"/>
      <c r="AK843" s="55" t="n"/>
      <c r="AL843" s="89" t="n"/>
    </row>
    <row r="844" ht="22.5" customHeight="1" s="150">
      <c r="A844" s="34" t="n">
        <v>842</v>
      </c>
      <c r="B844" s="34" t="n"/>
      <c r="C844" s="34" t="n"/>
      <c r="D844" s="34" t="n"/>
      <c r="E844" s="34" t="n"/>
      <c r="F844" s="86" t="n"/>
      <c r="G844" s="86" t="n"/>
      <c r="H844" s="111" t="n"/>
      <c r="I844" s="87" t="n"/>
      <c r="J844" s="87" t="n"/>
      <c r="K844" s="111" t="n"/>
      <c r="L844" s="86" t="n"/>
      <c r="M844" s="146" t="n"/>
      <c r="N844" s="89" t="n"/>
      <c r="O844" s="144" t="n"/>
      <c r="P844" s="31" t="n"/>
      <c r="Q844" s="89" t="n"/>
      <c r="R844" s="89" t="n"/>
      <c r="S844" s="89" t="n"/>
      <c r="T844" s="55" t="n"/>
      <c r="V844" s="1" t="n"/>
      <c r="Y844" s="111" t="n"/>
      <c r="Z844" s="111" t="n"/>
      <c r="AA844" s="111" t="n"/>
      <c r="AK844" s="55" t="n"/>
      <c r="AL844" s="89" t="n"/>
    </row>
    <row r="845" ht="22.5" customHeight="1" s="150">
      <c r="A845" s="34" t="n">
        <v>843</v>
      </c>
      <c r="B845" s="34" t="n"/>
      <c r="C845" s="34" t="n"/>
      <c r="D845" s="34" t="n"/>
      <c r="E845" s="34" t="n"/>
      <c r="F845" s="86" t="n"/>
      <c r="G845" s="86" t="n"/>
      <c r="H845" s="111" t="n"/>
      <c r="I845" s="87" t="n"/>
      <c r="J845" s="87" t="n"/>
      <c r="K845" s="111" t="n"/>
      <c r="L845" s="86" t="n"/>
      <c r="M845" s="145" t="n"/>
      <c r="N845" s="89" t="n"/>
      <c r="O845" s="144" t="n"/>
      <c r="P845" s="31" t="n"/>
      <c r="Q845" s="89" t="n"/>
      <c r="R845" s="89" t="n"/>
      <c r="S845" s="89" t="n"/>
      <c r="T845" s="55" t="n"/>
      <c r="V845" s="1" t="n"/>
      <c r="Y845" s="111" t="n"/>
      <c r="Z845" s="111" t="n"/>
      <c r="AA845" s="111" t="n"/>
      <c r="AK845" s="55" t="n"/>
      <c r="AL845" s="89" t="n"/>
    </row>
    <row r="846" ht="22.5" customHeight="1" s="150">
      <c r="A846" s="34" t="n">
        <v>844</v>
      </c>
      <c r="B846" s="34" t="n"/>
      <c r="C846" s="34" t="n"/>
      <c r="D846" s="34" t="n"/>
      <c r="E846" s="34" t="n"/>
      <c r="F846" s="86" t="n"/>
      <c r="G846" s="86" t="n"/>
      <c r="H846" s="111" t="n"/>
      <c r="I846" s="87" t="n"/>
      <c r="J846" s="87" t="n"/>
      <c r="K846" s="111" t="n"/>
      <c r="L846" s="86" t="n"/>
      <c r="M846" s="146" t="n"/>
      <c r="N846" s="89" t="n"/>
      <c r="O846" s="144" t="n"/>
      <c r="P846" s="31" t="n"/>
      <c r="Q846" s="89" t="n"/>
      <c r="R846" s="89" t="n"/>
      <c r="S846" s="89" t="n"/>
      <c r="T846" s="55" t="n"/>
      <c r="V846" s="1" t="n"/>
      <c r="Y846" s="111" t="n"/>
      <c r="Z846" s="111" t="n"/>
      <c r="AA846" s="111" t="n"/>
      <c r="AK846" s="55" t="n"/>
      <c r="AL846" s="89" t="n"/>
    </row>
    <row r="847" ht="22.5" customHeight="1" s="150">
      <c r="A847" s="34" t="n">
        <v>845</v>
      </c>
      <c r="B847" s="34" t="n"/>
      <c r="C847" s="34" t="n"/>
      <c r="D847" s="34" t="n"/>
      <c r="E847" s="34" t="n"/>
      <c r="F847" s="86" t="n"/>
      <c r="G847" s="86" t="n"/>
      <c r="H847" s="111" t="n"/>
      <c r="I847" s="87" t="n"/>
      <c r="J847" s="87" t="n"/>
      <c r="K847" s="111" t="n"/>
      <c r="L847" s="86" t="n"/>
      <c r="M847" s="145" t="n"/>
      <c r="N847" s="89" t="n"/>
      <c r="O847" s="144" t="n"/>
      <c r="P847" s="31" t="n"/>
      <c r="Q847" s="89" t="n"/>
      <c r="R847" s="89" t="n"/>
      <c r="S847" s="89" t="n"/>
      <c r="T847" s="55" t="n"/>
      <c r="V847" s="1" t="n"/>
      <c r="Y847" s="111" t="n"/>
      <c r="Z847" s="111" t="n"/>
      <c r="AA847" s="111" t="n"/>
      <c r="AK847" s="55" t="n"/>
      <c r="AL847" s="89" t="n"/>
    </row>
    <row r="848" ht="22.5" customHeight="1" s="150">
      <c r="A848" s="34" t="n">
        <v>846</v>
      </c>
      <c r="B848" s="34" t="n"/>
      <c r="C848" s="34" t="n"/>
      <c r="D848" s="34" t="n"/>
      <c r="E848" s="34" t="n"/>
      <c r="F848" s="86" t="n"/>
      <c r="G848" s="86" t="n"/>
      <c r="H848" s="111" t="n"/>
      <c r="I848" s="87" t="n"/>
      <c r="J848" s="87" t="n"/>
      <c r="K848" s="111" t="n"/>
      <c r="L848" s="86" t="n"/>
      <c r="M848" s="146" t="n"/>
      <c r="N848" s="89" t="n"/>
      <c r="O848" s="144" t="n"/>
      <c r="P848" s="31" t="n"/>
      <c r="Q848" s="89" t="n"/>
      <c r="R848" s="89" t="n"/>
      <c r="S848" s="89" t="n"/>
      <c r="T848" s="55" t="n"/>
      <c r="V848" s="1" t="n"/>
      <c r="Y848" s="111" t="n"/>
      <c r="Z848" s="111" t="n"/>
      <c r="AA848" s="111" t="n"/>
      <c r="AK848" s="55" t="n"/>
      <c r="AL848" s="89" t="n"/>
    </row>
    <row r="849" ht="22.5" customHeight="1" s="150">
      <c r="A849" s="34" t="n">
        <v>847</v>
      </c>
      <c r="B849" s="34" t="n"/>
      <c r="C849" s="34" t="n"/>
      <c r="D849" s="34" t="n"/>
      <c r="E849" s="34" t="n"/>
      <c r="F849" s="86" t="n"/>
      <c r="G849" s="86" t="n"/>
      <c r="H849" s="111" t="n"/>
      <c r="I849" s="87" t="n"/>
      <c r="J849" s="87" t="n"/>
      <c r="K849" s="111" t="n"/>
      <c r="L849" s="86" t="n"/>
      <c r="M849" s="145" t="n"/>
      <c r="N849" s="89" t="n"/>
      <c r="O849" s="144" t="n"/>
      <c r="P849" s="31" t="n"/>
      <c r="Q849" s="89" t="n"/>
      <c r="R849" s="89" t="n"/>
      <c r="S849" s="89" t="n"/>
      <c r="T849" s="55" t="n"/>
      <c r="V849" s="1" t="n"/>
      <c r="Y849" s="111" t="n"/>
      <c r="Z849" s="111" t="n"/>
      <c r="AA849" s="111" t="n"/>
      <c r="AK849" s="55" t="n"/>
      <c r="AL849" s="89" t="n"/>
    </row>
    <row r="850" ht="22.5" customHeight="1" s="150">
      <c r="A850" s="34" t="n">
        <v>848</v>
      </c>
      <c r="B850" s="34" t="n"/>
      <c r="C850" s="34" t="n"/>
      <c r="D850" s="34" t="n"/>
      <c r="E850" s="34" t="n"/>
      <c r="F850" s="86" t="n"/>
      <c r="G850" s="86" t="n"/>
      <c r="H850" s="111" t="n"/>
      <c r="I850" s="87" t="n"/>
      <c r="J850" s="87" t="n"/>
      <c r="K850" s="111" t="n"/>
      <c r="L850" s="86" t="n"/>
      <c r="M850" s="146" t="n"/>
      <c r="N850" s="89" t="n"/>
      <c r="O850" s="144" t="n"/>
      <c r="P850" s="31" t="n"/>
      <c r="Q850" s="89" t="n"/>
      <c r="R850" s="89" t="n"/>
      <c r="S850" s="89" t="n"/>
      <c r="T850" s="55" t="n"/>
      <c r="V850" s="1" t="n"/>
      <c r="Y850" s="111" t="n"/>
      <c r="Z850" s="111" t="n"/>
      <c r="AA850" s="111" t="n"/>
      <c r="AK850" s="55" t="n"/>
      <c r="AL850" s="89" t="n"/>
    </row>
    <row r="851" ht="22.5" customHeight="1" s="150">
      <c r="A851" s="34" t="n">
        <v>849</v>
      </c>
      <c r="B851" s="34" t="n"/>
      <c r="C851" s="34" t="n"/>
      <c r="D851" s="34" t="n"/>
      <c r="E851" s="34" t="n"/>
      <c r="F851" s="86" t="n"/>
      <c r="G851" s="86" t="n"/>
      <c r="H851" s="111" t="n"/>
      <c r="I851" s="87" t="n"/>
      <c r="J851" s="87" t="n"/>
      <c r="K851" s="111" t="n"/>
      <c r="L851" s="86" t="n"/>
      <c r="M851" s="145" t="n"/>
      <c r="N851" s="89" t="n"/>
      <c r="O851" s="144" t="n"/>
      <c r="P851" s="31" t="n"/>
      <c r="Q851" s="89" t="n"/>
      <c r="R851" s="89" t="n"/>
      <c r="S851" s="89" t="n"/>
      <c r="T851" s="55" t="n"/>
      <c r="V851" s="1" t="n"/>
      <c r="Y851" s="111" t="n"/>
      <c r="Z851" s="111" t="n"/>
      <c r="AA851" s="111" t="n"/>
      <c r="AK851" s="55" t="n"/>
      <c r="AL851" s="89" t="n"/>
    </row>
    <row r="852" ht="22.5" customHeight="1" s="150">
      <c r="A852" s="34" t="n">
        <v>850</v>
      </c>
      <c r="B852" s="34" t="n"/>
      <c r="C852" s="34" t="n"/>
      <c r="D852" s="34" t="n"/>
      <c r="E852" s="34" t="n"/>
      <c r="F852" s="86" t="n"/>
      <c r="G852" s="86" t="n"/>
      <c r="H852" s="111" t="n"/>
      <c r="I852" s="87" t="n"/>
      <c r="J852" s="87" t="n"/>
      <c r="K852" s="111" t="n"/>
      <c r="L852" s="86" t="n"/>
      <c r="M852" s="146" t="n"/>
      <c r="N852" s="89" t="n"/>
      <c r="O852" s="144" t="n"/>
      <c r="P852" s="31" t="n"/>
      <c r="Q852" s="89" t="n"/>
      <c r="R852" s="89" t="n"/>
      <c r="S852" s="89" t="n"/>
      <c r="T852" s="55" t="n"/>
      <c r="V852" s="1" t="n"/>
      <c r="Y852" s="111" t="n"/>
      <c r="Z852" s="111" t="n"/>
      <c r="AA852" s="111" t="n"/>
      <c r="AK852" s="55" t="n"/>
      <c r="AL852" s="89" t="n"/>
    </row>
    <row r="853" ht="22.5" customHeight="1" s="150">
      <c r="A853" s="34" t="n">
        <v>851</v>
      </c>
      <c r="B853" s="34" t="n"/>
      <c r="C853" s="34" t="n"/>
      <c r="D853" s="34" t="n"/>
      <c r="E853" s="34" t="n"/>
      <c r="F853" s="86" t="n"/>
      <c r="G853" s="86" t="n"/>
      <c r="H853" s="111" t="n"/>
      <c r="I853" s="87" t="n"/>
      <c r="J853" s="87" t="n"/>
      <c r="K853" s="111" t="n"/>
      <c r="L853" s="86" t="n"/>
      <c r="M853" s="145" t="n"/>
      <c r="N853" s="89" t="n"/>
      <c r="O853" s="144" t="n"/>
      <c r="P853" s="31" t="n"/>
      <c r="Q853" s="89" t="n"/>
      <c r="R853" s="89" t="n"/>
      <c r="S853" s="89" t="n"/>
      <c r="T853" s="55" t="n"/>
      <c r="V853" s="1" t="n"/>
      <c r="Y853" s="111" t="n"/>
      <c r="Z853" s="111" t="n"/>
      <c r="AA853" s="111" t="n"/>
      <c r="AK853" s="55" t="n"/>
      <c r="AL853" s="89" t="n"/>
    </row>
    <row r="854" ht="22.5" customHeight="1" s="150">
      <c r="A854" s="34" t="n">
        <v>852</v>
      </c>
      <c r="B854" s="34" t="n"/>
      <c r="C854" s="34" t="n"/>
      <c r="D854" s="34" t="n"/>
      <c r="E854" s="34" t="n"/>
      <c r="F854" s="86" t="n"/>
      <c r="G854" s="86" t="n"/>
      <c r="H854" s="111" t="n"/>
      <c r="I854" s="87" t="n"/>
      <c r="J854" s="87" t="n"/>
      <c r="K854" s="111" t="n"/>
      <c r="L854" s="86" t="n"/>
      <c r="M854" s="146" t="n"/>
      <c r="N854" s="89" t="n"/>
      <c r="O854" s="144" t="n"/>
      <c r="P854" s="31" t="n"/>
      <c r="Q854" s="89" t="n"/>
      <c r="R854" s="89" t="n"/>
      <c r="S854" s="89" t="n"/>
      <c r="T854" s="55" t="n"/>
      <c r="V854" s="1" t="n"/>
      <c r="Y854" s="111" t="n"/>
      <c r="Z854" s="111" t="n"/>
      <c r="AA854" s="111" t="n"/>
      <c r="AK854" s="55" t="n"/>
      <c r="AL854" s="89" t="n"/>
    </row>
    <row r="855" ht="22.5" customHeight="1" s="150">
      <c r="A855" s="34" t="n">
        <v>853</v>
      </c>
      <c r="B855" s="34" t="n"/>
      <c r="C855" s="34" t="n"/>
      <c r="D855" s="34" t="n"/>
      <c r="E855" s="34" t="n"/>
      <c r="F855" s="86" t="n"/>
      <c r="G855" s="86" t="n"/>
      <c r="H855" s="111" t="n"/>
      <c r="I855" s="87" t="n"/>
      <c r="J855" s="87" t="n"/>
      <c r="K855" s="111" t="n"/>
      <c r="L855" s="86" t="n"/>
      <c r="M855" s="145" t="n"/>
      <c r="N855" s="89" t="n"/>
      <c r="O855" s="144" t="n"/>
      <c r="P855" s="31" t="n"/>
      <c r="Q855" s="89" t="n"/>
      <c r="R855" s="89" t="n"/>
      <c r="S855" s="89" t="n"/>
      <c r="T855" s="55" t="n"/>
      <c r="V855" s="1" t="n"/>
      <c r="Y855" s="111" t="n"/>
      <c r="Z855" s="111" t="n"/>
      <c r="AA855" s="111" t="n"/>
      <c r="AK855" s="55" t="n"/>
      <c r="AL855" s="89" t="n"/>
    </row>
    <row r="856" ht="22.5" customHeight="1" s="150">
      <c r="A856" s="34" t="n">
        <v>854</v>
      </c>
      <c r="B856" s="34" t="n"/>
      <c r="C856" s="34" t="n"/>
      <c r="D856" s="34" t="n"/>
      <c r="E856" s="34" t="n"/>
      <c r="F856" s="86" t="n"/>
      <c r="G856" s="86" t="n"/>
      <c r="H856" s="111" t="n"/>
      <c r="I856" s="87" t="n"/>
      <c r="J856" s="87" t="n"/>
      <c r="K856" s="111" t="n"/>
      <c r="L856" s="86" t="n"/>
      <c r="M856" s="146" t="n"/>
      <c r="N856" s="89" t="n"/>
      <c r="O856" s="144" t="n"/>
      <c r="P856" s="31" t="n"/>
      <c r="Q856" s="89" t="n"/>
      <c r="R856" s="89" t="n"/>
      <c r="S856" s="89" t="n"/>
      <c r="T856" s="55" t="n"/>
      <c r="V856" s="1" t="n"/>
      <c r="Y856" s="111" t="n"/>
      <c r="Z856" s="111" t="n"/>
      <c r="AA856" s="111" t="n"/>
      <c r="AK856" s="55" t="n"/>
      <c r="AL856" s="89" t="n"/>
    </row>
    <row r="857" ht="22.5" customHeight="1" s="150">
      <c r="A857" s="34" t="n">
        <v>855</v>
      </c>
      <c r="B857" s="34" t="n"/>
      <c r="C857" s="34" t="n"/>
      <c r="D857" s="34" t="n"/>
      <c r="E857" s="34" t="n"/>
      <c r="F857" s="86" t="n"/>
      <c r="G857" s="86" t="n"/>
      <c r="H857" s="111" t="n"/>
      <c r="I857" s="87" t="n"/>
      <c r="J857" s="87" t="n"/>
      <c r="K857" s="111" t="n"/>
      <c r="L857" s="86" t="n"/>
      <c r="M857" s="145" t="n"/>
      <c r="N857" s="89" t="n"/>
      <c r="O857" s="144" t="n"/>
      <c r="P857" s="31" t="n"/>
      <c r="Q857" s="89" t="n"/>
      <c r="R857" s="89" t="n"/>
      <c r="S857" s="89" t="n"/>
      <c r="T857" s="55" t="n"/>
      <c r="V857" s="1" t="n"/>
      <c r="Y857" s="111" t="n"/>
      <c r="Z857" s="111" t="n"/>
      <c r="AA857" s="111" t="n"/>
      <c r="AK857" s="55" t="n"/>
      <c r="AL857" s="89" t="n"/>
    </row>
    <row r="858" ht="22.5" customHeight="1" s="150">
      <c r="A858" s="34" t="n">
        <v>856</v>
      </c>
      <c r="B858" s="34" t="n"/>
      <c r="C858" s="34" t="n"/>
      <c r="D858" s="34" t="n"/>
      <c r="E858" s="34" t="n"/>
      <c r="F858" s="86" t="n"/>
      <c r="G858" s="86" t="n"/>
      <c r="H858" s="111" t="n"/>
      <c r="I858" s="87" t="n"/>
      <c r="J858" s="87" t="n"/>
      <c r="K858" s="111" t="n"/>
      <c r="L858" s="86" t="n"/>
      <c r="M858" s="146" t="n"/>
      <c r="N858" s="89" t="n"/>
      <c r="O858" s="144" t="n"/>
      <c r="P858" s="31" t="n"/>
      <c r="Q858" s="89" t="n"/>
      <c r="R858" s="89" t="n"/>
      <c r="S858" s="89" t="n"/>
      <c r="T858" s="55" t="n"/>
      <c r="V858" s="1" t="n"/>
      <c r="Y858" s="111" t="n"/>
      <c r="Z858" s="111" t="n"/>
      <c r="AA858" s="111" t="n"/>
      <c r="AK858" s="55" t="n"/>
      <c r="AL858" s="89" t="n"/>
    </row>
    <row r="859" ht="22.5" customHeight="1" s="150">
      <c r="A859" s="34" t="n">
        <v>857</v>
      </c>
      <c r="B859" s="34" t="n"/>
      <c r="C859" s="34" t="n"/>
      <c r="D859" s="34" t="n"/>
      <c r="E859" s="34" t="n"/>
      <c r="F859" s="86" t="n"/>
      <c r="G859" s="86" t="n"/>
      <c r="H859" s="111" t="n"/>
      <c r="I859" s="87" t="n"/>
      <c r="J859" s="87" t="n"/>
      <c r="K859" s="111" t="n"/>
      <c r="L859" s="86" t="n"/>
      <c r="M859" s="145" t="n"/>
      <c r="N859" s="89" t="n"/>
      <c r="O859" s="144" t="n"/>
      <c r="P859" s="31" t="n"/>
      <c r="Q859" s="89" t="n"/>
      <c r="R859" s="89" t="n"/>
      <c r="S859" s="89" t="n"/>
      <c r="T859" s="55" t="n"/>
      <c r="V859" s="1" t="n"/>
      <c r="Y859" s="111" t="n"/>
      <c r="Z859" s="111" t="n"/>
      <c r="AA859" s="111" t="n"/>
      <c r="AK859" s="55" t="n"/>
      <c r="AL859" s="89" t="n"/>
    </row>
    <row r="860" ht="22.5" customHeight="1" s="150">
      <c r="A860" s="34" t="n">
        <v>858</v>
      </c>
      <c r="B860" s="34" t="n"/>
      <c r="C860" s="34" t="n"/>
      <c r="D860" s="34" t="n"/>
      <c r="E860" s="34" t="n"/>
      <c r="F860" s="86" t="n"/>
      <c r="G860" s="86" t="n"/>
      <c r="H860" s="111" t="n"/>
      <c r="I860" s="87" t="n"/>
      <c r="J860" s="87" t="n"/>
      <c r="K860" s="111" t="n"/>
      <c r="L860" s="86" t="n"/>
      <c r="M860" s="146" t="n"/>
      <c r="N860" s="89" t="n"/>
      <c r="O860" s="144" t="n"/>
      <c r="P860" s="31" t="n"/>
      <c r="Q860" s="89" t="n"/>
      <c r="R860" s="89" t="n"/>
      <c r="S860" s="89" t="n"/>
      <c r="T860" s="55" t="n"/>
      <c r="V860" s="1" t="n"/>
      <c r="Y860" s="111" t="n"/>
      <c r="Z860" s="111" t="n"/>
      <c r="AA860" s="111" t="n"/>
      <c r="AK860" s="55" t="n"/>
      <c r="AL860" s="89" t="n"/>
    </row>
    <row r="861" ht="22.5" customHeight="1" s="150">
      <c r="A861" s="34" t="n">
        <v>859</v>
      </c>
      <c r="B861" s="34" t="n"/>
      <c r="C861" s="34" t="n"/>
      <c r="D861" s="34" t="n"/>
      <c r="E861" s="34" t="n"/>
      <c r="F861" s="86" t="n"/>
      <c r="G861" s="86" t="n"/>
      <c r="H861" s="111" t="n"/>
      <c r="I861" s="87" t="n"/>
      <c r="J861" s="87" t="n"/>
      <c r="K861" s="111" t="n"/>
      <c r="L861" s="86" t="n"/>
      <c r="M861" s="145" t="n"/>
      <c r="N861" s="89" t="n"/>
      <c r="O861" s="144" t="n"/>
      <c r="P861" s="31" t="n"/>
      <c r="Q861" s="89" t="n"/>
      <c r="R861" s="89" t="n"/>
      <c r="S861" s="89" t="n"/>
      <c r="T861" s="55" t="n"/>
      <c r="V861" s="1" t="n"/>
      <c r="Y861" s="111" t="n"/>
      <c r="Z861" s="111" t="n"/>
      <c r="AA861" s="111" t="n"/>
      <c r="AK861" s="55" t="n"/>
      <c r="AL861" s="89" t="n"/>
    </row>
    <row r="862" ht="22.5" customHeight="1" s="150">
      <c r="A862" s="34" t="n">
        <v>860</v>
      </c>
      <c r="B862" s="34" t="n"/>
      <c r="C862" s="34" t="n"/>
      <c r="D862" s="34" t="n"/>
      <c r="E862" s="34" t="n"/>
      <c r="F862" s="86" t="n"/>
      <c r="G862" s="86" t="n"/>
      <c r="H862" s="111" t="n"/>
      <c r="I862" s="87" t="n"/>
      <c r="J862" s="87" t="n"/>
      <c r="K862" s="111" t="n"/>
      <c r="L862" s="86" t="n"/>
      <c r="M862" s="146" t="n"/>
      <c r="N862" s="89" t="n"/>
      <c r="O862" s="144" t="n"/>
      <c r="P862" s="31" t="n"/>
      <c r="Q862" s="89" t="n"/>
      <c r="R862" s="89" t="n"/>
      <c r="S862" s="89" t="n"/>
      <c r="T862" s="55" t="n"/>
      <c r="V862" s="1" t="n"/>
      <c r="Y862" s="111" t="n"/>
      <c r="Z862" s="111" t="n"/>
      <c r="AA862" s="111" t="n"/>
      <c r="AK862" s="55" t="n"/>
      <c r="AL862" s="89" t="n"/>
    </row>
    <row r="863" ht="22.5" customHeight="1" s="150">
      <c r="A863" s="34" t="n">
        <v>861</v>
      </c>
      <c r="B863" s="34" t="n"/>
      <c r="C863" s="34" t="n"/>
      <c r="D863" s="34" t="n"/>
      <c r="E863" s="34" t="n"/>
      <c r="F863" s="86" t="n"/>
      <c r="G863" s="86" t="n"/>
      <c r="H863" s="111" t="n"/>
      <c r="I863" s="87" t="n"/>
      <c r="J863" s="87" t="n"/>
      <c r="K863" s="111" t="n"/>
      <c r="L863" s="86" t="n"/>
      <c r="M863" s="145" t="n"/>
      <c r="N863" s="89" t="n"/>
      <c r="O863" s="144" t="n"/>
      <c r="P863" s="31" t="n"/>
      <c r="Q863" s="89" t="n"/>
      <c r="R863" s="89" t="n"/>
      <c r="S863" s="89" t="n"/>
      <c r="T863" s="55" t="n"/>
      <c r="V863" s="1" t="n"/>
      <c r="Y863" s="111" t="n"/>
      <c r="Z863" s="111" t="n"/>
      <c r="AA863" s="111" t="n"/>
      <c r="AK863" s="55" t="n"/>
      <c r="AL863" s="89" t="n"/>
    </row>
    <row r="864" ht="22.5" customHeight="1" s="150">
      <c r="A864" s="34" t="n">
        <v>862</v>
      </c>
      <c r="B864" s="34" t="n"/>
      <c r="C864" s="34" t="n"/>
      <c r="D864" s="34" t="n"/>
      <c r="E864" s="34" t="n"/>
      <c r="F864" s="86" t="n"/>
      <c r="G864" s="86" t="n"/>
      <c r="H864" s="111" t="n"/>
      <c r="I864" s="87" t="n"/>
      <c r="J864" s="87" t="n"/>
      <c r="K864" s="111" t="n"/>
      <c r="L864" s="86" t="n"/>
      <c r="M864" s="146" t="n"/>
      <c r="N864" s="89" t="n"/>
      <c r="O864" s="144" t="n"/>
      <c r="P864" s="31" t="n"/>
      <c r="Q864" s="89" t="n"/>
      <c r="R864" s="89" t="n"/>
      <c r="S864" s="89" t="n"/>
      <c r="T864" s="55" t="n"/>
      <c r="V864" s="1" t="n"/>
      <c r="Y864" s="111" t="n"/>
      <c r="Z864" s="111" t="n"/>
      <c r="AA864" s="111" t="n"/>
      <c r="AK864" s="55" t="n"/>
      <c r="AL864" s="89" t="n"/>
    </row>
    <row r="865" ht="22.5" customHeight="1" s="150">
      <c r="A865" s="34" t="n">
        <v>863</v>
      </c>
      <c r="B865" s="34" t="n"/>
      <c r="C865" s="34" t="n"/>
      <c r="D865" s="34" t="n"/>
      <c r="E865" s="34" t="n"/>
      <c r="F865" s="86" t="n"/>
      <c r="G865" s="86" t="n"/>
      <c r="H865" s="111" t="n"/>
      <c r="I865" s="87" t="n"/>
      <c r="J865" s="87" t="n"/>
      <c r="K865" s="111" t="n"/>
      <c r="L865" s="86" t="n"/>
      <c r="M865" s="145" t="n"/>
      <c r="N865" s="89" t="n"/>
      <c r="O865" s="144" t="n"/>
      <c r="P865" s="31" t="n"/>
      <c r="Q865" s="89" t="n"/>
      <c r="R865" s="89" t="n"/>
      <c r="S865" s="89" t="n"/>
      <c r="T865" s="55" t="n"/>
      <c r="V865" s="1" t="n"/>
      <c r="Y865" s="111" t="n"/>
      <c r="Z865" s="111" t="n"/>
      <c r="AA865" s="111" t="n"/>
      <c r="AK865" s="55" t="n"/>
      <c r="AL865" s="89" t="n"/>
    </row>
    <row r="866" ht="22.5" customHeight="1" s="150">
      <c r="A866" s="34" t="n">
        <v>864</v>
      </c>
      <c r="B866" s="34" t="n"/>
      <c r="C866" s="34" t="n"/>
      <c r="D866" s="34" t="n"/>
      <c r="E866" s="34" t="n"/>
      <c r="F866" s="86" t="n"/>
      <c r="G866" s="86" t="n"/>
      <c r="H866" s="111" t="n"/>
      <c r="I866" s="87" t="n"/>
      <c r="J866" s="87" t="n"/>
      <c r="K866" s="111" t="n"/>
      <c r="L866" s="86" t="n"/>
      <c r="M866" s="146" t="n"/>
      <c r="N866" s="89" t="n"/>
      <c r="O866" s="144" t="n"/>
      <c r="P866" s="31" t="n"/>
      <c r="Q866" s="89" t="n"/>
      <c r="R866" s="89" t="n"/>
      <c r="S866" s="89" t="n"/>
      <c r="T866" s="55" t="n"/>
      <c r="V866" s="1" t="n"/>
      <c r="Y866" s="111" t="n"/>
      <c r="Z866" s="111" t="n"/>
      <c r="AA866" s="111" t="n"/>
      <c r="AK866" s="55" t="n"/>
      <c r="AL866" s="89" t="n"/>
    </row>
    <row r="867" ht="22.5" customHeight="1" s="150">
      <c r="A867" s="34" t="n">
        <v>865</v>
      </c>
      <c r="B867" s="34" t="n"/>
      <c r="C867" s="34" t="n"/>
      <c r="D867" s="34" t="n"/>
      <c r="E867" s="34" t="n"/>
      <c r="F867" s="86" t="n"/>
      <c r="G867" s="86" t="n"/>
      <c r="H867" s="111" t="n"/>
      <c r="I867" s="87" t="n"/>
      <c r="J867" s="87" t="n"/>
      <c r="K867" s="111" t="n"/>
      <c r="L867" s="86" t="n"/>
      <c r="M867" s="145" t="n"/>
      <c r="N867" s="89" t="n"/>
      <c r="O867" s="144" t="n"/>
      <c r="P867" s="31" t="n"/>
      <c r="Q867" s="89" t="n"/>
      <c r="R867" s="89" t="n"/>
      <c r="S867" s="89" t="n"/>
      <c r="T867" s="55" t="n"/>
      <c r="V867" s="1" t="n"/>
      <c r="Y867" s="111" t="n"/>
      <c r="Z867" s="111" t="n"/>
      <c r="AA867" s="111" t="n"/>
      <c r="AK867" s="55" t="n"/>
      <c r="AL867" s="89" t="n"/>
    </row>
    <row r="868" ht="22.5" customHeight="1" s="150">
      <c r="A868" s="34" t="n">
        <v>866</v>
      </c>
      <c r="B868" s="34" t="n"/>
      <c r="C868" s="34" t="n"/>
      <c r="D868" s="34" t="n"/>
      <c r="E868" s="34" t="n"/>
      <c r="F868" s="86" t="n"/>
      <c r="G868" s="86" t="n"/>
      <c r="H868" s="111" t="n"/>
      <c r="I868" s="87" t="n"/>
      <c r="J868" s="87" t="n"/>
      <c r="K868" s="111" t="n"/>
      <c r="L868" s="86" t="n"/>
      <c r="M868" s="146" t="n"/>
      <c r="N868" s="89" t="n"/>
      <c r="O868" s="144" t="n"/>
      <c r="P868" s="31" t="n"/>
      <c r="Q868" s="89" t="n"/>
      <c r="R868" s="89" t="n"/>
      <c r="S868" s="89" t="n"/>
      <c r="T868" s="55" t="n"/>
      <c r="V868" s="1" t="n"/>
      <c r="Y868" s="111" t="n"/>
      <c r="Z868" s="111" t="n"/>
      <c r="AA868" s="111" t="n"/>
      <c r="AK868" s="55" t="n"/>
      <c r="AL868" s="89" t="n"/>
    </row>
    <row r="869" ht="22.5" customHeight="1" s="150">
      <c r="A869" s="34" t="n">
        <v>867</v>
      </c>
      <c r="B869" s="34" t="n"/>
      <c r="C869" s="34" t="n"/>
      <c r="D869" s="34" t="n"/>
      <c r="E869" s="34" t="n"/>
      <c r="F869" s="86" t="n"/>
      <c r="G869" s="86" t="n"/>
      <c r="H869" s="111" t="n"/>
      <c r="I869" s="87" t="n"/>
      <c r="J869" s="87" t="n"/>
      <c r="K869" s="111" t="n"/>
      <c r="L869" s="86" t="n"/>
      <c r="M869" s="145" t="n"/>
      <c r="N869" s="89" t="n"/>
      <c r="O869" s="144" t="n"/>
      <c r="P869" s="31" t="n"/>
      <c r="Q869" s="89" t="n"/>
      <c r="R869" s="89" t="n"/>
      <c r="S869" s="89" t="n"/>
      <c r="T869" s="55" t="n"/>
      <c r="V869" s="1" t="n"/>
      <c r="Y869" s="111" t="n"/>
      <c r="Z869" s="111" t="n"/>
      <c r="AA869" s="111" t="n"/>
      <c r="AK869" s="55" t="n"/>
      <c r="AL869" s="89" t="n"/>
    </row>
    <row r="870" ht="22.5" customHeight="1" s="150">
      <c r="A870" s="34" t="n">
        <v>868</v>
      </c>
      <c r="B870" s="34" t="n"/>
      <c r="C870" s="34" t="n"/>
      <c r="D870" s="34" t="n"/>
      <c r="E870" s="34" t="n"/>
      <c r="F870" s="86" t="n"/>
      <c r="G870" s="86" t="n"/>
      <c r="H870" s="111" t="n"/>
      <c r="I870" s="87" t="n"/>
      <c r="J870" s="87" t="n"/>
      <c r="K870" s="111" t="n"/>
      <c r="L870" s="86" t="n"/>
      <c r="M870" s="146" t="n"/>
      <c r="N870" s="89" t="n"/>
      <c r="O870" s="144" t="n"/>
      <c r="P870" s="31" t="n"/>
      <c r="Q870" s="89" t="n"/>
      <c r="R870" s="89" t="n"/>
      <c r="S870" s="89" t="n"/>
      <c r="T870" s="55" t="n"/>
      <c r="V870" s="1" t="n"/>
      <c r="Y870" s="111" t="n"/>
      <c r="Z870" s="111" t="n"/>
      <c r="AA870" s="111" t="n"/>
      <c r="AK870" s="55" t="n"/>
      <c r="AL870" s="89" t="n"/>
    </row>
    <row r="871" ht="22.5" customHeight="1" s="150">
      <c r="A871" s="34" t="n">
        <v>869</v>
      </c>
      <c r="B871" s="34" t="n"/>
      <c r="C871" s="34" t="n"/>
      <c r="D871" s="34" t="n"/>
      <c r="E871" s="34" t="n"/>
      <c r="F871" s="86" t="n"/>
      <c r="G871" s="86" t="n"/>
      <c r="H871" s="111" t="n"/>
      <c r="I871" s="87" t="n"/>
      <c r="J871" s="87" t="n"/>
      <c r="K871" s="111" t="n"/>
      <c r="L871" s="86" t="n"/>
      <c r="M871" s="145" t="n"/>
      <c r="N871" s="89" t="n"/>
      <c r="O871" s="144" t="n"/>
      <c r="P871" s="31" t="n"/>
      <c r="Q871" s="89" t="n"/>
      <c r="R871" s="89" t="n"/>
      <c r="S871" s="89" t="n"/>
      <c r="T871" s="55" t="n"/>
      <c r="V871" s="1" t="n"/>
      <c r="Y871" s="111" t="n"/>
      <c r="Z871" s="111" t="n"/>
      <c r="AA871" s="111" t="n"/>
      <c r="AK871" s="55" t="n"/>
      <c r="AL871" s="89" t="n"/>
    </row>
    <row r="872" ht="22.5" customHeight="1" s="150">
      <c r="A872" s="34" t="n">
        <v>870</v>
      </c>
      <c r="B872" s="34" t="n"/>
      <c r="C872" s="34" t="n"/>
      <c r="D872" s="34" t="n"/>
      <c r="E872" s="34" t="n"/>
      <c r="F872" s="86" t="n"/>
      <c r="G872" s="86" t="n"/>
      <c r="H872" s="111" t="n"/>
      <c r="I872" s="87" t="n"/>
      <c r="J872" s="87" t="n"/>
      <c r="K872" s="111" t="n"/>
      <c r="L872" s="86" t="n"/>
      <c r="M872" s="146" t="n"/>
      <c r="N872" s="89" t="n"/>
      <c r="O872" s="144" t="n"/>
      <c r="P872" s="31" t="n"/>
      <c r="Q872" s="89" t="n"/>
      <c r="R872" s="89" t="n"/>
      <c r="S872" s="89" t="n"/>
      <c r="T872" s="55" t="n"/>
      <c r="V872" s="1" t="n"/>
      <c r="Y872" s="111" t="n"/>
      <c r="Z872" s="111" t="n"/>
      <c r="AA872" s="111" t="n"/>
      <c r="AK872" s="55" t="n"/>
      <c r="AL872" s="89" t="n"/>
    </row>
    <row r="873" ht="22.5" customHeight="1" s="150">
      <c r="A873" s="34" t="n">
        <v>871</v>
      </c>
      <c r="B873" s="34" t="n"/>
      <c r="C873" s="34" t="n"/>
      <c r="D873" s="34" t="n"/>
      <c r="E873" s="34" t="n"/>
      <c r="F873" s="86" t="n"/>
      <c r="G873" s="86" t="n"/>
      <c r="H873" s="111" t="n"/>
      <c r="I873" s="87" t="n"/>
      <c r="J873" s="87" t="n"/>
      <c r="K873" s="111" t="n"/>
      <c r="L873" s="86" t="n"/>
      <c r="M873" s="145" t="n"/>
      <c r="N873" s="89" t="n"/>
      <c r="O873" s="144" t="n"/>
      <c r="P873" s="31" t="n"/>
      <c r="Q873" s="89" t="n"/>
      <c r="R873" s="89" t="n"/>
      <c r="S873" s="89" t="n"/>
      <c r="T873" s="55" t="n"/>
      <c r="V873" s="1" t="n"/>
      <c r="Y873" s="111" t="n"/>
      <c r="Z873" s="111" t="n"/>
      <c r="AA873" s="111" t="n"/>
      <c r="AK873" s="55" t="n"/>
      <c r="AL873" s="89" t="n"/>
    </row>
    <row r="874" ht="22.5" customHeight="1" s="150">
      <c r="A874" s="34" t="n">
        <v>872</v>
      </c>
      <c r="B874" s="34" t="n"/>
      <c r="C874" s="34" t="n"/>
      <c r="D874" s="34" t="n"/>
      <c r="E874" s="34" t="n"/>
      <c r="F874" s="86" t="n"/>
      <c r="G874" s="86" t="n"/>
      <c r="H874" s="111" t="n"/>
      <c r="I874" s="87" t="n"/>
      <c r="J874" s="87" t="n"/>
      <c r="K874" s="111" t="n"/>
      <c r="L874" s="86" t="n"/>
      <c r="M874" s="146" t="n"/>
      <c r="N874" s="89" t="n"/>
      <c r="O874" s="144" t="n"/>
      <c r="P874" s="31" t="n"/>
      <c r="Q874" s="89" t="n"/>
      <c r="R874" s="89" t="n"/>
      <c r="S874" s="89" t="n"/>
      <c r="T874" s="55" t="n"/>
      <c r="V874" s="1" t="n"/>
      <c r="Y874" s="111" t="n"/>
      <c r="Z874" s="111" t="n"/>
      <c r="AA874" s="111" t="n"/>
      <c r="AK874" s="55" t="n"/>
      <c r="AL874" s="89" t="n"/>
    </row>
    <row r="875" ht="22.5" customHeight="1" s="150">
      <c r="A875" s="34" t="n">
        <v>873</v>
      </c>
      <c r="B875" s="34" t="n"/>
      <c r="C875" s="34" t="n"/>
      <c r="D875" s="34" t="n"/>
      <c r="E875" s="34" t="n"/>
      <c r="F875" s="86" t="n"/>
      <c r="G875" s="86" t="n"/>
      <c r="H875" s="111" t="n"/>
      <c r="I875" s="87" t="n"/>
      <c r="J875" s="87" t="n"/>
      <c r="K875" s="111" t="n"/>
      <c r="L875" s="86" t="n"/>
      <c r="M875" s="145" t="n"/>
      <c r="N875" s="89" t="n"/>
      <c r="O875" s="144" t="n"/>
      <c r="P875" s="31" t="n"/>
      <c r="Q875" s="89" t="n"/>
      <c r="R875" s="89" t="n"/>
      <c r="S875" s="89" t="n"/>
      <c r="T875" s="55" t="n"/>
      <c r="V875" s="1" t="n"/>
      <c r="Y875" s="111" t="n"/>
      <c r="Z875" s="111" t="n"/>
      <c r="AA875" s="111" t="n"/>
      <c r="AK875" s="55" t="n"/>
      <c r="AL875" s="89" t="n"/>
    </row>
    <row r="876" ht="22.5" customHeight="1" s="150">
      <c r="A876" s="34" t="n">
        <v>874</v>
      </c>
      <c r="B876" s="34" t="n"/>
      <c r="C876" s="34" t="n"/>
      <c r="D876" s="34" t="n"/>
      <c r="E876" s="34" t="n"/>
      <c r="F876" s="86" t="n"/>
      <c r="G876" s="86" t="n"/>
      <c r="H876" s="111" t="n"/>
      <c r="I876" s="87" t="n"/>
      <c r="J876" s="87" t="n"/>
      <c r="K876" s="111" t="n"/>
      <c r="L876" s="86" t="n"/>
      <c r="M876" s="146" t="n"/>
      <c r="N876" s="89" t="n"/>
      <c r="O876" s="144" t="n"/>
      <c r="P876" s="31" t="n"/>
      <c r="Q876" s="89" t="n"/>
      <c r="R876" s="89" t="n"/>
      <c r="S876" s="89" t="n"/>
      <c r="T876" s="55" t="n"/>
      <c r="V876" s="1" t="n"/>
      <c r="Y876" s="111" t="n"/>
      <c r="Z876" s="111" t="n"/>
      <c r="AA876" s="111" t="n"/>
      <c r="AK876" s="55" t="n"/>
      <c r="AL876" s="89" t="n"/>
    </row>
    <row r="877" ht="22.5" customHeight="1" s="150">
      <c r="A877" s="34" t="n">
        <v>875</v>
      </c>
      <c r="B877" s="34" t="n"/>
      <c r="C877" s="34" t="n"/>
      <c r="D877" s="34" t="n"/>
      <c r="E877" s="34" t="n"/>
      <c r="F877" s="86" t="n"/>
      <c r="G877" s="86" t="n"/>
      <c r="H877" s="111" t="n"/>
      <c r="I877" s="87" t="n"/>
      <c r="J877" s="87" t="n"/>
      <c r="K877" s="111" t="n"/>
      <c r="L877" s="86" t="n"/>
      <c r="M877" s="145" t="n"/>
      <c r="N877" s="89" t="n"/>
      <c r="O877" s="144" t="n"/>
      <c r="P877" s="31" t="n"/>
      <c r="Q877" s="89" t="n"/>
      <c r="R877" s="89" t="n"/>
      <c r="S877" s="89" t="n"/>
      <c r="T877" s="55" t="n"/>
      <c r="V877" s="1" t="n"/>
      <c r="Y877" s="111" t="n"/>
      <c r="Z877" s="111" t="n"/>
      <c r="AA877" s="111" t="n"/>
      <c r="AK877" s="55" t="n"/>
      <c r="AL877" s="89" t="n"/>
    </row>
    <row r="878" ht="22.5" customHeight="1" s="150">
      <c r="A878" s="34" t="n">
        <v>876</v>
      </c>
      <c r="B878" s="34" t="n"/>
      <c r="C878" s="34" t="n"/>
      <c r="D878" s="34" t="n"/>
      <c r="E878" s="34" t="n"/>
      <c r="F878" s="86" t="n"/>
      <c r="G878" s="86" t="n"/>
      <c r="H878" s="111" t="n"/>
      <c r="I878" s="87" t="n"/>
      <c r="J878" s="87" t="n"/>
      <c r="K878" s="111" t="n"/>
      <c r="L878" s="86" t="n"/>
      <c r="M878" s="146" t="n"/>
      <c r="N878" s="89" t="n"/>
      <c r="O878" s="144" t="n"/>
      <c r="P878" s="31" t="n"/>
      <c r="Q878" s="89" t="n"/>
      <c r="R878" s="89" t="n"/>
      <c r="S878" s="89" t="n"/>
      <c r="T878" s="55" t="n"/>
      <c r="V878" s="1" t="n"/>
      <c r="Y878" s="111" t="n"/>
      <c r="Z878" s="111" t="n"/>
      <c r="AA878" s="111" t="n"/>
      <c r="AK878" s="55" t="n"/>
      <c r="AL878" s="89" t="n"/>
    </row>
    <row r="879" ht="22.5" customHeight="1" s="150">
      <c r="A879" s="34" t="n">
        <v>877</v>
      </c>
      <c r="B879" s="34" t="n"/>
      <c r="C879" s="34" t="n"/>
      <c r="D879" s="34" t="n"/>
      <c r="E879" s="34" t="n"/>
      <c r="F879" s="86" t="n"/>
      <c r="G879" s="86" t="n"/>
      <c r="H879" s="111" t="n"/>
      <c r="I879" s="87" t="n"/>
      <c r="J879" s="87" t="n"/>
      <c r="K879" s="111" t="n"/>
      <c r="L879" s="86" t="n"/>
      <c r="M879" s="145" t="n"/>
      <c r="N879" s="89" t="n"/>
      <c r="O879" s="144" t="n"/>
      <c r="P879" s="31" t="n"/>
      <c r="Q879" s="89" t="n"/>
      <c r="R879" s="89" t="n"/>
      <c r="S879" s="89" t="n"/>
      <c r="T879" s="55" t="n"/>
      <c r="V879" s="1" t="n"/>
      <c r="Y879" s="111" t="n"/>
      <c r="Z879" s="111" t="n"/>
      <c r="AA879" s="111" t="n"/>
      <c r="AK879" s="55" t="n"/>
      <c r="AL879" s="89" t="n"/>
    </row>
    <row r="880" ht="22.5" customHeight="1" s="150">
      <c r="A880" s="34" t="n">
        <v>878</v>
      </c>
      <c r="B880" s="34" t="n"/>
      <c r="C880" s="34" t="n"/>
      <c r="D880" s="34" t="n"/>
      <c r="E880" s="34" t="n"/>
      <c r="F880" s="86" t="n"/>
      <c r="G880" s="86" t="n"/>
      <c r="H880" s="111" t="n"/>
      <c r="I880" s="87" t="n"/>
      <c r="J880" s="87" t="n"/>
      <c r="K880" s="111" t="n"/>
      <c r="L880" s="86" t="n"/>
      <c r="M880" s="146" t="n"/>
      <c r="N880" s="89" t="n"/>
      <c r="O880" s="144" t="n"/>
      <c r="P880" s="31" t="n"/>
      <c r="Q880" s="89" t="n"/>
      <c r="R880" s="89" t="n"/>
      <c r="S880" s="89" t="n"/>
      <c r="T880" s="55" t="n"/>
      <c r="V880" s="1" t="n"/>
      <c r="Y880" s="111" t="n"/>
      <c r="Z880" s="111" t="n"/>
      <c r="AA880" s="111" t="n"/>
      <c r="AK880" s="55" t="n"/>
      <c r="AL880" s="89" t="n"/>
    </row>
    <row r="881" ht="22.5" customHeight="1" s="150">
      <c r="A881" s="34" t="n">
        <v>879</v>
      </c>
      <c r="B881" s="34" t="n"/>
      <c r="C881" s="34" t="n"/>
      <c r="D881" s="34" t="n"/>
      <c r="E881" s="34" t="n"/>
      <c r="F881" s="86" t="n"/>
      <c r="G881" s="86" t="n"/>
      <c r="H881" s="111" t="n"/>
      <c r="I881" s="87" t="n"/>
      <c r="J881" s="87" t="n"/>
      <c r="K881" s="111" t="n"/>
      <c r="L881" s="86" t="n"/>
      <c r="M881" s="145" t="n"/>
      <c r="N881" s="89" t="n"/>
      <c r="O881" s="144" t="n"/>
      <c r="P881" s="31" t="n"/>
      <c r="Q881" s="89" t="n"/>
      <c r="R881" s="89" t="n"/>
      <c r="S881" s="89" t="n"/>
      <c r="T881" s="55" t="n"/>
      <c r="V881" s="1" t="n"/>
      <c r="Y881" s="111" t="n"/>
      <c r="Z881" s="111" t="n"/>
      <c r="AA881" s="111" t="n"/>
      <c r="AK881" s="55" t="n"/>
      <c r="AL881" s="89" t="n"/>
    </row>
    <row r="882" ht="22.5" customHeight="1" s="150">
      <c r="A882" s="34" t="n">
        <v>880</v>
      </c>
      <c r="B882" s="34" t="n"/>
      <c r="C882" s="34" t="n"/>
      <c r="D882" s="34" t="n"/>
      <c r="E882" s="34" t="n"/>
      <c r="F882" s="86" t="n"/>
      <c r="G882" s="86" t="n"/>
      <c r="H882" s="111" t="n"/>
      <c r="I882" s="87" t="n"/>
      <c r="J882" s="87" t="n"/>
      <c r="K882" s="111" t="n"/>
      <c r="L882" s="86" t="n"/>
      <c r="M882" s="146" t="n"/>
      <c r="N882" s="89" t="n"/>
      <c r="O882" s="144" t="n"/>
      <c r="P882" s="31" t="n"/>
      <c r="Q882" s="89" t="n"/>
      <c r="R882" s="89" t="n"/>
      <c r="S882" s="89" t="n"/>
      <c r="T882" s="55" t="n"/>
      <c r="V882" s="1" t="n"/>
      <c r="Y882" s="111" t="n"/>
      <c r="Z882" s="111" t="n"/>
      <c r="AA882" s="111" t="n"/>
      <c r="AK882" s="55" t="n"/>
      <c r="AL882" s="89" t="n"/>
    </row>
    <row r="883" ht="22.5" customHeight="1" s="150">
      <c r="A883" s="34" t="n">
        <v>881</v>
      </c>
      <c r="B883" s="34" t="n"/>
      <c r="C883" s="34" t="n"/>
      <c r="D883" s="34" t="n"/>
      <c r="E883" s="34" t="n"/>
      <c r="F883" s="86" t="n"/>
      <c r="G883" s="86" t="n"/>
      <c r="H883" s="111" t="n"/>
      <c r="I883" s="87" t="n"/>
      <c r="J883" s="87" t="n"/>
      <c r="K883" s="111" t="n"/>
      <c r="L883" s="86" t="n"/>
      <c r="M883" s="145" t="n"/>
      <c r="N883" s="89" t="n"/>
      <c r="O883" s="144" t="n"/>
      <c r="P883" s="31" t="n"/>
      <c r="Q883" s="89" t="n"/>
      <c r="R883" s="89" t="n"/>
      <c r="S883" s="89" t="n"/>
      <c r="T883" s="55" t="n"/>
      <c r="V883" s="1" t="n"/>
      <c r="Y883" s="111" t="n"/>
      <c r="Z883" s="111" t="n"/>
      <c r="AA883" s="111" t="n"/>
      <c r="AK883" s="55" t="n"/>
      <c r="AL883" s="89" t="n"/>
    </row>
    <row r="884" ht="22.5" customHeight="1" s="150">
      <c r="A884" s="34" t="n">
        <v>882</v>
      </c>
      <c r="B884" s="34" t="n"/>
      <c r="C884" s="34" t="n"/>
      <c r="D884" s="34" t="n"/>
      <c r="E884" s="34" t="n"/>
      <c r="F884" s="86" t="n"/>
      <c r="G884" s="86" t="n"/>
      <c r="H884" s="111" t="n"/>
      <c r="I884" s="87" t="n"/>
      <c r="J884" s="87" t="n"/>
      <c r="K884" s="111" t="n"/>
      <c r="L884" s="86" t="n"/>
      <c r="M884" s="146" t="n"/>
      <c r="N884" s="89" t="n"/>
      <c r="O884" s="144" t="n"/>
      <c r="P884" s="31" t="n"/>
      <c r="Q884" s="89" t="n"/>
      <c r="R884" s="89" t="n"/>
      <c r="S884" s="89" t="n"/>
      <c r="T884" s="55" t="n"/>
      <c r="V884" s="1" t="n"/>
      <c r="Y884" s="111" t="n"/>
      <c r="Z884" s="111" t="n"/>
      <c r="AA884" s="111" t="n"/>
      <c r="AK884" s="55" t="n"/>
      <c r="AL884" s="89" t="n"/>
    </row>
    <row r="885" ht="22.5" customHeight="1" s="150">
      <c r="A885" s="34" t="n">
        <v>883</v>
      </c>
      <c r="B885" s="34" t="n"/>
      <c r="C885" s="34" t="n"/>
      <c r="D885" s="34" t="n"/>
      <c r="E885" s="34" t="n"/>
      <c r="F885" s="86" t="n"/>
      <c r="G885" s="86" t="n"/>
      <c r="H885" s="111" t="n"/>
      <c r="I885" s="87" t="n"/>
      <c r="J885" s="87" t="n"/>
      <c r="K885" s="111" t="n"/>
      <c r="L885" s="86" t="n"/>
      <c r="M885" s="145" t="n"/>
      <c r="N885" s="89" t="n"/>
      <c r="O885" s="144" t="n"/>
      <c r="P885" s="31" t="n"/>
      <c r="Q885" s="89" t="n"/>
      <c r="R885" s="89" t="n"/>
      <c r="S885" s="89" t="n"/>
      <c r="T885" s="55" t="n"/>
      <c r="V885" s="1" t="n"/>
      <c r="Y885" s="111" t="n"/>
      <c r="Z885" s="111" t="n"/>
      <c r="AA885" s="111" t="n"/>
      <c r="AK885" s="55" t="n"/>
      <c r="AL885" s="89" t="n"/>
    </row>
    <row r="886" ht="22.5" customHeight="1" s="150">
      <c r="A886" s="34" t="n">
        <v>884</v>
      </c>
      <c r="B886" s="34" t="n"/>
      <c r="C886" s="34" t="n"/>
      <c r="D886" s="34" t="n"/>
      <c r="E886" s="34" t="n"/>
      <c r="F886" s="86" t="n"/>
      <c r="G886" s="86" t="n"/>
      <c r="H886" s="111" t="n"/>
      <c r="I886" s="87" t="n"/>
      <c r="J886" s="87" t="n"/>
      <c r="K886" s="111" t="n"/>
      <c r="L886" s="86" t="n"/>
      <c r="M886" s="146" t="n"/>
      <c r="N886" s="89" t="n"/>
      <c r="O886" s="144" t="n"/>
      <c r="P886" s="31" t="n"/>
      <c r="Q886" s="89" t="n"/>
      <c r="R886" s="89" t="n"/>
      <c r="S886" s="89" t="n"/>
      <c r="T886" s="55" t="n"/>
      <c r="V886" s="1" t="n"/>
      <c r="Y886" s="111" t="n"/>
      <c r="Z886" s="111" t="n"/>
      <c r="AA886" s="111" t="n"/>
      <c r="AK886" s="55" t="n"/>
      <c r="AL886" s="89" t="n"/>
    </row>
    <row r="887" ht="22.5" customHeight="1" s="150">
      <c r="A887" s="34" t="n">
        <v>885</v>
      </c>
      <c r="B887" s="34" t="n"/>
      <c r="C887" s="34" t="n"/>
      <c r="D887" s="34" t="n"/>
      <c r="E887" s="34" t="n"/>
      <c r="F887" s="86" t="n"/>
      <c r="G887" s="86" t="n"/>
      <c r="H887" s="111" t="n"/>
      <c r="I887" s="87" t="n"/>
      <c r="J887" s="87" t="n"/>
      <c r="K887" s="111" t="n"/>
      <c r="L887" s="86" t="n"/>
      <c r="M887" s="145" t="n"/>
      <c r="N887" s="89" t="n"/>
      <c r="O887" s="144" t="n"/>
      <c r="P887" s="31" t="n"/>
      <c r="Q887" s="89" t="n"/>
      <c r="R887" s="89" t="n"/>
      <c r="S887" s="89" t="n"/>
      <c r="T887" s="55" t="n"/>
      <c r="V887" s="1" t="n"/>
      <c r="Y887" s="111" t="n"/>
      <c r="Z887" s="111" t="n"/>
      <c r="AA887" s="111" t="n"/>
      <c r="AK887" s="55" t="n"/>
      <c r="AL887" s="89" t="n"/>
    </row>
    <row r="888" ht="22.5" customHeight="1" s="150">
      <c r="A888" s="34" t="n">
        <v>886</v>
      </c>
      <c r="B888" s="34" t="n"/>
      <c r="C888" s="34" t="n"/>
      <c r="D888" s="34" t="n"/>
      <c r="E888" s="34" t="n"/>
      <c r="F888" s="86" t="n"/>
      <c r="G888" s="86" t="n"/>
      <c r="H888" s="111" t="n"/>
      <c r="I888" s="87" t="n"/>
      <c r="J888" s="87" t="n"/>
      <c r="K888" s="111" t="n"/>
      <c r="L888" s="86" t="n"/>
      <c r="M888" s="146" t="n"/>
      <c r="N888" s="89" t="n"/>
      <c r="O888" s="144" t="n"/>
      <c r="P888" s="31" t="n"/>
      <c r="Q888" s="89" t="n"/>
      <c r="R888" s="89" t="n"/>
      <c r="S888" s="89" t="n"/>
      <c r="T888" s="55" t="n"/>
      <c r="V888" s="1" t="n"/>
      <c r="Y888" s="111" t="n"/>
      <c r="Z888" s="111" t="n"/>
      <c r="AA888" s="111" t="n"/>
      <c r="AK888" s="55" t="n"/>
      <c r="AL888" s="89" t="n"/>
    </row>
    <row r="889" ht="22.5" customHeight="1" s="150">
      <c r="A889" s="34" t="n">
        <v>887</v>
      </c>
      <c r="B889" s="34" t="n"/>
      <c r="C889" s="34" t="n"/>
      <c r="D889" s="34" t="n"/>
      <c r="E889" s="34" t="n"/>
      <c r="F889" s="86" t="n"/>
      <c r="G889" s="86" t="n"/>
      <c r="H889" s="111" t="n"/>
      <c r="I889" s="87" t="n"/>
      <c r="J889" s="87" t="n"/>
      <c r="K889" s="111" t="n"/>
      <c r="L889" s="86" t="n"/>
      <c r="M889" s="145" t="n"/>
      <c r="N889" s="89" t="n"/>
      <c r="O889" s="144" t="n"/>
      <c r="P889" s="31" t="n"/>
      <c r="Q889" s="89" t="n"/>
      <c r="R889" s="89" t="n"/>
      <c r="S889" s="89" t="n"/>
      <c r="T889" s="55" t="n"/>
      <c r="V889" s="1" t="n"/>
      <c r="Y889" s="111" t="n"/>
      <c r="Z889" s="111" t="n"/>
      <c r="AA889" s="111" t="n"/>
      <c r="AK889" s="55" t="n"/>
      <c r="AL889" s="89" t="n"/>
    </row>
    <row r="890" ht="22.5" customHeight="1" s="150">
      <c r="A890" s="34" t="n">
        <v>888</v>
      </c>
      <c r="B890" s="34" t="n"/>
      <c r="C890" s="34" t="n"/>
      <c r="D890" s="34" t="n"/>
      <c r="E890" s="34" t="n"/>
      <c r="F890" s="86" t="n"/>
      <c r="G890" s="86" t="n"/>
      <c r="H890" s="111" t="n"/>
      <c r="I890" s="87" t="n"/>
      <c r="J890" s="87" t="n"/>
      <c r="K890" s="111" t="n"/>
      <c r="L890" s="86" t="n"/>
      <c r="M890" s="146" t="n"/>
      <c r="N890" s="89" t="n"/>
      <c r="O890" s="144" t="n"/>
      <c r="P890" s="31" t="n"/>
      <c r="Q890" s="89" t="n"/>
      <c r="R890" s="89" t="n"/>
      <c r="S890" s="89" t="n"/>
      <c r="T890" s="55" t="n"/>
      <c r="V890" s="1" t="n"/>
      <c r="Y890" s="111" t="n"/>
      <c r="Z890" s="111" t="n"/>
      <c r="AA890" s="111" t="n"/>
      <c r="AK890" s="55" t="n"/>
      <c r="AL890" s="89" t="n"/>
    </row>
    <row r="891" ht="22.5" customHeight="1" s="150">
      <c r="A891" s="34" t="n">
        <v>889</v>
      </c>
      <c r="B891" s="34" t="n"/>
      <c r="C891" s="34" t="n"/>
      <c r="D891" s="34" t="n"/>
      <c r="E891" s="34" t="n"/>
      <c r="F891" s="86" t="n"/>
      <c r="G891" s="86" t="n"/>
      <c r="H891" s="111" t="n"/>
      <c r="I891" s="87" t="n"/>
      <c r="J891" s="87" t="n"/>
      <c r="K891" s="111" t="n"/>
      <c r="L891" s="86" t="n"/>
      <c r="M891" s="145" t="n"/>
      <c r="N891" s="89" t="n"/>
      <c r="O891" s="144" t="n"/>
      <c r="P891" s="31" t="n"/>
      <c r="Q891" s="89" t="n"/>
      <c r="R891" s="89" t="n"/>
      <c r="S891" s="89" t="n"/>
      <c r="T891" s="55" t="n"/>
      <c r="V891" s="1" t="n"/>
      <c r="Y891" s="111" t="n"/>
      <c r="Z891" s="111" t="n"/>
      <c r="AA891" s="111" t="n"/>
      <c r="AK891" s="55" t="n"/>
      <c r="AL891" s="89" t="n"/>
    </row>
    <row r="892" ht="22.5" customHeight="1" s="150">
      <c r="A892" s="34" t="n">
        <v>890</v>
      </c>
      <c r="B892" s="34" t="n"/>
      <c r="C892" s="34" t="n"/>
      <c r="D892" s="34" t="n"/>
      <c r="E892" s="34" t="n"/>
      <c r="F892" s="86" t="n"/>
      <c r="G892" s="86" t="n"/>
      <c r="H892" s="111" t="n"/>
      <c r="I892" s="87" t="n"/>
      <c r="J892" s="87" t="n"/>
      <c r="K892" s="111" t="n"/>
      <c r="L892" s="86" t="n"/>
      <c r="M892" s="146" t="n"/>
      <c r="N892" s="89" t="n"/>
      <c r="O892" s="144" t="n"/>
      <c r="P892" s="31" t="n"/>
      <c r="Q892" s="89" t="n"/>
      <c r="R892" s="89" t="n"/>
      <c r="S892" s="89" t="n"/>
      <c r="T892" s="55" t="n"/>
      <c r="V892" s="1" t="n"/>
      <c r="Y892" s="111" t="n"/>
      <c r="Z892" s="111" t="n"/>
      <c r="AA892" s="111" t="n"/>
      <c r="AK892" s="55" t="n"/>
      <c r="AL892" s="89" t="n"/>
    </row>
    <row r="893" ht="22.5" customHeight="1" s="150">
      <c r="A893" s="34" t="n">
        <v>891</v>
      </c>
      <c r="B893" s="34" t="n"/>
      <c r="C893" s="34" t="n"/>
      <c r="D893" s="34" t="n"/>
      <c r="E893" s="34" t="n"/>
      <c r="F893" s="86" t="n"/>
      <c r="G893" s="86" t="n"/>
      <c r="H893" s="111" t="n"/>
      <c r="I893" s="87" t="n"/>
      <c r="J893" s="87" t="n"/>
      <c r="K893" s="111" t="n"/>
      <c r="L893" s="86" t="n"/>
      <c r="M893" s="145" t="n"/>
      <c r="N893" s="89" t="n"/>
      <c r="O893" s="144" t="n"/>
      <c r="P893" s="31" t="n"/>
      <c r="Q893" s="89" t="n"/>
      <c r="R893" s="89" t="n"/>
      <c r="S893" s="89" t="n"/>
      <c r="T893" s="55" t="n"/>
      <c r="V893" s="1" t="n"/>
      <c r="Y893" s="111" t="n"/>
      <c r="Z893" s="111" t="n"/>
      <c r="AA893" s="111" t="n"/>
      <c r="AK893" s="55" t="n"/>
      <c r="AL893" s="89" t="n"/>
    </row>
    <row r="894" ht="22.5" customHeight="1" s="150">
      <c r="A894" s="34" t="n">
        <v>892</v>
      </c>
      <c r="B894" s="34" t="n"/>
      <c r="C894" s="34" t="n"/>
      <c r="D894" s="34" t="n"/>
      <c r="E894" s="34" t="n"/>
      <c r="F894" s="86" t="n"/>
      <c r="G894" s="86" t="n"/>
      <c r="H894" s="111" t="n"/>
      <c r="I894" s="87" t="n"/>
      <c r="J894" s="87" t="n"/>
      <c r="K894" s="111" t="n"/>
      <c r="L894" s="86" t="n"/>
      <c r="M894" s="146" t="n"/>
      <c r="N894" s="89" t="n"/>
      <c r="O894" s="144" t="n"/>
      <c r="P894" s="31" t="n"/>
      <c r="Q894" s="89" t="n"/>
      <c r="R894" s="89" t="n"/>
      <c r="S894" s="89" t="n"/>
      <c r="T894" s="55" t="n"/>
      <c r="V894" s="1" t="n"/>
      <c r="Y894" s="111" t="n"/>
      <c r="Z894" s="111" t="n"/>
      <c r="AA894" s="111" t="n"/>
      <c r="AK894" s="55" t="n"/>
      <c r="AL894" s="89" t="n"/>
    </row>
    <row r="895" ht="22.5" customHeight="1" s="150">
      <c r="A895" s="34" t="n">
        <v>893</v>
      </c>
      <c r="B895" s="34" t="n"/>
      <c r="C895" s="34" t="n"/>
      <c r="D895" s="34" t="n"/>
      <c r="E895" s="34" t="n"/>
      <c r="F895" s="86" t="n"/>
      <c r="G895" s="86" t="n"/>
      <c r="H895" s="111" t="n"/>
      <c r="I895" s="87" t="n"/>
      <c r="J895" s="87" t="n"/>
      <c r="K895" s="111" t="n"/>
      <c r="L895" s="86" t="n"/>
      <c r="M895" s="145" t="n"/>
      <c r="N895" s="89" t="n"/>
      <c r="O895" s="144" t="n"/>
      <c r="P895" s="31" t="n"/>
      <c r="Q895" s="89" t="n"/>
      <c r="R895" s="89" t="n"/>
      <c r="S895" s="89" t="n"/>
      <c r="T895" s="55" t="n"/>
      <c r="V895" s="1" t="n"/>
      <c r="Y895" s="111" t="n"/>
      <c r="Z895" s="111" t="n"/>
      <c r="AA895" s="111" t="n"/>
      <c r="AK895" s="55" t="n"/>
      <c r="AL895" s="89" t="n"/>
    </row>
    <row r="896" ht="22.5" customHeight="1" s="150">
      <c r="A896" s="34" t="n">
        <v>894</v>
      </c>
      <c r="B896" s="34" t="n"/>
      <c r="C896" s="34" t="n"/>
      <c r="D896" s="34" t="n"/>
      <c r="E896" s="34" t="n"/>
      <c r="F896" s="86" t="n"/>
      <c r="G896" s="86" t="n"/>
      <c r="H896" s="111" t="n"/>
      <c r="I896" s="87" t="n"/>
      <c r="J896" s="87" t="n"/>
      <c r="K896" s="111" t="n"/>
      <c r="L896" s="86" t="n"/>
      <c r="M896" s="146" t="n"/>
      <c r="N896" s="89" t="n"/>
      <c r="O896" s="144" t="n"/>
      <c r="P896" s="31" t="n"/>
      <c r="Q896" s="89" t="n"/>
      <c r="R896" s="89" t="n"/>
      <c r="S896" s="89" t="n"/>
      <c r="T896" s="55" t="n"/>
      <c r="V896" s="1" t="n"/>
      <c r="Y896" s="111" t="n"/>
      <c r="Z896" s="111" t="n"/>
      <c r="AA896" s="111" t="n"/>
      <c r="AK896" s="55" t="n"/>
      <c r="AL896" s="89" t="n"/>
    </row>
    <row r="897" ht="22.5" customHeight="1" s="150">
      <c r="A897" s="34" t="n">
        <v>895</v>
      </c>
      <c r="B897" s="34" t="n"/>
      <c r="C897" s="34" t="n"/>
      <c r="D897" s="34" t="n"/>
      <c r="E897" s="34" t="n"/>
      <c r="F897" s="86" t="n"/>
      <c r="G897" s="86" t="n"/>
      <c r="H897" s="111" t="n"/>
      <c r="I897" s="87" t="n"/>
      <c r="J897" s="87" t="n"/>
      <c r="K897" s="111" t="n"/>
      <c r="L897" s="86" t="n"/>
      <c r="M897" s="145" t="n"/>
      <c r="N897" s="89" t="n"/>
      <c r="O897" s="144" t="n"/>
      <c r="P897" s="31" t="n"/>
      <c r="Q897" s="89" t="n"/>
      <c r="R897" s="89" t="n"/>
      <c r="S897" s="89" t="n"/>
      <c r="T897" s="55" t="n"/>
      <c r="V897" s="1" t="n"/>
      <c r="Y897" s="111" t="n"/>
      <c r="Z897" s="111" t="n"/>
      <c r="AA897" s="111" t="n"/>
      <c r="AK897" s="55" t="n"/>
      <c r="AL897" s="89" t="n"/>
    </row>
    <row r="898" ht="22.5" customHeight="1" s="150">
      <c r="A898" s="34" t="n">
        <v>896</v>
      </c>
      <c r="B898" s="34" t="n"/>
      <c r="C898" s="34" t="n"/>
      <c r="D898" s="34" t="n"/>
      <c r="E898" s="34" t="n"/>
      <c r="F898" s="86" t="n"/>
      <c r="G898" s="86" t="n"/>
      <c r="H898" s="111" t="n"/>
      <c r="I898" s="87" t="n"/>
      <c r="J898" s="87" t="n"/>
      <c r="K898" s="111" t="n"/>
      <c r="L898" s="86" t="n"/>
      <c r="M898" s="146" t="n"/>
      <c r="N898" s="89" t="n"/>
      <c r="O898" s="144" t="n"/>
      <c r="P898" s="31" t="n"/>
      <c r="Q898" s="89" t="n"/>
      <c r="R898" s="89" t="n"/>
      <c r="S898" s="89" t="n"/>
      <c r="T898" s="55" t="n"/>
      <c r="V898" s="1" t="n"/>
      <c r="Y898" s="111" t="n"/>
      <c r="Z898" s="111" t="n"/>
      <c r="AA898" s="111" t="n"/>
      <c r="AK898" s="55" t="n"/>
      <c r="AL898" s="89" t="n"/>
    </row>
    <row r="899" ht="22.5" customHeight="1" s="150">
      <c r="A899" s="34" t="n">
        <v>897</v>
      </c>
      <c r="B899" s="34" t="n"/>
      <c r="C899" s="34" t="n"/>
      <c r="D899" s="34" t="n"/>
      <c r="E899" s="34" t="n"/>
      <c r="F899" s="86" t="n"/>
      <c r="G899" s="86" t="n"/>
      <c r="H899" s="111" t="n"/>
      <c r="I899" s="87" t="n"/>
      <c r="J899" s="87" t="n"/>
      <c r="K899" s="111" t="n"/>
      <c r="L899" s="86" t="n"/>
      <c r="M899" s="145" t="n"/>
      <c r="N899" s="89" t="n"/>
      <c r="O899" s="144" t="n"/>
      <c r="P899" s="31" t="n"/>
      <c r="Q899" s="89" t="n"/>
      <c r="R899" s="89" t="n"/>
      <c r="S899" s="89" t="n"/>
      <c r="T899" s="55" t="n"/>
      <c r="V899" s="1" t="n"/>
      <c r="Y899" s="111" t="n"/>
      <c r="Z899" s="111" t="n"/>
      <c r="AA899" s="111" t="n"/>
      <c r="AK899" s="55" t="n"/>
      <c r="AL899" s="89" t="n"/>
    </row>
    <row r="900" ht="22.5" customHeight="1" s="150">
      <c r="A900" s="34" t="n">
        <v>898</v>
      </c>
      <c r="B900" s="34" t="n"/>
      <c r="C900" s="34" t="n"/>
      <c r="D900" s="34" t="n"/>
      <c r="E900" s="34" t="n"/>
      <c r="F900" s="86" t="n"/>
      <c r="G900" s="86" t="n"/>
      <c r="H900" s="111" t="n"/>
      <c r="I900" s="87" t="n"/>
      <c r="J900" s="87" t="n"/>
      <c r="K900" s="111" t="n"/>
      <c r="L900" s="86" t="n"/>
      <c r="M900" s="146" t="n"/>
      <c r="N900" s="89" t="n"/>
      <c r="O900" s="144" t="n"/>
      <c r="P900" s="31" t="n"/>
      <c r="Q900" s="89" t="n"/>
      <c r="R900" s="89" t="n"/>
      <c r="S900" s="89" t="n"/>
      <c r="T900" s="55" t="n"/>
      <c r="V900" s="1" t="n"/>
      <c r="Y900" s="111" t="n"/>
      <c r="Z900" s="111" t="n"/>
      <c r="AA900" s="111" t="n"/>
      <c r="AK900" s="55" t="n"/>
      <c r="AL900" s="89" t="n"/>
    </row>
    <row r="901" ht="22.5" customHeight="1" s="150">
      <c r="A901" s="34" t="n">
        <v>899</v>
      </c>
      <c r="B901" s="34" t="n"/>
      <c r="C901" s="34" t="n"/>
      <c r="D901" s="34" t="n"/>
      <c r="E901" s="34" t="n"/>
      <c r="F901" s="86" t="n"/>
      <c r="G901" s="86" t="n"/>
      <c r="H901" s="111" t="n"/>
      <c r="I901" s="87" t="n"/>
      <c r="J901" s="87" t="n"/>
      <c r="K901" s="111" t="n"/>
      <c r="L901" s="86" t="n"/>
      <c r="M901" s="145" t="n"/>
      <c r="N901" s="89" t="n"/>
      <c r="O901" s="144" t="n"/>
      <c r="P901" s="31" t="n"/>
      <c r="Q901" s="89" t="n"/>
      <c r="R901" s="89" t="n"/>
      <c r="S901" s="89" t="n"/>
      <c r="T901" s="55" t="n"/>
      <c r="V901" s="1" t="n"/>
      <c r="Y901" s="111" t="n"/>
      <c r="Z901" s="111" t="n"/>
      <c r="AA901" s="111" t="n"/>
      <c r="AK901" s="55" t="n"/>
      <c r="AL901" s="89" t="n"/>
    </row>
    <row r="902" ht="22.5" customHeight="1" s="150">
      <c r="A902" s="34" t="n">
        <v>900</v>
      </c>
      <c r="B902" s="34" t="n"/>
      <c r="C902" s="34" t="n"/>
      <c r="D902" s="34" t="n"/>
      <c r="E902" s="34" t="n"/>
      <c r="F902" s="86" t="n"/>
      <c r="G902" s="86" t="n"/>
      <c r="H902" s="111" t="n"/>
      <c r="I902" s="87" t="n"/>
      <c r="J902" s="87" t="n"/>
      <c r="K902" s="111" t="n"/>
      <c r="L902" s="86" t="n"/>
      <c r="M902" s="146" t="n"/>
      <c r="N902" s="89" t="n"/>
      <c r="O902" s="144" t="n"/>
      <c r="P902" s="31" t="n"/>
      <c r="Q902" s="89" t="n"/>
      <c r="R902" s="89" t="n"/>
      <c r="S902" s="89" t="n"/>
      <c r="T902" s="55" t="n"/>
      <c r="V902" s="1" t="n"/>
      <c r="Y902" s="111" t="n"/>
      <c r="Z902" s="111" t="n"/>
      <c r="AA902" s="111" t="n"/>
      <c r="AK902" s="55" t="n"/>
      <c r="AL902" s="89" t="n"/>
    </row>
    <row r="903" ht="22.5" customHeight="1" s="150">
      <c r="A903" s="34" t="n">
        <v>901</v>
      </c>
      <c r="B903" s="34" t="n"/>
      <c r="C903" s="34" t="n"/>
      <c r="D903" s="34" t="n"/>
      <c r="E903" s="34" t="n"/>
      <c r="F903" s="86" t="n"/>
      <c r="G903" s="86" t="n"/>
      <c r="H903" s="111" t="n"/>
      <c r="I903" s="87" t="n"/>
      <c r="J903" s="87" t="n"/>
      <c r="K903" s="111" t="n"/>
      <c r="L903" s="86" t="n"/>
      <c r="M903" s="145" t="n"/>
      <c r="N903" s="89" t="n"/>
      <c r="O903" s="144" t="n"/>
      <c r="P903" s="31" t="n"/>
      <c r="Q903" s="89" t="n"/>
      <c r="R903" s="89" t="n"/>
      <c r="S903" s="89" t="n"/>
      <c r="T903" s="55" t="n"/>
      <c r="V903" s="1" t="n"/>
      <c r="Y903" s="111" t="n"/>
      <c r="Z903" s="111" t="n"/>
      <c r="AA903" s="111" t="n"/>
      <c r="AK903" s="55" t="n"/>
      <c r="AL903" s="89" t="n"/>
    </row>
    <row r="904" ht="22.5" customHeight="1" s="150">
      <c r="A904" s="34" t="n">
        <v>902</v>
      </c>
      <c r="B904" s="34" t="n"/>
      <c r="C904" s="34" t="n"/>
      <c r="D904" s="34" t="n"/>
      <c r="E904" s="34" t="n"/>
      <c r="F904" s="86" t="n"/>
      <c r="G904" s="86" t="n"/>
      <c r="H904" s="111" t="n"/>
      <c r="I904" s="87" t="n"/>
      <c r="J904" s="87" t="n"/>
      <c r="K904" s="111" t="n"/>
      <c r="L904" s="86" t="n"/>
      <c r="M904" s="146" t="n"/>
      <c r="N904" s="89" t="n"/>
      <c r="O904" s="144" t="n"/>
      <c r="P904" s="31" t="n"/>
      <c r="Q904" s="89" t="n"/>
      <c r="R904" s="89" t="n"/>
      <c r="S904" s="89" t="n"/>
      <c r="T904" s="55" t="n"/>
      <c r="V904" s="1" t="n"/>
      <c r="Y904" s="111" t="n"/>
      <c r="Z904" s="111" t="n"/>
      <c r="AA904" s="111" t="n"/>
      <c r="AK904" s="55" t="n"/>
      <c r="AL904" s="89" t="n"/>
    </row>
    <row r="905" ht="22.5" customHeight="1" s="150">
      <c r="A905" s="34" t="n">
        <v>903</v>
      </c>
      <c r="B905" s="34" t="n"/>
      <c r="C905" s="34" t="n"/>
      <c r="D905" s="34" t="n"/>
      <c r="E905" s="34" t="n"/>
      <c r="F905" s="86" t="n"/>
      <c r="G905" s="86" t="n"/>
      <c r="H905" s="111" t="n"/>
      <c r="I905" s="87" t="n"/>
      <c r="J905" s="87" t="n"/>
      <c r="K905" s="111" t="n"/>
      <c r="L905" s="86" t="n"/>
      <c r="M905" s="145" t="n"/>
      <c r="N905" s="89" t="n"/>
      <c r="O905" s="144" t="n"/>
      <c r="P905" s="31" t="n"/>
      <c r="Q905" s="89" t="n"/>
      <c r="R905" s="89" t="n"/>
      <c r="S905" s="89" t="n"/>
      <c r="T905" s="55" t="n"/>
      <c r="V905" s="1" t="n"/>
      <c r="Y905" s="111" t="n"/>
      <c r="Z905" s="111" t="n"/>
      <c r="AA905" s="111" t="n"/>
      <c r="AK905" s="55" t="n"/>
      <c r="AL905" s="89" t="n"/>
    </row>
    <row r="906" ht="22.5" customHeight="1" s="150">
      <c r="A906" s="34" t="n">
        <v>904</v>
      </c>
      <c r="B906" s="34" t="n"/>
      <c r="C906" s="34" t="n"/>
      <c r="D906" s="34" t="n"/>
      <c r="E906" s="34" t="n"/>
      <c r="F906" s="86" t="n"/>
      <c r="G906" s="86" t="n"/>
      <c r="H906" s="111" t="n"/>
      <c r="I906" s="87" t="n"/>
      <c r="J906" s="87" t="n"/>
      <c r="K906" s="111" t="n"/>
      <c r="L906" s="86" t="n"/>
      <c r="M906" s="146" t="n"/>
      <c r="N906" s="89" t="n"/>
      <c r="O906" s="144" t="n"/>
      <c r="P906" s="31" t="n"/>
      <c r="Q906" s="89" t="n"/>
      <c r="R906" s="89" t="n"/>
      <c r="S906" s="89" t="n"/>
      <c r="T906" s="55" t="n"/>
      <c r="V906" s="1" t="n"/>
      <c r="Y906" s="111" t="n"/>
      <c r="Z906" s="111" t="n"/>
      <c r="AA906" s="111" t="n"/>
      <c r="AK906" s="55" t="n"/>
      <c r="AL906" s="89" t="n"/>
    </row>
    <row r="907" ht="22.5" customHeight="1" s="150">
      <c r="A907" s="34" t="n">
        <v>905</v>
      </c>
      <c r="B907" s="34" t="n"/>
      <c r="C907" s="34" t="n"/>
      <c r="D907" s="34" t="n"/>
      <c r="E907" s="34" t="n"/>
      <c r="F907" s="86" t="n"/>
      <c r="G907" s="86" t="n"/>
      <c r="H907" s="111" t="n"/>
      <c r="I907" s="87" t="n"/>
      <c r="J907" s="87" t="n"/>
      <c r="K907" s="111" t="n"/>
      <c r="L907" s="86" t="n"/>
      <c r="M907" s="145" t="n"/>
      <c r="N907" s="89" t="n"/>
      <c r="O907" s="144" t="n"/>
      <c r="P907" s="31" t="n"/>
      <c r="Q907" s="89" t="n"/>
      <c r="R907" s="89" t="n"/>
      <c r="S907" s="89" t="n"/>
      <c r="T907" s="55" t="n"/>
      <c r="V907" s="1" t="n"/>
      <c r="Y907" s="111" t="n"/>
      <c r="Z907" s="111" t="n"/>
      <c r="AA907" s="111" t="n"/>
      <c r="AK907" s="55" t="n"/>
      <c r="AL907" s="89" t="n"/>
    </row>
    <row r="908" ht="22.5" customHeight="1" s="150">
      <c r="A908" s="34" t="n">
        <v>906</v>
      </c>
      <c r="B908" s="34" t="n"/>
      <c r="C908" s="34" t="n"/>
      <c r="D908" s="34" t="n"/>
      <c r="E908" s="34" t="n"/>
      <c r="F908" s="86" t="n"/>
      <c r="G908" s="86" t="n"/>
      <c r="H908" s="111" t="n"/>
      <c r="I908" s="87" t="n"/>
      <c r="J908" s="87" t="n"/>
      <c r="K908" s="111" t="n"/>
      <c r="L908" s="86" t="n"/>
      <c r="M908" s="146" t="n"/>
      <c r="N908" s="89" t="n"/>
      <c r="O908" s="144" t="n"/>
      <c r="P908" s="31" t="n"/>
      <c r="Q908" s="89" t="n"/>
      <c r="R908" s="89" t="n"/>
      <c r="S908" s="89" t="n"/>
      <c r="T908" s="55" t="n"/>
      <c r="V908" s="1" t="n"/>
      <c r="Y908" s="111" t="n"/>
      <c r="Z908" s="111" t="n"/>
      <c r="AA908" s="111" t="n"/>
      <c r="AK908" s="55" t="n"/>
      <c r="AL908" s="89" t="n"/>
    </row>
    <row r="909" ht="22.5" customHeight="1" s="150">
      <c r="A909" s="34" t="n">
        <v>907</v>
      </c>
      <c r="B909" s="34" t="n"/>
      <c r="C909" s="34" t="n"/>
      <c r="D909" s="34" t="n"/>
      <c r="E909" s="34" t="n"/>
      <c r="F909" s="86" t="n"/>
      <c r="G909" s="86" t="n"/>
      <c r="H909" s="111" t="n"/>
      <c r="I909" s="87" t="n"/>
      <c r="J909" s="87" t="n"/>
      <c r="K909" s="111" t="n"/>
      <c r="L909" s="86" t="n"/>
      <c r="M909" s="145" t="n"/>
      <c r="N909" s="89" t="n"/>
      <c r="O909" s="144" t="n"/>
      <c r="P909" s="31" t="n"/>
      <c r="Q909" s="89" t="n"/>
      <c r="R909" s="89" t="n"/>
      <c r="S909" s="89" t="n"/>
      <c r="T909" s="55" t="n"/>
      <c r="V909" s="1" t="n"/>
      <c r="Y909" s="111" t="n"/>
      <c r="Z909" s="111" t="n"/>
      <c r="AA909" s="111" t="n"/>
      <c r="AK909" s="55" t="n"/>
      <c r="AL909" s="89" t="n"/>
    </row>
    <row r="910" ht="22.5" customHeight="1" s="150">
      <c r="A910" s="34" t="n">
        <v>908</v>
      </c>
      <c r="B910" s="34" t="n"/>
      <c r="C910" s="34" t="n"/>
      <c r="D910" s="34" t="n"/>
      <c r="E910" s="34" t="n"/>
      <c r="F910" s="86" t="n"/>
      <c r="G910" s="86" t="n"/>
      <c r="H910" s="111" t="n"/>
      <c r="I910" s="87" t="n"/>
      <c r="J910" s="87" t="n"/>
      <c r="K910" s="111" t="n"/>
      <c r="L910" s="86" t="n"/>
      <c r="M910" s="146" t="n"/>
      <c r="N910" s="89" t="n"/>
      <c r="O910" s="144" t="n"/>
      <c r="P910" s="31" t="n"/>
      <c r="Q910" s="89" t="n"/>
      <c r="R910" s="89" t="n"/>
      <c r="S910" s="89" t="n"/>
      <c r="T910" s="55" t="n"/>
      <c r="V910" s="1" t="n"/>
      <c r="Y910" s="111" t="n"/>
      <c r="Z910" s="111" t="n"/>
      <c r="AA910" s="111" t="n"/>
      <c r="AK910" s="55" t="n"/>
      <c r="AL910" s="89" t="n"/>
    </row>
    <row r="911" ht="22.5" customHeight="1" s="150">
      <c r="A911" s="34" t="n">
        <v>909</v>
      </c>
      <c r="B911" s="34" t="n"/>
      <c r="C911" s="34" t="n"/>
      <c r="D911" s="34" t="n"/>
      <c r="E911" s="34" t="n"/>
      <c r="F911" s="86" t="n"/>
      <c r="G911" s="86" t="n"/>
      <c r="H911" s="111" t="n"/>
      <c r="I911" s="87" t="n"/>
      <c r="J911" s="87" t="n"/>
      <c r="K911" s="111" t="n"/>
      <c r="L911" s="86" t="n"/>
      <c r="M911" s="145" t="n"/>
      <c r="N911" s="89" t="n"/>
      <c r="O911" s="144" t="n"/>
      <c r="P911" s="31" t="n"/>
      <c r="Q911" s="89" t="n"/>
      <c r="R911" s="89" t="n"/>
      <c r="S911" s="89" t="n"/>
      <c r="T911" s="55" t="n"/>
      <c r="V911" s="1" t="n"/>
      <c r="Y911" s="111" t="n"/>
      <c r="Z911" s="111" t="n"/>
      <c r="AA911" s="111" t="n"/>
      <c r="AK911" s="55" t="n"/>
      <c r="AL911" s="89" t="n"/>
    </row>
    <row r="912" ht="22.5" customHeight="1" s="150">
      <c r="A912" s="34" t="n">
        <v>910</v>
      </c>
      <c r="B912" s="34" t="n"/>
      <c r="C912" s="34" t="n"/>
      <c r="D912" s="34" t="n"/>
      <c r="E912" s="34" t="n"/>
      <c r="F912" s="86" t="n"/>
      <c r="G912" s="86" t="n"/>
      <c r="H912" s="111" t="n"/>
      <c r="I912" s="87" t="n"/>
      <c r="J912" s="87" t="n"/>
      <c r="K912" s="111" t="n"/>
      <c r="L912" s="86" t="n"/>
      <c r="M912" s="146" t="n"/>
      <c r="N912" s="89" t="n"/>
      <c r="O912" s="144" t="n"/>
      <c r="P912" s="31" t="n"/>
      <c r="Q912" s="89" t="n"/>
      <c r="R912" s="89" t="n"/>
      <c r="S912" s="89" t="n"/>
      <c r="T912" s="55" t="n"/>
      <c r="V912" s="1" t="n"/>
      <c r="Y912" s="111" t="n"/>
      <c r="Z912" s="111" t="n"/>
      <c r="AA912" s="111" t="n"/>
      <c r="AK912" s="55" t="n"/>
      <c r="AL912" s="89" t="n"/>
    </row>
    <row r="913" ht="22.5" customHeight="1" s="150">
      <c r="A913" s="34" t="n">
        <v>911</v>
      </c>
      <c r="B913" s="34" t="n"/>
      <c r="C913" s="34" t="n"/>
      <c r="D913" s="34" t="n"/>
      <c r="E913" s="34" t="n"/>
      <c r="F913" s="86" t="n"/>
      <c r="G913" s="86" t="n"/>
      <c r="H913" s="111" t="n"/>
      <c r="I913" s="87" t="n"/>
      <c r="J913" s="87" t="n"/>
      <c r="K913" s="111" t="n"/>
      <c r="L913" s="86" t="n"/>
      <c r="M913" s="145" t="n"/>
      <c r="N913" s="89" t="n"/>
      <c r="O913" s="144" t="n"/>
      <c r="P913" s="31" t="n"/>
      <c r="Q913" s="89" t="n"/>
      <c r="R913" s="89" t="n"/>
      <c r="S913" s="89" t="n"/>
      <c r="T913" s="55" t="n"/>
      <c r="V913" s="1" t="n"/>
      <c r="Y913" s="111" t="n"/>
      <c r="Z913" s="111" t="n"/>
      <c r="AA913" s="111" t="n"/>
      <c r="AK913" s="55" t="n"/>
      <c r="AL913" s="89" t="n"/>
    </row>
    <row r="914" ht="22.5" customHeight="1" s="150">
      <c r="A914" s="34" t="n">
        <v>912</v>
      </c>
      <c r="B914" s="34" t="n"/>
      <c r="C914" s="34" t="n"/>
      <c r="D914" s="34" t="n"/>
      <c r="E914" s="34" t="n"/>
      <c r="F914" s="86" t="n"/>
      <c r="G914" s="86" t="n"/>
      <c r="H914" s="111" t="n"/>
      <c r="I914" s="87" t="n"/>
      <c r="J914" s="87" t="n"/>
      <c r="K914" s="111" t="n"/>
      <c r="L914" s="86" t="n"/>
      <c r="M914" s="146" t="n"/>
      <c r="N914" s="89" t="n"/>
      <c r="O914" s="144" t="n"/>
      <c r="P914" s="31" t="n"/>
      <c r="Q914" s="89" t="n"/>
      <c r="R914" s="89" t="n"/>
      <c r="S914" s="89" t="n"/>
      <c r="T914" s="55" t="n"/>
      <c r="V914" s="1" t="n"/>
      <c r="Y914" s="111" t="n"/>
      <c r="Z914" s="111" t="n"/>
      <c r="AA914" s="111" t="n"/>
      <c r="AK914" s="55" t="n"/>
      <c r="AL914" s="89" t="n"/>
    </row>
    <row r="915" ht="22.5" customHeight="1" s="150">
      <c r="A915" s="34" t="n">
        <v>913</v>
      </c>
      <c r="B915" s="34" t="n"/>
      <c r="C915" s="34" t="n"/>
      <c r="D915" s="34" t="n"/>
      <c r="E915" s="34" t="n"/>
      <c r="F915" s="86" t="n"/>
      <c r="G915" s="86" t="n"/>
      <c r="H915" s="111" t="n"/>
      <c r="I915" s="87" t="n"/>
      <c r="J915" s="87" t="n"/>
      <c r="K915" s="111" t="n"/>
      <c r="L915" s="86" t="n"/>
      <c r="M915" s="145" t="n"/>
      <c r="N915" s="89" t="n"/>
      <c r="O915" s="144" t="n"/>
      <c r="P915" s="31" t="n"/>
      <c r="Q915" s="89" t="n"/>
      <c r="R915" s="89" t="n"/>
      <c r="S915" s="89" t="n"/>
      <c r="T915" s="55" t="n"/>
      <c r="V915" s="1" t="n"/>
      <c r="Y915" s="111" t="n"/>
      <c r="Z915" s="111" t="n"/>
      <c r="AA915" s="111" t="n"/>
      <c r="AK915" s="55" t="n"/>
      <c r="AL915" s="89" t="n"/>
    </row>
    <row r="916" ht="22.5" customHeight="1" s="150">
      <c r="A916" s="34" t="n">
        <v>914</v>
      </c>
      <c r="B916" s="34" t="n"/>
      <c r="C916" s="34" t="n"/>
      <c r="D916" s="34" t="n"/>
      <c r="E916" s="34" t="n"/>
      <c r="F916" s="86" t="n"/>
      <c r="G916" s="86" t="n"/>
      <c r="H916" s="111" t="n"/>
      <c r="I916" s="87" t="n"/>
      <c r="J916" s="87" t="n"/>
      <c r="K916" s="111" t="n"/>
      <c r="L916" s="86" t="n"/>
      <c r="M916" s="146" t="n"/>
      <c r="N916" s="89" t="n"/>
      <c r="O916" s="144" t="n"/>
      <c r="P916" s="31" t="n"/>
      <c r="Q916" s="89" t="n"/>
      <c r="R916" s="89" t="n"/>
      <c r="S916" s="89" t="n"/>
      <c r="T916" s="55" t="n"/>
      <c r="V916" s="1" t="n"/>
      <c r="Y916" s="111" t="n"/>
      <c r="Z916" s="111" t="n"/>
      <c r="AA916" s="111" t="n"/>
      <c r="AK916" s="55" t="n"/>
      <c r="AL916" s="89" t="n"/>
    </row>
    <row r="917" ht="22.5" customHeight="1" s="150">
      <c r="A917" s="34" t="n">
        <v>915</v>
      </c>
      <c r="B917" s="34" t="n"/>
      <c r="C917" s="34" t="n"/>
      <c r="D917" s="34" t="n"/>
      <c r="E917" s="34" t="n"/>
      <c r="F917" s="86" t="n"/>
      <c r="G917" s="86" t="n"/>
      <c r="H917" s="111" t="n"/>
      <c r="I917" s="87" t="n"/>
      <c r="J917" s="87" t="n"/>
      <c r="K917" s="111" t="n"/>
      <c r="L917" s="86" t="n"/>
      <c r="M917" s="145" t="n"/>
      <c r="N917" s="89" t="n"/>
      <c r="O917" s="144" t="n"/>
      <c r="P917" s="31" t="n"/>
      <c r="Q917" s="89" t="n"/>
      <c r="R917" s="89" t="n"/>
      <c r="S917" s="89" t="n"/>
      <c r="T917" s="55" t="n"/>
      <c r="V917" s="1" t="n"/>
      <c r="Y917" s="111" t="n"/>
      <c r="Z917" s="111" t="n"/>
      <c r="AA917" s="111" t="n"/>
      <c r="AK917" s="55" t="n"/>
      <c r="AL917" s="89" t="n"/>
    </row>
    <row r="918" ht="22.5" customHeight="1" s="150">
      <c r="A918" s="34" t="n">
        <v>916</v>
      </c>
      <c r="B918" s="34" t="n"/>
      <c r="C918" s="34" t="n"/>
      <c r="D918" s="34" t="n"/>
      <c r="E918" s="34" t="n"/>
      <c r="F918" s="86" t="n"/>
      <c r="G918" s="86" t="n"/>
      <c r="H918" s="111" t="n"/>
      <c r="I918" s="87" t="n"/>
      <c r="J918" s="87" t="n"/>
      <c r="K918" s="111" t="n"/>
      <c r="L918" s="86" t="n"/>
      <c r="M918" s="146" t="n"/>
      <c r="N918" s="89" t="n"/>
      <c r="O918" s="144" t="n"/>
      <c r="P918" s="31" t="n"/>
      <c r="Q918" s="89" t="n"/>
      <c r="R918" s="89" t="n"/>
      <c r="S918" s="89" t="n"/>
      <c r="T918" s="55" t="n"/>
      <c r="V918" s="1" t="n"/>
      <c r="Y918" s="111" t="n"/>
      <c r="Z918" s="111" t="n"/>
      <c r="AA918" s="111" t="n"/>
      <c r="AK918" s="55" t="n"/>
      <c r="AL918" s="89" t="n"/>
    </row>
    <row r="919" ht="22.5" customHeight="1" s="150">
      <c r="A919" s="34" t="n">
        <v>917</v>
      </c>
      <c r="B919" s="34" t="n"/>
      <c r="C919" s="34" t="n"/>
      <c r="D919" s="34" t="n"/>
      <c r="E919" s="34" t="n"/>
      <c r="F919" s="86" t="n"/>
      <c r="G919" s="86" t="n"/>
      <c r="H919" s="111" t="n"/>
      <c r="I919" s="87" t="n"/>
      <c r="J919" s="87" t="n"/>
      <c r="K919" s="111" t="n"/>
      <c r="L919" s="86" t="n"/>
      <c r="M919" s="145" t="n"/>
      <c r="N919" s="89" t="n"/>
      <c r="O919" s="144" t="n"/>
      <c r="P919" s="31" t="n"/>
      <c r="Q919" s="89" t="n"/>
      <c r="R919" s="89" t="n"/>
      <c r="S919" s="89" t="n"/>
      <c r="T919" s="55" t="n"/>
      <c r="V919" s="1" t="n"/>
      <c r="Y919" s="111" t="n"/>
      <c r="Z919" s="111" t="n"/>
      <c r="AA919" s="111" t="n"/>
      <c r="AK919" s="55" t="n"/>
      <c r="AL919" s="89" t="n"/>
    </row>
    <row r="920" ht="22.5" customHeight="1" s="150">
      <c r="A920" s="34" t="n">
        <v>918</v>
      </c>
      <c r="B920" s="34" t="n"/>
      <c r="C920" s="34" t="n"/>
      <c r="D920" s="34" t="n"/>
      <c r="E920" s="34" t="n"/>
      <c r="F920" s="86" t="n"/>
      <c r="G920" s="86" t="n"/>
      <c r="H920" s="111" t="n"/>
      <c r="I920" s="87" t="n"/>
      <c r="J920" s="87" t="n"/>
      <c r="K920" s="111" t="n"/>
      <c r="L920" s="86" t="n"/>
      <c r="M920" s="146" t="n"/>
      <c r="N920" s="89" t="n"/>
      <c r="O920" s="144" t="n"/>
      <c r="P920" s="31" t="n"/>
      <c r="Q920" s="89" t="n"/>
      <c r="R920" s="89" t="n"/>
      <c r="S920" s="89" t="n"/>
      <c r="T920" s="55" t="n"/>
      <c r="V920" s="1" t="n"/>
      <c r="Y920" s="111" t="n"/>
      <c r="Z920" s="111" t="n"/>
      <c r="AA920" s="111" t="n"/>
      <c r="AK920" s="55" t="n"/>
      <c r="AL920" s="89" t="n"/>
    </row>
    <row r="921" ht="22.5" customHeight="1" s="150">
      <c r="A921" s="34" t="n">
        <v>919</v>
      </c>
      <c r="B921" s="34" t="n"/>
      <c r="C921" s="34" t="n"/>
      <c r="D921" s="34" t="n"/>
      <c r="E921" s="34" t="n"/>
      <c r="F921" s="86" t="n"/>
      <c r="G921" s="86" t="n"/>
      <c r="H921" s="111" t="n"/>
      <c r="I921" s="87" t="n"/>
      <c r="J921" s="87" t="n"/>
      <c r="K921" s="111" t="n"/>
      <c r="L921" s="86" t="n"/>
      <c r="M921" s="145" t="n"/>
      <c r="N921" s="89" t="n"/>
      <c r="O921" s="144" t="n"/>
      <c r="P921" s="31" t="n"/>
      <c r="Q921" s="89" t="n"/>
      <c r="R921" s="89" t="n"/>
      <c r="S921" s="89" t="n"/>
      <c r="T921" s="55" t="n"/>
      <c r="V921" s="1" t="n"/>
      <c r="Y921" s="111" t="n"/>
      <c r="Z921" s="111" t="n"/>
      <c r="AA921" s="111" t="n"/>
      <c r="AK921" s="55" t="n"/>
      <c r="AL921" s="89" t="n"/>
    </row>
    <row r="922" ht="22.5" customHeight="1" s="150">
      <c r="A922" s="34" t="n">
        <v>920</v>
      </c>
      <c r="B922" s="34" t="n"/>
      <c r="C922" s="34" t="n"/>
      <c r="D922" s="34" t="n"/>
      <c r="E922" s="34" t="n"/>
      <c r="F922" s="86" t="n"/>
      <c r="G922" s="86" t="n"/>
      <c r="H922" s="111" t="n"/>
      <c r="I922" s="87" t="n"/>
      <c r="J922" s="87" t="n"/>
      <c r="K922" s="111" t="n"/>
      <c r="L922" s="86" t="n"/>
      <c r="M922" s="146" t="n"/>
      <c r="N922" s="89" t="n"/>
      <c r="O922" s="144" t="n"/>
      <c r="P922" s="31" t="n"/>
      <c r="Q922" s="89" t="n"/>
      <c r="R922" s="89" t="n"/>
      <c r="S922" s="89" t="n"/>
      <c r="T922" s="55" t="n"/>
      <c r="V922" s="1" t="n"/>
      <c r="Y922" s="111" t="n"/>
      <c r="Z922" s="111" t="n"/>
      <c r="AA922" s="111" t="n"/>
      <c r="AK922" s="55" t="n"/>
      <c r="AL922" s="89" t="n"/>
    </row>
    <row r="923" ht="22.5" customHeight="1" s="150">
      <c r="A923" s="34" t="n">
        <v>921</v>
      </c>
      <c r="B923" s="34" t="n"/>
      <c r="C923" s="34" t="n"/>
      <c r="D923" s="34" t="n"/>
      <c r="E923" s="34" t="n"/>
      <c r="F923" s="86" t="n"/>
      <c r="G923" s="86" t="n"/>
      <c r="H923" s="111" t="n"/>
      <c r="I923" s="87" t="n"/>
      <c r="J923" s="87" t="n"/>
      <c r="K923" s="111" t="n"/>
      <c r="L923" s="86" t="n"/>
      <c r="M923" s="145" t="n"/>
      <c r="N923" s="89" t="n"/>
      <c r="O923" s="144" t="n"/>
      <c r="P923" s="31" t="n"/>
      <c r="Q923" s="89" t="n"/>
      <c r="R923" s="89" t="n"/>
      <c r="S923" s="89" t="n"/>
      <c r="T923" s="55" t="n"/>
      <c r="V923" s="1" t="n"/>
      <c r="Y923" s="111" t="n"/>
      <c r="Z923" s="111" t="n"/>
      <c r="AA923" s="111" t="n"/>
      <c r="AK923" s="55" t="n"/>
      <c r="AL923" s="89" t="n"/>
    </row>
    <row r="924" ht="22.5" customHeight="1" s="150">
      <c r="A924" s="34" t="n">
        <v>922</v>
      </c>
      <c r="B924" s="34" t="n"/>
      <c r="C924" s="34" t="n"/>
      <c r="D924" s="34" t="n"/>
      <c r="E924" s="34" t="n"/>
      <c r="F924" s="86" t="n"/>
      <c r="G924" s="86" t="n"/>
      <c r="H924" s="111" t="n"/>
      <c r="I924" s="87" t="n"/>
      <c r="J924" s="87" t="n"/>
      <c r="K924" s="111" t="n"/>
      <c r="L924" s="86" t="n"/>
      <c r="M924" s="146" t="n"/>
      <c r="N924" s="89" t="n"/>
      <c r="O924" s="144" t="n"/>
      <c r="P924" s="31" t="n"/>
      <c r="Q924" s="89" t="n"/>
      <c r="R924" s="89" t="n"/>
      <c r="S924" s="89" t="n"/>
      <c r="T924" s="55" t="n"/>
      <c r="V924" s="1" t="n"/>
      <c r="Y924" s="111" t="n"/>
      <c r="Z924" s="111" t="n"/>
      <c r="AA924" s="111" t="n"/>
      <c r="AK924" s="55" t="n"/>
      <c r="AL924" s="89" t="n"/>
    </row>
    <row r="925" ht="22.5" customHeight="1" s="150">
      <c r="A925" s="34" t="n">
        <v>923</v>
      </c>
      <c r="B925" s="34" t="n"/>
      <c r="C925" s="34" t="n"/>
      <c r="D925" s="34" t="n"/>
      <c r="E925" s="34" t="n"/>
      <c r="F925" s="86" t="n"/>
      <c r="G925" s="86" t="n"/>
      <c r="H925" s="111" t="n"/>
      <c r="I925" s="87" t="n"/>
      <c r="J925" s="87" t="n"/>
      <c r="K925" s="111" t="n"/>
      <c r="L925" s="86" t="n"/>
      <c r="M925" s="145" t="n"/>
      <c r="N925" s="89" t="n"/>
      <c r="O925" s="144" t="n"/>
      <c r="P925" s="31" t="n"/>
      <c r="Q925" s="89" t="n"/>
      <c r="R925" s="89" t="n"/>
      <c r="S925" s="89" t="n"/>
      <c r="T925" s="55" t="n"/>
      <c r="V925" s="1" t="n"/>
      <c r="Y925" s="111" t="n"/>
      <c r="Z925" s="111" t="n"/>
      <c r="AA925" s="111" t="n"/>
      <c r="AK925" s="55" t="n"/>
      <c r="AL925" s="89" t="n"/>
    </row>
    <row r="926" ht="22.5" customHeight="1" s="150">
      <c r="A926" s="34" t="n">
        <v>924</v>
      </c>
      <c r="B926" s="34" t="n"/>
      <c r="C926" s="34" t="n"/>
      <c r="D926" s="34" t="n"/>
      <c r="E926" s="34" t="n"/>
      <c r="F926" s="86" t="n"/>
      <c r="G926" s="86" t="n"/>
      <c r="H926" s="111" t="n"/>
      <c r="I926" s="87" t="n"/>
      <c r="J926" s="87" t="n"/>
      <c r="K926" s="111" t="n"/>
      <c r="L926" s="86" t="n"/>
      <c r="M926" s="146" t="n"/>
      <c r="N926" s="89" t="n"/>
      <c r="O926" s="144" t="n"/>
      <c r="P926" s="31" t="n"/>
      <c r="Q926" s="89" t="n"/>
      <c r="R926" s="89" t="n"/>
      <c r="S926" s="89" t="n"/>
      <c r="T926" s="55" t="n"/>
      <c r="V926" s="1" t="n"/>
      <c r="Y926" s="111" t="n"/>
      <c r="Z926" s="111" t="n"/>
      <c r="AA926" s="111" t="n"/>
      <c r="AK926" s="55" t="n"/>
      <c r="AL926" s="89" t="n"/>
    </row>
    <row r="927" ht="22.5" customHeight="1" s="150">
      <c r="A927" s="34" t="n">
        <v>925</v>
      </c>
      <c r="B927" s="34" t="n"/>
      <c r="C927" s="34" t="n"/>
      <c r="D927" s="34" t="n"/>
      <c r="E927" s="34" t="n"/>
      <c r="F927" s="86" t="n"/>
      <c r="G927" s="86" t="n"/>
      <c r="H927" s="111" t="n"/>
      <c r="I927" s="87" t="n"/>
      <c r="J927" s="87" t="n"/>
      <c r="K927" s="111" t="n"/>
      <c r="L927" s="86" t="n"/>
      <c r="M927" s="145" t="n"/>
      <c r="N927" s="89" t="n"/>
      <c r="O927" s="144" t="n"/>
      <c r="P927" s="31" t="n"/>
      <c r="Q927" s="89" t="n"/>
      <c r="R927" s="89" t="n"/>
      <c r="S927" s="89" t="n"/>
      <c r="T927" s="55" t="n"/>
      <c r="V927" s="1" t="n"/>
      <c r="Y927" s="111" t="n"/>
      <c r="Z927" s="111" t="n"/>
      <c r="AA927" s="111" t="n"/>
      <c r="AK927" s="55" t="n"/>
      <c r="AL927" s="89" t="n"/>
    </row>
    <row r="928" ht="22.5" customHeight="1" s="150">
      <c r="A928" s="34" t="n">
        <v>926</v>
      </c>
      <c r="B928" s="34" t="n"/>
      <c r="C928" s="34" t="n"/>
      <c r="D928" s="34" t="n"/>
      <c r="E928" s="34" t="n"/>
      <c r="F928" s="86" t="n"/>
      <c r="G928" s="86" t="n"/>
      <c r="H928" s="111" t="n"/>
      <c r="I928" s="87" t="n"/>
      <c r="J928" s="87" t="n"/>
      <c r="K928" s="111" t="n"/>
      <c r="L928" s="86" t="n"/>
      <c r="M928" s="146" t="n"/>
      <c r="N928" s="89" t="n"/>
      <c r="O928" s="144" t="n"/>
      <c r="P928" s="31" t="n"/>
      <c r="Q928" s="89" t="n"/>
      <c r="R928" s="89" t="n"/>
      <c r="S928" s="89" t="n"/>
      <c r="T928" s="55" t="n"/>
      <c r="V928" s="1" t="n"/>
      <c r="Y928" s="111" t="n"/>
      <c r="Z928" s="111" t="n"/>
      <c r="AA928" s="111" t="n"/>
      <c r="AK928" s="55" t="n"/>
      <c r="AL928" s="89" t="n"/>
    </row>
    <row r="929" ht="22.5" customHeight="1" s="150">
      <c r="A929" s="34" t="n">
        <v>927</v>
      </c>
      <c r="B929" s="34" t="n"/>
      <c r="C929" s="34" t="n"/>
      <c r="D929" s="34" t="n"/>
      <c r="E929" s="34" t="n"/>
      <c r="F929" s="86" t="n"/>
      <c r="G929" s="86" t="n"/>
      <c r="H929" s="111" t="n"/>
      <c r="I929" s="87" t="n"/>
      <c r="J929" s="87" t="n"/>
      <c r="K929" s="111" t="n"/>
      <c r="L929" s="86" t="n"/>
      <c r="M929" s="145" t="n"/>
      <c r="N929" s="89" t="n"/>
      <c r="O929" s="144" t="n"/>
      <c r="P929" s="31" t="n"/>
      <c r="Q929" s="89" t="n"/>
      <c r="R929" s="89" t="n"/>
      <c r="S929" s="89" t="n"/>
      <c r="T929" s="55" t="n"/>
      <c r="V929" s="1" t="n"/>
      <c r="Y929" s="111" t="n"/>
      <c r="Z929" s="111" t="n"/>
      <c r="AA929" s="111" t="n"/>
      <c r="AK929" s="55" t="n"/>
      <c r="AL929" s="89" t="n"/>
    </row>
    <row r="930" ht="22.5" customHeight="1" s="150">
      <c r="A930" s="34" t="n">
        <v>928</v>
      </c>
      <c r="B930" s="34" t="n"/>
      <c r="C930" s="34" t="n"/>
      <c r="D930" s="34" t="n"/>
      <c r="E930" s="34" t="n"/>
      <c r="F930" s="86" t="n"/>
      <c r="G930" s="86" t="n"/>
      <c r="H930" s="111" t="n"/>
      <c r="I930" s="87" t="n"/>
      <c r="J930" s="87" t="n"/>
      <c r="K930" s="111" t="n"/>
      <c r="L930" s="86" t="n"/>
      <c r="M930" s="146" t="n"/>
      <c r="N930" s="89" t="n"/>
      <c r="O930" s="144" t="n"/>
      <c r="P930" s="31" t="n"/>
      <c r="Q930" s="89" t="n"/>
      <c r="R930" s="89" t="n"/>
      <c r="S930" s="89" t="n"/>
      <c r="T930" s="55" t="n"/>
      <c r="V930" s="1" t="n"/>
      <c r="Y930" s="111" t="n"/>
      <c r="Z930" s="111" t="n"/>
      <c r="AA930" s="111" t="n"/>
      <c r="AK930" s="55" t="n"/>
      <c r="AL930" s="89" t="n"/>
    </row>
    <row r="931" ht="22.5" customHeight="1" s="150">
      <c r="A931" s="34" t="n">
        <v>929</v>
      </c>
      <c r="B931" s="34" t="n"/>
      <c r="C931" s="34" t="n"/>
      <c r="D931" s="34" t="n"/>
      <c r="E931" s="34" t="n"/>
      <c r="F931" s="86" t="n"/>
      <c r="G931" s="86" t="n"/>
      <c r="H931" s="111" t="n"/>
      <c r="I931" s="87" t="n"/>
      <c r="J931" s="87" t="n"/>
      <c r="K931" s="111" t="n"/>
      <c r="L931" s="86" t="n"/>
      <c r="M931" s="145" t="n"/>
      <c r="N931" s="89" t="n"/>
      <c r="O931" s="144" t="n"/>
      <c r="P931" s="31" t="n"/>
      <c r="Q931" s="89" t="n"/>
      <c r="R931" s="89" t="n"/>
      <c r="S931" s="89" t="n"/>
      <c r="T931" s="55" t="n"/>
      <c r="V931" s="1" t="n"/>
      <c r="Y931" s="111" t="n"/>
      <c r="Z931" s="111" t="n"/>
      <c r="AA931" s="111" t="n"/>
      <c r="AK931" s="55" t="n"/>
      <c r="AL931" s="89" t="n"/>
    </row>
    <row r="932" ht="22.5" customHeight="1" s="150">
      <c r="A932" s="34" t="n">
        <v>930</v>
      </c>
      <c r="B932" s="34" t="n"/>
      <c r="C932" s="34" t="n"/>
      <c r="D932" s="34" t="n"/>
      <c r="E932" s="34" t="n"/>
      <c r="F932" s="86" t="n"/>
      <c r="G932" s="86" t="n"/>
      <c r="H932" s="111" t="n"/>
      <c r="I932" s="87" t="n"/>
      <c r="J932" s="87" t="n"/>
      <c r="K932" s="111" t="n"/>
      <c r="L932" s="86" t="n"/>
      <c r="M932" s="146" t="n"/>
      <c r="N932" s="89" t="n"/>
      <c r="O932" s="144" t="n"/>
      <c r="P932" s="31" t="n"/>
      <c r="Q932" s="89" t="n"/>
      <c r="R932" s="89" t="n"/>
      <c r="S932" s="89" t="n"/>
      <c r="T932" s="55" t="n"/>
      <c r="V932" s="1" t="n"/>
      <c r="Y932" s="111" t="n"/>
      <c r="Z932" s="111" t="n"/>
      <c r="AA932" s="111" t="n"/>
      <c r="AK932" s="55" t="n"/>
      <c r="AL932" s="89" t="n"/>
    </row>
    <row r="933" ht="22.5" customHeight="1" s="150">
      <c r="A933" s="34" t="n">
        <v>931</v>
      </c>
      <c r="B933" s="34" t="n"/>
      <c r="C933" s="34" t="n"/>
      <c r="D933" s="34" t="n"/>
      <c r="E933" s="34" t="n"/>
      <c r="F933" s="86" t="n"/>
      <c r="G933" s="86" t="n"/>
      <c r="H933" s="111" t="n"/>
      <c r="I933" s="87" t="n"/>
      <c r="J933" s="87" t="n"/>
      <c r="K933" s="111" t="n"/>
      <c r="L933" s="86" t="n"/>
      <c r="M933" s="145" t="n"/>
      <c r="N933" s="89" t="n"/>
      <c r="O933" s="144" t="n"/>
      <c r="P933" s="31" t="n"/>
      <c r="Q933" s="89" t="n"/>
      <c r="R933" s="89" t="n"/>
      <c r="S933" s="89" t="n"/>
      <c r="T933" s="55" t="n"/>
      <c r="V933" s="1" t="n"/>
      <c r="Y933" s="111" t="n"/>
      <c r="Z933" s="111" t="n"/>
      <c r="AA933" s="111" t="n"/>
      <c r="AK933" s="55" t="n"/>
      <c r="AL933" s="89" t="n"/>
    </row>
    <row r="934" ht="22.5" customHeight="1" s="150">
      <c r="A934" s="34" t="n">
        <v>932</v>
      </c>
      <c r="B934" s="34" t="n"/>
      <c r="C934" s="34" t="n"/>
      <c r="D934" s="34" t="n"/>
      <c r="E934" s="34" t="n"/>
      <c r="F934" s="86" t="n"/>
      <c r="G934" s="86" t="n"/>
      <c r="H934" s="111" t="n"/>
      <c r="I934" s="87" t="n"/>
      <c r="J934" s="87" t="n"/>
      <c r="K934" s="111" t="n"/>
      <c r="L934" s="86" t="n"/>
      <c r="M934" s="146" t="n"/>
      <c r="N934" s="89" t="n"/>
      <c r="O934" s="144" t="n"/>
      <c r="P934" s="31" t="n"/>
      <c r="Q934" s="89" t="n"/>
      <c r="R934" s="89" t="n"/>
      <c r="S934" s="89" t="n"/>
      <c r="T934" s="55" t="n"/>
      <c r="V934" s="1" t="n"/>
      <c r="Y934" s="111" t="n"/>
      <c r="Z934" s="111" t="n"/>
      <c r="AA934" s="111" t="n"/>
      <c r="AK934" s="55" t="n"/>
      <c r="AL934" s="89" t="n"/>
    </row>
    <row r="935" ht="22.5" customHeight="1" s="150">
      <c r="A935" s="34" t="n">
        <v>933</v>
      </c>
      <c r="B935" s="34" t="n"/>
      <c r="C935" s="34" t="n"/>
      <c r="D935" s="34" t="n"/>
      <c r="E935" s="34" t="n"/>
      <c r="F935" s="86" t="n"/>
      <c r="G935" s="86" t="n"/>
      <c r="H935" s="111" t="n"/>
      <c r="I935" s="87" t="n"/>
      <c r="J935" s="87" t="n"/>
      <c r="K935" s="111" t="n"/>
      <c r="L935" s="86" t="n"/>
      <c r="M935" s="145" t="n"/>
      <c r="N935" s="89" t="n"/>
      <c r="O935" s="144" t="n"/>
      <c r="P935" s="31" t="n"/>
      <c r="Q935" s="89" t="n"/>
      <c r="R935" s="89" t="n"/>
      <c r="S935" s="89" t="n"/>
      <c r="T935" s="55" t="n"/>
      <c r="V935" s="1" t="n"/>
      <c r="Y935" s="111" t="n"/>
      <c r="Z935" s="111" t="n"/>
      <c r="AA935" s="111" t="n"/>
      <c r="AK935" s="55" t="n"/>
      <c r="AL935" s="89" t="n"/>
    </row>
    <row r="936" ht="22.5" customHeight="1" s="150">
      <c r="A936" s="34" t="n">
        <v>934</v>
      </c>
      <c r="B936" s="34" t="n"/>
      <c r="C936" s="34" t="n"/>
      <c r="D936" s="34" t="n"/>
      <c r="E936" s="34" t="n"/>
      <c r="F936" s="86" t="n"/>
      <c r="G936" s="86" t="n"/>
      <c r="H936" s="111" t="n"/>
      <c r="I936" s="87" t="n"/>
      <c r="J936" s="87" t="n"/>
      <c r="K936" s="111" t="n"/>
      <c r="L936" s="86" t="n"/>
      <c r="M936" s="146" t="n"/>
      <c r="N936" s="89" t="n"/>
      <c r="O936" s="144" t="n"/>
      <c r="P936" s="31" t="n"/>
      <c r="Q936" s="89" t="n"/>
      <c r="R936" s="89" t="n"/>
      <c r="S936" s="89" t="n"/>
      <c r="T936" s="55" t="n"/>
      <c r="V936" s="1" t="n"/>
      <c r="Y936" s="111" t="n"/>
      <c r="Z936" s="111" t="n"/>
      <c r="AA936" s="111" t="n"/>
      <c r="AK936" s="55" t="n"/>
      <c r="AL936" s="89" t="n"/>
    </row>
    <row r="937" ht="22.5" customHeight="1" s="150">
      <c r="A937" s="34" t="n">
        <v>935</v>
      </c>
      <c r="B937" s="34" t="n"/>
      <c r="C937" s="34" t="n"/>
      <c r="D937" s="34" t="n"/>
      <c r="E937" s="34" t="n"/>
      <c r="F937" s="86" t="n"/>
      <c r="G937" s="86" t="n"/>
      <c r="H937" s="111" t="n"/>
      <c r="I937" s="87" t="n"/>
      <c r="J937" s="87" t="n"/>
      <c r="K937" s="111" t="n"/>
      <c r="L937" s="86" t="n"/>
      <c r="M937" s="145" t="n"/>
      <c r="N937" s="89" t="n"/>
      <c r="O937" s="144" t="n"/>
      <c r="P937" s="31" t="n"/>
      <c r="Q937" s="89" t="n"/>
      <c r="R937" s="89" t="n"/>
      <c r="S937" s="89" t="n"/>
      <c r="T937" s="55" t="n"/>
      <c r="V937" s="1" t="n"/>
      <c r="Y937" s="111" t="n"/>
      <c r="Z937" s="111" t="n"/>
      <c r="AA937" s="111" t="n"/>
      <c r="AK937" s="55" t="n"/>
      <c r="AL937" s="89" t="n"/>
    </row>
    <row r="938" ht="22.5" customHeight="1" s="150">
      <c r="A938" s="34" t="n">
        <v>936</v>
      </c>
      <c r="B938" s="34" t="n"/>
      <c r="C938" s="34" t="n"/>
      <c r="D938" s="34" t="n"/>
      <c r="E938" s="34" t="n"/>
      <c r="F938" s="86" t="n"/>
      <c r="G938" s="86" t="n"/>
      <c r="H938" s="111" t="n"/>
      <c r="I938" s="87" t="n"/>
      <c r="J938" s="87" t="n"/>
      <c r="K938" s="111" t="n"/>
      <c r="L938" s="86" t="n"/>
      <c r="M938" s="146" t="n"/>
      <c r="N938" s="89" t="n"/>
      <c r="O938" s="144" t="n"/>
      <c r="P938" s="31" t="n"/>
      <c r="Q938" s="89" t="n"/>
      <c r="R938" s="89" t="n"/>
      <c r="S938" s="89" t="n"/>
      <c r="T938" s="55" t="n"/>
      <c r="V938" s="1" t="n"/>
      <c r="Y938" s="111" t="n"/>
      <c r="Z938" s="111" t="n"/>
      <c r="AA938" s="111" t="n"/>
      <c r="AK938" s="55" t="n"/>
      <c r="AL938" s="89" t="n"/>
    </row>
    <row r="939" ht="22.5" customHeight="1" s="150">
      <c r="A939" s="34" t="n">
        <v>937</v>
      </c>
      <c r="B939" s="34" t="n"/>
      <c r="C939" s="34" t="n"/>
      <c r="D939" s="34" t="n"/>
      <c r="E939" s="34" t="n"/>
      <c r="F939" s="86" t="n"/>
      <c r="G939" s="86" t="n"/>
      <c r="H939" s="111" t="n"/>
      <c r="I939" s="87" t="n"/>
      <c r="J939" s="87" t="n"/>
      <c r="K939" s="111" t="n"/>
      <c r="L939" s="86" t="n"/>
      <c r="M939" s="145" t="n"/>
      <c r="N939" s="89" t="n"/>
      <c r="O939" s="144" t="n"/>
      <c r="P939" s="31" t="n"/>
      <c r="Q939" s="89" t="n"/>
      <c r="R939" s="89" t="n"/>
      <c r="S939" s="89" t="n"/>
      <c r="T939" s="55" t="n"/>
      <c r="V939" s="1" t="n"/>
      <c r="Y939" s="111" t="n"/>
      <c r="Z939" s="111" t="n"/>
      <c r="AA939" s="111" t="n"/>
      <c r="AK939" s="55" t="n"/>
      <c r="AL939" s="89" t="n"/>
    </row>
    <row r="940" ht="22.5" customHeight="1" s="150">
      <c r="A940" s="34" t="n">
        <v>938</v>
      </c>
      <c r="B940" s="34" t="n"/>
      <c r="C940" s="34" t="n"/>
      <c r="D940" s="34" t="n"/>
      <c r="E940" s="34" t="n"/>
      <c r="F940" s="86" t="n"/>
      <c r="G940" s="86" t="n"/>
      <c r="H940" s="111" t="n"/>
      <c r="I940" s="87" t="n"/>
      <c r="J940" s="87" t="n"/>
      <c r="K940" s="111" t="n"/>
      <c r="L940" s="86" t="n"/>
      <c r="M940" s="146" t="n"/>
      <c r="N940" s="89" t="n"/>
      <c r="O940" s="144" t="n"/>
      <c r="P940" s="31" t="n"/>
      <c r="Q940" s="89" t="n"/>
      <c r="R940" s="89" t="n"/>
      <c r="S940" s="89" t="n"/>
      <c r="T940" s="55" t="n"/>
      <c r="V940" s="1" t="n"/>
      <c r="Y940" s="111" t="n"/>
      <c r="Z940" s="111" t="n"/>
      <c r="AA940" s="111" t="n"/>
      <c r="AK940" s="55" t="n"/>
      <c r="AL940" s="89" t="n"/>
    </row>
    <row r="941" ht="22.5" customHeight="1" s="150">
      <c r="A941" s="34" t="n">
        <v>939</v>
      </c>
      <c r="B941" s="34" t="n"/>
      <c r="C941" s="34" t="n"/>
      <c r="D941" s="34" t="n"/>
      <c r="E941" s="34" t="n"/>
      <c r="F941" s="86" t="n"/>
      <c r="G941" s="86" t="n"/>
      <c r="H941" s="111" t="n"/>
      <c r="I941" s="87" t="n"/>
      <c r="J941" s="87" t="n"/>
      <c r="K941" s="111" t="n"/>
      <c r="L941" s="86" t="n"/>
      <c r="M941" s="145" t="n"/>
      <c r="N941" s="89" t="n"/>
      <c r="O941" s="144" t="n"/>
      <c r="P941" s="31" t="n"/>
      <c r="Q941" s="89" t="n"/>
      <c r="R941" s="89" t="n"/>
      <c r="S941" s="89" t="n"/>
      <c r="T941" s="55" t="n"/>
      <c r="V941" s="1" t="n"/>
      <c r="Y941" s="111" t="n"/>
      <c r="Z941" s="111" t="n"/>
      <c r="AA941" s="111" t="n"/>
      <c r="AK941" s="55" t="n"/>
      <c r="AL941" s="89" t="n"/>
    </row>
    <row r="942" ht="22.5" customHeight="1" s="150">
      <c r="A942" s="34" t="n">
        <v>940</v>
      </c>
      <c r="B942" s="34" t="n"/>
      <c r="C942" s="34" t="n"/>
      <c r="D942" s="34" t="n"/>
      <c r="E942" s="34" t="n"/>
      <c r="F942" s="86" t="n"/>
      <c r="G942" s="86" t="n"/>
      <c r="H942" s="111" t="n"/>
      <c r="I942" s="87" t="n"/>
      <c r="J942" s="87" t="n"/>
      <c r="K942" s="111" t="n"/>
      <c r="L942" s="86" t="n"/>
      <c r="M942" s="146" t="n"/>
      <c r="N942" s="89" t="n"/>
      <c r="O942" s="144" t="n"/>
      <c r="P942" s="31" t="n"/>
      <c r="Q942" s="89" t="n"/>
      <c r="R942" s="89" t="n"/>
      <c r="S942" s="89" t="n"/>
      <c r="T942" s="55" t="n"/>
      <c r="V942" s="1" t="n"/>
      <c r="Y942" s="111" t="n"/>
      <c r="Z942" s="111" t="n"/>
      <c r="AA942" s="111" t="n"/>
      <c r="AK942" s="55" t="n"/>
      <c r="AL942" s="89" t="n"/>
    </row>
    <row r="943" ht="22.5" customHeight="1" s="150">
      <c r="A943" s="34" t="n">
        <v>941</v>
      </c>
      <c r="B943" s="34" t="n"/>
      <c r="C943" s="34" t="n"/>
      <c r="D943" s="34" t="n"/>
      <c r="E943" s="34" t="n"/>
      <c r="F943" s="86" t="n"/>
      <c r="G943" s="86" t="n"/>
      <c r="H943" s="111" t="n"/>
      <c r="I943" s="87" t="n"/>
      <c r="J943" s="87" t="n"/>
      <c r="K943" s="111" t="n"/>
      <c r="L943" s="86" t="n"/>
      <c r="M943" s="145" t="n"/>
      <c r="N943" s="89" t="n"/>
      <c r="O943" s="144" t="n"/>
      <c r="P943" s="31" t="n"/>
      <c r="Q943" s="89" t="n"/>
      <c r="R943" s="89" t="n"/>
      <c r="S943" s="89" t="n"/>
      <c r="T943" s="55" t="n"/>
      <c r="V943" s="1" t="n"/>
      <c r="Y943" s="111" t="n"/>
      <c r="Z943" s="111" t="n"/>
      <c r="AA943" s="111" t="n"/>
      <c r="AK943" s="55" t="n"/>
      <c r="AL943" s="89" t="n"/>
    </row>
    <row r="944" ht="22.5" customHeight="1" s="150">
      <c r="A944" s="34" t="n">
        <v>942</v>
      </c>
      <c r="B944" s="34" t="n"/>
      <c r="C944" s="34" t="n"/>
      <c r="D944" s="34" t="n"/>
      <c r="E944" s="34" t="n"/>
      <c r="F944" s="86" t="n"/>
      <c r="G944" s="86" t="n"/>
      <c r="H944" s="111" t="n"/>
      <c r="I944" s="87" t="n"/>
      <c r="J944" s="87" t="n"/>
      <c r="K944" s="111" t="n"/>
      <c r="L944" s="86" t="n"/>
      <c r="M944" s="146" t="n"/>
      <c r="N944" s="89" t="n"/>
      <c r="O944" s="144" t="n"/>
      <c r="P944" s="31" t="n"/>
      <c r="Q944" s="89" t="n"/>
      <c r="R944" s="89" t="n"/>
      <c r="S944" s="89" t="n"/>
      <c r="T944" s="55" t="n"/>
      <c r="V944" s="1" t="n"/>
      <c r="Y944" s="111" t="n"/>
      <c r="Z944" s="111" t="n"/>
      <c r="AA944" s="111" t="n"/>
      <c r="AK944" s="55" t="n"/>
      <c r="AL944" s="89" t="n"/>
    </row>
    <row r="945" ht="22.5" customHeight="1" s="150">
      <c r="A945" s="34" t="n">
        <v>943</v>
      </c>
      <c r="B945" s="34" t="n"/>
      <c r="C945" s="34" t="n"/>
      <c r="D945" s="34" t="n"/>
      <c r="E945" s="34" t="n"/>
      <c r="F945" s="86" t="n"/>
      <c r="G945" s="86" t="n"/>
      <c r="H945" s="111" t="n"/>
      <c r="I945" s="87" t="n"/>
      <c r="J945" s="87" t="n"/>
      <c r="K945" s="111" t="n"/>
      <c r="L945" s="86" t="n"/>
      <c r="M945" s="145" t="n"/>
      <c r="N945" s="89" t="n"/>
      <c r="O945" s="144" t="n"/>
      <c r="P945" s="31" t="n"/>
      <c r="Q945" s="89" t="n"/>
      <c r="R945" s="89" t="n"/>
      <c r="S945" s="89" t="n"/>
      <c r="T945" s="55" t="n"/>
      <c r="V945" s="1" t="n"/>
      <c r="Y945" s="111" t="n"/>
      <c r="Z945" s="111" t="n"/>
      <c r="AA945" s="111" t="n"/>
      <c r="AK945" s="55" t="n"/>
      <c r="AL945" s="89" t="n"/>
    </row>
    <row r="946" ht="22.5" customHeight="1" s="150">
      <c r="A946" s="34" t="n">
        <v>944</v>
      </c>
      <c r="B946" s="34" t="n"/>
      <c r="C946" s="34" t="n"/>
      <c r="D946" s="34" t="n"/>
      <c r="E946" s="34" t="n"/>
      <c r="F946" s="86" t="n"/>
      <c r="G946" s="86" t="n"/>
      <c r="H946" s="111" t="n"/>
      <c r="I946" s="87" t="n"/>
      <c r="J946" s="87" t="n"/>
      <c r="K946" s="111" t="n"/>
      <c r="L946" s="86" t="n"/>
      <c r="M946" s="146" t="n"/>
      <c r="N946" s="89" t="n"/>
      <c r="O946" s="144" t="n"/>
      <c r="P946" s="31" t="n"/>
      <c r="Q946" s="89" t="n"/>
      <c r="R946" s="89" t="n"/>
      <c r="S946" s="89" t="n"/>
      <c r="T946" s="55" t="n"/>
      <c r="V946" s="1" t="n"/>
      <c r="Y946" s="111" t="n"/>
      <c r="Z946" s="111" t="n"/>
      <c r="AA946" s="111" t="n"/>
      <c r="AK946" s="55" t="n"/>
      <c r="AL946" s="89" t="n"/>
    </row>
    <row r="947" ht="22.5" customHeight="1" s="150">
      <c r="A947" s="34" t="n">
        <v>945</v>
      </c>
      <c r="B947" s="34" t="n"/>
      <c r="C947" s="34" t="n"/>
      <c r="D947" s="34" t="n"/>
      <c r="E947" s="34" t="n"/>
      <c r="F947" s="86" t="n"/>
      <c r="G947" s="86" t="n"/>
      <c r="H947" s="111" t="n"/>
      <c r="I947" s="87" t="n"/>
      <c r="J947" s="87" t="n"/>
      <c r="K947" s="111" t="n"/>
      <c r="L947" s="86" t="n"/>
      <c r="M947" s="145" t="n"/>
      <c r="N947" s="89" t="n"/>
      <c r="O947" s="144" t="n"/>
      <c r="P947" s="31" t="n"/>
      <c r="Q947" s="89" t="n"/>
      <c r="R947" s="89" t="n"/>
      <c r="S947" s="89" t="n"/>
      <c r="T947" s="55" t="n"/>
      <c r="V947" s="1" t="n"/>
      <c r="Y947" s="111" t="n"/>
      <c r="Z947" s="111" t="n"/>
      <c r="AA947" s="111" t="n"/>
      <c r="AK947" s="55" t="n"/>
      <c r="AL947" s="89" t="n"/>
    </row>
    <row r="948" ht="22.5" customHeight="1" s="150">
      <c r="A948" s="34" t="n">
        <v>946</v>
      </c>
      <c r="B948" s="34" t="n"/>
      <c r="C948" s="34" t="n"/>
      <c r="D948" s="34" t="n"/>
      <c r="E948" s="34" t="n"/>
      <c r="F948" s="86" t="n"/>
      <c r="G948" s="86" t="n"/>
      <c r="H948" s="111" t="n"/>
      <c r="I948" s="87" t="n"/>
      <c r="J948" s="87" t="n"/>
      <c r="K948" s="111" t="n"/>
      <c r="L948" s="86" t="n"/>
      <c r="M948" s="146" t="n"/>
      <c r="N948" s="89" t="n"/>
      <c r="O948" s="144" t="n"/>
      <c r="P948" s="31" t="n"/>
      <c r="Q948" s="89" t="n"/>
      <c r="R948" s="89" t="n"/>
      <c r="S948" s="89" t="n"/>
      <c r="T948" s="55" t="n"/>
      <c r="V948" s="1" t="n"/>
      <c r="Y948" s="111" t="n"/>
      <c r="Z948" s="111" t="n"/>
      <c r="AA948" s="111" t="n"/>
      <c r="AK948" s="55" t="n"/>
      <c r="AL948" s="89" t="n"/>
    </row>
    <row r="949" ht="22.5" customHeight="1" s="150">
      <c r="A949" s="34" t="n">
        <v>947</v>
      </c>
      <c r="B949" s="34" t="n"/>
      <c r="C949" s="34" t="n"/>
      <c r="D949" s="34" t="n"/>
      <c r="E949" s="34" t="n"/>
      <c r="F949" s="86" t="n"/>
      <c r="G949" s="86" t="n"/>
      <c r="H949" s="111" t="n"/>
      <c r="I949" s="87" t="n"/>
      <c r="J949" s="87" t="n"/>
      <c r="K949" s="111" t="n"/>
      <c r="L949" s="86" t="n"/>
      <c r="M949" s="145" t="n"/>
      <c r="N949" s="89" t="n"/>
      <c r="O949" s="144" t="n"/>
      <c r="P949" s="31" t="n"/>
      <c r="Q949" s="89" t="n"/>
      <c r="R949" s="89" t="n"/>
      <c r="S949" s="89" t="n"/>
      <c r="T949" s="55" t="n"/>
      <c r="V949" s="1" t="n"/>
      <c r="Y949" s="111" t="n"/>
      <c r="Z949" s="111" t="n"/>
      <c r="AA949" s="111" t="n"/>
      <c r="AK949" s="55" t="n"/>
      <c r="AL949" s="89" t="n"/>
    </row>
    <row r="950" ht="22.5" customHeight="1" s="150">
      <c r="A950" s="34" t="n">
        <v>948</v>
      </c>
      <c r="B950" s="34" t="n"/>
      <c r="C950" s="34" t="n"/>
      <c r="D950" s="34" t="n"/>
      <c r="E950" s="34" t="n"/>
      <c r="F950" s="86" t="n"/>
      <c r="G950" s="86" t="n"/>
      <c r="H950" s="111" t="n"/>
      <c r="I950" s="87" t="n"/>
      <c r="J950" s="87" t="n"/>
      <c r="K950" s="111" t="n"/>
      <c r="L950" s="86" t="n"/>
      <c r="M950" s="146" t="n"/>
      <c r="N950" s="89" t="n"/>
      <c r="O950" s="144" t="n"/>
      <c r="P950" s="31" t="n"/>
      <c r="Q950" s="89" t="n"/>
      <c r="R950" s="89" t="n"/>
      <c r="S950" s="89" t="n"/>
      <c r="T950" s="55" t="n"/>
      <c r="V950" s="1" t="n"/>
      <c r="Y950" s="111" t="n"/>
      <c r="Z950" s="111" t="n"/>
      <c r="AA950" s="111" t="n"/>
      <c r="AK950" s="55" t="n"/>
      <c r="AL950" s="89" t="n"/>
    </row>
    <row r="951" ht="22.5" customHeight="1" s="150">
      <c r="A951" s="34" t="n">
        <v>949</v>
      </c>
      <c r="B951" s="34" t="n"/>
      <c r="C951" s="34" t="n"/>
      <c r="D951" s="34" t="n"/>
      <c r="E951" s="34" t="n"/>
      <c r="F951" s="86" t="n"/>
      <c r="G951" s="86" t="n"/>
      <c r="H951" s="111" t="n"/>
      <c r="I951" s="87" t="n"/>
      <c r="J951" s="87" t="n"/>
      <c r="K951" s="111" t="n"/>
      <c r="L951" s="86" t="n"/>
      <c r="M951" s="145" t="n"/>
      <c r="N951" s="89" t="n"/>
      <c r="O951" s="144" t="n"/>
      <c r="P951" s="31" t="n"/>
      <c r="Q951" s="89" t="n"/>
      <c r="R951" s="89" t="n"/>
      <c r="S951" s="89" t="n"/>
      <c r="T951" s="55" t="n"/>
      <c r="V951" s="1" t="n"/>
      <c r="Y951" s="111" t="n"/>
      <c r="Z951" s="111" t="n"/>
      <c r="AA951" s="111" t="n"/>
      <c r="AK951" s="55" t="n"/>
      <c r="AL951" s="89" t="n"/>
    </row>
    <row r="952" ht="22.5" customHeight="1" s="150">
      <c r="A952" s="34" t="n">
        <v>950</v>
      </c>
      <c r="B952" s="34" t="n"/>
      <c r="C952" s="34" t="n"/>
      <c r="D952" s="34" t="n"/>
      <c r="E952" s="34" t="n"/>
      <c r="F952" s="86" t="n"/>
      <c r="G952" s="86" t="n"/>
      <c r="H952" s="111" t="n"/>
      <c r="I952" s="87" t="n"/>
      <c r="J952" s="87" t="n"/>
      <c r="K952" s="111" t="n"/>
      <c r="L952" s="86" t="n"/>
      <c r="M952" s="146" t="n"/>
      <c r="N952" s="89" t="n"/>
      <c r="O952" s="144" t="n"/>
      <c r="P952" s="31" t="n"/>
      <c r="Q952" s="89" t="n"/>
      <c r="R952" s="89" t="n"/>
      <c r="S952" s="89" t="n"/>
      <c r="T952" s="55" t="n"/>
      <c r="V952" s="1" t="n"/>
      <c r="Y952" s="111" t="n"/>
      <c r="Z952" s="111" t="n"/>
      <c r="AA952" s="111" t="n"/>
      <c r="AK952" s="55" t="n"/>
      <c r="AL952" s="89" t="n"/>
    </row>
    <row r="953" ht="22.5" customHeight="1" s="150">
      <c r="A953" s="34" t="n">
        <v>951</v>
      </c>
      <c r="B953" s="34" t="n"/>
      <c r="C953" s="34" t="n"/>
      <c r="D953" s="34" t="n"/>
      <c r="E953" s="34" t="n"/>
      <c r="F953" s="86" t="n"/>
      <c r="G953" s="86" t="n"/>
      <c r="H953" s="111" t="n"/>
      <c r="I953" s="87" t="n"/>
      <c r="J953" s="87" t="n"/>
      <c r="K953" s="111" t="n"/>
      <c r="L953" s="86" t="n"/>
      <c r="M953" s="145" t="n"/>
      <c r="N953" s="89" t="n"/>
      <c r="O953" s="144" t="n"/>
      <c r="P953" s="31" t="n"/>
      <c r="Q953" s="89" t="n"/>
      <c r="R953" s="89" t="n"/>
      <c r="S953" s="89" t="n"/>
      <c r="T953" s="55" t="n"/>
      <c r="V953" s="1" t="n"/>
      <c r="Y953" s="111" t="n"/>
      <c r="Z953" s="111" t="n"/>
      <c r="AA953" s="111" t="n"/>
      <c r="AK953" s="55" t="n"/>
      <c r="AL953" s="89" t="n"/>
    </row>
    <row r="954" ht="22.5" customHeight="1" s="150">
      <c r="A954" s="34" t="n">
        <v>952</v>
      </c>
      <c r="B954" s="34" t="n"/>
      <c r="C954" s="34" t="n"/>
      <c r="D954" s="34" t="n"/>
      <c r="E954" s="34" t="n"/>
      <c r="F954" s="86" t="n"/>
      <c r="G954" s="86" t="n"/>
      <c r="H954" s="111" t="n"/>
      <c r="I954" s="87" t="n"/>
      <c r="J954" s="87" t="n"/>
      <c r="K954" s="111" t="n"/>
      <c r="L954" s="86" t="n"/>
      <c r="M954" s="146" t="n"/>
      <c r="N954" s="89" t="n"/>
      <c r="O954" s="144" t="n"/>
      <c r="P954" s="31" t="n"/>
      <c r="Q954" s="89" t="n"/>
      <c r="R954" s="89" t="n"/>
      <c r="S954" s="89" t="n"/>
      <c r="T954" s="55" t="n"/>
      <c r="V954" s="1" t="n"/>
      <c r="Y954" s="111" t="n"/>
      <c r="Z954" s="111" t="n"/>
      <c r="AA954" s="111" t="n"/>
      <c r="AK954" s="55" t="n"/>
      <c r="AL954" s="89" t="n"/>
    </row>
    <row r="955" ht="22.5" customHeight="1" s="150">
      <c r="A955" s="34" t="n">
        <v>953</v>
      </c>
      <c r="B955" s="34" t="n"/>
      <c r="C955" s="34" t="n"/>
      <c r="D955" s="34" t="n"/>
      <c r="E955" s="34" t="n"/>
      <c r="F955" s="86" t="n"/>
      <c r="G955" s="86" t="n"/>
      <c r="H955" s="111" t="n"/>
      <c r="I955" s="87" t="n"/>
      <c r="J955" s="87" t="n"/>
      <c r="K955" s="111" t="n"/>
      <c r="L955" s="86" t="n"/>
      <c r="M955" s="145" t="n"/>
      <c r="N955" s="89" t="n"/>
      <c r="O955" s="144" t="n"/>
      <c r="P955" s="31" t="n"/>
      <c r="Q955" s="89" t="n"/>
      <c r="R955" s="89" t="n"/>
      <c r="S955" s="89" t="n"/>
      <c r="T955" s="55" t="n"/>
      <c r="V955" s="1" t="n"/>
      <c r="Y955" s="111" t="n"/>
      <c r="Z955" s="111" t="n"/>
      <c r="AA955" s="111" t="n"/>
      <c r="AK955" s="55" t="n"/>
      <c r="AL955" s="89" t="n"/>
    </row>
    <row r="956" ht="22.5" customHeight="1" s="150">
      <c r="A956" s="34" t="n">
        <v>954</v>
      </c>
      <c r="B956" s="34" t="n"/>
      <c r="C956" s="34" t="n"/>
      <c r="D956" s="34" t="n"/>
      <c r="E956" s="34" t="n"/>
      <c r="F956" s="86" t="n"/>
      <c r="G956" s="86" t="n"/>
      <c r="H956" s="111" t="n"/>
      <c r="I956" s="87" t="n"/>
      <c r="J956" s="87" t="n"/>
      <c r="K956" s="111" t="n"/>
      <c r="L956" s="86" t="n"/>
      <c r="M956" s="146" t="n"/>
      <c r="N956" s="89" t="n"/>
      <c r="O956" s="144" t="n"/>
      <c r="P956" s="31" t="n"/>
      <c r="Q956" s="89" t="n"/>
      <c r="R956" s="89" t="n"/>
      <c r="S956" s="89" t="n"/>
      <c r="T956" s="55" t="n"/>
      <c r="V956" s="1" t="n"/>
      <c r="Y956" s="111" t="n"/>
      <c r="Z956" s="111" t="n"/>
      <c r="AA956" s="111" t="n"/>
      <c r="AK956" s="55" t="n"/>
      <c r="AL956" s="89" t="n"/>
    </row>
    <row r="957" ht="22.5" customHeight="1" s="150">
      <c r="A957" s="34" t="n">
        <v>955</v>
      </c>
      <c r="B957" s="34" t="n"/>
      <c r="C957" s="34" t="n"/>
      <c r="D957" s="34" t="n"/>
      <c r="E957" s="34" t="n"/>
      <c r="F957" s="86" t="n"/>
      <c r="G957" s="86" t="n"/>
      <c r="H957" s="111" t="n"/>
      <c r="I957" s="87" t="n"/>
      <c r="J957" s="87" t="n"/>
      <c r="K957" s="111" t="n"/>
      <c r="L957" s="86" t="n"/>
      <c r="M957" s="145" t="n"/>
      <c r="N957" s="89" t="n"/>
      <c r="O957" s="144" t="n"/>
      <c r="P957" s="31" t="n"/>
      <c r="Q957" s="89" t="n"/>
      <c r="R957" s="89" t="n"/>
      <c r="S957" s="89" t="n"/>
      <c r="T957" s="55" t="n"/>
      <c r="V957" s="1" t="n"/>
      <c r="Y957" s="111" t="n"/>
      <c r="Z957" s="111" t="n"/>
      <c r="AA957" s="111" t="n"/>
      <c r="AK957" s="55" t="n"/>
      <c r="AL957" s="89" t="n"/>
    </row>
    <row r="958" ht="22.5" customHeight="1" s="150">
      <c r="A958" s="34" t="n">
        <v>956</v>
      </c>
      <c r="B958" s="34" t="n"/>
      <c r="C958" s="34" t="n"/>
      <c r="D958" s="34" t="n"/>
      <c r="E958" s="34" t="n"/>
      <c r="F958" s="86" t="n"/>
      <c r="G958" s="86" t="n"/>
      <c r="H958" s="111" t="n"/>
      <c r="I958" s="87" t="n"/>
      <c r="J958" s="87" t="n"/>
      <c r="K958" s="111" t="n"/>
      <c r="L958" s="86" t="n"/>
      <c r="M958" s="146" t="n"/>
      <c r="N958" s="89" t="n"/>
      <c r="O958" s="144" t="n"/>
      <c r="P958" s="31" t="n"/>
      <c r="Q958" s="89" t="n"/>
      <c r="R958" s="89" t="n"/>
      <c r="S958" s="89" t="n"/>
      <c r="T958" s="55" t="n"/>
      <c r="V958" s="1" t="n"/>
      <c r="Y958" s="111" t="n"/>
      <c r="Z958" s="111" t="n"/>
      <c r="AA958" s="111" t="n"/>
      <c r="AK958" s="55" t="n"/>
      <c r="AL958" s="89" t="n"/>
    </row>
    <row r="959" ht="22.5" customHeight="1" s="150">
      <c r="A959" s="34" t="n">
        <v>957</v>
      </c>
      <c r="B959" s="34" t="n"/>
      <c r="C959" s="34" t="n"/>
      <c r="D959" s="34" t="n"/>
      <c r="E959" s="34" t="n"/>
      <c r="F959" s="86" t="n"/>
      <c r="G959" s="86" t="n"/>
      <c r="H959" s="111" t="n"/>
      <c r="I959" s="87" t="n"/>
      <c r="J959" s="87" t="n"/>
      <c r="K959" s="111" t="n"/>
      <c r="L959" s="86" t="n"/>
      <c r="M959" s="145" t="n"/>
      <c r="N959" s="89" t="n"/>
      <c r="O959" s="144" t="n"/>
      <c r="P959" s="31" t="n"/>
      <c r="Q959" s="89" t="n"/>
      <c r="R959" s="89" t="n"/>
      <c r="S959" s="89" t="n"/>
      <c r="T959" s="55" t="n"/>
      <c r="V959" s="1" t="n"/>
      <c r="Y959" s="111" t="n"/>
      <c r="Z959" s="111" t="n"/>
      <c r="AA959" s="111" t="n"/>
      <c r="AK959" s="55" t="n"/>
      <c r="AL959" s="89" t="n"/>
    </row>
    <row r="960" ht="22.5" customHeight="1" s="150">
      <c r="A960" s="34" t="n">
        <v>958</v>
      </c>
      <c r="B960" s="34" t="n"/>
      <c r="C960" s="34" t="n"/>
      <c r="D960" s="34" t="n"/>
      <c r="E960" s="34" t="n"/>
      <c r="F960" s="86" t="n"/>
      <c r="G960" s="86" t="n"/>
      <c r="H960" s="111" t="n"/>
      <c r="I960" s="87" t="n"/>
      <c r="J960" s="87" t="n"/>
      <c r="K960" s="111" t="n"/>
      <c r="L960" s="86" t="n"/>
      <c r="M960" s="146" t="n"/>
      <c r="N960" s="89" t="n"/>
      <c r="O960" s="144" t="n"/>
      <c r="P960" s="31" t="n"/>
      <c r="Q960" s="89" t="n"/>
      <c r="R960" s="89" t="n"/>
      <c r="S960" s="89" t="n"/>
      <c r="T960" s="55" t="n"/>
      <c r="V960" s="1" t="n"/>
      <c r="Y960" s="111" t="n"/>
      <c r="Z960" s="111" t="n"/>
      <c r="AA960" s="111" t="n"/>
      <c r="AK960" s="55" t="n"/>
      <c r="AL960" s="89" t="n"/>
    </row>
    <row r="961" ht="22.5" customHeight="1" s="150">
      <c r="A961" s="34" t="n">
        <v>959</v>
      </c>
      <c r="B961" s="34" t="n"/>
      <c r="C961" s="34" t="n"/>
      <c r="D961" s="34" t="n"/>
      <c r="E961" s="34" t="n"/>
      <c r="F961" s="86" t="n"/>
      <c r="G961" s="86" t="n"/>
      <c r="H961" s="111" t="n"/>
      <c r="I961" s="87" t="n"/>
      <c r="J961" s="87" t="n"/>
      <c r="K961" s="111" t="n"/>
      <c r="L961" s="86" t="n"/>
      <c r="M961" s="145" t="n"/>
      <c r="N961" s="89" t="n"/>
      <c r="O961" s="144" t="n"/>
      <c r="P961" s="31" t="n"/>
      <c r="Q961" s="89" t="n"/>
      <c r="R961" s="89" t="n"/>
      <c r="S961" s="89" t="n"/>
      <c r="T961" s="55" t="n"/>
      <c r="V961" s="1" t="n"/>
      <c r="Y961" s="111" t="n"/>
      <c r="Z961" s="111" t="n"/>
      <c r="AA961" s="111" t="n"/>
      <c r="AK961" s="55" t="n"/>
      <c r="AL961" s="89" t="n"/>
    </row>
    <row r="962" ht="22.5" customHeight="1" s="150">
      <c r="A962" s="34" t="n">
        <v>960</v>
      </c>
      <c r="B962" s="34" t="n"/>
      <c r="C962" s="34" t="n"/>
      <c r="D962" s="34" t="n"/>
      <c r="E962" s="34" t="n"/>
      <c r="F962" s="86" t="n"/>
      <c r="G962" s="86" t="n"/>
      <c r="H962" s="111" t="n"/>
      <c r="I962" s="87" t="n"/>
      <c r="J962" s="87" t="n"/>
      <c r="K962" s="111" t="n"/>
      <c r="L962" s="86" t="n"/>
      <c r="M962" s="146" t="n"/>
      <c r="N962" s="89" t="n"/>
      <c r="O962" s="144" t="n"/>
      <c r="P962" s="31" t="n"/>
      <c r="Q962" s="89" t="n"/>
      <c r="R962" s="89" t="n"/>
      <c r="S962" s="89" t="n"/>
      <c r="T962" s="55" t="n"/>
      <c r="V962" s="1" t="n"/>
      <c r="Y962" s="111" t="n"/>
      <c r="Z962" s="111" t="n"/>
      <c r="AA962" s="111" t="n"/>
      <c r="AK962" s="55" t="n"/>
      <c r="AL962" s="89" t="n"/>
    </row>
    <row r="963" ht="22.5" customHeight="1" s="150">
      <c r="A963" s="34" t="n">
        <v>961</v>
      </c>
      <c r="B963" s="34" t="n"/>
      <c r="C963" s="34" t="n"/>
      <c r="D963" s="34" t="n"/>
      <c r="E963" s="34" t="n"/>
      <c r="F963" s="86" t="n"/>
      <c r="G963" s="86" t="n"/>
      <c r="H963" s="111" t="n"/>
      <c r="I963" s="87" t="n"/>
      <c r="J963" s="87" t="n"/>
      <c r="K963" s="111" t="n"/>
      <c r="L963" s="86" t="n"/>
      <c r="M963" s="145" t="n"/>
      <c r="N963" s="89" t="n"/>
      <c r="O963" s="144" t="n"/>
      <c r="P963" s="31" t="n"/>
      <c r="Q963" s="89" t="n"/>
      <c r="R963" s="89" t="n"/>
      <c r="S963" s="89" t="n"/>
      <c r="T963" s="55" t="n"/>
      <c r="V963" s="1" t="n"/>
      <c r="Y963" s="111" t="n"/>
      <c r="Z963" s="111" t="n"/>
      <c r="AA963" s="111" t="n"/>
      <c r="AK963" s="55" t="n"/>
      <c r="AL963" s="89" t="n"/>
    </row>
    <row r="964" ht="22.5" customHeight="1" s="150">
      <c r="A964" s="34" t="n">
        <v>962</v>
      </c>
      <c r="B964" s="34" t="n"/>
      <c r="C964" s="34" t="n"/>
      <c r="D964" s="34" t="n"/>
      <c r="E964" s="34" t="n"/>
      <c r="F964" s="86" t="n"/>
      <c r="G964" s="86" t="n"/>
      <c r="H964" s="111" t="n"/>
      <c r="I964" s="87" t="n"/>
      <c r="J964" s="87" t="n"/>
      <c r="K964" s="111" t="n"/>
      <c r="L964" s="86" t="n"/>
      <c r="M964" s="146" t="n"/>
      <c r="N964" s="89" t="n"/>
      <c r="O964" s="144" t="n"/>
      <c r="P964" s="31" t="n"/>
      <c r="Q964" s="89" t="n"/>
      <c r="R964" s="89" t="n"/>
      <c r="S964" s="89" t="n"/>
      <c r="T964" s="55" t="n"/>
      <c r="V964" s="1" t="n"/>
      <c r="Y964" s="111" t="n"/>
      <c r="Z964" s="111" t="n"/>
      <c r="AA964" s="111" t="n"/>
      <c r="AK964" s="55" t="n"/>
      <c r="AL964" s="89" t="n"/>
    </row>
    <row r="965" ht="22.5" customHeight="1" s="150">
      <c r="A965" s="34" t="n">
        <v>963</v>
      </c>
      <c r="B965" s="34" t="n"/>
      <c r="C965" s="34" t="n"/>
      <c r="D965" s="34" t="n"/>
      <c r="E965" s="34" t="n"/>
      <c r="F965" s="86" t="n"/>
      <c r="G965" s="86" t="n"/>
      <c r="H965" s="111" t="n"/>
      <c r="I965" s="87" t="n"/>
      <c r="J965" s="87" t="n"/>
      <c r="K965" s="111" t="n"/>
      <c r="L965" s="86" t="n"/>
      <c r="M965" s="145" t="n"/>
      <c r="N965" s="89" t="n"/>
      <c r="O965" s="144" t="n"/>
      <c r="P965" s="31" t="n"/>
      <c r="Q965" s="89" t="n"/>
      <c r="R965" s="89" t="n"/>
      <c r="S965" s="89" t="n"/>
      <c r="T965" s="55" t="n"/>
      <c r="V965" s="1" t="n"/>
      <c r="Y965" s="111" t="n"/>
      <c r="Z965" s="111" t="n"/>
      <c r="AA965" s="111" t="n"/>
      <c r="AK965" s="55" t="n"/>
      <c r="AL965" s="89" t="n"/>
    </row>
    <row r="966" ht="22.5" customHeight="1" s="150">
      <c r="A966" s="34" t="n">
        <v>964</v>
      </c>
      <c r="B966" s="34" t="n"/>
      <c r="C966" s="34" t="n"/>
      <c r="D966" s="34" t="n"/>
      <c r="E966" s="34" t="n"/>
      <c r="F966" s="86" t="n"/>
      <c r="G966" s="86" t="n"/>
      <c r="H966" s="111" t="n"/>
      <c r="I966" s="87" t="n"/>
      <c r="J966" s="87" t="n"/>
      <c r="K966" s="111" t="n"/>
      <c r="L966" s="86" t="n"/>
      <c r="M966" s="146" t="n"/>
      <c r="N966" s="89" t="n"/>
      <c r="O966" s="144" t="n"/>
      <c r="P966" s="31" t="n"/>
      <c r="Q966" s="89" t="n"/>
      <c r="R966" s="89" t="n"/>
      <c r="S966" s="89" t="n"/>
      <c r="T966" s="55" t="n"/>
      <c r="V966" s="1" t="n"/>
      <c r="Y966" s="111" t="n"/>
      <c r="Z966" s="111" t="n"/>
      <c r="AA966" s="111" t="n"/>
      <c r="AK966" s="55" t="n"/>
      <c r="AL966" s="89" t="n"/>
    </row>
    <row r="967" ht="22.5" customHeight="1" s="150">
      <c r="A967" s="34" t="n">
        <v>965</v>
      </c>
      <c r="B967" s="34" t="n"/>
      <c r="C967" s="34" t="n"/>
      <c r="D967" s="34" t="n"/>
      <c r="E967" s="34" t="n"/>
      <c r="F967" s="86" t="n"/>
      <c r="G967" s="86" t="n"/>
      <c r="H967" s="111" t="n"/>
      <c r="I967" s="87" t="n"/>
      <c r="J967" s="87" t="n"/>
      <c r="K967" s="111" t="n"/>
      <c r="L967" s="86" t="n"/>
      <c r="M967" s="145" t="n"/>
      <c r="N967" s="89" t="n"/>
      <c r="O967" s="144" t="n"/>
      <c r="P967" s="31" t="n"/>
      <c r="Q967" s="89" t="n"/>
      <c r="R967" s="89" t="n"/>
      <c r="S967" s="89" t="n"/>
      <c r="T967" s="55" t="n"/>
      <c r="V967" s="1" t="n"/>
      <c r="Y967" s="111" t="n"/>
      <c r="Z967" s="111" t="n"/>
      <c r="AA967" s="111" t="n"/>
      <c r="AK967" s="55" t="n"/>
      <c r="AL967" s="89" t="n"/>
    </row>
    <row r="968" ht="22.5" customHeight="1" s="150">
      <c r="A968" s="34" t="n">
        <v>966</v>
      </c>
      <c r="B968" s="34" t="n"/>
      <c r="C968" s="34" t="n"/>
      <c r="D968" s="34" t="n"/>
      <c r="E968" s="34" t="n"/>
      <c r="F968" s="86" t="n"/>
      <c r="G968" s="86" t="n"/>
      <c r="H968" s="111" t="n"/>
      <c r="I968" s="87" t="n"/>
      <c r="J968" s="87" t="n"/>
      <c r="K968" s="111" t="n"/>
      <c r="L968" s="86" t="n"/>
      <c r="M968" s="146" t="n"/>
      <c r="N968" s="89" t="n"/>
      <c r="O968" s="144" t="n"/>
      <c r="P968" s="31" t="n"/>
      <c r="Q968" s="89" t="n"/>
      <c r="R968" s="89" t="n"/>
      <c r="S968" s="89" t="n"/>
      <c r="T968" s="55" t="n"/>
      <c r="V968" s="1" t="n"/>
      <c r="Y968" s="111" t="n"/>
      <c r="Z968" s="111" t="n"/>
      <c r="AA968" s="111" t="n"/>
      <c r="AK968" s="55" t="n"/>
      <c r="AL968" s="89" t="n"/>
    </row>
    <row r="969" ht="22.5" customHeight="1" s="150">
      <c r="A969" s="34" t="n">
        <v>967</v>
      </c>
      <c r="B969" s="34" t="n"/>
      <c r="C969" s="34" t="n"/>
      <c r="D969" s="34" t="n"/>
      <c r="E969" s="34" t="n"/>
      <c r="F969" s="86" t="n"/>
      <c r="G969" s="86" t="n"/>
      <c r="H969" s="111" t="n"/>
      <c r="I969" s="87" t="n"/>
      <c r="J969" s="87" t="n"/>
      <c r="K969" s="111" t="n"/>
      <c r="L969" s="86" t="n"/>
      <c r="M969" s="145" t="n"/>
      <c r="N969" s="89" t="n"/>
      <c r="O969" s="144" t="n"/>
      <c r="P969" s="31" t="n"/>
      <c r="Q969" s="89" t="n"/>
      <c r="R969" s="89" t="n"/>
      <c r="S969" s="89" t="n"/>
      <c r="T969" s="55" t="n"/>
      <c r="V969" s="1" t="n"/>
      <c r="Y969" s="111" t="n"/>
      <c r="Z969" s="111" t="n"/>
      <c r="AA969" s="111" t="n"/>
      <c r="AK969" s="55" t="n"/>
      <c r="AL969" s="89" t="n"/>
    </row>
    <row r="970" ht="22.5" customHeight="1" s="150">
      <c r="A970" s="34" t="n">
        <v>968</v>
      </c>
      <c r="B970" s="34" t="n"/>
      <c r="C970" s="34" t="n"/>
      <c r="D970" s="34" t="n"/>
      <c r="E970" s="34" t="n"/>
      <c r="F970" s="86" t="n"/>
      <c r="G970" s="86" t="n"/>
      <c r="H970" s="111" t="n"/>
      <c r="I970" s="87" t="n"/>
      <c r="J970" s="87" t="n"/>
      <c r="K970" s="111" t="n"/>
      <c r="L970" s="86" t="n"/>
      <c r="M970" s="146" t="n"/>
      <c r="N970" s="89" t="n"/>
      <c r="O970" s="144" t="n"/>
      <c r="P970" s="31" t="n"/>
      <c r="Q970" s="89" t="n"/>
      <c r="R970" s="89" t="n"/>
      <c r="S970" s="89" t="n"/>
      <c r="T970" s="55" t="n"/>
      <c r="V970" s="1" t="n"/>
      <c r="Y970" s="111" t="n"/>
      <c r="Z970" s="111" t="n"/>
      <c r="AA970" s="111" t="n"/>
      <c r="AK970" s="55" t="n"/>
      <c r="AL970" s="89" t="n"/>
    </row>
    <row r="971" ht="22.5" customHeight="1" s="150">
      <c r="A971" s="34" t="n">
        <v>969</v>
      </c>
      <c r="B971" s="34" t="n"/>
      <c r="C971" s="34" t="n"/>
      <c r="D971" s="34" t="n"/>
      <c r="E971" s="34" t="n"/>
      <c r="F971" s="86" t="n"/>
      <c r="G971" s="86" t="n"/>
      <c r="H971" s="111" t="n"/>
      <c r="I971" s="87" t="n"/>
      <c r="J971" s="87" t="n"/>
      <c r="K971" s="111" t="n"/>
      <c r="L971" s="86" t="n"/>
      <c r="M971" s="145" t="n"/>
      <c r="N971" s="89" t="n"/>
      <c r="O971" s="144" t="n"/>
      <c r="P971" s="31" t="n"/>
      <c r="Q971" s="89" t="n"/>
      <c r="R971" s="89" t="n"/>
      <c r="S971" s="89" t="n"/>
      <c r="T971" s="55" t="n"/>
      <c r="V971" s="1" t="n"/>
      <c r="Y971" s="111" t="n"/>
      <c r="Z971" s="111" t="n"/>
      <c r="AA971" s="111" t="n"/>
      <c r="AK971" s="55" t="n"/>
      <c r="AL971" s="89" t="n"/>
    </row>
    <row r="972" ht="22.5" customHeight="1" s="150">
      <c r="A972" s="34" t="n">
        <v>970</v>
      </c>
      <c r="B972" s="34" t="n"/>
      <c r="C972" s="34" t="n"/>
      <c r="D972" s="34" t="n"/>
      <c r="E972" s="34" t="n"/>
      <c r="F972" s="86" t="n"/>
      <c r="G972" s="86" t="n"/>
      <c r="H972" s="111" t="n"/>
      <c r="I972" s="87" t="n"/>
      <c r="J972" s="87" t="n"/>
      <c r="K972" s="111" t="n"/>
      <c r="L972" s="86" t="n"/>
      <c r="M972" s="146" t="n"/>
      <c r="N972" s="89" t="n"/>
      <c r="O972" s="144" t="n"/>
      <c r="P972" s="31" t="n"/>
      <c r="Q972" s="89" t="n"/>
      <c r="R972" s="89" t="n"/>
      <c r="S972" s="89" t="n"/>
      <c r="T972" s="55" t="n"/>
      <c r="V972" s="1" t="n"/>
      <c r="Y972" s="111" t="n"/>
      <c r="Z972" s="111" t="n"/>
      <c r="AA972" s="111" t="n"/>
      <c r="AK972" s="55" t="n"/>
      <c r="AL972" s="89" t="n"/>
    </row>
    <row r="973" ht="22.5" customHeight="1" s="150">
      <c r="A973" s="34" t="n">
        <v>971</v>
      </c>
      <c r="B973" s="34" t="n"/>
      <c r="C973" s="34" t="n"/>
      <c r="D973" s="34" t="n"/>
      <c r="E973" s="34" t="n"/>
      <c r="F973" s="86" t="n"/>
      <c r="G973" s="86" t="n"/>
      <c r="H973" s="111" t="n"/>
      <c r="I973" s="87" t="n"/>
      <c r="J973" s="87" t="n"/>
      <c r="K973" s="111" t="n"/>
      <c r="L973" s="86" t="n"/>
      <c r="M973" s="145" t="n"/>
      <c r="N973" s="89" t="n"/>
      <c r="O973" s="144" t="n"/>
      <c r="P973" s="31" t="n"/>
      <c r="Q973" s="89" t="n"/>
      <c r="R973" s="89" t="n"/>
      <c r="S973" s="89" t="n"/>
      <c r="T973" s="55" t="n"/>
      <c r="V973" s="1" t="n"/>
      <c r="Y973" s="111" t="n"/>
      <c r="Z973" s="111" t="n"/>
      <c r="AA973" s="111" t="n"/>
      <c r="AK973" s="55" t="n"/>
      <c r="AL973" s="89" t="n"/>
    </row>
    <row r="974" ht="22.5" customHeight="1" s="150">
      <c r="A974" s="34" t="n">
        <v>972</v>
      </c>
      <c r="B974" s="34" t="n"/>
      <c r="C974" s="34" t="n"/>
      <c r="D974" s="34" t="n"/>
      <c r="E974" s="34" t="n"/>
      <c r="F974" s="86" t="n"/>
      <c r="G974" s="86" t="n"/>
      <c r="H974" s="111" t="n"/>
      <c r="I974" s="87" t="n"/>
      <c r="J974" s="87" t="n"/>
      <c r="K974" s="111" t="n"/>
      <c r="L974" s="86" t="n"/>
      <c r="M974" s="146" t="n"/>
      <c r="N974" s="89" t="n"/>
      <c r="O974" s="144" t="n"/>
      <c r="P974" s="31" t="n"/>
      <c r="Q974" s="89" t="n"/>
      <c r="R974" s="89" t="n"/>
      <c r="S974" s="89" t="n"/>
      <c r="T974" s="55" t="n"/>
      <c r="V974" s="1" t="n"/>
      <c r="Y974" s="111" t="n"/>
      <c r="Z974" s="111" t="n"/>
      <c r="AA974" s="111" t="n"/>
      <c r="AK974" s="55" t="n"/>
      <c r="AL974" s="89" t="n"/>
    </row>
    <row r="975" ht="22.5" customHeight="1" s="150">
      <c r="A975" s="34" t="n">
        <v>973</v>
      </c>
      <c r="B975" s="34" t="n"/>
      <c r="C975" s="34" t="n"/>
      <c r="D975" s="34" t="n"/>
      <c r="E975" s="34" t="n"/>
      <c r="F975" s="86" t="n"/>
      <c r="G975" s="86" t="n"/>
      <c r="H975" s="111" t="n"/>
      <c r="I975" s="87" t="n"/>
      <c r="J975" s="87" t="n"/>
      <c r="K975" s="111" t="n"/>
      <c r="L975" s="86" t="n"/>
      <c r="M975" s="145" t="n"/>
      <c r="N975" s="89" t="n"/>
      <c r="O975" s="144" t="n"/>
      <c r="P975" s="31" t="n"/>
      <c r="Q975" s="89" t="n"/>
      <c r="R975" s="89" t="n"/>
      <c r="S975" s="89" t="n"/>
      <c r="T975" s="55" t="n"/>
      <c r="V975" s="1" t="n"/>
      <c r="Y975" s="111" t="n"/>
      <c r="Z975" s="111" t="n"/>
      <c r="AA975" s="111" t="n"/>
      <c r="AK975" s="55" t="n"/>
      <c r="AL975" s="89" t="n"/>
    </row>
    <row r="976" ht="22.5" customHeight="1" s="150">
      <c r="A976" s="34" t="n">
        <v>974</v>
      </c>
      <c r="B976" s="34" t="n"/>
      <c r="C976" s="34" t="n"/>
      <c r="D976" s="34" t="n"/>
      <c r="E976" s="34" t="n"/>
      <c r="F976" s="86" t="n"/>
      <c r="G976" s="86" t="n"/>
      <c r="H976" s="111" t="n"/>
      <c r="I976" s="87" t="n"/>
      <c r="J976" s="87" t="n"/>
      <c r="K976" s="111" t="n"/>
      <c r="L976" s="86" t="n"/>
      <c r="M976" s="146" t="n"/>
      <c r="N976" s="89" t="n"/>
      <c r="O976" s="144" t="n"/>
      <c r="P976" s="31" t="n"/>
      <c r="Q976" s="89" t="n"/>
      <c r="R976" s="89" t="n"/>
      <c r="S976" s="89" t="n"/>
      <c r="T976" s="55" t="n"/>
      <c r="V976" s="1" t="n"/>
      <c r="Y976" s="111" t="n"/>
      <c r="Z976" s="111" t="n"/>
      <c r="AA976" s="111" t="n"/>
      <c r="AK976" s="55" t="n"/>
      <c r="AL976" s="89" t="n"/>
    </row>
    <row r="977" ht="22.5" customHeight="1" s="150">
      <c r="A977" s="34" t="n">
        <v>975</v>
      </c>
      <c r="B977" s="34" t="n"/>
      <c r="C977" s="34" t="n"/>
      <c r="D977" s="34" t="n"/>
      <c r="E977" s="34" t="n"/>
      <c r="F977" s="86" t="n"/>
      <c r="G977" s="86" t="n"/>
      <c r="H977" s="111" t="n"/>
      <c r="I977" s="87" t="n"/>
      <c r="J977" s="87" t="n"/>
      <c r="K977" s="111" t="n"/>
      <c r="L977" s="86" t="n"/>
      <c r="M977" s="145" t="n"/>
      <c r="N977" s="89" t="n"/>
      <c r="O977" s="144" t="n"/>
      <c r="P977" s="31" t="n"/>
      <c r="Q977" s="89" t="n"/>
      <c r="R977" s="89" t="n"/>
      <c r="S977" s="89" t="n"/>
      <c r="T977" s="55" t="n"/>
      <c r="V977" s="1" t="n"/>
      <c r="Y977" s="111" t="n"/>
      <c r="Z977" s="111" t="n"/>
      <c r="AA977" s="111" t="n"/>
      <c r="AK977" s="55" t="n"/>
      <c r="AL977" s="89" t="n"/>
    </row>
    <row r="978" ht="22.5" customHeight="1" s="150">
      <c r="A978" s="34" t="n">
        <v>976</v>
      </c>
      <c r="B978" s="34" t="n"/>
      <c r="C978" s="34" t="n"/>
      <c r="D978" s="34" t="n"/>
      <c r="E978" s="34" t="n"/>
      <c r="F978" s="86" t="n"/>
      <c r="G978" s="86" t="n"/>
      <c r="H978" s="111" t="n"/>
      <c r="I978" s="87" t="n"/>
      <c r="J978" s="87" t="n"/>
      <c r="K978" s="111" t="n"/>
      <c r="L978" s="86" t="n"/>
      <c r="M978" s="146" t="n"/>
      <c r="N978" s="89" t="n"/>
      <c r="O978" s="144" t="n"/>
      <c r="P978" s="31" t="n"/>
      <c r="Q978" s="89" t="n"/>
      <c r="R978" s="89" t="n"/>
      <c r="S978" s="89" t="n"/>
      <c r="T978" s="55" t="n"/>
      <c r="V978" s="1" t="n"/>
      <c r="Y978" s="111" t="n"/>
      <c r="Z978" s="111" t="n"/>
      <c r="AA978" s="111" t="n"/>
      <c r="AK978" s="55" t="n"/>
      <c r="AL978" s="89" t="n"/>
    </row>
    <row r="979" ht="22.5" customHeight="1" s="150">
      <c r="A979" s="34" t="n">
        <v>977</v>
      </c>
      <c r="B979" s="34" t="n"/>
      <c r="C979" s="34" t="n"/>
      <c r="D979" s="34" t="n"/>
      <c r="E979" s="34" t="n"/>
      <c r="F979" s="86" t="n"/>
      <c r="G979" s="86" t="n"/>
      <c r="H979" s="111" t="n"/>
      <c r="I979" s="87" t="n"/>
      <c r="J979" s="87" t="n"/>
      <c r="K979" s="111" t="n"/>
      <c r="L979" s="86" t="n"/>
      <c r="M979" s="145" t="n"/>
      <c r="N979" s="89" t="n"/>
      <c r="O979" s="144" t="n"/>
      <c r="P979" s="31" t="n"/>
      <c r="Q979" s="89" t="n"/>
      <c r="R979" s="89" t="n"/>
      <c r="S979" s="89" t="n"/>
      <c r="T979" s="55" t="n"/>
      <c r="V979" s="1" t="n"/>
      <c r="Y979" s="111" t="n"/>
      <c r="Z979" s="111" t="n"/>
      <c r="AA979" s="111" t="n"/>
      <c r="AK979" s="55" t="n"/>
      <c r="AL979" s="89" t="n"/>
    </row>
    <row r="980" ht="22.5" customHeight="1" s="150">
      <c r="A980" s="34" t="n">
        <v>978</v>
      </c>
      <c r="B980" s="34" t="n"/>
      <c r="C980" s="34" t="n"/>
      <c r="D980" s="34" t="n"/>
      <c r="E980" s="34" t="n"/>
      <c r="F980" s="86" t="n"/>
      <c r="G980" s="86" t="n"/>
      <c r="H980" s="111" t="n"/>
      <c r="I980" s="87" t="n"/>
      <c r="J980" s="87" t="n"/>
      <c r="K980" s="111" t="n"/>
      <c r="L980" s="86" t="n"/>
      <c r="M980" s="146" t="n"/>
      <c r="N980" s="89" t="n"/>
      <c r="O980" s="144" t="n"/>
      <c r="P980" s="31" t="n"/>
      <c r="Q980" s="89" t="n"/>
      <c r="R980" s="89" t="n"/>
      <c r="S980" s="89" t="n"/>
      <c r="T980" s="55" t="n"/>
      <c r="V980" s="1" t="n"/>
      <c r="Y980" s="111" t="n"/>
      <c r="Z980" s="111" t="n"/>
      <c r="AA980" s="111" t="n"/>
      <c r="AK980" s="55" t="n"/>
      <c r="AL980" s="89" t="n"/>
    </row>
    <row r="981" ht="22.5" customHeight="1" s="150">
      <c r="A981" s="34" t="n">
        <v>979</v>
      </c>
      <c r="B981" s="34" t="n"/>
      <c r="C981" s="34" t="n"/>
      <c r="D981" s="34" t="n"/>
      <c r="E981" s="34" t="n"/>
      <c r="F981" s="86" t="n"/>
      <c r="G981" s="86" t="n"/>
      <c r="H981" s="111" t="n"/>
      <c r="I981" s="87" t="n"/>
      <c r="J981" s="87" t="n"/>
      <c r="K981" s="111" t="n"/>
      <c r="L981" s="86" t="n"/>
      <c r="M981" s="145" t="n"/>
      <c r="N981" s="89" t="n"/>
      <c r="O981" s="144" t="n"/>
      <c r="P981" s="31" t="n"/>
      <c r="Q981" s="89" t="n"/>
      <c r="R981" s="89" t="n"/>
      <c r="S981" s="89" t="n"/>
      <c r="T981" s="55" t="n"/>
      <c r="V981" s="1" t="n"/>
      <c r="Y981" s="111" t="n"/>
      <c r="Z981" s="111" t="n"/>
      <c r="AA981" s="111" t="n"/>
      <c r="AK981" s="55" t="n"/>
      <c r="AL981" s="89" t="n"/>
    </row>
    <row r="982" ht="22.5" customHeight="1" s="150">
      <c r="A982" s="34" t="n">
        <v>980</v>
      </c>
      <c r="B982" s="34" t="n"/>
      <c r="C982" s="34" t="n"/>
      <c r="D982" s="34" t="n"/>
      <c r="E982" s="34" t="n"/>
      <c r="F982" s="86" t="n"/>
      <c r="G982" s="86" t="n"/>
      <c r="H982" s="111" t="n"/>
      <c r="I982" s="87" t="n"/>
      <c r="J982" s="87" t="n"/>
      <c r="K982" s="111" t="n"/>
      <c r="L982" s="86" t="n"/>
      <c r="M982" s="146" t="n"/>
      <c r="N982" s="89" t="n"/>
      <c r="O982" s="144" t="n"/>
      <c r="P982" s="31" t="n"/>
      <c r="Q982" s="89" t="n"/>
      <c r="R982" s="89" t="n"/>
      <c r="S982" s="89" t="n"/>
      <c r="T982" s="55" t="n"/>
      <c r="V982" s="1" t="n"/>
      <c r="Y982" s="111" t="n"/>
      <c r="Z982" s="111" t="n"/>
      <c r="AA982" s="111" t="n"/>
      <c r="AK982" s="55" t="n"/>
      <c r="AL982" s="89" t="n"/>
    </row>
    <row r="983" ht="22.5" customHeight="1" s="150">
      <c r="A983" s="34" t="n">
        <v>981</v>
      </c>
      <c r="B983" s="34" t="n"/>
      <c r="C983" s="34" t="n"/>
      <c r="D983" s="34" t="n"/>
      <c r="E983" s="34" t="n"/>
      <c r="F983" s="86" t="n"/>
      <c r="G983" s="86" t="n"/>
      <c r="H983" s="111" t="n"/>
      <c r="I983" s="87" t="n"/>
      <c r="J983" s="87" t="n"/>
      <c r="K983" s="111" t="n"/>
      <c r="L983" s="86" t="n"/>
      <c r="M983" s="145" t="n"/>
      <c r="N983" s="89" t="n"/>
      <c r="O983" s="144" t="n"/>
      <c r="P983" s="31" t="n"/>
      <c r="Q983" s="89" t="n"/>
      <c r="R983" s="89" t="n"/>
      <c r="S983" s="89" t="n"/>
      <c r="T983" s="55" t="n"/>
      <c r="V983" s="1" t="n"/>
      <c r="Y983" s="111" t="n"/>
      <c r="Z983" s="111" t="n"/>
      <c r="AA983" s="111" t="n"/>
      <c r="AK983" s="55" t="n"/>
      <c r="AL983" s="89" t="n"/>
    </row>
    <row r="984" ht="22.5" customHeight="1" s="150">
      <c r="A984" s="34" t="n">
        <v>982</v>
      </c>
      <c r="B984" s="34" t="n"/>
      <c r="C984" s="34" t="n"/>
      <c r="D984" s="34" t="n"/>
      <c r="E984" s="34" t="n"/>
      <c r="F984" s="86" t="n"/>
      <c r="G984" s="86" t="n"/>
      <c r="H984" s="111" t="n"/>
      <c r="I984" s="87" t="n"/>
      <c r="J984" s="87" t="n"/>
      <c r="K984" s="111" t="n"/>
      <c r="L984" s="86" t="n"/>
      <c r="M984" s="146" t="n"/>
      <c r="N984" s="89" t="n"/>
      <c r="O984" s="144" t="n"/>
      <c r="P984" s="31" t="n"/>
      <c r="Q984" s="89" t="n"/>
      <c r="R984" s="89" t="n"/>
      <c r="S984" s="89" t="n"/>
      <c r="T984" s="55" t="n"/>
      <c r="V984" s="1" t="n"/>
      <c r="Y984" s="111" t="n"/>
      <c r="Z984" s="111" t="n"/>
      <c r="AA984" s="111" t="n"/>
      <c r="AK984" s="55" t="n"/>
      <c r="AL984" s="89" t="n"/>
    </row>
    <row r="985" ht="22.5" customHeight="1" s="150">
      <c r="A985" s="34" t="n">
        <v>983</v>
      </c>
      <c r="B985" s="34" t="n"/>
      <c r="C985" s="34" t="n"/>
      <c r="D985" s="34" t="n"/>
      <c r="E985" s="34" t="n"/>
      <c r="F985" s="86" t="n"/>
      <c r="G985" s="86" t="n"/>
      <c r="H985" s="111" t="n"/>
      <c r="I985" s="87" t="n"/>
      <c r="J985" s="87" t="n"/>
      <c r="K985" s="111" t="n"/>
      <c r="L985" s="86" t="n"/>
      <c r="M985" s="145" t="n"/>
      <c r="N985" s="89" t="n"/>
      <c r="O985" s="144" t="n"/>
      <c r="P985" s="31" t="n"/>
      <c r="Q985" s="89" t="n"/>
      <c r="R985" s="89" t="n"/>
      <c r="S985" s="89" t="n"/>
      <c r="T985" s="55" t="n"/>
      <c r="V985" s="1" t="n"/>
      <c r="Y985" s="111" t="n"/>
      <c r="Z985" s="111" t="n"/>
      <c r="AA985" s="111" t="n"/>
      <c r="AK985" s="55" t="n"/>
      <c r="AL985" s="89" t="n"/>
    </row>
    <row r="986" ht="22.5" customHeight="1" s="150">
      <c r="A986" s="34" t="n">
        <v>984</v>
      </c>
      <c r="B986" s="34" t="n"/>
      <c r="C986" s="34" t="n"/>
      <c r="D986" s="34" t="n"/>
      <c r="E986" s="34" t="n"/>
      <c r="F986" s="86" t="n"/>
      <c r="G986" s="86" t="n"/>
      <c r="H986" s="111" t="n"/>
      <c r="I986" s="87" t="n"/>
      <c r="J986" s="87" t="n"/>
      <c r="K986" s="111" t="n"/>
      <c r="L986" s="86" t="n"/>
      <c r="M986" s="146" t="n"/>
      <c r="N986" s="89" t="n"/>
      <c r="O986" s="144" t="n"/>
      <c r="P986" s="31" t="n"/>
      <c r="Q986" s="89" t="n"/>
      <c r="R986" s="89" t="n"/>
      <c r="S986" s="89" t="n"/>
      <c r="T986" s="55" t="n"/>
      <c r="V986" s="1" t="n"/>
      <c r="Y986" s="111" t="n"/>
      <c r="Z986" s="111" t="n"/>
      <c r="AA986" s="111" t="n"/>
      <c r="AK986" s="55" t="n"/>
      <c r="AL986" s="89" t="n"/>
    </row>
    <row r="987" ht="22.5" customHeight="1" s="150">
      <c r="A987" s="34" t="n">
        <v>985</v>
      </c>
      <c r="B987" s="34" t="n"/>
      <c r="C987" s="34" t="n"/>
      <c r="D987" s="34" t="n"/>
      <c r="E987" s="34" t="n"/>
      <c r="F987" s="86" t="n"/>
      <c r="G987" s="86" t="n"/>
      <c r="H987" s="111" t="n"/>
      <c r="I987" s="87" t="n"/>
      <c r="J987" s="87" t="n"/>
      <c r="K987" s="111" t="n"/>
      <c r="L987" s="86" t="n"/>
      <c r="M987" s="145" t="n"/>
      <c r="N987" s="89" t="n"/>
      <c r="O987" s="144" t="n"/>
      <c r="P987" s="31" t="n"/>
      <c r="Q987" s="89" t="n"/>
      <c r="R987" s="89" t="n"/>
      <c r="S987" s="89" t="n"/>
      <c r="T987" s="55" t="n"/>
      <c r="V987" s="1" t="n"/>
      <c r="Y987" s="111" t="n"/>
      <c r="Z987" s="111" t="n"/>
      <c r="AA987" s="111" t="n"/>
      <c r="AK987" s="55" t="n"/>
      <c r="AL987" s="89" t="n"/>
    </row>
    <row r="988" ht="22.5" customHeight="1" s="150">
      <c r="A988" s="34" t="n">
        <v>986</v>
      </c>
      <c r="B988" s="34" t="n"/>
      <c r="C988" s="34" t="n"/>
      <c r="D988" s="34" t="n"/>
      <c r="E988" s="34" t="n"/>
      <c r="F988" s="86" t="n"/>
      <c r="G988" s="86" t="n"/>
      <c r="H988" s="111" t="n"/>
      <c r="I988" s="87" t="n"/>
      <c r="J988" s="87" t="n"/>
      <c r="K988" s="111" t="n"/>
      <c r="L988" s="86" t="n"/>
      <c r="M988" s="146" t="n"/>
      <c r="N988" s="89" t="n"/>
      <c r="O988" s="144" t="n"/>
      <c r="P988" s="31" t="n"/>
      <c r="Q988" s="89" t="n"/>
      <c r="R988" s="89" t="n"/>
      <c r="S988" s="89" t="n"/>
      <c r="T988" s="55" t="n"/>
      <c r="V988" s="1" t="n"/>
      <c r="Y988" s="111" t="n"/>
      <c r="Z988" s="111" t="n"/>
      <c r="AA988" s="111" t="n"/>
      <c r="AK988" s="55" t="n"/>
      <c r="AL988" s="89" t="n"/>
    </row>
    <row r="989" ht="22.5" customHeight="1" s="150">
      <c r="A989" s="34" t="n">
        <v>987</v>
      </c>
      <c r="B989" s="34" t="n"/>
      <c r="C989" s="34" t="n"/>
      <c r="D989" s="34" t="n"/>
      <c r="E989" s="34" t="n"/>
      <c r="F989" s="86" t="n"/>
      <c r="G989" s="86" t="n"/>
      <c r="H989" s="111" t="n"/>
      <c r="I989" s="87" t="n"/>
      <c r="J989" s="87" t="n"/>
      <c r="K989" s="111" t="n"/>
      <c r="L989" s="86" t="n"/>
      <c r="M989" s="145" t="n"/>
      <c r="N989" s="89" t="n"/>
      <c r="O989" s="144" t="n"/>
      <c r="P989" s="31" t="n"/>
      <c r="Q989" s="89" t="n"/>
      <c r="R989" s="89" t="n"/>
      <c r="S989" s="89" t="n"/>
      <c r="T989" s="55" t="n"/>
      <c r="V989" s="1" t="n"/>
      <c r="Y989" s="111" t="n"/>
      <c r="Z989" s="111" t="n"/>
      <c r="AA989" s="111" t="n"/>
      <c r="AK989" s="55" t="n"/>
      <c r="AL989" s="89" t="n"/>
    </row>
    <row r="990" ht="22.5" customHeight="1" s="150">
      <c r="A990" s="34" t="n">
        <v>988</v>
      </c>
      <c r="B990" s="34" t="n"/>
      <c r="C990" s="34" t="n"/>
      <c r="D990" s="34" t="n"/>
      <c r="E990" s="34" t="n"/>
      <c r="F990" s="86" t="n"/>
      <c r="G990" s="86" t="n"/>
      <c r="H990" s="111" t="n"/>
      <c r="I990" s="87" t="n"/>
      <c r="J990" s="87" t="n"/>
      <c r="K990" s="111" t="n"/>
      <c r="L990" s="86" t="n"/>
      <c r="M990" s="146" t="n"/>
      <c r="N990" s="89" t="n"/>
      <c r="O990" s="144" t="n"/>
      <c r="P990" s="31" t="n"/>
      <c r="Q990" s="89" t="n"/>
      <c r="R990" s="89" t="n"/>
      <c r="S990" s="89" t="n"/>
      <c r="T990" s="55" t="n"/>
      <c r="V990" s="1" t="n"/>
      <c r="Y990" s="111" t="n"/>
      <c r="Z990" s="111" t="n"/>
      <c r="AA990" s="111" t="n"/>
      <c r="AK990" s="55" t="n"/>
      <c r="AL990" s="89" t="n"/>
    </row>
    <row r="991" ht="22.5" customHeight="1" s="150">
      <c r="A991" s="34" t="n">
        <v>989</v>
      </c>
      <c r="B991" s="34" t="n"/>
      <c r="C991" s="34" t="n"/>
      <c r="D991" s="34" t="n"/>
      <c r="E991" s="34" t="n"/>
      <c r="F991" s="86" t="n"/>
      <c r="G991" s="86" t="n"/>
      <c r="H991" s="111" t="n"/>
      <c r="I991" s="87" t="n"/>
      <c r="J991" s="87" t="n"/>
      <c r="K991" s="111" t="n"/>
      <c r="L991" s="86" t="n"/>
      <c r="M991" s="145" t="n"/>
      <c r="N991" s="89" t="n"/>
      <c r="O991" s="144" t="n"/>
      <c r="P991" s="31" t="n"/>
      <c r="Q991" s="89" t="n"/>
      <c r="R991" s="89" t="n"/>
      <c r="S991" s="89" t="n"/>
      <c r="T991" s="55" t="n"/>
      <c r="V991" s="1" t="n"/>
      <c r="Y991" s="111" t="n"/>
      <c r="Z991" s="111" t="n"/>
      <c r="AA991" s="111" t="n"/>
      <c r="AK991" s="55" t="n"/>
      <c r="AL991" s="89" t="n"/>
    </row>
    <row r="992" ht="22.5" customHeight="1" s="150">
      <c r="A992" s="34" t="n">
        <v>990</v>
      </c>
      <c r="B992" s="34" t="n"/>
      <c r="C992" s="34" t="n"/>
      <c r="D992" s="34" t="n"/>
      <c r="E992" s="34" t="n"/>
      <c r="F992" s="86" t="n"/>
      <c r="G992" s="86" t="n"/>
      <c r="H992" s="111" t="n"/>
      <c r="I992" s="87" t="n"/>
      <c r="J992" s="87" t="n"/>
      <c r="K992" s="111" t="n"/>
      <c r="L992" s="86" t="n"/>
      <c r="M992" s="146" t="n"/>
      <c r="N992" s="89" t="n"/>
      <c r="O992" s="144" t="n"/>
      <c r="P992" s="31" t="n"/>
      <c r="Q992" s="89" t="n"/>
      <c r="R992" s="89" t="n"/>
      <c r="S992" s="89" t="n"/>
      <c r="T992" s="55" t="n"/>
      <c r="V992" s="1" t="n"/>
      <c r="Y992" s="111" t="n"/>
      <c r="Z992" s="111" t="n"/>
      <c r="AA992" s="111" t="n"/>
      <c r="AK992" s="55" t="n"/>
      <c r="AL992" s="89" t="n"/>
    </row>
    <row r="993" ht="22.5" customHeight="1" s="150">
      <c r="A993" s="34" t="n">
        <v>991</v>
      </c>
      <c r="B993" s="34" t="n"/>
      <c r="C993" s="34" t="n"/>
      <c r="D993" s="34" t="n"/>
      <c r="E993" s="34" t="n"/>
      <c r="F993" s="86" t="n"/>
      <c r="G993" s="86" t="n"/>
      <c r="H993" s="111" t="n"/>
      <c r="I993" s="87" t="n"/>
      <c r="J993" s="87" t="n"/>
      <c r="K993" s="111" t="n"/>
      <c r="L993" s="86" t="n"/>
      <c r="M993" s="145" t="n"/>
      <c r="N993" s="89" t="n"/>
      <c r="O993" s="144" t="n"/>
      <c r="P993" s="31" t="n"/>
      <c r="Q993" s="89" t="n"/>
      <c r="R993" s="89" t="n"/>
      <c r="S993" s="89" t="n"/>
      <c r="T993" s="55" t="n"/>
      <c r="V993" s="1" t="n"/>
      <c r="Y993" s="111" t="n"/>
      <c r="Z993" s="111" t="n"/>
      <c r="AA993" s="111" t="n"/>
      <c r="AK993" s="55" t="n"/>
      <c r="AL993" s="89" t="n"/>
    </row>
    <row r="994" ht="22.5" customHeight="1" s="150">
      <c r="A994" s="34" t="n">
        <v>992</v>
      </c>
      <c r="B994" s="34" t="n"/>
      <c r="C994" s="34" t="n"/>
      <c r="D994" s="34" t="n"/>
      <c r="E994" s="34" t="n"/>
      <c r="F994" s="86" t="n"/>
      <c r="G994" s="86" t="n"/>
      <c r="H994" s="111" t="n"/>
      <c r="I994" s="87" t="n"/>
      <c r="J994" s="87" t="n"/>
      <c r="K994" s="111" t="n"/>
      <c r="L994" s="86" t="n"/>
      <c r="M994" s="146" t="n"/>
      <c r="N994" s="89" t="n"/>
      <c r="O994" s="144" t="n"/>
      <c r="P994" s="86" t="n"/>
      <c r="Q994" s="89" t="n"/>
      <c r="R994" s="89" t="n"/>
      <c r="S994" s="89" t="n"/>
      <c r="T994" s="55" t="n"/>
      <c r="Y994" s="111" t="n"/>
      <c r="Z994" s="111" t="n"/>
      <c r="AA994" s="111" t="n"/>
      <c r="AK994" s="55" t="n"/>
      <c r="AL994" s="89" t="n"/>
    </row>
    <row r="995" ht="22.5" customHeight="1" s="150">
      <c r="A995" s="34" t="n">
        <v>993</v>
      </c>
      <c r="B995" s="34" t="n"/>
      <c r="C995" s="34" t="n"/>
      <c r="D995" s="34" t="n"/>
      <c r="E995" s="34" t="n"/>
      <c r="F995" s="86" t="n"/>
      <c r="G995" s="86" t="n"/>
      <c r="H995" s="111" t="n"/>
      <c r="I995" s="87" t="n"/>
      <c r="J995" s="87" t="n"/>
      <c r="K995" s="111" t="n"/>
      <c r="L995" s="86" t="n"/>
      <c r="M995" s="145" t="n"/>
      <c r="N995" s="89" t="n"/>
      <c r="O995" s="144" t="n"/>
      <c r="P995" s="86" t="n"/>
      <c r="Q995" s="89" t="n"/>
      <c r="R995" s="89" t="n"/>
      <c r="S995" s="89" t="n"/>
      <c r="T995" s="55" t="n"/>
      <c r="Y995" s="111" t="n"/>
      <c r="Z995" s="111" t="n"/>
      <c r="AA995" s="111" t="n"/>
      <c r="AK995" s="55" t="n"/>
      <c r="AL995" s="89" t="n"/>
    </row>
    <row r="996" ht="22.5" customHeight="1" s="150">
      <c r="A996" s="34" t="n">
        <v>994</v>
      </c>
      <c r="B996" s="34" t="n"/>
      <c r="C996" s="34" t="n"/>
      <c r="D996" s="34" t="n"/>
      <c r="E996" s="34" t="n"/>
      <c r="F996" s="86" t="n"/>
      <c r="G996" s="86" t="n"/>
      <c r="H996" s="111" t="n"/>
      <c r="I996" s="87" t="n"/>
      <c r="J996" s="87" t="n"/>
      <c r="K996" s="111" t="n"/>
      <c r="L996" s="86" t="n"/>
      <c r="M996" s="146" t="n"/>
      <c r="N996" s="89" t="n"/>
      <c r="O996" s="144" t="n"/>
      <c r="P996" s="86" t="n"/>
      <c r="Q996" s="89" t="n"/>
      <c r="R996" s="89" t="n"/>
      <c r="S996" s="89" t="n"/>
      <c r="T996" s="55" t="n"/>
      <c r="Y996" s="111" t="n"/>
      <c r="Z996" s="111" t="n"/>
      <c r="AA996" s="111" t="n"/>
      <c r="AK996" s="55" t="n"/>
      <c r="AL996" s="89" t="n"/>
    </row>
    <row r="997" ht="22.5" customHeight="1" s="150">
      <c r="A997" s="34" t="n">
        <v>995</v>
      </c>
      <c r="B997" s="34" t="n"/>
      <c r="C997" s="34" t="n"/>
      <c r="D997" s="34" t="n"/>
      <c r="E997" s="34" t="n"/>
      <c r="F997" s="86" t="n"/>
      <c r="G997" s="86" t="n"/>
      <c r="H997" s="111" t="n"/>
      <c r="I997" s="87" t="n"/>
      <c r="J997" s="87" t="n"/>
      <c r="K997" s="111" t="n"/>
      <c r="L997" s="86" t="n"/>
      <c r="M997" s="145" t="n"/>
      <c r="N997" s="89" t="n"/>
      <c r="O997" s="144" t="n"/>
      <c r="P997" s="86" t="n"/>
      <c r="Q997" s="89" t="n"/>
      <c r="R997" s="89" t="n"/>
      <c r="S997" s="89" t="n"/>
      <c r="T997" s="55" t="n"/>
      <c r="Y997" s="111" t="n"/>
      <c r="Z997" s="111" t="n"/>
      <c r="AA997" s="111" t="n"/>
      <c r="AK997" s="55" t="n"/>
      <c r="AL997" s="89" t="n"/>
    </row>
    <row r="998" ht="22.5" customHeight="1" s="150">
      <c r="A998" s="34" t="n">
        <v>996</v>
      </c>
      <c r="B998" s="34" t="n"/>
      <c r="C998" s="34" t="n"/>
      <c r="D998" s="34" t="n"/>
      <c r="E998" s="34" t="n"/>
      <c r="F998" s="86" t="n"/>
      <c r="G998" s="86" t="n"/>
      <c r="H998" s="111" t="n"/>
      <c r="I998" s="87" t="n"/>
      <c r="J998" s="87" t="n"/>
      <c r="K998" s="111" t="n"/>
      <c r="L998" s="86" t="n"/>
      <c r="M998" s="146" t="n"/>
      <c r="N998" s="89" t="n"/>
      <c r="O998" s="144" t="n"/>
      <c r="P998" s="86" t="n"/>
      <c r="Q998" s="89" t="n"/>
      <c r="R998" s="89" t="n"/>
      <c r="S998" s="89" t="n"/>
      <c r="T998" s="55" t="n"/>
      <c r="Y998" s="111" t="n"/>
      <c r="Z998" s="111" t="n"/>
      <c r="AA998" s="111" t="n"/>
      <c r="AK998" s="55" t="n"/>
      <c r="AL998" s="89" t="n"/>
    </row>
    <row r="999" ht="22.5" customHeight="1" s="150">
      <c r="A999" s="34" t="n">
        <v>997</v>
      </c>
      <c r="B999" s="34" t="n"/>
      <c r="C999" s="34" t="n"/>
      <c r="D999" s="34" t="n"/>
      <c r="E999" s="34" t="n"/>
      <c r="F999" s="86" t="n"/>
      <c r="G999" s="86" t="n"/>
      <c r="H999" s="111" t="n"/>
      <c r="I999" s="87" t="n"/>
      <c r="J999" s="87" t="n"/>
      <c r="K999" s="111" t="n"/>
      <c r="L999" s="86" t="n"/>
      <c r="M999" s="145" t="n"/>
      <c r="N999" s="89" t="n"/>
      <c r="O999" s="144" t="n"/>
      <c r="P999" s="86" t="n"/>
      <c r="Q999" s="89" t="n"/>
      <c r="R999" s="89" t="n"/>
      <c r="S999" s="89" t="n"/>
      <c r="T999" s="55" t="n"/>
      <c r="Y999" s="111" t="n"/>
      <c r="Z999" s="111" t="n"/>
      <c r="AA999" s="111" t="n"/>
      <c r="AK999" s="55" t="n"/>
      <c r="AL999" s="89" t="n"/>
    </row>
    <row r="1000" ht="22.5" customHeight="1" s="150">
      <c r="A1000" s="34" t="n">
        <v>998</v>
      </c>
      <c r="B1000" s="34" t="n"/>
      <c r="C1000" s="34" t="n"/>
      <c r="D1000" s="34" t="n"/>
      <c r="E1000" s="34" t="n"/>
      <c r="F1000" s="86" t="n"/>
      <c r="G1000" s="86" t="n"/>
      <c r="H1000" s="111" t="n"/>
      <c r="I1000" s="87" t="n"/>
      <c r="J1000" s="87" t="n"/>
      <c r="K1000" s="111" t="n"/>
      <c r="L1000" s="86" t="n"/>
      <c r="M1000" s="146" t="n"/>
      <c r="N1000" s="89" t="n"/>
      <c r="O1000" s="144" t="n"/>
      <c r="P1000" s="86" t="n"/>
      <c r="Q1000" s="89" t="n"/>
      <c r="R1000" s="89" t="n"/>
      <c r="S1000" s="89" t="n"/>
      <c r="T1000" s="55" t="n"/>
      <c r="Y1000" s="111" t="n"/>
      <c r="Z1000" s="111" t="n"/>
      <c r="AA1000" s="111" t="n"/>
      <c r="AK1000" s="55" t="n"/>
      <c r="AL1000" s="89" t="n"/>
    </row>
    <row r="1001" ht="22.5" customHeight="1" s="150">
      <c r="A1001" s="34" t="n">
        <v>999</v>
      </c>
      <c r="B1001" s="34" t="n"/>
      <c r="C1001" s="34" t="n"/>
      <c r="D1001" s="34" t="n"/>
      <c r="E1001" s="34" t="n"/>
      <c r="F1001" s="86" t="n"/>
      <c r="G1001" s="86" t="n"/>
      <c r="H1001" s="111" t="n"/>
      <c r="I1001" s="87" t="n"/>
      <c r="J1001" s="87" t="n"/>
      <c r="K1001" s="111" t="n"/>
      <c r="L1001" s="86" t="n"/>
      <c r="M1001" s="145" t="n"/>
      <c r="N1001" s="89" t="n"/>
      <c r="O1001" s="144" t="n"/>
      <c r="P1001" s="86" t="n"/>
      <c r="Q1001" s="89" t="n"/>
      <c r="R1001" s="89" t="n"/>
      <c r="S1001" s="89" t="n"/>
      <c r="T1001" s="55" t="n"/>
      <c r="Y1001" s="111" t="n"/>
      <c r="Z1001" s="111" t="n"/>
      <c r="AA1001" s="111" t="n"/>
      <c r="AK1001" s="55" t="n"/>
      <c r="AL1001" s="89" t="n"/>
    </row>
    <row r="1002">
      <c r="A1002" s="34" t="n">
        <v>1000</v>
      </c>
      <c r="B1002" s="34" t="n"/>
      <c r="C1002" s="34" t="n"/>
      <c r="D1002" s="34" t="n"/>
      <c r="E1002" s="34" t="n"/>
      <c r="F1002" s="86" t="n"/>
      <c r="G1002" s="86" t="n"/>
      <c r="H1002" s="111" t="n"/>
      <c r="I1002" s="87" t="n"/>
      <c r="J1002" s="87" t="n"/>
      <c r="K1002" s="111" t="n"/>
      <c r="L1002" s="86" t="n"/>
      <c r="M1002" s="147" t="n"/>
      <c r="N1002" s="89" t="n"/>
      <c r="O1002" s="144" t="n"/>
      <c r="P1002" s="86" t="n"/>
      <c r="Q1002" s="89" t="n"/>
      <c r="R1002" s="89" t="n"/>
      <c r="S1002" s="89" t="n"/>
      <c r="T1002" s="55" t="n"/>
      <c r="Y1002" s="111" t="n"/>
      <c r="Z1002" s="111" t="n"/>
      <c r="AA1002" s="111" t="n"/>
      <c r="AK1002" s="55" t="n"/>
      <c r="AL1002" s="89" t="n"/>
    </row>
    <row r="1003">
      <c r="A1003" s="34" t="n">
        <v>1001</v>
      </c>
      <c r="B1003" s="34" t="n"/>
      <c r="C1003" s="34" t="n"/>
      <c r="D1003" s="34" t="n"/>
      <c r="E1003" s="34" t="n"/>
      <c r="F1003" s="86" t="n"/>
      <c r="G1003" s="86" t="n"/>
      <c r="H1003" s="111" t="n"/>
      <c r="I1003" s="87" t="n"/>
      <c r="J1003" s="87" t="n"/>
      <c r="K1003" s="111" t="n"/>
      <c r="L1003" s="86" t="n"/>
      <c r="M1003" s="101" t="n"/>
      <c r="N1003" s="89" t="n"/>
      <c r="O1003" s="144" t="n"/>
      <c r="P1003" s="86" t="n"/>
      <c r="Q1003" s="89" t="n"/>
      <c r="R1003" s="89" t="n"/>
      <c r="S1003" s="89" t="n"/>
      <c r="T1003" s="55" t="n"/>
      <c r="Y1003" s="111" t="n"/>
      <c r="Z1003" s="111" t="n"/>
      <c r="AA1003" s="111" t="n"/>
      <c r="AK1003" s="55" t="n"/>
      <c r="AL1003" s="89" t="n"/>
    </row>
    <row r="1004">
      <c r="A1004" s="34" t="n">
        <v>1002</v>
      </c>
      <c r="B1004" s="34" t="n"/>
      <c r="C1004" s="34" t="n"/>
      <c r="D1004" s="34" t="n"/>
      <c r="E1004" s="34" t="n"/>
      <c r="F1004" s="86" t="n"/>
      <c r="G1004" s="86" t="n"/>
      <c r="H1004" s="111" t="n"/>
      <c r="I1004" s="87" t="n"/>
      <c r="J1004" s="87" t="n"/>
      <c r="K1004" s="111" t="n"/>
      <c r="L1004" s="86" t="n"/>
      <c r="M1004" s="101" t="n"/>
      <c r="N1004" s="89" t="n"/>
      <c r="O1004" s="144" t="n"/>
      <c r="P1004" s="86" t="n"/>
      <c r="Q1004" s="89" t="n"/>
      <c r="R1004" s="89" t="n"/>
      <c r="S1004" s="89" t="n"/>
      <c r="T1004" s="55" t="n"/>
      <c r="Y1004" s="111" t="n"/>
      <c r="Z1004" s="111" t="n"/>
      <c r="AA1004" s="111" t="n"/>
      <c r="AK1004" s="55" t="n"/>
      <c r="AL1004" s="89" t="n"/>
    </row>
    <row r="1005">
      <c r="A1005" s="34" t="n">
        <v>1003</v>
      </c>
      <c r="B1005" s="34" t="n"/>
      <c r="C1005" s="34" t="n"/>
      <c r="D1005" s="34" t="n"/>
      <c r="E1005" s="34" t="n"/>
      <c r="F1005" s="86" t="n"/>
      <c r="G1005" s="86" t="n"/>
      <c r="H1005" s="111" t="n"/>
      <c r="I1005" s="87" t="n"/>
      <c r="J1005" s="87" t="n"/>
      <c r="K1005" s="111" t="n"/>
      <c r="L1005" s="86" t="n"/>
      <c r="M1005" s="101" t="n"/>
      <c r="N1005" s="89" t="n"/>
      <c r="O1005" s="144" t="n"/>
      <c r="P1005" s="86" t="n"/>
      <c r="Q1005" s="89" t="n"/>
      <c r="R1005" s="89" t="n"/>
      <c r="S1005" s="89" t="n"/>
      <c r="T1005" s="55" t="n"/>
      <c r="Y1005" s="111" t="n"/>
      <c r="Z1005" s="111" t="n"/>
      <c r="AA1005" s="111" t="n"/>
      <c r="AK1005" s="55" t="n"/>
      <c r="AL1005" s="89" t="n"/>
    </row>
    <row r="1006">
      <c r="A1006" s="34" t="n">
        <v>1004</v>
      </c>
      <c r="B1006" s="34" t="n"/>
      <c r="C1006" s="34" t="n"/>
      <c r="D1006" s="34" t="n"/>
      <c r="E1006" s="34" t="n"/>
      <c r="F1006" s="86" t="n"/>
      <c r="G1006" s="86" t="n"/>
      <c r="H1006" s="111" t="n"/>
      <c r="I1006" s="87" t="n"/>
      <c r="J1006" s="87" t="n"/>
      <c r="K1006" s="111" t="n"/>
      <c r="L1006" s="86" t="n"/>
      <c r="M1006" s="101" t="n"/>
      <c r="N1006" s="89" t="n"/>
      <c r="O1006" s="144" t="n"/>
      <c r="P1006" s="86" t="n"/>
      <c r="Q1006" s="89" t="n"/>
      <c r="R1006" s="89" t="n"/>
      <c r="S1006" s="89" t="n"/>
      <c r="T1006" s="55" t="n"/>
      <c r="Y1006" s="111" t="n"/>
      <c r="Z1006" s="111" t="n"/>
      <c r="AA1006" s="111" t="n"/>
      <c r="AK1006" s="55" t="n"/>
      <c r="AL1006" s="89" t="n"/>
    </row>
    <row r="1007">
      <c r="A1007" s="34" t="n">
        <v>1005</v>
      </c>
      <c r="B1007" s="34" t="n"/>
      <c r="C1007" s="34" t="n"/>
      <c r="D1007" s="34" t="n"/>
      <c r="E1007" s="34" t="n"/>
      <c r="F1007" s="86" t="n"/>
      <c r="G1007" s="86" t="n"/>
      <c r="H1007" s="111" t="n"/>
      <c r="I1007" s="87" t="n"/>
      <c r="J1007" s="87" t="n"/>
      <c r="K1007" s="111" t="n"/>
      <c r="L1007" s="86" t="n"/>
      <c r="M1007" s="101" t="n"/>
      <c r="N1007" s="89" t="n"/>
      <c r="O1007" s="144" t="n"/>
      <c r="P1007" s="86" t="n"/>
      <c r="Q1007" s="89" t="n"/>
      <c r="R1007" s="89" t="n"/>
      <c r="S1007" s="89" t="n"/>
      <c r="T1007" s="55" t="n"/>
      <c r="Y1007" s="111" t="n"/>
      <c r="Z1007" s="111" t="n"/>
      <c r="AA1007" s="111" t="n"/>
      <c r="AK1007" s="55" t="n"/>
      <c r="AL1007" s="89" t="n"/>
    </row>
    <row r="1008">
      <c r="A1008" s="34" t="n">
        <v>1006</v>
      </c>
      <c r="B1008" s="34" t="n"/>
      <c r="C1008" s="34" t="n"/>
      <c r="D1008" s="34" t="n"/>
      <c r="E1008" s="34" t="n"/>
      <c r="F1008" s="86" t="n"/>
      <c r="G1008" s="86" t="n"/>
      <c r="H1008" s="111" t="n"/>
      <c r="I1008" s="87" t="n"/>
      <c r="J1008" s="87" t="n"/>
      <c r="K1008" s="111" t="n"/>
      <c r="L1008" s="86" t="n"/>
      <c r="M1008" s="101" t="n"/>
      <c r="N1008" s="89" t="n"/>
      <c r="O1008" s="144" t="n"/>
      <c r="P1008" s="86" t="n"/>
      <c r="Q1008" s="89" t="n"/>
      <c r="R1008" s="89" t="n"/>
      <c r="S1008" s="89" t="n"/>
      <c r="T1008" s="55" t="n"/>
      <c r="Y1008" s="111" t="n"/>
      <c r="Z1008" s="111" t="n"/>
      <c r="AA1008" s="111" t="n"/>
      <c r="AK1008" s="55" t="n"/>
      <c r="AL1008" s="89" t="n"/>
    </row>
    <row r="1009">
      <c r="A1009" s="34" t="n">
        <v>1007</v>
      </c>
      <c r="B1009" s="34" t="n"/>
      <c r="C1009" s="34" t="n"/>
      <c r="D1009" s="34" t="n"/>
      <c r="E1009" s="34" t="n"/>
      <c r="F1009" s="86" t="n"/>
      <c r="G1009" s="86" t="n"/>
      <c r="H1009" s="111" t="n"/>
      <c r="I1009" s="87" t="n"/>
      <c r="J1009" s="87" t="n"/>
      <c r="K1009" s="111" t="n"/>
      <c r="L1009" s="86" t="n"/>
      <c r="M1009" s="101" t="n"/>
      <c r="N1009" s="89" t="n"/>
      <c r="O1009" s="144" t="n"/>
      <c r="P1009" s="86" t="n"/>
      <c r="Q1009" s="89" t="n"/>
      <c r="R1009" s="89" t="n"/>
      <c r="S1009" s="89" t="n"/>
      <c r="T1009" s="55" t="n"/>
      <c r="Y1009" s="111" t="n"/>
      <c r="Z1009" s="111" t="n"/>
      <c r="AA1009" s="111" t="n"/>
      <c r="AK1009" s="55" t="n"/>
      <c r="AL1009" s="89" t="n"/>
    </row>
    <row r="1010">
      <c r="A1010" s="34" t="n">
        <v>1008</v>
      </c>
      <c r="B1010" s="34" t="n"/>
      <c r="C1010" s="34" t="n"/>
      <c r="D1010" s="34" t="n"/>
      <c r="E1010" s="34" t="n"/>
      <c r="F1010" s="86" t="n"/>
      <c r="G1010" s="86" t="n"/>
      <c r="H1010" s="111" t="n"/>
      <c r="I1010" s="87" t="n"/>
      <c r="J1010" s="87" t="n"/>
      <c r="K1010" s="111" t="n"/>
      <c r="L1010" s="86" t="n"/>
      <c r="M1010" s="101" t="n"/>
      <c r="N1010" s="89" t="n"/>
      <c r="O1010" s="144" t="n"/>
      <c r="P1010" s="86" t="n"/>
      <c r="Q1010" s="89" t="n"/>
      <c r="R1010" s="89" t="n"/>
      <c r="S1010" s="89" t="n"/>
      <c r="T1010" s="55" t="n"/>
      <c r="Y1010" s="111" t="n"/>
      <c r="Z1010" s="111" t="n"/>
      <c r="AA1010" s="111" t="n"/>
      <c r="AK1010" s="55" t="n"/>
      <c r="AL1010" s="89" t="n"/>
    </row>
    <row r="1011">
      <c r="A1011" s="34" t="n">
        <v>1009</v>
      </c>
      <c r="B1011" s="34" t="n"/>
      <c r="C1011" s="34" t="n"/>
      <c r="D1011" s="34" t="n"/>
      <c r="E1011" s="34" t="n"/>
      <c r="F1011" s="86" t="n"/>
      <c r="G1011" s="86" t="n"/>
      <c r="H1011" s="111" t="n"/>
      <c r="I1011" s="87" t="n"/>
      <c r="J1011" s="87" t="n"/>
      <c r="K1011" s="111" t="n"/>
      <c r="L1011" s="86" t="n"/>
      <c r="M1011" s="101" t="n"/>
      <c r="N1011" s="89" t="n"/>
      <c r="O1011" s="144" t="n"/>
      <c r="P1011" s="86" t="n"/>
      <c r="Q1011" s="89" t="n"/>
      <c r="R1011" s="89" t="n"/>
      <c r="S1011" s="89" t="n"/>
      <c r="T1011" s="55" t="n"/>
      <c r="Y1011" s="111" t="n"/>
      <c r="Z1011" s="111" t="n"/>
      <c r="AA1011" s="111" t="n"/>
      <c r="AK1011" s="55" t="n"/>
      <c r="AL1011" s="89" t="n"/>
    </row>
    <row r="1012">
      <c r="A1012" s="34" t="n">
        <v>1010</v>
      </c>
      <c r="B1012" s="34" t="n"/>
      <c r="C1012" s="34" t="n"/>
      <c r="D1012" s="34" t="n"/>
      <c r="E1012" s="34" t="n"/>
      <c r="F1012" s="86" t="n"/>
      <c r="G1012" s="86" t="n"/>
      <c r="H1012" s="111" t="n"/>
      <c r="I1012" s="87" t="n"/>
      <c r="J1012" s="87" t="n"/>
      <c r="K1012" s="111" t="n"/>
      <c r="L1012" s="86" t="n"/>
      <c r="M1012" s="101" t="n"/>
      <c r="N1012" s="89" t="n"/>
      <c r="O1012" s="144" t="n"/>
      <c r="P1012" s="86" t="n"/>
      <c r="Q1012" s="89" t="n"/>
      <c r="R1012" s="89" t="n"/>
      <c r="S1012" s="89" t="n"/>
      <c r="T1012" s="55" t="n"/>
      <c r="Y1012" s="111" t="n"/>
      <c r="Z1012" s="111" t="n"/>
      <c r="AA1012" s="111" t="n"/>
      <c r="AK1012" s="55" t="n"/>
      <c r="AL1012" s="89" t="n"/>
    </row>
    <row r="1013">
      <c r="A1013" s="34" t="n">
        <v>1011</v>
      </c>
      <c r="B1013" s="34" t="n"/>
      <c r="C1013" s="34" t="n"/>
      <c r="D1013" s="34" t="n"/>
      <c r="E1013" s="34" t="n"/>
      <c r="F1013" s="86" t="n"/>
      <c r="G1013" s="86" t="n"/>
      <c r="H1013" s="111" t="n"/>
      <c r="I1013" s="87" t="n"/>
      <c r="J1013" s="87" t="n"/>
      <c r="K1013" s="111" t="n"/>
      <c r="L1013" s="86" t="n"/>
      <c r="M1013" s="101" t="n"/>
      <c r="N1013" s="89" t="n"/>
      <c r="O1013" s="144" t="n"/>
      <c r="P1013" s="86" t="n"/>
      <c r="Q1013" s="89" t="n"/>
      <c r="R1013" s="89" t="n"/>
      <c r="S1013" s="89" t="n"/>
      <c r="T1013" s="55" t="n"/>
      <c r="Y1013" s="111" t="n"/>
      <c r="Z1013" s="111" t="n"/>
      <c r="AA1013" s="111" t="n"/>
      <c r="AK1013" s="55" t="n"/>
      <c r="AL1013" s="89" t="n"/>
    </row>
    <row r="1014">
      <c r="A1014" s="34" t="n">
        <v>1012</v>
      </c>
      <c r="B1014" s="34" t="n"/>
      <c r="C1014" s="34" t="n"/>
      <c r="D1014" s="34" t="n"/>
      <c r="E1014" s="34" t="n"/>
      <c r="F1014" s="86" t="n"/>
      <c r="G1014" s="86" t="n"/>
      <c r="H1014" s="111" t="n"/>
      <c r="I1014" s="87" t="n"/>
      <c r="J1014" s="87" t="n"/>
      <c r="K1014" s="111" t="n"/>
      <c r="L1014" s="86" t="n"/>
      <c r="M1014" s="101" t="n"/>
      <c r="N1014" s="89" t="n"/>
      <c r="O1014" s="144" t="n"/>
      <c r="P1014" s="86" t="n"/>
      <c r="Q1014" s="89" t="n"/>
      <c r="R1014" s="89" t="n"/>
      <c r="S1014" s="89" t="n"/>
      <c r="T1014" s="55" t="n"/>
      <c r="Y1014" s="111" t="n"/>
      <c r="Z1014" s="111" t="n"/>
      <c r="AA1014" s="111" t="n"/>
      <c r="AK1014" s="55" t="n"/>
      <c r="AL1014" s="89" t="n"/>
    </row>
    <row r="1015">
      <c r="A1015" s="34" t="n">
        <v>1013</v>
      </c>
      <c r="B1015" s="34" t="n"/>
      <c r="C1015" s="34" t="n"/>
      <c r="D1015" s="34" t="n"/>
      <c r="E1015" s="34" t="n"/>
      <c r="F1015" s="86" t="n"/>
      <c r="G1015" s="86" t="n"/>
      <c r="H1015" s="111" t="n"/>
      <c r="I1015" s="87" t="n"/>
      <c r="J1015" s="87" t="n"/>
      <c r="K1015" s="111" t="n"/>
      <c r="L1015" s="86" t="n"/>
      <c r="M1015" s="101" t="n"/>
      <c r="N1015" s="89" t="n"/>
      <c r="O1015" s="144" t="n"/>
      <c r="P1015" s="86" t="n"/>
      <c r="Q1015" s="89" t="n"/>
      <c r="R1015" s="89" t="n"/>
      <c r="S1015" s="89" t="n"/>
      <c r="T1015" s="55" t="n"/>
      <c r="Y1015" s="111" t="n"/>
      <c r="Z1015" s="111" t="n"/>
      <c r="AA1015" s="111" t="n"/>
      <c r="AK1015" s="55" t="n"/>
      <c r="AL1015" s="89" t="n"/>
    </row>
    <row r="1016">
      <c r="A1016" s="34" t="n">
        <v>1014</v>
      </c>
      <c r="B1016" s="34" t="n"/>
      <c r="C1016" s="34" t="n"/>
      <c r="D1016" s="34" t="n"/>
      <c r="E1016" s="34" t="n"/>
      <c r="F1016" s="86" t="n"/>
      <c r="G1016" s="86" t="n"/>
      <c r="H1016" s="111" t="n"/>
      <c r="I1016" s="87" t="n"/>
      <c r="J1016" s="87" t="n"/>
      <c r="K1016" s="111" t="n"/>
      <c r="L1016" s="86" t="n"/>
      <c r="M1016" s="101" t="n"/>
      <c r="N1016" s="89" t="n"/>
      <c r="O1016" s="144" t="n"/>
      <c r="P1016" s="86" t="n"/>
      <c r="Q1016" s="89" t="n"/>
      <c r="R1016" s="89" t="n"/>
      <c r="S1016" s="89" t="n"/>
      <c r="T1016" s="55" t="n"/>
      <c r="Y1016" s="111" t="n"/>
      <c r="Z1016" s="111" t="n"/>
      <c r="AA1016" s="111" t="n"/>
      <c r="AK1016" s="55" t="n"/>
      <c r="AL1016" s="89" t="n"/>
    </row>
    <row r="1017">
      <c r="A1017" s="34" t="n">
        <v>1015</v>
      </c>
      <c r="B1017" s="34" t="n"/>
      <c r="C1017" s="34" t="n"/>
      <c r="D1017" s="34" t="n"/>
      <c r="E1017" s="34" t="n"/>
      <c r="F1017" s="86" t="n"/>
      <c r="G1017" s="86" t="n"/>
      <c r="H1017" s="111" t="n"/>
      <c r="I1017" s="87" t="n"/>
      <c r="J1017" s="87" t="n"/>
      <c r="K1017" s="111" t="n"/>
      <c r="L1017" s="86" t="n"/>
      <c r="M1017" s="101" t="n"/>
      <c r="N1017" s="89" t="n"/>
      <c r="O1017" s="144" t="n"/>
      <c r="P1017" s="86" t="n"/>
      <c r="Q1017" s="89" t="n"/>
      <c r="R1017" s="89" t="n"/>
      <c r="S1017" s="89" t="n"/>
      <c r="T1017" s="55" t="n"/>
      <c r="Y1017" s="111" t="n"/>
      <c r="Z1017" s="111" t="n"/>
      <c r="AA1017" s="111" t="n"/>
      <c r="AK1017" s="55" t="n"/>
      <c r="AL1017" s="89" t="n"/>
    </row>
    <row r="1018">
      <c r="A1018" s="34" t="n">
        <v>1016</v>
      </c>
      <c r="B1018" s="34" t="n"/>
      <c r="C1018" s="34" t="n"/>
      <c r="D1018" s="34" t="n"/>
      <c r="E1018" s="34" t="n"/>
      <c r="F1018" s="86" t="n"/>
      <c r="G1018" s="86" t="n"/>
      <c r="H1018" s="111" t="n"/>
      <c r="I1018" s="87" t="n"/>
      <c r="J1018" s="87" t="n"/>
      <c r="K1018" s="111" t="n"/>
      <c r="L1018" s="86" t="n"/>
      <c r="M1018" s="101" t="n"/>
      <c r="N1018" s="89" t="n"/>
      <c r="O1018" s="144" t="n"/>
      <c r="P1018" s="86" t="n"/>
      <c r="Q1018" s="89" t="n"/>
      <c r="R1018" s="89" t="n"/>
      <c r="S1018" s="89" t="n"/>
      <c r="T1018" s="55" t="n"/>
      <c r="Y1018" s="111" t="n"/>
      <c r="Z1018" s="111" t="n"/>
      <c r="AA1018" s="111" t="n"/>
      <c r="AK1018" s="55" t="n"/>
      <c r="AL1018" s="89" t="n"/>
    </row>
    <row r="1019">
      <c r="A1019" s="34" t="n">
        <v>1017</v>
      </c>
      <c r="B1019" s="34" t="n"/>
      <c r="C1019" s="34" t="n"/>
      <c r="D1019" s="34" t="n"/>
      <c r="E1019" s="34" t="n"/>
      <c r="F1019" s="86" t="n"/>
      <c r="G1019" s="86" t="n"/>
      <c r="H1019" s="111" t="n"/>
      <c r="I1019" s="87" t="n"/>
      <c r="J1019" s="87" t="n"/>
      <c r="K1019" s="111" t="n"/>
      <c r="L1019" s="86" t="n"/>
      <c r="M1019" s="101" t="n"/>
      <c r="N1019" s="89" t="n"/>
      <c r="O1019" s="144" t="n"/>
      <c r="P1019" s="86" t="n"/>
      <c r="Q1019" s="89" t="n"/>
      <c r="R1019" s="89" t="n"/>
      <c r="S1019" s="89" t="n"/>
      <c r="T1019" s="55" t="n"/>
      <c r="Y1019" s="111" t="n"/>
      <c r="Z1019" s="111" t="n"/>
      <c r="AA1019" s="111" t="n"/>
      <c r="AK1019" s="55" t="n"/>
      <c r="AL1019" s="89" t="n"/>
    </row>
    <row r="1020">
      <c r="A1020" s="34" t="n">
        <v>1018</v>
      </c>
      <c r="B1020" s="34" t="n"/>
      <c r="C1020" s="34" t="n"/>
      <c r="D1020" s="34" t="n"/>
      <c r="E1020" s="34" t="n"/>
      <c r="F1020" s="86" t="n"/>
      <c r="G1020" s="86" t="n"/>
      <c r="H1020" s="111" t="n"/>
      <c r="I1020" s="87" t="n"/>
      <c r="J1020" s="87" t="n"/>
      <c r="K1020" s="111" t="n"/>
      <c r="L1020" s="86" t="n"/>
      <c r="M1020" s="101" t="n"/>
      <c r="N1020" s="89" t="n"/>
      <c r="O1020" s="144" t="n"/>
      <c r="P1020" s="86" t="n"/>
      <c r="Q1020" s="89" t="n"/>
      <c r="R1020" s="89" t="n"/>
      <c r="S1020" s="89" t="n"/>
      <c r="T1020" s="55" t="n"/>
      <c r="Y1020" s="111" t="n"/>
      <c r="Z1020" s="111" t="n"/>
      <c r="AA1020" s="111" t="n"/>
      <c r="AK1020" s="55" t="n"/>
      <c r="AL1020" s="89" t="n"/>
    </row>
    <row r="1021">
      <c r="A1021" s="34" t="n">
        <v>1019</v>
      </c>
      <c r="B1021" s="34" t="n"/>
      <c r="C1021" s="34" t="n"/>
      <c r="D1021" s="34" t="n"/>
      <c r="E1021" s="34" t="n"/>
      <c r="F1021" s="86" t="n"/>
      <c r="G1021" s="86" t="n"/>
      <c r="H1021" s="111" t="n"/>
      <c r="I1021" s="87" t="n"/>
      <c r="J1021" s="87" t="n"/>
      <c r="K1021" s="111" t="n"/>
      <c r="L1021" s="86" t="n"/>
      <c r="M1021" s="101" t="n"/>
      <c r="N1021" s="89" t="n"/>
      <c r="O1021" s="144" t="n"/>
      <c r="P1021" s="86" t="n"/>
      <c r="Q1021" s="89" t="n"/>
      <c r="R1021" s="89" t="n"/>
      <c r="S1021" s="89" t="n"/>
      <c r="T1021" s="55" t="n"/>
      <c r="Y1021" s="111" t="n"/>
      <c r="Z1021" s="111" t="n"/>
      <c r="AA1021" s="111" t="n"/>
      <c r="AK1021" s="55" t="n"/>
      <c r="AL1021" s="89" t="n"/>
    </row>
    <row r="1022">
      <c r="A1022" s="34" t="n">
        <v>1020</v>
      </c>
      <c r="B1022" s="34" t="n"/>
      <c r="C1022" s="34" t="n"/>
      <c r="D1022" s="34" t="n"/>
      <c r="E1022" s="34" t="n"/>
      <c r="F1022" s="86" t="n"/>
      <c r="G1022" s="86" t="n"/>
      <c r="H1022" s="111" t="n"/>
      <c r="I1022" s="87" t="n"/>
      <c r="J1022" s="87" t="n"/>
      <c r="K1022" s="111" t="n"/>
      <c r="L1022" s="86" t="n"/>
      <c r="M1022" s="101" t="n"/>
      <c r="N1022" s="89" t="n"/>
      <c r="O1022" s="144" t="n"/>
      <c r="P1022" s="86" t="n"/>
      <c r="Q1022" s="89" t="n"/>
      <c r="R1022" s="89" t="n"/>
      <c r="S1022" s="89" t="n"/>
      <c r="T1022" s="55" t="n"/>
      <c r="Y1022" s="111" t="n"/>
      <c r="Z1022" s="111" t="n"/>
      <c r="AA1022" s="111" t="n"/>
      <c r="AK1022" s="55" t="n"/>
      <c r="AL1022" s="89" t="n"/>
    </row>
    <row r="1023">
      <c r="A1023" s="34" t="n">
        <v>1021</v>
      </c>
      <c r="B1023" s="34" t="n"/>
      <c r="C1023" s="34" t="n"/>
      <c r="D1023" s="34" t="n"/>
      <c r="E1023" s="34" t="n"/>
      <c r="F1023" s="86" t="n"/>
      <c r="G1023" s="86" t="n"/>
      <c r="H1023" s="111" t="n"/>
      <c r="I1023" s="87" t="n"/>
      <c r="J1023" s="87" t="n"/>
      <c r="K1023" s="111" t="n"/>
      <c r="L1023" s="86" t="n"/>
      <c r="M1023" s="101" t="n"/>
      <c r="N1023" s="89" t="n"/>
      <c r="O1023" s="144" t="n"/>
      <c r="P1023" s="86" t="n"/>
      <c r="Q1023" s="89" t="n"/>
      <c r="R1023" s="89" t="n"/>
      <c r="S1023" s="89" t="n"/>
      <c r="T1023" s="55" t="n"/>
      <c r="Y1023" s="111" t="n"/>
      <c r="Z1023" s="111" t="n"/>
      <c r="AA1023" s="111" t="n"/>
      <c r="AK1023" s="55" t="n"/>
      <c r="AL1023" s="89" t="n"/>
    </row>
    <row r="1024">
      <c r="A1024" s="34" t="n">
        <v>1022</v>
      </c>
      <c r="B1024" s="34" t="n"/>
      <c r="C1024" s="34" t="n"/>
      <c r="D1024" s="34" t="n"/>
      <c r="E1024" s="34" t="n"/>
      <c r="F1024" s="86" t="n"/>
      <c r="G1024" s="86" t="n"/>
      <c r="H1024" s="111" t="n"/>
      <c r="I1024" s="87" t="n"/>
      <c r="J1024" s="87" t="n"/>
      <c r="K1024" s="111" t="n"/>
      <c r="L1024" s="86" t="n"/>
      <c r="M1024" s="101" t="n"/>
      <c r="N1024" s="89" t="n"/>
      <c r="O1024" s="144" t="n"/>
      <c r="P1024" s="86" t="n"/>
      <c r="Q1024" s="89" t="n"/>
      <c r="R1024" s="89" t="n"/>
      <c r="S1024" s="89" t="n"/>
      <c r="T1024" s="55" t="n"/>
      <c r="Y1024" s="111" t="n"/>
      <c r="Z1024" s="111" t="n"/>
      <c r="AA1024" s="111" t="n"/>
      <c r="AK1024" s="55" t="n"/>
      <c r="AL1024" s="89" t="n"/>
    </row>
    <row r="1025">
      <c r="A1025" s="34" t="n">
        <v>1023</v>
      </c>
      <c r="B1025" s="34" t="n"/>
      <c r="C1025" s="34" t="n"/>
      <c r="D1025" s="34" t="n"/>
      <c r="E1025" s="34" t="n"/>
      <c r="F1025" s="86" t="n"/>
      <c r="G1025" s="86" t="n"/>
      <c r="H1025" s="111" t="n"/>
      <c r="I1025" s="87" t="n"/>
      <c r="J1025" s="87" t="n"/>
      <c r="K1025" s="111" t="n"/>
      <c r="L1025" s="86" t="n"/>
      <c r="M1025" s="101" t="n"/>
      <c r="N1025" s="89" t="n"/>
      <c r="O1025" s="144" t="n"/>
      <c r="P1025" s="86" t="n"/>
      <c r="Q1025" s="89" t="n"/>
      <c r="R1025" s="89" t="n"/>
      <c r="S1025" s="89" t="n"/>
      <c r="T1025" s="55" t="n"/>
      <c r="Y1025" s="111" t="n"/>
      <c r="Z1025" s="111" t="n"/>
      <c r="AA1025" s="111" t="n"/>
      <c r="AK1025" s="55" t="n"/>
      <c r="AL1025" s="89" t="n"/>
    </row>
    <row r="1026">
      <c r="A1026" s="34" t="n">
        <v>1024</v>
      </c>
      <c r="B1026" s="34" t="n"/>
      <c r="C1026" s="34" t="n"/>
      <c r="D1026" s="34" t="n"/>
      <c r="E1026" s="34" t="n"/>
      <c r="F1026" s="86" t="n"/>
      <c r="G1026" s="86" t="n"/>
      <c r="H1026" s="111" t="n"/>
      <c r="I1026" s="87" t="n"/>
      <c r="J1026" s="87" t="n"/>
      <c r="K1026" s="111" t="n"/>
      <c r="L1026" s="86" t="n"/>
      <c r="M1026" s="101" t="n"/>
      <c r="N1026" s="89" t="n"/>
      <c r="O1026" s="144" t="n"/>
      <c r="P1026" s="86" t="n"/>
      <c r="Q1026" s="89" t="n"/>
      <c r="R1026" s="89" t="n"/>
      <c r="S1026" s="89" t="n"/>
      <c r="T1026" s="55" t="n"/>
      <c r="Y1026" s="111" t="n"/>
      <c r="Z1026" s="111" t="n"/>
      <c r="AA1026" s="111" t="n"/>
      <c r="AK1026" s="55" t="n"/>
      <c r="AL1026" s="89" t="n"/>
    </row>
    <row r="1027">
      <c r="A1027" s="34" t="n">
        <v>1025</v>
      </c>
      <c r="B1027" s="34" t="n"/>
      <c r="C1027" s="34" t="n"/>
      <c r="D1027" s="34" t="n"/>
      <c r="E1027" s="34" t="n"/>
      <c r="F1027" s="86" t="n"/>
      <c r="G1027" s="86" t="n"/>
      <c r="H1027" s="111" t="n"/>
      <c r="I1027" s="87" t="n"/>
      <c r="J1027" s="87" t="n"/>
      <c r="K1027" s="111" t="n"/>
      <c r="L1027" s="86" t="n"/>
      <c r="M1027" s="101" t="n"/>
      <c r="N1027" s="89" t="n"/>
      <c r="O1027" s="144" t="n"/>
      <c r="P1027" s="86" t="n"/>
      <c r="Q1027" s="89" t="n"/>
      <c r="R1027" s="89" t="n"/>
      <c r="S1027" s="89" t="n"/>
      <c r="T1027" s="55" t="n"/>
      <c r="Y1027" s="111" t="n"/>
      <c r="Z1027" s="111" t="n"/>
      <c r="AA1027" s="111" t="n"/>
      <c r="AK1027" s="55" t="n"/>
      <c r="AL1027" s="89" t="n"/>
    </row>
    <row r="1028">
      <c r="A1028" s="34" t="n">
        <v>1026</v>
      </c>
      <c r="B1028" s="34" t="n"/>
      <c r="C1028" s="34" t="n"/>
      <c r="D1028" s="34" t="n"/>
      <c r="E1028" s="34" t="n"/>
      <c r="F1028" s="86" t="n"/>
      <c r="G1028" s="86" t="n"/>
      <c r="H1028" s="111" t="n"/>
      <c r="I1028" s="87" t="n"/>
      <c r="J1028" s="87" t="n"/>
      <c r="K1028" s="111" t="n"/>
      <c r="L1028" s="86" t="n"/>
      <c r="M1028" s="101" t="n"/>
      <c r="N1028" s="89" t="n"/>
      <c r="O1028" s="144" t="n"/>
      <c r="P1028" s="86" t="n"/>
      <c r="Q1028" s="89" t="n"/>
      <c r="R1028" s="89" t="n"/>
      <c r="S1028" s="89" t="n"/>
      <c r="T1028" s="55" t="n"/>
      <c r="Y1028" s="111" t="n"/>
      <c r="Z1028" s="111" t="n"/>
      <c r="AA1028" s="111" t="n"/>
      <c r="AK1028" s="55" t="n"/>
      <c r="AL1028" s="89" t="n"/>
    </row>
    <row r="1029">
      <c r="A1029" s="34" t="n">
        <v>1027</v>
      </c>
      <c r="B1029" s="34" t="n"/>
      <c r="C1029" s="34" t="n"/>
      <c r="D1029" s="34" t="n"/>
      <c r="E1029" s="34" t="n"/>
      <c r="F1029" s="86" t="n"/>
      <c r="G1029" s="86" t="n"/>
      <c r="H1029" s="111" t="n"/>
      <c r="I1029" s="87" t="n"/>
      <c r="J1029" s="87" t="n"/>
      <c r="K1029" s="111" t="n"/>
      <c r="L1029" s="86" t="n"/>
      <c r="M1029" s="101" t="n"/>
      <c r="N1029" s="89" t="n"/>
      <c r="O1029" s="144" t="n"/>
      <c r="P1029" s="86" t="n"/>
      <c r="Q1029" s="89" t="n"/>
      <c r="R1029" s="89" t="n"/>
      <c r="S1029" s="89" t="n"/>
      <c r="T1029" s="55" t="n"/>
      <c r="Y1029" s="111" t="n"/>
      <c r="Z1029" s="111" t="n"/>
      <c r="AA1029" s="111" t="n"/>
      <c r="AK1029" s="55" t="n"/>
      <c r="AL1029" s="89" t="n"/>
    </row>
    <row r="1030">
      <c r="A1030" s="34" t="n">
        <v>1028</v>
      </c>
      <c r="B1030" s="34" t="n"/>
      <c r="C1030" s="34" t="n"/>
      <c r="D1030" s="34" t="n"/>
      <c r="E1030" s="34" t="n"/>
      <c r="F1030" s="86" t="n"/>
      <c r="G1030" s="86" t="n"/>
      <c r="H1030" s="111" t="n"/>
      <c r="I1030" s="87" t="n"/>
      <c r="J1030" s="87" t="n"/>
      <c r="K1030" s="111" t="n"/>
      <c r="L1030" s="86" t="n"/>
      <c r="M1030" s="101" t="n"/>
      <c r="N1030" s="89" t="n"/>
      <c r="O1030" s="144" t="n"/>
      <c r="P1030" s="86" t="n"/>
      <c r="Q1030" s="89" t="n"/>
      <c r="R1030" s="89" t="n"/>
      <c r="S1030" s="89" t="n"/>
      <c r="T1030" s="55" t="n"/>
      <c r="Y1030" s="111" t="n"/>
      <c r="Z1030" s="111" t="n"/>
      <c r="AA1030" s="111" t="n"/>
      <c r="AK1030" s="55" t="n"/>
      <c r="AL1030" s="89" t="n"/>
    </row>
    <row r="1031">
      <c r="A1031" s="34" t="n">
        <v>1029</v>
      </c>
      <c r="B1031" s="34" t="n"/>
      <c r="C1031" s="34" t="n"/>
      <c r="D1031" s="34" t="n"/>
      <c r="E1031" s="34" t="n"/>
      <c r="F1031" s="86" t="n"/>
      <c r="G1031" s="86" t="n"/>
      <c r="H1031" s="111" t="n"/>
      <c r="I1031" s="87" t="n"/>
      <c r="J1031" s="87" t="n"/>
      <c r="K1031" s="111" t="n"/>
      <c r="L1031" s="86" t="n"/>
      <c r="M1031" s="101" t="n"/>
      <c r="N1031" s="89" t="n"/>
      <c r="O1031" s="144" t="n"/>
      <c r="P1031" s="86" t="n"/>
      <c r="Q1031" s="89" t="n"/>
      <c r="R1031" s="89" t="n"/>
      <c r="S1031" s="89" t="n"/>
      <c r="T1031" s="55" t="n"/>
      <c r="Y1031" s="111" t="n"/>
      <c r="Z1031" s="111" t="n"/>
      <c r="AA1031" s="111" t="n"/>
      <c r="AK1031" s="55" t="n"/>
      <c r="AL1031" s="89" t="n"/>
    </row>
    <row r="1032">
      <c r="A1032" s="34" t="n">
        <v>1030</v>
      </c>
      <c r="B1032" s="34" t="n"/>
      <c r="C1032" s="34" t="n"/>
      <c r="D1032" s="34" t="n"/>
      <c r="E1032" s="34" t="n"/>
      <c r="F1032" s="86" t="n"/>
      <c r="G1032" s="86" t="n"/>
      <c r="H1032" s="111" t="n"/>
      <c r="I1032" s="87" t="n"/>
      <c r="J1032" s="87" t="n"/>
      <c r="K1032" s="111" t="n"/>
      <c r="L1032" s="86" t="n"/>
      <c r="M1032" s="101" t="n"/>
      <c r="N1032" s="89" t="n"/>
      <c r="O1032" s="144" t="n"/>
      <c r="P1032" s="86" t="n"/>
      <c r="Q1032" s="89" t="n"/>
      <c r="R1032" s="89" t="n"/>
      <c r="S1032" s="89" t="n"/>
      <c r="T1032" s="55" t="n"/>
      <c r="Y1032" s="111" t="n"/>
      <c r="Z1032" s="111" t="n"/>
      <c r="AA1032" s="111" t="n"/>
      <c r="AK1032" s="55" t="n"/>
      <c r="AL1032" s="89" t="n"/>
    </row>
    <row r="1033">
      <c r="A1033" s="34" t="n">
        <v>1031</v>
      </c>
      <c r="B1033" s="34" t="n"/>
      <c r="C1033" s="34" t="n"/>
      <c r="D1033" s="34" t="n"/>
      <c r="E1033" s="34" t="n"/>
      <c r="F1033" s="86" t="n"/>
      <c r="G1033" s="86" t="n"/>
      <c r="H1033" s="111" t="n"/>
      <c r="I1033" s="87" t="n"/>
      <c r="J1033" s="87" t="n"/>
      <c r="K1033" s="111" t="n"/>
      <c r="L1033" s="86" t="n"/>
      <c r="M1033" s="101" t="n"/>
      <c r="N1033" s="89" t="n"/>
      <c r="O1033" s="144" t="n"/>
      <c r="P1033" s="86" t="n"/>
      <c r="Q1033" s="89" t="n"/>
      <c r="R1033" s="89" t="n"/>
      <c r="S1033" s="89" t="n"/>
      <c r="T1033" s="55" t="n"/>
      <c r="Y1033" s="111" t="n"/>
      <c r="Z1033" s="111" t="n"/>
      <c r="AA1033" s="111" t="n"/>
      <c r="AK1033" s="55" t="n"/>
      <c r="AL1033" s="89" t="n"/>
    </row>
    <row r="1034">
      <c r="A1034" s="34" t="n">
        <v>1032</v>
      </c>
      <c r="B1034" s="34" t="n"/>
      <c r="C1034" s="34" t="n"/>
      <c r="D1034" s="34" t="n"/>
      <c r="E1034" s="34" t="n"/>
      <c r="F1034" s="86" t="n"/>
      <c r="G1034" s="86" t="n"/>
      <c r="H1034" s="111" t="n"/>
      <c r="I1034" s="87" t="n"/>
      <c r="J1034" s="87" t="n"/>
      <c r="K1034" s="111" t="n"/>
      <c r="L1034" s="86" t="n"/>
      <c r="M1034" s="101" t="n"/>
      <c r="N1034" s="89" t="n"/>
      <c r="O1034" s="144" t="n"/>
      <c r="P1034" s="86" t="n"/>
      <c r="Q1034" s="89" t="n"/>
      <c r="R1034" s="89" t="n"/>
      <c r="S1034" s="89" t="n"/>
      <c r="T1034" s="55" t="n"/>
      <c r="Y1034" s="111" t="n"/>
      <c r="Z1034" s="111" t="n"/>
      <c r="AA1034" s="111" t="n"/>
      <c r="AK1034" s="55" t="n"/>
      <c r="AL1034" s="89" t="n"/>
    </row>
    <row r="1035">
      <c r="A1035" s="34" t="n">
        <v>1033</v>
      </c>
      <c r="B1035" s="34" t="n"/>
      <c r="C1035" s="34" t="n"/>
      <c r="D1035" s="34" t="n"/>
      <c r="E1035" s="34" t="n"/>
      <c r="F1035" s="86" t="n"/>
      <c r="G1035" s="86" t="n"/>
      <c r="H1035" s="111" t="n"/>
      <c r="I1035" s="87" t="n"/>
      <c r="J1035" s="87" t="n"/>
      <c r="K1035" s="111" t="n"/>
      <c r="L1035" s="86" t="n"/>
      <c r="M1035" s="101" t="n"/>
      <c r="N1035" s="89" t="n"/>
      <c r="O1035" s="144" t="n"/>
      <c r="P1035" s="86" t="n"/>
      <c r="Q1035" s="89" t="n"/>
      <c r="R1035" s="89" t="n"/>
      <c r="S1035" s="89" t="n"/>
      <c r="T1035" s="55" t="n"/>
      <c r="Y1035" s="111" t="n"/>
      <c r="Z1035" s="111" t="n"/>
      <c r="AA1035" s="111" t="n"/>
      <c r="AK1035" s="55" t="n"/>
      <c r="AL1035" s="89" t="n"/>
    </row>
    <row r="1036">
      <c r="A1036" s="34" t="n">
        <v>1034</v>
      </c>
      <c r="B1036" s="34" t="n"/>
      <c r="C1036" s="34" t="n"/>
      <c r="D1036" s="34" t="n"/>
      <c r="E1036" s="34" t="n"/>
      <c r="F1036" s="86" t="n"/>
      <c r="G1036" s="86" t="n"/>
      <c r="H1036" s="111" t="n"/>
      <c r="I1036" s="87" t="n"/>
      <c r="J1036" s="87" t="n"/>
      <c r="K1036" s="111" t="n"/>
      <c r="L1036" s="86" t="n"/>
      <c r="M1036" s="101" t="n"/>
      <c r="N1036" s="89" t="n"/>
      <c r="O1036" s="144" t="n"/>
      <c r="P1036" s="86" t="n"/>
      <c r="Q1036" s="89" t="n"/>
      <c r="R1036" s="89" t="n"/>
      <c r="S1036" s="89" t="n"/>
      <c r="T1036" s="55" t="n"/>
      <c r="Y1036" s="111" t="n"/>
      <c r="Z1036" s="111" t="n"/>
      <c r="AA1036" s="111" t="n"/>
      <c r="AK1036" s="55" t="n"/>
      <c r="AL1036" s="89" t="n"/>
    </row>
    <row r="1037">
      <c r="A1037" s="34" t="n">
        <v>1035</v>
      </c>
      <c r="B1037" s="34" t="n"/>
      <c r="C1037" s="34" t="n"/>
      <c r="D1037" s="34" t="n"/>
      <c r="E1037" s="34" t="n"/>
      <c r="F1037" s="86" t="n"/>
      <c r="G1037" s="86" t="n"/>
      <c r="H1037" s="111" t="n"/>
      <c r="I1037" s="87" t="n"/>
      <c r="J1037" s="87" t="n"/>
      <c r="K1037" s="111" t="n"/>
      <c r="L1037" s="86" t="n"/>
      <c r="M1037" s="101" t="n"/>
      <c r="N1037" s="89" t="n"/>
      <c r="O1037" s="144" t="n"/>
      <c r="P1037" s="86" t="n"/>
      <c r="Q1037" s="89" t="n"/>
      <c r="R1037" s="89" t="n"/>
      <c r="S1037" s="89" t="n"/>
      <c r="T1037" s="55" t="n"/>
      <c r="Y1037" s="111" t="n"/>
      <c r="Z1037" s="111" t="n"/>
      <c r="AA1037" s="111" t="n"/>
      <c r="AK1037" s="55" t="n"/>
      <c r="AL1037" s="89" t="n"/>
    </row>
    <row r="1038">
      <c r="A1038" s="34" t="n">
        <v>1036</v>
      </c>
      <c r="B1038" s="34" t="n"/>
      <c r="C1038" s="34" t="n"/>
      <c r="D1038" s="34" t="n"/>
      <c r="E1038" s="34" t="n"/>
      <c r="F1038" s="86" t="n"/>
      <c r="G1038" s="86" t="n"/>
      <c r="H1038" s="111" t="n"/>
      <c r="I1038" s="87" t="n"/>
      <c r="J1038" s="87" t="n"/>
      <c r="K1038" s="111" t="n"/>
      <c r="L1038" s="86" t="n"/>
      <c r="M1038" s="101" t="n"/>
      <c r="N1038" s="89" t="n"/>
      <c r="O1038" s="144" t="n"/>
      <c r="P1038" s="86" t="n"/>
      <c r="Q1038" s="89" t="n"/>
      <c r="R1038" s="89" t="n"/>
      <c r="S1038" s="89" t="n"/>
      <c r="T1038" s="55" t="n"/>
      <c r="Y1038" s="111" t="n"/>
      <c r="Z1038" s="111" t="n"/>
      <c r="AA1038" s="111" t="n"/>
      <c r="AK1038" s="55" t="n"/>
      <c r="AL1038" s="89" t="n"/>
    </row>
    <row r="1039">
      <c r="A1039" s="34" t="n">
        <v>1037</v>
      </c>
      <c r="B1039" s="34" t="n"/>
      <c r="C1039" s="34" t="n"/>
      <c r="D1039" s="34" t="n"/>
      <c r="E1039" s="34" t="n"/>
      <c r="F1039" s="86" t="n"/>
      <c r="G1039" s="86" t="n"/>
      <c r="H1039" s="111" t="n"/>
      <c r="I1039" s="87" t="n"/>
      <c r="J1039" s="87" t="n"/>
      <c r="K1039" s="111" t="n"/>
      <c r="L1039" s="86" t="n"/>
      <c r="M1039" s="101" t="n"/>
      <c r="N1039" s="89" t="n"/>
      <c r="O1039" s="144" t="n"/>
      <c r="P1039" s="86" t="n"/>
      <c r="Q1039" s="89" t="n"/>
      <c r="R1039" s="89" t="n"/>
      <c r="S1039" s="89" t="n"/>
      <c r="T1039" s="55" t="n"/>
      <c r="Y1039" s="111" t="n"/>
      <c r="Z1039" s="111" t="n"/>
      <c r="AA1039" s="111" t="n"/>
      <c r="AK1039" s="55" t="n"/>
      <c r="AL1039" s="89" t="n"/>
    </row>
    <row r="1040">
      <c r="A1040" s="34" t="n">
        <v>1038</v>
      </c>
      <c r="B1040" s="34" t="n"/>
      <c r="C1040" s="34" t="n"/>
      <c r="D1040" s="34" t="n"/>
      <c r="E1040" s="34" t="n"/>
      <c r="F1040" s="86" t="n"/>
      <c r="G1040" s="86" t="n"/>
      <c r="H1040" s="111" t="n"/>
      <c r="I1040" s="87" t="n"/>
      <c r="J1040" s="87" t="n"/>
      <c r="K1040" s="111" t="n"/>
      <c r="L1040" s="86" t="n"/>
      <c r="M1040" s="101" t="n"/>
      <c r="N1040" s="89" t="n"/>
      <c r="O1040" s="144" t="n"/>
      <c r="P1040" s="86" t="n"/>
      <c r="Q1040" s="89" t="n"/>
      <c r="R1040" s="89" t="n"/>
      <c r="S1040" s="89" t="n"/>
      <c r="T1040" s="55" t="n"/>
      <c r="Y1040" s="111" t="n"/>
      <c r="Z1040" s="111" t="n"/>
      <c r="AA1040" s="111" t="n"/>
      <c r="AK1040" s="55" t="n"/>
      <c r="AL1040" s="89" t="n"/>
    </row>
    <row r="1041">
      <c r="A1041" s="34" t="n">
        <v>1039</v>
      </c>
      <c r="B1041" s="34" t="n"/>
      <c r="C1041" s="34" t="n"/>
      <c r="D1041" s="34" t="n"/>
      <c r="E1041" s="34" t="n"/>
      <c r="F1041" s="86" t="n"/>
      <c r="G1041" s="86" t="n"/>
      <c r="H1041" s="111" t="n"/>
      <c r="I1041" s="87" t="n"/>
      <c r="J1041" s="87" t="n"/>
      <c r="K1041" s="111" t="n"/>
      <c r="L1041" s="86" t="n"/>
      <c r="M1041" s="101" t="n"/>
      <c r="N1041" s="89" t="n"/>
      <c r="O1041" s="144" t="n"/>
      <c r="P1041" s="86" t="n"/>
      <c r="Q1041" s="89" t="n"/>
      <c r="R1041" s="89" t="n"/>
      <c r="S1041" s="89" t="n"/>
      <c r="T1041" s="55" t="n"/>
      <c r="Y1041" s="111" t="n"/>
      <c r="Z1041" s="111" t="n"/>
      <c r="AA1041" s="111" t="n"/>
      <c r="AK1041" s="55" t="n"/>
      <c r="AL1041" s="89" t="n"/>
    </row>
    <row r="1042">
      <c r="A1042" s="34" t="n">
        <v>1040</v>
      </c>
      <c r="B1042" s="34" t="n"/>
      <c r="C1042" s="34" t="n"/>
      <c r="D1042" s="34" t="n"/>
      <c r="E1042" s="34" t="n"/>
      <c r="F1042" s="86" t="n"/>
      <c r="G1042" s="86" t="n"/>
      <c r="H1042" s="111" t="n"/>
      <c r="I1042" s="87" t="n"/>
      <c r="J1042" s="87" t="n"/>
      <c r="K1042" s="111" t="n"/>
      <c r="L1042" s="86" t="n"/>
      <c r="M1042" s="101" t="n"/>
      <c r="N1042" s="89" t="n"/>
      <c r="O1042" s="144" t="n"/>
      <c r="P1042" s="86" t="n"/>
      <c r="Q1042" s="89" t="n"/>
      <c r="R1042" s="89" t="n"/>
      <c r="S1042" s="89" t="n"/>
      <c r="T1042" s="55" t="n"/>
      <c r="Y1042" s="111" t="n"/>
      <c r="Z1042" s="111" t="n"/>
      <c r="AA1042" s="111" t="n"/>
      <c r="AK1042" s="55" t="n"/>
      <c r="AL1042" s="89" t="n"/>
    </row>
    <row r="1043">
      <c r="A1043" s="34" t="n">
        <v>1041</v>
      </c>
      <c r="B1043" s="34" t="n"/>
      <c r="C1043" s="34" t="n"/>
      <c r="D1043" s="34" t="n"/>
      <c r="E1043" s="34" t="n"/>
      <c r="F1043" s="86" t="n"/>
      <c r="G1043" s="86" t="n"/>
      <c r="H1043" s="111" t="n"/>
      <c r="I1043" s="87" t="n"/>
      <c r="J1043" s="87" t="n"/>
      <c r="K1043" s="111" t="n"/>
      <c r="L1043" s="86" t="n"/>
      <c r="M1043" s="101" t="n"/>
      <c r="N1043" s="89" t="n"/>
      <c r="O1043" s="144" t="n"/>
      <c r="P1043" s="86" t="n"/>
      <c r="Q1043" s="89" t="n"/>
      <c r="R1043" s="89" t="n"/>
      <c r="S1043" s="89" t="n"/>
      <c r="T1043" s="55" t="n"/>
      <c r="Y1043" s="111" t="n"/>
      <c r="Z1043" s="111" t="n"/>
      <c r="AA1043" s="111" t="n"/>
      <c r="AK1043" s="55" t="n"/>
      <c r="AL1043" s="89" t="n"/>
    </row>
    <row r="1044">
      <c r="A1044" s="34" t="n">
        <v>1042</v>
      </c>
      <c r="B1044" s="34" t="n"/>
      <c r="C1044" s="34" t="n"/>
      <c r="D1044" s="34" t="n"/>
      <c r="E1044" s="34" t="n"/>
      <c r="F1044" s="86" t="n"/>
      <c r="G1044" s="86" t="n"/>
      <c r="H1044" s="111" t="n"/>
      <c r="I1044" s="87" t="n"/>
      <c r="J1044" s="87" t="n"/>
      <c r="K1044" s="111" t="n"/>
      <c r="L1044" s="86" t="n"/>
      <c r="M1044" s="101" t="n"/>
      <c r="N1044" s="89" t="n"/>
      <c r="O1044" s="144" t="n"/>
      <c r="P1044" s="86" t="n"/>
      <c r="Q1044" s="89" t="n"/>
      <c r="R1044" s="89" t="n"/>
      <c r="S1044" s="89" t="n"/>
      <c r="T1044" s="55" t="n"/>
      <c r="Y1044" s="111" t="n"/>
      <c r="Z1044" s="111" t="n"/>
      <c r="AA1044" s="111" t="n"/>
      <c r="AK1044" s="55" t="n"/>
      <c r="AL1044" s="89" t="n"/>
    </row>
    <row r="1045">
      <c r="A1045" s="34" t="n">
        <v>1043</v>
      </c>
      <c r="B1045" s="34" t="n"/>
      <c r="C1045" s="34" t="n"/>
      <c r="D1045" s="34" t="n"/>
      <c r="E1045" s="34" t="n"/>
      <c r="F1045" s="86" t="n"/>
      <c r="G1045" s="86" t="n"/>
      <c r="H1045" s="111" t="n"/>
      <c r="I1045" s="87" t="n"/>
      <c r="J1045" s="87" t="n"/>
      <c r="K1045" s="111" t="n"/>
      <c r="L1045" s="86" t="n"/>
      <c r="M1045" s="101" t="n"/>
      <c r="N1045" s="89" t="n"/>
      <c r="O1045" s="144" t="n"/>
      <c r="P1045" s="86" t="n"/>
      <c r="Q1045" s="89" t="n"/>
      <c r="R1045" s="89" t="n"/>
      <c r="S1045" s="89" t="n"/>
      <c r="T1045" s="55" t="n"/>
      <c r="Y1045" s="111" t="n"/>
      <c r="Z1045" s="111" t="n"/>
      <c r="AA1045" s="111" t="n"/>
      <c r="AK1045" s="55" t="n"/>
      <c r="AL1045" s="89" t="n"/>
    </row>
    <row r="1046">
      <c r="A1046" s="34" t="n">
        <v>1044</v>
      </c>
      <c r="B1046" s="34" t="n"/>
      <c r="C1046" s="34" t="n"/>
      <c r="D1046" s="34" t="n"/>
      <c r="E1046" s="34" t="n"/>
      <c r="F1046" s="86" t="n"/>
      <c r="G1046" s="86" t="n"/>
      <c r="H1046" s="111" t="n"/>
      <c r="I1046" s="87" t="n"/>
      <c r="J1046" s="87" t="n"/>
      <c r="K1046" s="111" t="n"/>
      <c r="L1046" s="86" t="n"/>
      <c r="M1046" s="101" t="n"/>
      <c r="N1046" s="89" t="n"/>
      <c r="O1046" s="144" t="n"/>
      <c r="P1046" s="86" t="n"/>
      <c r="Q1046" s="89" t="n"/>
      <c r="R1046" s="89" t="n"/>
      <c r="S1046" s="89" t="n"/>
      <c r="T1046" s="55" t="n"/>
      <c r="Y1046" s="111" t="n"/>
      <c r="Z1046" s="111" t="n"/>
      <c r="AA1046" s="111" t="n"/>
      <c r="AK1046" s="55" t="n"/>
      <c r="AL1046" s="89" t="n"/>
    </row>
    <row r="1047">
      <c r="A1047" s="34" t="n">
        <v>1045</v>
      </c>
      <c r="B1047" s="34" t="n"/>
      <c r="C1047" s="34" t="n"/>
      <c r="D1047" s="34" t="n"/>
      <c r="E1047" s="34" t="n"/>
      <c r="F1047" s="86" t="n"/>
      <c r="G1047" s="86" t="n"/>
      <c r="H1047" s="111" t="n"/>
      <c r="I1047" s="87" t="n"/>
      <c r="J1047" s="87" t="n"/>
      <c r="K1047" s="111" t="n"/>
      <c r="L1047" s="86" t="n"/>
      <c r="M1047" s="101" t="n"/>
      <c r="N1047" s="89" t="n"/>
      <c r="O1047" s="144" t="n"/>
      <c r="P1047" s="86" t="n"/>
      <c r="Q1047" s="89" t="n"/>
      <c r="R1047" s="89" t="n"/>
      <c r="S1047" s="89" t="n"/>
      <c r="T1047" s="55" t="n"/>
      <c r="Y1047" s="111" t="n"/>
      <c r="Z1047" s="111" t="n"/>
      <c r="AA1047" s="111" t="n"/>
      <c r="AK1047" s="55" t="n"/>
      <c r="AL1047" s="89" t="n"/>
    </row>
    <row r="1048">
      <c r="A1048" s="34" t="n">
        <v>1046</v>
      </c>
      <c r="B1048" s="34" t="n"/>
      <c r="C1048" s="34" t="n"/>
      <c r="D1048" s="34" t="n"/>
      <c r="E1048" s="34" t="n"/>
      <c r="F1048" s="86" t="n"/>
      <c r="G1048" s="86" t="n"/>
      <c r="H1048" s="111" t="n"/>
      <c r="I1048" s="87" t="n"/>
      <c r="J1048" s="87" t="n"/>
      <c r="K1048" s="111" t="n"/>
      <c r="L1048" s="86" t="n"/>
      <c r="M1048" s="101" t="n"/>
      <c r="N1048" s="89" t="n"/>
      <c r="O1048" s="144" t="n"/>
      <c r="P1048" s="86" t="n"/>
      <c r="Q1048" s="89" t="n"/>
      <c r="R1048" s="89" t="n"/>
      <c r="S1048" s="89" t="n"/>
      <c r="T1048" s="55" t="n"/>
      <c r="Y1048" s="111" t="n"/>
      <c r="Z1048" s="111" t="n"/>
      <c r="AA1048" s="111" t="n"/>
      <c r="AK1048" s="55" t="n"/>
      <c r="AL1048" s="89" t="n"/>
    </row>
    <row r="1049">
      <c r="A1049" s="34" t="n">
        <v>1047</v>
      </c>
      <c r="B1049" s="34" t="n"/>
      <c r="C1049" s="34" t="n"/>
      <c r="D1049" s="34" t="n"/>
      <c r="E1049" s="34" t="n"/>
      <c r="F1049" s="86" t="n"/>
      <c r="G1049" s="86" t="n"/>
      <c r="H1049" s="111" t="n"/>
      <c r="I1049" s="87" t="n"/>
      <c r="J1049" s="87" t="n"/>
      <c r="K1049" s="111" t="n"/>
      <c r="L1049" s="86" t="n"/>
      <c r="M1049" s="101" t="n"/>
      <c r="N1049" s="89" t="n"/>
      <c r="O1049" s="144" t="n"/>
      <c r="P1049" s="86" t="n"/>
      <c r="Q1049" s="89" t="n"/>
      <c r="R1049" s="89" t="n"/>
      <c r="S1049" s="89" t="n"/>
      <c r="T1049" s="55" t="n"/>
      <c r="Y1049" s="111" t="n"/>
      <c r="Z1049" s="111" t="n"/>
      <c r="AA1049" s="111" t="n"/>
      <c r="AK1049" s="55" t="n"/>
      <c r="AL1049" s="89" t="n"/>
    </row>
    <row r="1050">
      <c r="A1050" s="34" t="n">
        <v>1048</v>
      </c>
      <c r="B1050" s="34" t="n"/>
      <c r="C1050" s="34" t="n"/>
      <c r="D1050" s="34" t="n"/>
      <c r="E1050" s="34" t="n"/>
      <c r="F1050" s="86" t="n"/>
      <c r="G1050" s="86" t="n"/>
      <c r="H1050" s="111" t="n"/>
      <c r="I1050" s="87" t="n"/>
      <c r="J1050" s="87" t="n"/>
      <c r="K1050" s="111" t="n"/>
      <c r="L1050" s="86" t="n"/>
      <c r="M1050" s="101" t="n"/>
      <c r="N1050" s="89" t="n"/>
      <c r="O1050" s="144" t="n"/>
      <c r="P1050" s="86" t="n"/>
      <c r="Q1050" s="89" t="n"/>
      <c r="R1050" s="89" t="n"/>
      <c r="S1050" s="89" t="n"/>
      <c r="T1050" s="55" t="n"/>
      <c r="Y1050" s="111" t="n"/>
      <c r="Z1050" s="111" t="n"/>
      <c r="AA1050" s="111" t="n"/>
      <c r="AK1050" s="55" t="n"/>
      <c r="AL1050" s="89" t="n"/>
    </row>
    <row r="1051">
      <c r="A1051" s="34" t="n">
        <v>1049</v>
      </c>
      <c r="B1051" s="34" t="n"/>
      <c r="C1051" s="34" t="n"/>
      <c r="D1051" s="34" t="n"/>
      <c r="E1051" s="34" t="n"/>
      <c r="F1051" s="86" t="n"/>
      <c r="G1051" s="86" t="n"/>
      <c r="H1051" s="111" t="n"/>
      <c r="I1051" s="87" t="n"/>
      <c r="J1051" s="87" t="n"/>
      <c r="K1051" s="111" t="n"/>
      <c r="L1051" s="86" t="n"/>
      <c r="M1051" s="101" t="n"/>
      <c r="N1051" s="89" t="n"/>
      <c r="O1051" s="144" t="n"/>
      <c r="P1051" s="86" t="n"/>
      <c r="Q1051" s="89" t="n"/>
      <c r="R1051" s="89" t="n"/>
      <c r="S1051" s="89" t="n"/>
      <c r="T1051" s="55" t="n"/>
      <c r="Y1051" s="111" t="n"/>
      <c r="Z1051" s="111" t="n"/>
      <c r="AA1051" s="111" t="n"/>
      <c r="AK1051" s="55" t="n"/>
      <c r="AL1051" s="89" t="n"/>
    </row>
    <row r="1052">
      <c r="A1052" s="34" t="n">
        <v>1050</v>
      </c>
      <c r="B1052" s="34" t="n"/>
      <c r="C1052" s="34" t="n"/>
      <c r="D1052" s="34" t="n"/>
      <c r="E1052" s="34" t="n"/>
      <c r="F1052" s="86" t="n"/>
      <c r="G1052" s="86" t="n"/>
      <c r="H1052" s="111" t="n"/>
      <c r="I1052" s="87" t="n"/>
      <c r="J1052" s="87" t="n"/>
      <c r="K1052" s="111" t="n"/>
      <c r="L1052" s="86" t="n"/>
      <c r="M1052" s="101" t="n"/>
      <c r="N1052" s="89" t="n"/>
      <c r="O1052" s="144" t="n"/>
      <c r="P1052" s="86" t="n"/>
      <c r="Q1052" s="89" t="n"/>
      <c r="R1052" s="89" t="n"/>
      <c r="S1052" s="89" t="n"/>
      <c r="T1052" s="55" t="n"/>
      <c r="Y1052" s="111" t="n"/>
      <c r="Z1052" s="111" t="n"/>
      <c r="AA1052" s="111" t="n"/>
      <c r="AK1052" s="55" t="n"/>
      <c r="AL1052" s="89" t="n"/>
    </row>
    <row r="1053">
      <c r="A1053" s="34" t="n">
        <v>1051</v>
      </c>
      <c r="B1053" s="34" t="n"/>
      <c r="C1053" s="34" t="n"/>
      <c r="D1053" s="34" t="n"/>
      <c r="E1053" s="34" t="n"/>
      <c r="F1053" s="86" t="n"/>
      <c r="G1053" s="86" t="n"/>
      <c r="H1053" s="111" t="n"/>
      <c r="I1053" s="87" t="n"/>
      <c r="J1053" s="87" t="n"/>
      <c r="K1053" s="111" t="n"/>
      <c r="L1053" s="86" t="n"/>
      <c r="M1053" s="101" t="n"/>
      <c r="N1053" s="89" t="n"/>
      <c r="O1053" s="144" t="n"/>
      <c r="P1053" s="86" t="n"/>
      <c r="Q1053" s="89" t="n"/>
      <c r="R1053" s="89" t="n"/>
      <c r="S1053" s="89" t="n"/>
      <c r="T1053" s="55" t="n"/>
      <c r="Y1053" s="111" t="n"/>
      <c r="Z1053" s="111" t="n"/>
      <c r="AA1053" s="111" t="n"/>
      <c r="AK1053" s="55" t="n"/>
      <c r="AL1053" s="89" t="n"/>
    </row>
    <row r="1054">
      <c r="A1054" s="34" t="n">
        <v>1052</v>
      </c>
      <c r="B1054" s="34" t="n"/>
      <c r="C1054" s="34" t="n"/>
      <c r="D1054" s="34" t="n"/>
      <c r="E1054" s="34" t="n"/>
      <c r="F1054" s="86" t="n"/>
      <c r="G1054" s="86" t="n"/>
      <c r="H1054" s="111" t="n"/>
      <c r="I1054" s="87" t="n"/>
      <c r="J1054" s="87" t="n"/>
      <c r="K1054" s="111" t="n"/>
      <c r="L1054" s="86" t="n"/>
      <c r="M1054" s="101" t="n"/>
      <c r="N1054" s="89" t="n"/>
      <c r="O1054" s="144" t="n"/>
      <c r="P1054" s="86" t="n"/>
      <c r="Q1054" s="89" t="n"/>
      <c r="R1054" s="89" t="n"/>
      <c r="S1054" s="89" t="n"/>
      <c r="T1054" s="55" t="n"/>
      <c r="Y1054" s="111" t="n"/>
      <c r="Z1054" s="111" t="n"/>
      <c r="AA1054" s="111" t="n"/>
      <c r="AK1054" s="55" t="n"/>
      <c r="AL1054" s="89" t="n"/>
    </row>
    <row r="1055">
      <c r="A1055" s="34" t="n">
        <v>1053</v>
      </c>
      <c r="B1055" s="34" t="n"/>
      <c r="C1055" s="34" t="n"/>
      <c r="D1055" s="34" t="n"/>
      <c r="E1055" s="34" t="n"/>
      <c r="F1055" s="86" t="n"/>
      <c r="G1055" s="86" t="n"/>
      <c r="H1055" s="111" t="n"/>
      <c r="I1055" s="87" t="n"/>
      <c r="J1055" s="87" t="n"/>
      <c r="K1055" s="111" t="n"/>
      <c r="L1055" s="86" t="n"/>
      <c r="M1055" s="101" t="n"/>
      <c r="N1055" s="89" t="n"/>
      <c r="O1055" s="144" t="n"/>
      <c r="P1055" s="86" t="n"/>
      <c r="Q1055" s="89" t="n"/>
      <c r="R1055" s="89" t="n"/>
      <c r="S1055" s="89" t="n"/>
      <c r="T1055" s="55" t="n"/>
      <c r="Y1055" s="111" t="n"/>
      <c r="Z1055" s="111" t="n"/>
      <c r="AA1055" s="111" t="n"/>
      <c r="AK1055" s="55" t="n"/>
      <c r="AL1055" s="89" t="n"/>
    </row>
    <row r="1056">
      <c r="A1056" s="34" t="n">
        <v>1054</v>
      </c>
      <c r="B1056" s="34" t="n"/>
      <c r="C1056" s="34" t="n"/>
      <c r="D1056" s="34" t="n"/>
      <c r="E1056" s="34" t="n"/>
      <c r="F1056" s="86" t="n"/>
      <c r="G1056" s="86" t="n"/>
      <c r="H1056" s="111" t="n"/>
      <c r="I1056" s="87" t="n"/>
      <c r="J1056" s="87" t="n"/>
      <c r="K1056" s="111" t="n"/>
      <c r="L1056" s="86" t="n"/>
      <c r="M1056" s="101" t="n"/>
      <c r="N1056" s="89" t="n"/>
      <c r="O1056" s="144" t="n"/>
      <c r="P1056" s="86" t="n"/>
      <c r="Q1056" s="89" t="n"/>
      <c r="R1056" s="89" t="n"/>
      <c r="S1056" s="89" t="n"/>
      <c r="T1056" s="55" t="n"/>
      <c r="Y1056" s="111" t="n"/>
      <c r="Z1056" s="111" t="n"/>
      <c r="AA1056" s="111" t="n"/>
      <c r="AK1056" s="55" t="n"/>
      <c r="AL1056" s="89" t="n"/>
    </row>
    <row r="1057">
      <c r="A1057" s="34" t="n">
        <v>1055</v>
      </c>
      <c r="B1057" s="34" t="n"/>
      <c r="C1057" s="34" t="n"/>
      <c r="D1057" s="34" t="n"/>
      <c r="E1057" s="34" t="n"/>
      <c r="F1057" s="86" t="n"/>
      <c r="G1057" s="86" t="n"/>
      <c r="H1057" s="111" t="n"/>
      <c r="I1057" s="87" t="n"/>
      <c r="J1057" s="87" t="n"/>
      <c r="K1057" s="111" t="n"/>
      <c r="L1057" s="86" t="n"/>
      <c r="M1057" s="101" t="n"/>
      <c r="N1057" s="89" t="n"/>
      <c r="O1057" s="144" t="n"/>
      <c r="P1057" s="86" t="n"/>
      <c r="Q1057" s="89" t="n"/>
      <c r="R1057" s="89" t="n"/>
      <c r="S1057" s="89" t="n"/>
      <c r="T1057" s="55" t="n"/>
      <c r="Y1057" s="111" t="n"/>
      <c r="Z1057" s="111" t="n"/>
      <c r="AA1057" s="111" t="n"/>
      <c r="AK1057" s="55" t="n"/>
      <c r="AL1057" s="89" t="n"/>
    </row>
    <row r="1058">
      <c r="A1058" s="34" t="n">
        <v>1056</v>
      </c>
      <c r="B1058" s="34" t="n"/>
      <c r="C1058" s="34" t="n"/>
      <c r="D1058" s="34" t="n"/>
      <c r="E1058" s="34" t="n"/>
      <c r="F1058" s="86" t="n"/>
      <c r="G1058" s="86" t="n"/>
      <c r="H1058" s="111" t="n"/>
      <c r="I1058" s="87" t="n"/>
      <c r="J1058" s="87" t="n"/>
      <c r="K1058" s="111" t="n"/>
      <c r="L1058" s="86" t="n"/>
      <c r="M1058" s="101" t="n"/>
      <c r="N1058" s="89" t="n"/>
      <c r="O1058" s="144" t="n"/>
      <c r="P1058" s="86" t="n"/>
      <c r="Q1058" s="89" t="n"/>
      <c r="R1058" s="89" t="n"/>
      <c r="S1058" s="89" t="n"/>
      <c r="T1058" s="55" t="n"/>
      <c r="Y1058" s="111" t="n"/>
      <c r="Z1058" s="111" t="n"/>
      <c r="AA1058" s="111" t="n"/>
      <c r="AK1058" s="55" t="n"/>
      <c r="AL1058" s="89" t="n"/>
    </row>
    <row r="1059">
      <c r="A1059" s="34" t="n">
        <v>1057</v>
      </c>
      <c r="B1059" s="34" t="n"/>
      <c r="C1059" s="34" t="n"/>
      <c r="D1059" s="34" t="n"/>
      <c r="E1059" s="34" t="n"/>
      <c r="F1059" s="86" t="n"/>
      <c r="G1059" s="86" t="n"/>
      <c r="H1059" s="111" t="n"/>
      <c r="I1059" s="87" t="n"/>
      <c r="J1059" s="87" t="n"/>
      <c r="K1059" s="111" t="n"/>
      <c r="L1059" s="86" t="n"/>
      <c r="M1059" s="101" t="n"/>
      <c r="N1059" s="89" t="n"/>
      <c r="O1059" s="144" t="n"/>
      <c r="P1059" s="86" t="n"/>
      <c r="Q1059" s="89" t="n"/>
      <c r="R1059" s="89" t="n"/>
      <c r="S1059" s="89" t="n"/>
      <c r="T1059" s="55" t="n"/>
      <c r="Y1059" s="111" t="n"/>
      <c r="Z1059" s="111" t="n"/>
      <c r="AA1059" s="111" t="n"/>
      <c r="AK1059" s="55" t="n"/>
      <c r="AL1059" s="89" t="n"/>
    </row>
    <row r="1060">
      <c r="A1060" s="34" t="n">
        <v>1058</v>
      </c>
      <c r="B1060" s="34" t="n"/>
      <c r="C1060" s="34" t="n"/>
      <c r="D1060" s="34" t="n"/>
      <c r="E1060" s="34" t="n"/>
      <c r="F1060" s="86" t="n"/>
      <c r="G1060" s="86" t="n"/>
      <c r="H1060" s="111" t="n"/>
      <c r="I1060" s="87" t="n"/>
      <c r="J1060" s="87" t="n"/>
      <c r="K1060" s="111" t="n"/>
      <c r="L1060" s="86" t="n"/>
      <c r="M1060" s="101" t="n"/>
      <c r="N1060" s="89" t="n"/>
      <c r="O1060" s="144" t="n"/>
      <c r="P1060" s="86" t="n"/>
      <c r="Q1060" s="89" t="n"/>
      <c r="R1060" s="89" t="n"/>
      <c r="S1060" s="89" t="n"/>
      <c r="T1060" s="55" t="n"/>
      <c r="Y1060" s="111" t="n"/>
      <c r="Z1060" s="111" t="n"/>
      <c r="AA1060" s="111" t="n"/>
      <c r="AK1060" s="55" t="n"/>
      <c r="AL1060" s="89" t="n"/>
    </row>
    <row r="1061">
      <c r="A1061" s="34" t="n">
        <v>1059</v>
      </c>
      <c r="B1061" s="34" t="n"/>
      <c r="C1061" s="34" t="n"/>
      <c r="D1061" s="34" t="n"/>
      <c r="E1061" s="34" t="n"/>
      <c r="F1061" s="86" t="n"/>
      <c r="G1061" s="86" t="n"/>
      <c r="H1061" s="111" t="n"/>
      <c r="I1061" s="87" t="n"/>
      <c r="J1061" s="87" t="n"/>
      <c r="K1061" s="111" t="n"/>
      <c r="L1061" s="86" t="n"/>
      <c r="M1061" s="101" t="n"/>
      <c r="N1061" s="89" t="n"/>
      <c r="O1061" s="144" t="n"/>
      <c r="P1061" s="86" t="n"/>
      <c r="Q1061" s="89" t="n"/>
      <c r="R1061" s="89" t="n"/>
      <c r="S1061" s="89" t="n"/>
      <c r="T1061" s="55" t="n"/>
      <c r="Y1061" s="111" t="n"/>
      <c r="Z1061" s="111" t="n"/>
      <c r="AA1061" s="111" t="n"/>
      <c r="AK1061" s="55" t="n"/>
      <c r="AL1061" s="89" t="n"/>
    </row>
    <row r="1062">
      <c r="A1062" s="34" t="n">
        <v>1060</v>
      </c>
      <c r="B1062" s="34" t="n"/>
      <c r="C1062" s="34" t="n"/>
      <c r="D1062" s="34" t="n"/>
      <c r="E1062" s="34" t="n"/>
      <c r="F1062" s="86" t="n"/>
      <c r="G1062" s="86" t="n"/>
      <c r="H1062" s="111" t="n"/>
      <c r="I1062" s="87" t="n"/>
      <c r="J1062" s="87" t="n"/>
      <c r="K1062" s="111" t="n"/>
      <c r="L1062" s="86" t="n"/>
      <c r="M1062" s="101" t="n"/>
      <c r="N1062" s="89" t="n"/>
      <c r="O1062" s="144" t="n"/>
      <c r="P1062" s="86" t="n"/>
      <c r="Q1062" s="89" t="n"/>
      <c r="R1062" s="89" t="n"/>
      <c r="S1062" s="89" t="n"/>
      <c r="T1062" s="55" t="n"/>
      <c r="Y1062" s="111" t="n"/>
      <c r="Z1062" s="111" t="n"/>
      <c r="AA1062" s="111" t="n"/>
      <c r="AK1062" s="55" t="n"/>
      <c r="AL1062" s="89" t="n"/>
    </row>
    <row r="1063">
      <c r="A1063" s="34" t="n">
        <v>1061</v>
      </c>
      <c r="B1063" s="34" t="n"/>
      <c r="C1063" s="34" t="n"/>
      <c r="D1063" s="34" t="n"/>
      <c r="E1063" s="34" t="n"/>
      <c r="F1063" s="86" t="n"/>
      <c r="G1063" s="86" t="n"/>
      <c r="H1063" s="111" t="n"/>
      <c r="I1063" s="87" t="n"/>
      <c r="J1063" s="87" t="n"/>
      <c r="K1063" s="111" t="n"/>
      <c r="L1063" s="86" t="n"/>
      <c r="M1063" s="101" t="n"/>
      <c r="N1063" s="89" t="n"/>
      <c r="O1063" s="144" t="n"/>
      <c r="P1063" s="86" t="n"/>
      <c r="Q1063" s="89" t="n"/>
      <c r="R1063" s="89" t="n"/>
      <c r="S1063" s="89" t="n"/>
      <c r="T1063" s="55" t="n"/>
      <c r="Y1063" s="111" t="n"/>
      <c r="Z1063" s="111" t="n"/>
      <c r="AA1063" s="111" t="n"/>
      <c r="AK1063" s="55" t="n"/>
      <c r="AL1063" s="89" t="n"/>
    </row>
    <row r="1064">
      <c r="A1064" s="34" t="n">
        <v>1062</v>
      </c>
      <c r="B1064" s="34" t="n"/>
      <c r="C1064" s="34" t="n"/>
      <c r="D1064" s="34" t="n"/>
      <c r="E1064" s="34" t="n"/>
      <c r="F1064" s="86" t="n"/>
      <c r="G1064" s="86" t="n"/>
      <c r="H1064" s="111" t="n"/>
      <c r="I1064" s="87" t="n"/>
      <c r="J1064" s="87" t="n"/>
      <c r="K1064" s="111" t="n"/>
      <c r="L1064" s="86" t="n"/>
      <c r="M1064" s="101" t="n"/>
      <c r="N1064" s="89" t="n"/>
      <c r="O1064" s="144" t="n"/>
      <c r="P1064" s="86" t="n"/>
      <c r="Q1064" s="89" t="n"/>
      <c r="R1064" s="89" t="n"/>
      <c r="S1064" s="89" t="n"/>
      <c r="T1064" s="55" t="n"/>
      <c r="Y1064" s="111" t="n"/>
      <c r="Z1064" s="111" t="n"/>
      <c r="AA1064" s="111" t="n"/>
      <c r="AK1064" s="55" t="n"/>
      <c r="AL1064" s="89" t="n"/>
    </row>
    <row r="1065">
      <c r="A1065" s="34" t="n">
        <v>1063</v>
      </c>
      <c r="B1065" s="34" t="n"/>
      <c r="C1065" s="34" t="n"/>
      <c r="D1065" s="34" t="n"/>
      <c r="E1065" s="34" t="n"/>
      <c r="F1065" s="86" t="n"/>
      <c r="G1065" s="86" t="n"/>
      <c r="H1065" s="111" t="n"/>
      <c r="I1065" s="87" t="n"/>
      <c r="J1065" s="87" t="n"/>
      <c r="K1065" s="111" t="n"/>
      <c r="L1065" s="86" t="n"/>
      <c r="M1065" s="101" t="n"/>
      <c r="N1065" s="89" t="n"/>
      <c r="O1065" s="144" t="n"/>
      <c r="P1065" s="86" t="n"/>
      <c r="Q1065" s="89" t="n"/>
      <c r="R1065" s="89" t="n"/>
      <c r="S1065" s="89" t="n"/>
      <c r="T1065" s="55" t="n"/>
      <c r="Y1065" s="111" t="n"/>
      <c r="Z1065" s="111" t="n"/>
      <c r="AA1065" s="111" t="n"/>
      <c r="AK1065" s="55" t="n"/>
      <c r="AL1065" s="89" t="n"/>
    </row>
    <row r="1066">
      <c r="A1066" s="34" t="n">
        <v>1064</v>
      </c>
      <c r="B1066" s="34" t="n"/>
      <c r="C1066" s="34" t="n"/>
      <c r="D1066" s="34" t="n"/>
      <c r="E1066" s="34" t="n"/>
      <c r="F1066" s="86" t="n"/>
      <c r="G1066" s="86" t="n"/>
      <c r="H1066" s="111" t="n"/>
      <c r="I1066" s="87" t="n"/>
      <c r="J1066" s="87" t="n"/>
      <c r="K1066" s="111" t="n"/>
      <c r="L1066" s="86" t="n"/>
      <c r="M1066" s="101" t="n"/>
      <c r="N1066" s="89" t="n"/>
      <c r="O1066" s="144" t="n"/>
      <c r="P1066" s="86" t="n"/>
      <c r="Q1066" s="89" t="n"/>
      <c r="R1066" s="89" t="n"/>
      <c r="S1066" s="89" t="n"/>
      <c r="T1066" s="55" t="n"/>
      <c r="Y1066" s="111" t="n"/>
      <c r="Z1066" s="111" t="n"/>
      <c r="AA1066" s="111" t="n"/>
      <c r="AK1066" s="55" t="n"/>
      <c r="AL1066" s="89" t="n"/>
    </row>
    <row r="1067">
      <c r="A1067" s="34" t="n">
        <v>1065</v>
      </c>
      <c r="B1067" s="34" t="n"/>
      <c r="C1067" s="34" t="n"/>
      <c r="D1067" s="34" t="n"/>
      <c r="E1067" s="34" t="n"/>
      <c r="F1067" s="86" t="n"/>
      <c r="G1067" s="86" t="n"/>
      <c r="H1067" s="111" t="n"/>
      <c r="I1067" s="87" t="n"/>
      <c r="J1067" s="87" t="n"/>
      <c r="K1067" s="111" t="n"/>
      <c r="L1067" s="86" t="n"/>
      <c r="M1067" s="101" t="n"/>
      <c r="N1067" s="89" t="n"/>
      <c r="O1067" s="144" t="n"/>
      <c r="P1067" s="86" t="n"/>
      <c r="Q1067" s="89" t="n"/>
      <c r="R1067" s="89" t="n"/>
      <c r="S1067" s="89" t="n"/>
      <c r="T1067" s="55" t="n"/>
      <c r="Y1067" s="111" t="n"/>
      <c r="Z1067" s="111" t="n"/>
      <c r="AA1067" s="111" t="n"/>
      <c r="AK1067" s="55" t="n"/>
      <c r="AL1067" s="89" t="n"/>
    </row>
    <row r="1068">
      <c r="A1068" s="34" t="n">
        <v>1066</v>
      </c>
      <c r="B1068" s="34" t="n"/>
      <c r="C1068" s="34" t="n"/>
      <c r="D1068" s="34" t="n"/>
      <c r="E1068" s="34" t="n"/>
      <c r="F1068" s="86" t="n"/>
      <c r="G1068" s="86" t="n"/>
      <c r="H1068" s="111" t="n"/>
      <c r="I1068" s="87" t="n"/>
      <c r="J1068" s="87" t="n"/>
      <c r="K1068" s="111" t="n"/>
      <c r="L1068" s="86" t="n"/>
      <c r="M1068" s="101" t="n"/>
      <c r="N1068" s="89" t="n"/>
      <c r="O1068" s="144" t="n"/>
      <c r="P1068" s="86" t="n"/>
      <c r="Q1068" s="89" t="n"/>
      <c r="R1068" s="89" t="n"/>
      <c r="S1068" s="89" t="n"/>
      <c r="T1068" s="55" t="n"/>
      <c r="Y1068" s="111" t="n"/>
      <c r="Z1068" s="111" t="n"/>
      <c r="AA1068" s="111" t="n"/>
      <c r="AK1068" s="55" t="n"/>
      <c r="AL1068" s="89" t="n"/>
    </row>
    <row r="1069">
      <c r="A1069" s="34" t="n">
        <v>1067</v>
      </c>
      <c r="B1069" s="34" t="n"/>
      <c r="C1069" s="34" t="n"/>
      <c r="D1069" s="34" t="n"/>
      <c r="E1069" s="34" t="n"/>
      <c r="F1069" s="86" t="n"/>
      <c r="G1069" s="86" t="n"/>
      <c r="H1069" s="111" t="n"/>
      <c r="I1069" s="87" t="n"/>
      <c r="J1069" s="87" t="n"/>
      <c r="K1069" s="111" t="n"/>
      <c r="L1069" s="86" t="n"/>
      <c r="M1069" s="101" t="n"/>
      <c r="N1069" s="89" t="n"/>
      <c r="O1069" s="144" t="n"/>
      <c r="P1069" s="86" t="n"/>
      <c r="Q1069" s="89" t="n"/>
      <c r="R1069" s="89" t="n"/>
      <c r="S1069" s="89" t="n"/>
      <c r="T1069" s="55" t="n"/>
      <c r="Y1069" s="111" t="n"/>
      <c r="Z1069" s="111" t="n"/>
      <c r="AA1069" s="111" t="n"/>
      <c r="AK1069" s="55" t="n"/>
      <c r="AL1069" s="89" t="n"/>
    </row>
    <row r="1070">
      <c r="A1070" s="34" t="n">
        <v>1068</v>
      </c>
      <c r="B1070" s="34" t="n"/>
      <c r="C1070" s="34" t="n"/>
      <c r="D1070" s="34" t="n"/>
      <c r="E1070" s="34" t="n"/>
      <c r="F1070" s="86" t="n"/>
      <c r="G1070" s="86" t="n"/>
      <c r="H1070" s="111" t="n"/>
      <c r="I1070" s="87" t="n"/>
      <c r="J1070" s="87" t="n"/>
      <c r="K1070" s="111" t="n"/>
      <c r="L1070" s="86" t="n"/>
      <c r="M1070" s="101" t="n"/>
      <c r="N1070" s="89" t="n"/>
      <c r="O1070" s="144" t="n"/>
      <c r="P1070" s="86" t="n"/>
      <c r="Q1070" s="89" t="n"/>
      <c r="R1070" s="89" t="n"/>
      <c r="S1070" s="89" t="n"/>
      <c r="T1070" s="55" t="n"/>
      <c r="Y1070" s="111" t="n"/>
      <c r="Z1070" s="111" t="n"/>
      <c r="AA1070" s="111" t="n"/>
      <c r="AK1070" s="55" t="n"/>
      <c r="AL1070" s="89" t="n"/>
    </row>
    <row r="1071">
      <c r="A1071" s="34" t="n">
        <v>1069</v>
      </c>
      <c r="B1071" s="34" t="n"/>
      <c r="C1071" s="34" t="n"/>
      <c r="D1071" s="34" t="n"/>
      <c r="E1071" s="34" t="n"/>
      <c r="F1071" s="86" t="n"/>
      <c r="G1071" s="86" t="n"/>
      <c r="H1071" s="111" t="n"/>
      <c r="I1071" s="87" t="n"/>
      <c r="J1071" s="87" t="n"/>
      <c r="K1071" s="111" t="n"/>
      <c r="L1071" s="86" t="n"/>
      <c r="M1071" s="101" t="n"/>
      <c r="N1071" s="89" t="n"/>
      <c r="O1071" s="144" t="n"/>
      <c r="P1071" s="86" t="n"/>
      <c r="Q1071" s="89" t="n"/>
      <c r="R1071" s="89" t="n"/>
      <c r="S1071" s="89" t="n"/>
      <c r="T1071" s="55" t="n"/>
      <c r="Y1071" s="111" t="n"/>
      <c r="Z1071" s="111" t="n"/>
      <c r="AA1071" s="111" t="n"/>
      <c r="AK1071" s="55" t="n"/>
      <c r="AL1071" s="89" t="n"/>
    </row>
    <row r="1072">
      <c r="A1072" s="34" t="n">
        <v>1070</v>
      </c>
      <c r="B1072" s="34" t="n"/>
      <c r="C1072" s="34" t="n"/>
      <c r="D1072" s="34" t="n"/>
      <c r="E1072" s="34" t="n"/>
      <c r="F1072" s="86" t="n"/>
      <c r="G1072" s="86" t="n"/>
      <c r="H1072" s="111" t="n"/>
      <c r="I1072" s="87" t="n"/>
      <c r="J1072" s="87" t="n"/>
      <c r="K1072" s="111" t="n"/>
      <c r="L1072" s="86" t="n"/>
      <c r="M1072" s="101" t="n"/>
      <c r="N1072" s="89" t="n"/>
      <c r="O1072" s="144" t="n"/>
      <c r="P1072" s="86" t="n"/>
      <c r="Q1072" s="89" t="n"/>
      <c r="R1072" s="89" t="n"/>
      <c r="S1072" s="89" t="n"/>
      <c r="T1072" s="55" t="n"/>
      <c r="Y1072" s="111" t="n"/>
      <c r="Z1072" s="111" t="n"/>
      <c r="AA1072" s="111" t="n"/>
      <c r="AK1072" s="55" t="n"/>
      <c r="AL1072" s="89" t="n"/>
    </row>
    <row r="1073">
      <c r="A1073" s="34" t="n">
        <v>1071</v>
      </c>
      <c r="B1073" s="34" t="n"/>
      <c r="C1073" s="34" t="n"/>
      <c r="D1073" s="34" t="n"/>
      <c r="E1073" s="34" t="n"/>
      <c r="F1073" s="86" t="n"/>
      <c r="G1073" s="86" t="n"/>
      <c r="H1073" s="111" t="n"/>
      <c r="I1073" s="87" t="n"/>
      <c r="J1073" s="87" t="n"/>
      <c r="K1073" s="111" t="n"/>
      <c r="L1073" s="86" t="n"/>
      <c r="M1073" s="101" t="n"/>
      <c r="N1073" s="89" t="n"/>
      <c r="O1073" s="144" t="n"/>
      <c r="P1073" s="86" t="n"/>
      <c r="Q1073" s="89" t="n"/>
      <c r="R1073" s="89" t="n"/>
      <c r="S1073" s="89" t="n"/>
      <c r="T1073" s="55" t="n"/>
      <c r="Y1073" s="111" t="n"/>
      <c r="Z1073" s="111" t="n"/>
      <c r="AA1073" s="111" t="n"/>
      <c r="AK1073" s="55" t="n"/>
      <c r="AL1073" s="89" t="n"/>
    </row>
    <row r="1074">
      <c r="A1074" s="34" t="n">
        <v>1072</v>
      </c>
      <c r="B1074" s="34" t="n"/>
      <c r="C1074" s="34" t="n"/>
      <c r="D1074" s="34" t="n"/>
      <c r="E1074" s="34" t="n"/>
      <c r="F1074" s="86" t="n"/>
      <c r="G1074" s="86" t="n"/>
      <c r="H1074" s="111" t="n"/>
      <c r="I1074" s="87" t="n"/>
      <c r="J1074" s="87" t="n"/>
      <c r="K1074" s="111" t="n"/>
      <c r="L1074" s="86" t="n"/>
      <c r="M1074" s="101" t="n"/>
      <c r="N1074" s="89" t="n"/>
      <c r="O1074" s="144" t="n"/>
      <c r="P1074" s="86" t="n"/>
      <c r="Q1074" s="89" t="n"/>
      <c r="R1074" s="89" t="n"/>
      <c r="S1074" s="89" t="n"/>
      <c r="T1074" s="55" t="n"/>
      <c r="Y1074" s="111" t="n"/>
      <c r="Z1074" s="111" t="n"/>
      <c r="AA1074" s="111" t="n"/>
      <c r="AK1074" s="55" t="n"/>
      <c r="AL1074" s="89" t="n"/>
    </row>
    <row r="1075">
      <c r="A1075" s="34" t="n">
        <v>1073</v>
      </c>
      <c r="B1075" s="34" t="n"/>
      <c r="C1075" s="34" t="n"/>
      <c r="D1075" s="34" t="n"/>
      <c r="E1075" s="34" t="n"/>
      <c r="F1075" s="86" t="n"/>
      <c r="G1075" s="86" t="n"/>
      <c r="H1075" s="111" t="n"/>
      <c r="I1075" s="87" t="n"/>
      <c r="J1075" s="87" t="n"/>
      <c r="K1075" s="111" t="n"/>
      <c r="L1075" s="86" t="n"/>
      <c r="M1075" s="101" t="n"/>
      <c r="N1075" s="89" t="n"/>
      <c r="O1075" s="144" t="n"/>
      <c r="P1075" s="86" t="n"/>
      <c r="Q1075" s="89" t="n"/>
      <c r="R1075" s="89" t="n"/>
      <c r="S1075" s="89" t="n"/>
      <c r="T1075" s="55" t="n"/>
      <c r="Y1075" s="111" t="n"/>
      <c r="Z1075" s="111" t="n"/>
      <c r="AA1075" s="111" t="n"/>
      <c r="AK1075" s="55" t="n"/>
      <c r="AL1075" s="89" t="n"/>
    </row>
    <row r="1076">
      <c r="A1076" s="34" t="n">
        <v>1074</v>
      </c>
      <c r="B1076" s="34" t="n"/>
      <c r="C1076" s="34" t="n"/>
      <c r="D1076" s="34" t="n"/>
      <c r="E1076" s="34" t="n"/>
      <c r="F1076" s="86" t="n"/>
      <c r="G1076" s="86" t="n"/>
      <c r="H1076" s="111" t="n"/>
      <c r="I1076" s="87" t="n"/>
      <c r="J1076" s="87" t="n"/>
      <c r="K1076" s="111" t="n"/>
      <c r="L1076" s="86" t="n"/>
      <c r="M1076" s="101" t="n"/>
      <c r="N1076" s="89" t="n"/>
      <c r="O1076" s="144" t="n"/>
      <c r="P1076" s="86" t="n"/>
      <c r="Q1076" s="89" t="n"/>
      <c r="R1076" s="89" t="n"/>
      <c r="S1076" s="89" t="n"/>
      <c r="T1076" s="55" t="n"/>
      <c r="Y1076" s="111" t="n"/>
      <c r="Z1076" s="111" t="n"/>
      <c r="AA1076" s="111" t="n"/>
      <c r="AK1076" s="55" t="n"/>
      <c r="AL1076" s="89" t="n"/>
    </row>
    <row r="1077">
      <c r="A1077" s="34" t="n">
        <v>1075</v>
      </c>
      <c r="B1077" s="34" t="n"/>
      <c r="C1077" s="34" t="n"/>
      <c r="D1077" s="34" t="n"/>
      <c r="E1077" s="34" t="n"/>
      <c r="F1077" s="86" t="n"/>
      <c r="G1077" s="86" t="n"/>
      <c r="H1077" s="111" t="n"/>
      <c r="I1077" s="87" t="n"/>
      <c r="J1077" s="87" t="n"/>
      <c r="K1077" s="111" t="n"/>
      <c r="L1077" s="86" t="n"/>
      <c r="M1077" s="101" t="n"/>
      <c r="N1077" s="89" t="n"/>
      <c r="O1077" s="144" t="n"/>
      <c r="P1077" s="86" t="n"/>
      <c r="Q1077" s="89" t="n"/>
      <c r="R1077" s="89" t="n"/>
      <c r="S1077" s="89" t="n"/>
      <c r="T1077" s="55" t="n"/>
      <c r="Y1077" s="111" t="n"/>
      <c r="Z1077" s="111" t="n"/>
      <c r="AA1077" s="111" t="n"/>
      <c r="AK1077" s="55" t="n"/>
      <c r="AL1077" s="89" t="n"/>
    </row>
    <row r="1078">
      <c r="A1078" s="34" t="n">
        <v>1076</v>
      </c>
      <c r="B1078" s="34" t="n"/>
      <c r="C1078" s="34" t="n"/>
      <c r="D1078" s="34" t="n"/>
      <c r="E1078" s="34" t="n"/>
      <c r="F1078" s="86" t="n"/>
      <c r="G1078" s="86" t="n"/>
      <c r="H1078" s="111" t="n"/>
      <c r="I1078" s="87" t="n"/>
      <c r="J1078" s="87" t="n"/>
      <c r="K1078" s="111" t="n"/>
      <c r="L1078" s="86" t="n"/>
      <c r="M1078" s="101" t="n"/>
      <c r="N1078" s="89" t="n"/>
      <c r="O1078" s="144" t="n"/>
      <c r="P1078" s="86" t="n"/>
      <c r="Q1078" s="89" t="n"/>
      <c r="R1078" s="89" t="n"/>
      <c r="S1078" s="89" t="n"/>
      <c r="T1078" s="55" t="n"/>
      <c r="Y1078" s="111" t="n"/>
      <c r="Z1078" s="111" t="n"/>
      <c r="AA1078" s="111" t="n"/>
      <c r="AK1078" s="55" t="n"/>
      <c r="AL1078" s="89" t="n"/>
    </row>
    <row r="1079">
      <c r="A1079" s="34" t="n">
        <v>1077</v>
      </c>
      <c r="B1079" s="34" t="n"/>
      <c r="C1079" s="34" t="n"/>
      <c r="D1079" s="34" t="n"/>
      <c r="E1079" s="34" t="n"/>
      <c r="F1079" s="86" t="n"/>
      <c r="G1079" s="86" t="n"/>
      <c r="H1079" s="111" t="n"/>
      <c r="I1079" s="87" t="n"/>
      <c r="J1079" s="87" t="n"/>
      <c r="K1079" s="111" t="n"/>
      <c r="L1079" s="86" t="n"/>
      <c r="M1079" s="101" t="n"/>
      <c r="N1079" s="89" t="n"/>
      <c r="O1079" s="144" t="n"/>
      <c r="P1079" s="86" t="n"/>
      <c r="Q1079" s="89" t="n"/>
      <c r="R1079" s="89" t="n"/>
      <c r="S1079" s="89" t="n"/>
      <c r="T1079" s="55" t="n"/>
      <c r="Y1079" s="111" t="n"/>
      <c r="Z1079" s="111" t="n"/>
      <c r="AA1079" s="111" t="n"/>
      <c r="AK1079" s="55" t="n"/>
      <c r="AL1079" s="89" t="n"/>
    </row>
    <row r="1080">
      <c r="A1080" s="34" t="n">
        <v>1078</v>
      </c>
      <c r="B1080" s="34" t="n"/>
      <c r="C1080" s="34" t="n"/>
      <c r="D1080" s="34" t="n"/>
      <c r="E1080" s="34" t="n"/>
      <c r="F1080" s="86" t="n"/>
      <c r="G1080" s="86" t="n"/>
      <c r="H1080" s="111" t="n"/>
      <c r="I1080" s="87" t="n"/>
      <c r="J1080" s="87" t="n"/>
      <c r="K1080" s="111" t="n"/>
      <c r="L1080" s="86" t="n"/>
      <c r="M1080" s="101" t="n"/>
      <c r="N1080" s="89" t="n"/>
      <c r="O1080" s="144" t="n"/>
      <c r="P1080" s="86" t="n"/>
      <c r="Q1080" s="89" t="n"/>
      <c r="R1080" s="89" t="n"/>
      <c r="S1080" s="89" t="n"/>
      <c r="T1080" s="55" t="n"/>
      <c r="Y1080" s="111" t="n"/>
      <c r="Z1080" s="111" t="n"/>
      <c r="AA1080" s="111" t="n"/>
      <c r="AK1080" s="55" t="n"/>
      <c r="AL1080" s="89" t="n"/>
    </row>
    <row r="1081">
      <c r="A1081" s="34" t="n">
        <v>1079</v>
      </c>
      <c r="B1081" s="34" t="n"/>
      <c r="C1081" s="34" t="n"/>
      <c r="D1081" s="34" t="n"/>
      <c r="E1081" s="34" t="n"/>
      <c r="F1081" s="86" t="n"/>
      <c r="G1081" s="86" t="n"/>
      <c r="H1081" s="111" t="n"/>
      <c r="I1081" s="87" t="n"/>
      <c r="J1081" s="87" t="n"/>
      <c r="K1081" s="111" t="n"/>
      <c r="L1081" s="86" t="n"/>
      <c r="M1081" s="101" t="n"/>
      <c r="N1081" s="89" t="n"/>
      <c r="O1081" s="144" t="n"/>
      <c r="P1081" s="86" t="n"/>
      <c r="Q1081" s="89" t="n"/>
      <c r="R1081" s="89" t="n"/>
      <c r="S1081" s="89" t="n"/>
      <c r="T1081" s="55" t="n"/>
      <c r="Y1081" s="111" t="n"/>
      <c r="Z1081" s="111" t="n"/>
      <c r="AA1081" s="111" t="n"/>
      <c r="AK1081" s="55" t="n"/>
      <c r="AL1081" s="89" t="n"/>
    </row>
    <row r="1082">
      <c r="A1082" s="34" t="n">
        <v>1080</v>
      </c>
      <c r="B1082" s="34" t="n"/>
      <c r="C1082" s="34" t="n"/>
      <c r="D1082" s="34" t="n"/>
      <c r="E1082" s="34" t="n"/>
      <c r="F1082" s="86" t="n"/>
      <c r="G1082" s="86" t="n"/>
      <c r="H1082" s="111" t="n"/>
      <c r="I1082" s="87" t="n"/>
      <c r="J1082" s="87" t="n"/>
      <c r="K1082" s="111" t="n"/>
      <c r="L1082" s="86" t="n"/>
      <c r="M1082" s="101" t="n"/>
      <c r="N1082" s="89" t="n"/>
      <c r="O1082" s="144" t="n"/>
      <c r="P1082" s="86" t="n"/>
      <c r="Q1082" s="89" t="n"/>
      <c r="R1082" s="89" t="n"/>
      <c r="S1082" s="89" t="n"/>
      <c r="T1082" s="55" t="n"/>
      <c r="Y1082" s="111" t="n"/>
      <c r="Z1082" s="111" t="n"/>
      <c r="AA1082" s="111" t="n"/>
      <c r="AK1082" s="55" t="n"/>
      <c r="AL1082" s="89" t="n"/>
    </row>
    <row r="1083">
      <c r="A1083" s="34" t="n">
        <v>1081</v>
      </c>
      <c r="B1083" s="34" t="n"/>
      <c r="C1083" s="34" t="n"/>
      <c r="D1083" s="34" t="n"/>
      <c r="E1083" s="34" t="n"/>
      <c r="F1083" s="86" t="n"/>
      <c r="G1083" s="86" t="n"/>
      <c r="H1083" s="111" t="n"/>
      <c r="I1083" s="87" t="n"/>
      <c r="J1083" s="87" t="n"/>
      <c r="K1083" s="111" t="n"/>
      <c r="L1083" s="86" t="n"/>
      <c r="M1083" s="101" t="n"/>
      <c r="N1083" s="89" t="n"/>
      <c r="O1083" s="144" t="n"/>
      <c r="P1083" s="86" t="n"/>
      <c r="Q1083" s="89" t="n"/>
      <c r="R1083" s="89" t="n"/>
      <c r="S1083" s="89" t="n"/>
      <c r="T1083" s="55" t="n"/>
      <c r="Y1083" s="111" t="n"/>
      <c r="Z1083" s="111" t="n"/>
      <c r="AA1083" s="111" t="n"/>
      <c r="AK1083" s="55" t="n"/>
      <c r="AL1083" s="89" t="n"/>
    </row>
    <row r="1084">
      <c r="A1084" s="34" t="n">
        <v>1082</v>
      </c>
      <c r="B1084" s="34" t="n"/>
      <c r="C1084" s="34" t="n"/>
      <c r="D1084" s="34" t="n"/>
      <c r="E1084" s="34" t="n"/>
      <c r="F1084" s="86" t="n"/>
      <c r="G1084" s="86" t="n"/>
      <c r="H1084" s="111" t="n"/>
      <c r="I1084" s="87" t="n"/>
      <c r="J1084" s="87" t="n"/>
      <c r="K1084" s="111" t="n"/>
      <c r="L1084" s="86" t="n"/>
      <c r="M1084" s="101" t="n"/>
      <c r="N1084" s="89" t="n"/>
      <c r="O1084" s="144" t="n"/>
      <c r="P1084" s="86" t="n"/>
      <c r="Q1084" s="89" t="n"/>
      <c r="R1084" s="89" t="n"/>
      <c r="S1084" s="89" t="n"/>
      <c r="T1084" s="55" t="n"/>
      <c r="Y1084" s="111" t="n"/>
      <c r="Z1084" s="111" t="n"/>
      <c r="AA1084" s="111" t="n"/>
      <c r="AK1084" s="55" t="n"/>
      <c r="AL1084" s="89" t="n"/>
    </row>
    <row r="1085">
      <c r="A1085" s="34" t="n">
        <v>1083</v>
      </c>
      <c r="B1085" s="34" t="n"/>
      <c r="C1085" s="34" t="n"/>
      <c r="D1085" s="34" t="n"/>
      <c r="E1085" s="34" t="n"/>
      <c r="F1085" s="86" t="n"/>
      <c r="G1085" s="86" t="n"/>
      <c r="H1085" s="111" t="n"/>
      <c r="I1085" s="87" t="n"/>
      <c r="J1085" s="87" t="n"/>
      <c r="K1085" s="111" t="n"/>
      <c r="L1085" s="86" t="n"/>
      <c r="M1085" s="101" t="n"/>
      <c r="N1085" s="89" t="n"/>
      <c r="O1085" s="144" t="n"/>
      <c r="P1085" s="86" t="n"/>
      <c r="Q1085" s="89" t="n"/>
      <c r="R1085" s="89" t="n"/>
      <c r="S1085" s="89" t="n"/>
      <c r="T1085" s="55" t="n"/>
      <c r="Y1085" s="111" t="n"/>
      <c r="Z1085" s="111" t="n"/>
      <c r="AA1085" s="111" t="n"/>
      <c r="AK1085" s="55" t="n"/>
      <c r="AL1085" s="89" t="n"/>
    </row>
    <row r="1086">
      <c r="A1086" s="34" t="n">
        <v>1084</v>
      </c>
      <c r="B1086" s="34" t="n"/>
      <c r="C1086" s="34" t="n"/>
      <c r="D1086" s="34" t="n"/>
      <c r="E1086" s="34" t="n"/>
      <c r="F1086" s="86" t="n"/>
      <c r="G1086" s="86" t="n"/>
      <c r="H1086" s="111" t="n"/>
      <c r="I1086" s="87" t="n"/>
      <c r="J1086" s="87" t="n"/>
      <c r="K1086" s="111" t="n"/>
      <c r="L1086" s="86" t="n"/>
      <c r="M1086" s="101" t="n"/>
      <c r="N1086" s="89" t="n"/>
      <c r="O1086" s="144" t="n"/>
      <c r="P1086" s="86" t="n"/>
      <c r="Q1086" s="89" t="n"/>
      <c r="R1086" s="89" t="n"/>
      <c r="S1086" s="89" t="n"/>
      <c r="T1086" s="55" t="n"/>
      <c r="Y1086" s="111" t="n"/>
      <c r="Z1086" s="111" t="n"/>
      <c r="AA1086" s="111" t="n"/>
      <c r="AK1086" s="55" t="n"/>
      <c r="AL1086" s="89" t="n"/>
    </row>
    <row r="1087">
      <c r="A1087" s="34" t="n">
        <v>1085</v>
      </c>
      <c r="B1087" s="34" t="n"/>
      <c r="C1087" s="34" t="n"/>
      <c r="D1087" s="34" t="n"/>
      <c r="E1087" s="34" t="n"/>
      <c r="F1087" s="86" t="n"/>
      <c r="G1087" s="86" t="n"/>
      <c r="H1087" s="111" t="n"/>
      <c r="I1087" s="87" t="n"/>
      <c r="J1087" s="87" t="n"/>
      <c r="K1087" s="111" t="n"/>
      <c r="L1087" s="86" t="n"/>
      <c r="M1087" s="101" t="n"/>
      <c r="N1087" s="89" t="n"/>
      <c r="O1087" s="144" t="n"/>
      <c r="P1087" s="86" t="n"/>
      <c r="Q1087" s="89" t="n"/>
      <c r="R1087" s="89" t="n"/>
      <c r="S1087" s="89" t="n"/>
      <c r="T1087" s="55" t="n"/>
      <c r="Y1087" s="111" t="n"/>
      <c r="Z1087" s="111" t="n"/>
      <c r="AA1087" s="111" t="n"/>
      <c r="AK1087" s="55" t="n"/>
      <c r="AL1087" s="89" t="n"/>
    </row>
    <row r="1088">
      <c r="A1088" s="34" t="n">
        <v>1086</v>
      </c>
      <c r="B1088" s="34" t="n"/>
      <c r="C1088" s="34" t="n"/>
      <c r="D1088" s="34" t="n"/>
      <c r="E1088" s="34" t="n"/>
      <c r="F1088" s="86" t="n"/>
      <c r="G1088" s="86" t="n"/>
      <c r="H1088" s="111" t="n"/>
      <c r="I1088" s="87" t="n"/>
      <c r="J1088" s="87" t="n"/>
      <c r="K1088" s="111" t="n"/>
      <c r="L1088" s="86" t="n"/>
      <c r="M1088" s="101" t="n"/>
      <c r="N1088" s="89" t="n"/>
      <c r="O1088" s="144" t="n"/>
      <c r="P1088" s="86" t="n"/>
      <c r="Q1088" s="89" t="n"/>
      <c r="R1088" s="89" t="n"/>
      <c r="S1088" s="89" t="n"/>
      <c r="T1088" s="55" t="n"/>
      <c r="Y1088" s="111" t="n"/>
      <c r="Z1088" s="111" t="n"/>
      <c r="AA1088" s="111" t="n"/>
      <c r="AK1088" s="55" t="n"/>
      <c r="AL1088" s="89" t="n"/>
    </row>
    <row r="1089">
      <c r="A1089" s="34" t="n">
        <v>1087</v>
      </c>
      <c r="B1089" s="34" t="n"/>
      <c r="C1089" s="34" t="n"/>
      <c r="D1089" s="34" t="n"/>
      <c r="E1089" s="34" t="n"/>
      <c r="F1089" s="86" t="n"/>
      <c r="G1089" s="86" t="n"/>
      <c r="H1089" s="111" t="n"/>
      <c r="I1089" s="87" t="n"/>
      <c r="J1089" s="87" t="n"/>
      <c r="K1089" s="111" t="n"/>
      <c r="L1089" s="86" t="n"/>
      <c r="M1089" s="101" t="n"/>
      <c r="N1089" s="89" t="n"/>
      <c r="O1089" s="144" t="n"/>
      <c r="P1089" s="86" t="n"/>
      <c r="Q1089" s="89" t="n"/>
      <c r="R1089" s="89" t="n"/>
      <c r="S1089" s="89" t="n"/>
      <c r="T1089" s="55" t="n"/>
      <c r="Y1089" s="111" t="n"/>
      <c r="Z1089" s="111" t="n"/>
      <c r="AA1089" s="111" t="n"/>
      <c r="AK1089" s="55" t="n"/>
      <c r="AL1089" s="89" t="n"/>
    </row>
    <row r="1090">
      <c r="A1090" s="34" t="n">
        <v>1088</v>
      </c>
      <c r="B1090" s="34" t="n"/>
      <c r="C1090" s="34" t="n"/>
      <c r="D1090" s="34" t="n"/>
      <c r="E1090" s="34" t="n"/>
      <c r="F1090" s="86" t="n"/>
      <c r="G1090" s="86" t="n"/>
      <c r="H1090" s="111" t="n"/>
      <c r="I1090" s="87" t="n"/>
      <c r="J1090" s="87" t="n"/>
      <c r="K1090" s="111" t="n"/>
      <c r="L1090" s="86" t="n"/>
      <c r="M1090" s="101" t="n"/>
      <c r="N1090" s="89" t="n"/>
      <c r="O1090" s="144" t="n"/>
      <c r="P1090" s="86" t="n"/>
      <c r="Q1090" s="89" t="n"/>
      <c r="R1090" s="89" t="n"/>
      <c r="S1090" s="89" t="n"/>
      <c r="T1090" s="55" t="n"/>
      <c r="Y1090" s="111" t="n"/>
      <c r="Z1090" s="111" t="n"/>
      <c r="AA1090" s="111" t="n"/>
      <c r="AK1090" s="55" t="n"/>
      <c r="AL1090" s="89" t="n"/>
    </row>
    <row r="1091">
      <c r="A1091" s="34" t="n">
        <v>1089</v>
      </c>
      <c r="B1091" s="34" t="n"/>
      <c r="C1091" s="34" t="n"/>
      <c r="D1091" s="34" t="n"/>
      <c r="E1091" s="34" t="n"/>
      <c r="F1091" s="86" t="n"/>
      <c r="G1091" s="86" t="n"/>
      <c r="H1091" s="111" t="n"/>
      <c r="I1091" s="87" t="n"/>
      <c r="J1091" s="87" t="n"/>
      <c r="K1091" s="111" t="n"/>
      <c r="L1091" s="86" t="n"/>
      <c r="M1091" s="101" t="n"/>
      <c r="N1091" s="89" t="n"/>
      <c r="O1091" s="144" t="n"/>
      <c r="P1091" s="86" t="n"/>
      <c r="Q1091" s="89" t="n"/>
      <c r="R1091" s="89" t="n"/>
      <c r="S1091" s="89" t="n"/>
      <c r="T1091" s="55" t="n"/>
      <c r="Y1091" s="111" t="n"/>
      <c r="Z1091" s="111" t="n"/>
      <c r="AA1091" s="111" t="n"/>
      <c r="AK1091" s="55" t="n"/>
      <c r="AL1091" s="89" t="n"/>
    </row>
    <row r="1092">
      <c r="A1092" s="34" t="n">
        <v>1090</v>
      </c>
      <c r="B1092" s="34" t="n"/>
      <c r="C1092" s="34" t="n"/>
      <c r="D1092" s="34" t="n"/>
      <c r="E1092" s="34" t="n"/>
      <c r="F1092" s="86" t="n"/>
      <c r="G1092" s="86" t="n"/>
      <c r="H1092" s="111" t="n"/>
      <c r="I1092" s="87" t="n"/>
      <c r="J1092" s="87" t="n"/>
      <c r="K1092" s="111" t="n"/>
      <c r="L1092" s="86" t="n"/>
      <c r="M1092" s="101" t="n"/>
      <c r="N1092" s="89" t="n"/>
      <c r="O1092" s="144" t="n"/>
      <c r="P1092" s="86" t="n"/>
      <c r="Q1092" s="89" t="n"/>
      <c r="R1092" s="89" t="n"/>
      <c r="S1092" s="89" t="n"/>
      <c r="T1092" s="55" t="n"/>
      <c r="Y1092" s="111" t="n"/>
      <c r="Z1092" s="111" t="n"/>
      <c r="AA1092" s="111" t="n"/>
      <c r="AK1092" s="55" t="n"/>
      <c r="AL1092" s="89" t="n"/>
    </row>
    <row r="1093">
      <c r="A1093" s="34" t="n">
        <v>1091</v>
      </c>
      <c r="B1093" s="34" t="n"/>
      <c r="C1093" s="34" t="n"/>
      <c r="D1093" s="34" t="n"/>
      <c r="E1093" s="34" t="n"/>
      <c r="F1093" s="86" t="n"/>
      <c r="G1093" s="86" t="n"/>
      <c r="H1093" s="111" t="n"/>
      <c r="I1093" s="87" t="n"/>
      <c r="J1093" s="87" t="n"/>
      <c r="K1093" s="111" t="n"/>
      <c r="L1093" s="86" t="n"/>
      <c r="M1093" s="101" t="n"/>
      <c r="N1093" s="89" t="n"/>
      <c r="O1093" s="144" t="n"/>
      <c r="P1093" s="86" t="n"/>
      <c r="Q1093" s="89" t="n"/>
      <c r="R1093" s="89" t="n"/>
      <c r="S1093" s="89" t="n"/>
      <c r="T1093" s="55" t="n"/>
      <c r="Y1093" s="111" t="n"/>
      <c r="Z1093" s="111" t="n"/>
      <c r="AA1093" s="111" t="n"/>
      <c r="AK1093" s="55" t="n"/>
      <c r="AL1093" s="89" t="n"/>
    </row>
    <row r="1094">
      <c r="A1094" s="34" t="n">
        <v>1092</v>
      </c>
      <c r="B1094" s="34" t="n"/>
      <c r="C1094" s="34" t="n"/>
      <c r="D1094" s="34" t="n"/>
      <c r="E1094" s="34" t="n"/>
      <c r="F1094" s="86" t="n"/>
      <c r="G1094" s="86" t="n"/>
      <c r="H1094" s="111" t="n"/>
      <c r="I1094" s="87" t="n"/>
      <c r="J1094" s="87" t="n"/>
      <c r="K1094" s="111" t="n"/>
      <c r="L1094" s="86" t="n"/>
      <c r="M1094" s="101" t="n"/>
      <c r="N1094" s="89" t="n"/>
      <c r="O1094" s="144" t="n"/>
      <c r="P1094" s="86" t="n"/>
      <c r="Q1094" s="89" t="n"/>
      <c r="R1094" s="89" t="n"/>
      <c r="S1094" s="89" t="n"/>
      <c r="T1094" s="55" t="n"/>
      <c r="Y1094" s="111" t="n"/>
      <c r="Z1094" s="111" t="n"/>
      <c r="AA1094" s="111" t="n"/>
      <c r="AK1094" s="55" t="n"/>
      <c r="AL1094" s="89" t="n"/>
    </row>
    <row r="1095">
      <c r="A1095" s="34" t="n">
        <v>1093</v>
      </c>
      <c r="B1095" s="34" t="n"/>
      <c r="C1095" s="34" t="n"/>
      <c r="D1095" s="34" t="n"/>
      <c r="E1095" s="34" t="n"/>
      <c r="F1095" s="86" t="n"/>
      <c r="G1095" s="86" t="n"/>
      <c r="H1095" s="111" t="n"/>
      <c r="I1095" s="87" t="n"/>
      <c r="J1095" s="87" t="n"/>
      <c r="K1095" s="111" t="n"/>
      <c r="L1095" s="86" t="n"/>
      <c r="M1095" s="101" t="n"/>
      <c r="N1095" s="89" t="n"/>
      <c r="O1095" s="144" t="n"/>
      <c r="P1095" s="86" t="n"/>
      <c r="Q1095" s="89" t="n"/>
      <c r="R1095" s="89" t="n"/>
      <c r="S1095" s="89" t="n"/>
      <c r="T1095" s="55" t="n"/>
      <c r="Y1095" s="111" t="n"/>
      <c r="Z1095" s="111" t="n"/>
      <c r="AA1095" s="111" t="n"/>
      <c r="AK1095" s="55" t="n"/>
      <c r="AL1095" s="89" t="n"/>
    </row>
    <row r="1096">
      <c r="A1096" s="34" t="n">
        <v>1094</v>
      </c>
      <c r="B1096" s="34" t="n"/>
      <c r="C1096" s="34" t="n"/>
      <c r="D1096" s="34" t="n"/>
      <c r="E1096" s="34" t="n"/>
      <c r="F1096" s="86" t="n"/>
      <c r="G1096" s="86" t="n"/>
      <c r="H1096" s="111" t="n"/>
      <c r="I1096" s="87" t="n"/>
      <c r="J1096" s="87" t="n"/>
      <c r="K1096" s="111" t="n"/>
      <c r="L1096" s="86" t="n"/>
      <c r="M1096" s="101" t="n"/>
      <c r="N1096" s="89" t="n"/>
      <c r="O1096" s="144" t="n"/>
      <c r="P1096" s="86" t="n"/>
      <c r="Q1096" s="89" t="n"/>
      <c r="R1096" s="89" t="n"/>
      <c r="S1096" s="89" t="n"/>
      <c r="T1096" s="55" t="n"/>
      <c r="Y1096" s="111" t="n"/>
      <c r="Z1096" s="111" t="n"/>
      <c r="AA1096" s="111" t="n"/>
      <c r="AK1096" s="55" t="n"/>
      <c r="AL1096" s="89" t="n"/>
    </row>
    <row r="1097">
      <c r="A1097" s="34" t="n">
        <v>1095</v>
      </c>
      <c r="B1097" s="34" t="n"/>
      <c r="C1097" s="34" t="n"/>
      <c r="D1097" s="34" t="n"/>
      <c r="E1097" s="34" t="n"/>
      <c r="F1097" s="86" t="n"/>
      <c r="G1097" s="86" t="n"/>
      <c r="H1097" s="111" t="n"/>
      <c r="I1097" s="87" t="n"/>
      <c r="J1097" s="87" t="n"/>
      <c r="K1097" s="111" t="n"/>
      <c r="L1097" s="86" t="n"/>
      <c r="M1097" s="101" t="n"/>
      <c r="N1097" s="89" t="n"/>
      <c r="O1097" s="144" t="n"/>
      <c r="P1097" s="86" t="n"/>
      <c r="Q1097" s="89" t="n"/>
      <c r="R1097" s="89" t="n"/>
      <c r="S1097" s="89" t="n"/>
      <c r="T1097" s="55" t="n"/>
      <c r="Y1097" s="111" t="n"/>
      <c r="Z1097" s="111" t="n"/>
      <c r="AA1097" s="111" t="n"/>
      <c r="AK1097" s="55" t="n"/>
      <c r="AL1097" s="89" t="n"/>
    </row>
    <row r="1098">
      <c r="A1098" s="34" t="n">
        <v>1096</v>
      </c>
      <c r="B1098" s="34" t="n"/>
      <c r="C1098" s="34" t="n"/>
      <c r="D1098" s="34" t="n"/>
      <c r="E1098" s="34" t="n"/>
      <c r="F1098" s="86" t="n"/>
      <c r="G1098" s="86" t="n"/>
      <c r="H1098" s="111" t="n"/>
      <c r="I1098" s="87" t="n"/>
      <c r="J1098" s="87" t="n"/>
      <c r="K1098" s="111" t="n"/>
      <c r="L1098" s="86" t="n"/>
      <c r="M1098" s="101" t="n"/>
      <c r="N1098" s="89" t="n"/>
      <c r="O1098" s="144" t="n"/>
      <c r="P1098" s="86" t="n"/>
      <c r="Q1098" s="89" t="n"/>
      <c r="R1098" s="89" t="n"/>
      <c r="S1098" s="89" t="n"/>
      <c r="T1098" s="55" t="n"/>
      <c r="Y1098" s="111" t="n"/>
      <c r="Z1098" s="111" t="n"/>
      <c r="AA1098" s="111" t="n"/>
      <c r="AK1098" s="55" t="n"/>
      <c r="AL1098" s="89" t="n"/>
    </row>
    <row r="1099">
      <c r="A1099" s="34" t="n">
        <v>1097</v>
      </c>
      <c r="B1099" s="34" t="n"/>
      <c r="C1099" s="34" t="n"/>
      <c r="D1099" s="34" t="n"/>
      <c r="E1099" s="34" t="n"/>
      <c r="F1099" s="86" t="n"/>
      <c r="G1099" s="86" t="n"/>
      <c r="H1099" s="111" t="n"/>
      <c r="I1099" s="87" t="n"/>
      <c r="J1099" s="87" t="n"/>
      <c r="K1099" s="111" t="n"/>
      <c r="L1099" s="86" t="n"/>
      <c r="M1099" s="101" t="n"/>
      <c r="N1099" s="89" t="n"/>
      <c r="O1099" s="144" t="n"/>
      <c r="P1099" s="86" t="n"/>
      <c r="Q1099" s="89" t="n"/>
      <c r="R1099" s="89" t="n"/>
      <c r="S1099" s="89" t="n"/>
      <c r="T1099" s="55" t="n"/>
      <c r="Y1099" s="111" t="n"/>
      <c r="Z1099" s="111" t="n"/>
      <c r="AA1099" s="111" t="n"/>
      <c r="AK1099" s="55" t="n"/>
      <c r="AL1099" s="89" t="n"/>
    </row>
    <row r="1100">
      <c r="A1100" s="34" t="n">
        <v>1098</v>
      </c>
      <c r="B1100" s="34" t="n"/>
      <c r="C1100" s="34" t="n"/>
      <c r="D1100" s="34" t="n"/>
      <c r="E1100" s="34" t="n"/>
      <c r="F1100" s="86" t="n"/>
      <c r="G1100" s="86" t="n"/>
      <c r="H1100" s="111" t="n"/>
      <c r="I1100" s="87" t="n"/>
      <c r="J1100" s="87" t="n"/>
      <c r="K1100" s="111" t="n"/>
      <c r="L1100" s="86" t="n"/>
      <c r="M1100" s="101" t="n"/>
      <c r="N1100" s="89" t="n"/>
      <c r="O1100" s="144" t="n"/>
      <c r="P1100" s="86" t="n"/>
      <c r="Q1100" s="89" t="n"/>
      <c r="R1100" s="89" t="n"/>
      <c r="S1100" s="89" t="n"/>
      <c r="T1100" s="55" t="n"/>
      <c r="Y1100" s="111" t="n"/>
      <c r="Z1100" s="111" t="n"/>
      <c r="AA1100" s="111" t="n"/>
      <c r="AK1100" s="55" t="n"/>
      <c r="AL1100" s="89" t="n"/>
    </row>
    <row r="1101">
      <c r="A1101" s="34" t="n">
        <v>1099</v>
      </c>
      <c r="B1101" s="34" t="n"/>
      <c r="C1101" s="34" t="n"/>
      <c r="D1101" s="34" t="n"/>
      <c r="E1101" s="34" t="n"/>
      <c r="F1101" s="86" t="n"/>
      <c r="G1101" s="86" t="n"/>
      <c r="H1101" s="111" t="n"/>
      <c r="I1101" s="87" t="n"/>
      <c r="J1101" s="87" t="n"/>
      <c r="K1101" s="111" t="n"/>
      <c r="L1101" s="86" t="n"/>
      <c r="M1101" s="101" t="n"/>
      <c r="N1101" s="89" t="n"/>
      <c r="O1101" s="144" t="n"/>
      <c r="P1101" s="86" t="n"/>
      <c r="Q1101" s="89" t="n"/>
      <c r="R1101" s="89" t="n"/>
      <c r="S1101" s="89" t="n"/>
      <c r="T1101" s="55" t="n"/>
      <c r="Y1101" s="111" t="n"/>
      <c r="Z1101" s="111" t="n"/>
      <c r="AA1101" s="111" t="n"/>
      <c r="AK1101" s="55" t="n"/>
      <c r="AL1101" s="89" t="n"/>
    </row>
    <row r="1102">
      <c r="A1102" s="34" t="n">
        <v>1100</v>
      </c>
      <c r="B1102" s="34" t="n"/>
      <c r="C1102" s="34" t="n"/>
      <c r="D1102" s="34" t="n"/>
      <c r="E1102" s="34" t="n"/>
      <c r="F1102" s="86" t="n"/>
      <c r="G1102" s="86" t="n"/>
      <c r="H1102" s="111" t="n"/>
      <c r="I1102" s="87" t="n"/>
      <c r="J1102" s="87" t="n"/>
      <c r="K1102" s="111" t="n"/>
      <c r="L1102" s="86" t="n"/>
      <c r="M1102" s="101" t="n"/>
      <c r="N1102" s="89" t="n"/>
      <c r="O1102" s="144" t="n"/>
      <c r="P1102" s="86" t="n"/>
      <c r="Q1102" s="89" t="n"/>
      <c r="R1102" s="89" t="n"/>
      <c r="S1102" s="89" t="n"/>
      <c r="T1102" s="55" t="n"/>
      <c r="Y1102" s="111" t="n"/>
      <c r="Z1102" s="111" t="n"/>
      <c r="AA1102" s="111" t="n"/>
      <c r="AK1102" s="55" t="n"/>
      <c r="AL1102" s="89" t="n"/>
    </row>
    <row r="1103">
      <c r="A1103" s="34" t="n">
        <v>1101</v>
      </c>
      <c r="B1103" s="34" t="n"/>
      <c r="C1103" s="34" t="n"/>
      <c r="D1103" s="34" t="n"/>
      <c r="E1103" s="34" t="n"/>
      <c r="F1103" s="86" t="n"/>
      <c r="G1103" s="86" t="n"/>
      <c r="H1103" s="111" t="n"/>
      <c r="I1103" s="87" t="n"/>
      <c r="J1103" s="87" t="n"/>
      <c r="K1103" s="111" t="n"/>
      <c r="L1103" s="86" t="n"/>
      <c r="M1103" s="101" t="n"/>
      <c r="N1103" s="89" t="n"/>
      <c r="O1103" s="144" t="n"/>
      <c r="P1103" s="86" t="n"/>
      <c r="Q1103" s="89" t="n"/>
      <c r="R1103" s="89" t="n"/>
      <c r="S1103" s="89" t="n"/>
      <c r="T1103" s="55" t="n"/>
      <c r="Y1103" s="111" t="n"/>
      <c r="Z1103" s="111" t="n"/>
      <c r="AA1103" s="111" t="n"/>
      <c r="AK1103" s="55" t="n"/>
      <c r="AL1103" s="89" t="n"/>
    </row>
    <row r="1104">
      <c r="A1104" s="34" t="n">
        <v>1102</v>
      </c>
      <c r="B1104" s="34" t="n"/>
      <c r="C1104" s="34" t="n"/>
      <c r="D1104" s="34" t="n"/>
      <c r="E1104" s="34" t="n"/>
      <c r="F1104" s="86" t="n"/>
      <c r="G1104" s="86" t="n"/>
      <c r="H1104" s="111" t="n"/>
      <c r="I1104" s="87" t="n"/>
      <c r="J1104" s="87" t="n"/>
      <c r="K1104" s="111" t="n"/>
      <c r="L1104" s="86" t="n"/>
      <c r="M1104" s="101" t="n"/>
      <c r="N1104" s="89" t="n"/>
      <c r="O1104" s="144" t="n"/>
      <c r="P1104" s="86" t="n"/>
      <c r="Q1104" s="89" t="n"/>
      <c r="R1104" s="89" t="n"/>
      <c r="S1104" s="89" t="n"/>
      <c r="T1104" s="55" t="n"/>
      <c r="Y1104" s="111" t="n"/>
      <c r="Z1104" s="111" t="n"/>
      <c r="AA1104" s="111" t="n"/>
      <c r="AK1104" s="55" t="n"/>
      <c r="AL1104" s="89" t="n"/>
    </row>
    <row r="1105">
      <c r="A1105" s="34" t="n">
        <v>1103</v>
      </c>
      <c r="B1105" s="34" t="n"/>
      <c r="C1105" s="34" t="n"/>
      <c r="D1105" s="34" t="n"/>
      <c r="E1105" s="34" t="n"/>
      <c r="F1105" s="86" t="n"/>
      <c r="G1105" s="86" t="n"/>
      <c r="H1105" s="111" t="n"/>
      <c r="I1105" s="87" t="n"/>
      <c r="J1105" s="87" t="n"/>
      <c r="K1105" s="111" t="n"/>
      <c r="L1105" s="86" t="n"/>
      <c r="M1105" s="101" t="n"/>
      <c r="N1105" s="89" t="n"/>
      <c r="O1105" s="144" t="n"/>
      <c r="P1105" s="86" t="n"/>
      <c r="Q1105" s="89" t="n"/>
      <c r="R1105" s="89" t="n"/>
      <c r="S1105" s="89" t="n"/>
      <c r="T1105" s="55" t="n"/>
      <c r="Y1105" s="111" t="n"/>
      <c r="Z1105" s="111" t="n"/>
      <c r="AA1105" s="111" t="n"/>
      <c r="AK1105" s="55" t="n"/>
      <c r="AL1105" s="89" t="n"/>
    </row>
    <row r="1106">
      <c r="A1106" s="34" t="n">
        <v>1104</v>
      </c>
      <c r="B1106" s="34" t="n"/>
      <c r="C1106" s="34" t="n"/>
      <c r="D1106" s="34" t="n"/>
      <c r="E1106" s="34" t="n"/>
      <c r="F1106" s="86" t="n"/>
      <c r="G1106" s="86" t="n"/>
      <c r="H1106" s="111" t="n"/>
      <c r="I1106" s="87" t="n"/>
      <c r="J1106" s="87" t="n"/>
      <c r="K1106" s="111" t="n"/>
      <c r="L1106" s="86" t="n"/>
      <c r="M1106" s="101" t="n"/>
      <c r="N1106" s="89" t="n"/>
      <c r="O1106" s="144" t="n"/>
      <c r="P1106" s="86" t="n"/>
      <c r="Q1106" s="89" t="n"/>
      <c r="R1106" s="89" t="n"/>
      <c r="S1106" s="89" t="n"/>
      <c r="T1106" s="55" t="n"/>
      <c r="Y1106" s="111" t="n"/>
      <c r="Z1106" s="111" t="n"/>
      <c r="AA1106" s="111" t="n"/>
      <c r="AK1106" s="55" t="n"/>
      <c r="AL1106" s="89" t="n"/>
    </row>
    <row r="1107">
      <c r="A1107" s="34" t="n">
        <v>1105</v>
      </c>
      <c r="B1107" s="34" t="n"/>
      <c r="C1107" s="34" t="n"/>
      <c r="D1107" s="34" t="n"/>
      <c r="E1107" s="34" t="n"/>
      <c r="F1107" s="86" t="n"/>
      <c r="G1107" s="86" t="n"/>
      <c r="H1107" s="111" t="n"/>
      <c r="I1107" s="87" t="n"/>
      <c r="J1107" s="87" t="n"/>
      <c r="K1107" s="111" t="n"/>
      <c r="L1107" s="86" t="n"/>
      <c r="M1107" s="101" t="n"/>
      <c r="N1107" s="89" t="n"/>
      <c r="O1107" s="144" t="n"/>
      <c r="P1107" s="86" t="n"/>
      <c r="Q1107" s="89" t="n"/>
      <c r="R1107" s="89" t="n"/>
      <c r="S1107" s="89" t="n"/>
      <c r="T1107" s="55" t="n"/>
      <c r="Y1107" s="111" t="n"/>
      <c r="Z1107" s="111" t="n"/>
      <c r="AA1107" s="111" t="n"/>
      <c r="AK1107" s="55" t="n"/>
      <c r="AL1107" s="89" t="n"/>
    </row>
    <row r="1108">
      <c r="A1108" s="34" t="n">
        <v>1106</v>
      </c>
      <c r="B1108" s="34" t="n"/>
      <c r="C1108" s="34" t="n"/>
      <c r="D1108" s="34" t="n"/>
      <c r="E1108" s="34" t="n"/>
      <c r="F1108" s="86" t="n"/>
      <c r="G1108" s="86" t="n"/>
      <c r="H1108" s="111" t="n"/>
      <c r="I1108" s="87" t="n"/>
      <c r="J1108" s="87" t="n"/>
      <c r="K1108" s="111" t="n"/>
      <c r="L1108" s="86" t="n"/>
      <c r="M1108" s="101" t="n"/>
      <c r="N1108" s="89" t="n"/>
      <c r="O1108" s="144" t="n"/>
      <c r="P1108" s="86" t="n"/>
      <c r="Q1108" s="89" t="n"/>
      <c r="R1108" s="89" t="n"/>
      <c r="S1108" s="89" t="n"/>
      <c r="T1108" s="55" t="n"/>
      <c r="Y1108" s="111" t="n"/>
      <c r="Z1108" s="111" t="n"/>
      <c r="AA1108" s="111" t="n"/>
      <c r="AK1108" s="55" t="n"/>
      <c r="AL1108" s="89" t="n"/>
    </row>
    <row r="1109">
      <c r="A1109" s="34" t="n">
        <v>1107</v>
      </c>
      <c r="B1109" s="34" t="n"/>
      <c r="C1109" s="34" t="n"/>
      <c r="D1109" s="34" t="n"/>
      <c r="E1109" s="34" t="n"/>
      <c r="F1109" s="86" t="n"/>
      <c r="G1109" s="86" t="n"/>
      <c r="H1109" s="111" t="n"/>
      <c r="I1109" s="87" t="n"/>
      <c r="J1109" s="87" t="n"/>
      <c r="K1109" s="111" t="n"/>
      <c r="L1109" s="86" t="n"/>
      <c r="M1109" s="101" t="n"/>
      <c r="N1109" s="89" t="n"/>
      <c r="O1109" s="144" t="n"/>
      <c r="P1109" s="86" t="n"/>
      <c r="Q1109" s="89" t="n"/>
      <c r="R1109" s="89" t="n"/>
      <c r="S1109" s="89" t="n"/>
      <c r="T1109" s="55" t="n"/>
      <c r="Y1109" s="111" t="n"/>
      <c r="Z1109" s="111" t="n"/>
      <c r="AA1109" s="111" t="n"/>
      <c r="AK1109" s="55" t="n"/>
      <c r="AL1109" s="89" t="n"/>
    </row>
    <row r="1110">
      <c r="A1110" s="34" t="n">
        <v>1108</v>
      </c>
      <c r="B1110" s="34" t="n"/>
      <c r="C1110" s="34" t="n"/>
      <c r="D1110" s="34" t="n"/>
      <c r="E1110" s="34" t="n"/>
      <c r="F1110" s="86" t="n"/>
      <c r="G1110" s="86" t="n"/>
      <c r="H1110" s="111" t="n"/>
      <c r="I1110" s="87" t="n"/>
      <c r="J1110" s="87" t="n"/>
      <c r="K1110" s="111" t="n"/>
      <c r="L1110" s="86" t="n"/>
      <c r="M1110" s="101" t="n"/>
      <c r="N1110" s="89" t="n"/>
      <c r="O1110" s="144" t="n"/>
      <c r="P1110" s="86" t="n"/>
      <c r="Q1110" s="89" t="n"/>
      <c r="R1110" s="89" t="n"/>
      <c r="S1110" s="89" t="n"/>
      <c r="T1110" s="55" t="n"/>
      <c r="Y1110" s="111" t="n"/>
      <c r="Z1110" s="111" t="n"/>
      <c r="AA1110" s="111" t="n"/>
      <c r="AK1110" s="55" t="n"/>
      <c r="AL1110" s="89" t="n"/>
    </row>
    <row r="1111">
      <c r="A1111" s="34" t="n">
        <v>1109</v>
      </c>
      <c r="B1111" s="34" t="n"/>
      <c r="C1111" s="34" t="n"/>
      <c r="D1111" s="34" t="n"/>
      <c r="E1111" s="34" t="n"/>
      <c r="F1111" s="86" t="n"/>
      <c r="G1111" s="86" t="n"/>
      <c r="H1111" s="111" t="n"/>
      <c r="I1111" s="87" t="n"/>
      <c r="J1111" s="87" t="n"/>
      <c r="K1111" s="111" t="n"/>
      <c r="L1111" s="86" t="n"/>
      <c r="M1111" s="101" t="n"/>
      <c r="N1111" s="89" t="n"/>
      <c r="O1111" s="144" t="n"/>
      <c r="P1111" s="86" t="n"/>
      <c r="Q1111" s="89" t="n"/>
      <c r="R1111" s="89" t="n"/>
      <c r="S1111" s="89" t="n"/>
      <c r="T1111" s="55" t="n"/>
      <c r="Y1111" s="111" t="n"/>
      <c r="Z1111" s="111" t="n"/>
      <c r="AA1111" s="111" t="n"/>
      <c r="AK1111" s="55" t="n"/>
      <c r="AL1111" s="89" t="n"/>
    </row>
    <row r="1112">
      <c r="A1112" s="34" t="n">
        <v>1110</v>
      </c>
      <c r="B1112" s="34" t="n"/>
      <c r="C1112" s="34" t="n"/>
      <c r="D1112" s="34" t="n"/>
      <c r="E1112" s="34" t="n"/>
      <c r="F1112" s="86" t="n"/>
      <c r="G1112" s="86" t="n"/>
      <c r="H1112" s="111" t="n"/>
      <c r="I1112" s="87" t="n"/>
      <c r="J1112" s="87" t="n"/>
      <c r="K1112" s="111" t="n"/>
      <c r="L1112" s="86" t="n"/>
      <c r="M1112" s="101" t="n"/>
      <c r="N1112" s="89" t="n"/>
      <c r="O1112" s="144" t="n"/>
      <c r="P1112" s="86" t="n"/>
      <c r="Q1112" s="89" t="n"/>
      <c r="R1112" s="89" t="n"/>
      <c r="S1112" s="89" t="n"/>
      <c r="T1112" s="55" t="n"/>
      <c r="Y1112" s="111" t="n"/>
      <c r="Z1112" s="111" t="n"/>
      <c r="AA1112" s="111" t="n"/>
      <c r="AK1112" s="55" t="n"/>
      <c r="AL1112" s="89" t="n"/>
    </row>
    <row r="1113">
      <c r="A1113" s="34" t="n">
        <v>1111</v>
      </c>
      <c r="B1113" s="34" t="n"/>
      <c r="C1113" s="34" t="n"/>
      <c r="D1113" s="34" t="n"/>
      <c r="E1113" s="34" t="n"/>
      <c r="F1113" s="86" t="n"/>
      <c r="G1113" s="86" t="n"/>
      <c r="H1113" s="111" t="n"/>
      <c r="I1113" s="87" t="n"/>
      <c r="J1113" s="87" t="n"/>
      <c r="K1113" s="111" t="n"/>
      <c r="L1113" s="86" t="n"/>
      <c r="M1113" s="101" t="n"/>
      <c r="N1113" s="89" t="n"/>
      <c r="O1113" s="144" t="n"/>
      <c r="P1113" s="86" t="n"/>
      <c r="Q1113" s="89" t="n"/>
      <c r="R1113" s="89" t="n"/>
      <c r="S1113" s="89" t="n"/>
      <c r="T1113" s="55" t="n"/>
      <c r="Y1113" s="111" t="n"/>
      <c r="Z1113" s="111" t="n"/>
      <c r="AA1113" s="111" t="n"/>
      <c r="AK1113" s="55" t="n"/>
      <c r="AL1113" s="89" t="n"/>
    </row>
    <row r="1114">
      <c r="A1114" s="34" t="n">
        <v>1112</v>
      </c>
      <c r="B1114" s="34" t="n"/>
      <c r="C1114" s="34" t="n"/>
      <c r="D1114" s="34" t="n"/>
      <c r="E1114" s="34" t="n"/>
      <c r="F1114" s="86" t="n"/>
      <c r="G1114" s="86" t="n"/>
      <c r="H1114" s="111" t="n"/>
      <c r="I1114" s="87" t="n"/>
      <c r="J1114" s="87" t="n"/>
      <c r="K1114" s="111" t="n"/>
      <c r="L1114" s="86" t="n"/>
      <c r="M1114" s="101" t="n"/>
      <c r="N1114" s="89" t="n"/>
      <c r="O1114" s="144" t="n"/>
      <c r="P1114" s="86" t="n"/>
      <c r="Q1114" s="89" t="n"/>
      <c r="R1114" s="89" t="n"/>
      <c r="S1114" s="89" t="n"/>
      <c r="T1114" s="55" t="n"/>
      <c r="Y1114" s="111" t="n"/>
      <c r="Z1114" s="111" t="n"/>
      <c r="AA1114" s="111" t="n"/>
      <c r="AK1114" s="55" t="n"/>
      <c r="AL1114" s="89" t="n"/>
    </row>
    <row r="1115">
      <c r="A1115" s="34" t="n">
        <v>1113</v>
      </c>
      <c r="B1115" s="34" t="n"/>
      <c r="C1115" s="34" t="n"/>
      <c r="D1115" s="34" t="n"/>
      <c r="E1115" s="34" t="n"/>
      <c r="F1115" s="86" t="n"/>
      <c r="G1115" s="86" t="n"/>
      <c r="H1115" s="111" t="n"/>
      <c r="I1115" s="87" t="n"/>
      <c r="J1115" s="87" t="n"/>
      <c r="K1115" s="111" t="n"/>
      <c r="L1115" s="86" t="n"/>
      <c r="M1115" s="101" t="n"/>
      <c r="N1115" s="89" t="n"/>
      <c r="O1115" s="144" t="n"/>
      <c r="P1115" s="86" t="n"/>
      <c r="Q1115" s="89" t="n"/>
      <c r="R1115" s="89" t="n"/>
      <c r="S1115" s="89" t="n"/>
      <c r="T1115" s="55" t="n"/>
      <c r="Y1115" s="111" t="n"/>
      <c r="Z1115" s="111" t="n"/>
      <c r="AA1115" s="111" t="n"/>
      <c r="AK1115" s="55" t="n"/>
      <c r="AL1115" s="89" t="n"/>
    </row>
    <row r="1116">
      <c r="A1116" s="34" t="n">
        <v>1114</v>
      </c>
      <c r="B1116" s="34" t="n"/>
      <c r="C1116" s="34" t="n"/>
      <c r="D1116" s="34" t="n"/>
      <c r="E1116" s="34" t="n"/>
      <c r="F1116" s="86" t="n"/>
      <c r="G1116" s="86" t="n"/>
      <c r="H1116" s="111" t="n"/>
      <c r="I1116" s="87" t="n"/>
      <c r="J1116" s="87" t="n"/>
      <c r="K1116" s="111" t="n"/>
      <c r="L1116" s="86" t="n"/>
      <c r="M1116" s="101" t="n"/>
      <c r="N1116" s="89" t="n"/>
      <c r="O1116" s="144" t="n"/>
      <c r="P1116" s="86" t="n"/>
      <c r="Q1116" s="89" t="n"/>
      <c r="R1116" s="89" t="n"/>
      <c r="S1116" s="89" t="n"/>
      <c r="T1116" s="55" t="n"/>
      <c r="Y1116" s="111" t="n"/>
      <c r="Z1116" s="111" t="n"/>
      <c r="AA1116" s="111" t="n"/>
      <c r="AK1116" s="55" t="n"/>
      <c r="AL1116" s="89" t="n"/>
    </row>
    <row r="1117">
      <c r="A1117" s="34" t="n">
        <v>1115</v>
      </c>
      <c r="B1117" s="34" t="n"/>
      <c r="C1117" s="34" t="n"/>
      <c r="D1117" s="34" t="n"/>
      <c r="E1117" s="34" t="n"/>
      <c r="F1117" s="86" t="n"/>
      <c r="G1117" s="86" t="n"/>
      <c r="H1117" s="111" t="n"/>
      <c r="I1117" s="87" t="n"/>
      <c r="J1117" s="87" t="n"/>
      <c r="K1117" s="111" t="n"/>
      <c r="L1117" s="86" t="n"/>
      <c r="M1117" s="101" t="n"/>
      <c r="N1117" s="89" t="n"/>
      <c r="O1117" s="144" t="n"/>
      <c r="P1117" s="86" t="n"/>
      <c r="Q1117" s="89" t="n"/>
      <c r="R1117" s="89" t="n"/>
      <c r="S1117" s="89" t="n"/>
      <c r="T1117" s="55" t="n"/>
      <c r="Y1117" s="111" t="n"/>
      <c r="Z1117" s="111" t="n"/>
      <c r="AA1117" s="111" t="n"/>
      <c r="AK1117" s="55" t="n"/>
      <c r="AL1117" s="89" t="n"/>
    </row>
    <row r="1118">
      <c r="A1118" s="34" t="n">
        <v>1116</v>
      </c>
      <c r="B1118" s="34" t="n"/>
      <c r="C1118" s="34" t="n"/>
      <c r="D1118" s="34" t="n"/>
      <c r="E1118" s="34" t="n"/>
      <c r="F1118" s="86" t="n"/>
      <c r="G1118" s="86" t="n"/>
      <c r="H1118" s="111" t="n"/>
      <c r="I1118" s="87" t="n"/>
      <c r="J1118" s="87" t="n"/>
      <c r="K1118" s="111" t="n"/>
      <c r="L1118" s="86" t="n"/>
      <c r="M1118" s="101" t="n"/>
      <c r="N1118" s="89" t="n"/>
      <c r="O1118" s="144" t="n"/>
      <c r="P1118" s="86" t="n"/>
      <c r="Q1118" s="89" t="n"/>
      <c r="R1118" s="89" t="n"/>
      <c r="S1118" s="89" t="n"/>
      <c r="T1118" s="55" t="n"/>
      <c r="Y1118" s="111" t="n"/>
      <c r="Z1118" s="111" t="n"/>
      <c r="AA1118" s="111" t="n"/>
      <c r="AK1118" s="55" t="n"/>
      <c r="AL1118" s="89" t="n"/>
    </row>
    <row r="1119">
      <c r="A1119" s="34" t="n">
        <v>1117</v>
      </c>
      <c r="B1119" s="34" t="n"/>
      <c r="C1119" s="34" t="n"/>
      <c r="D1119" s="34" t="n"/>
      <c r="E1119" s="34" t="n"/>
      <c r="F1119" s="86" t="n"/>
      <c r="G1119" s="86" t="n"/>
      <c r="H1119" s="111" t="n"/>
      <c r="I1119" s="87" t="n"/>
      <c r="J1119" s="87" t="n"/>
      <c r="K1119" s="111" t="n"/>
      <c r="L1119" s="86" t="n"/>
      <c r="M1119" s="101" t="n"/>
      <c r="N1119" s="89" t="n"/>
      <c r="O1119" s="144" t="n"/>
      <c r="P1119" s="86" t="n"/>
      <c r="Q1119" s="89" t="n"/>
      <c r="R1119" s="89" t="n"/>
      <c r="S1119" s="89" t="n"/>
      <c r="T1119" s="55" t="n"/>
      <c r="Y1119" s="111" t="n"/>
      <c r="Z1119" s="111" t="n"/>
      <c r="AA1119" s="111" t="n"/>
      <c r="AK1119" s="55" t="n"/>
      <c r="AL1119" s="89" t="n"/>
    </row>
    <row r="1120">
      <c r="A1120" s="34" t="n">
        <v>1118</v>
      </c>
      <c r="B1120" s="34" t="n"/>
      <c r="C1120" s="34" t="n"/>
      <c r="D1120" s="34" t="n"/>
      <c r="E1120" s="34" t="n"/>
      <c r="F1120" s="86" t="n"/>
      <c r="G1120" s="86" t="n"/>
      <c r="H1120" s="111" t="n"/>
      <c r="I1120" s="87" t="n"/>
      <c r="J1120" s="87" t="n"/>
      <c r="K1120" s="111" t="n"/>
      <c r="L1120" s="86" t="n"/>
      <c r="M1120" s="101" t="n"/>
      <c r="N1120" s="89" t="n"/>
      <c r="O1120" s="144" t="n"/>
      <c r="P1120" s="86" t="n"/>
      <c r="Q1120" s="89" t="n"/>
      <c r="R1120" s="89" t="n"/>
      <c r="S1120" s="89" t="n"/>
      <c r="T1120" s="55" t="n"/>
      <c r="Y1120" s="111" t="n"/>
      <c r="Z1120" s="111" t="n"/>
      <c r="AA1120" s="111" t="n"/>
      <c r="AK1120" s="55" t="n"/>
      <c r="AL1120" s="89" t="n"/>
    </row>
    <row r="1121">
      <c r="A1121" s="34" t="n">
        <v>1119</v>
      </c>
      <c r="B1121" s="34" t="n"/>
      <c r="C1121" s="34" t="n"/>
      <c r="D1121" s="34" t="n"/>
      <c r="E1121" s="34" t="n"/>
      <c r="F1121" s="86" t="n"/>
      <c r="G1121" s="86" t="n"/>
      <c r="H1121" s="111" t="n"/>
      <c r="I1121" s="87" t="n"/>
      <c r="J1121" s="87" t="n"/>
      <c r="K1121" s="111" t="n"/>
      <c r="L1121" s="86" t="n"/>
      <c r="M1121" s="101" t="n"/>
      <c r="N1121" s="89" t="n"/>
      <c r="O1121" s="144" t="n"/>
      <c r="P1121" s="86" t="n"/>
      <c r="Q1121" s="89" t="n"/>
      <c r="R1121" s="89" t="n"/>
      <c r="S1121" s="89" t="n"/>
      <c r="T1121" s="55" t="n"/>
      <c r="Y1121" s="111" t="n"/>
      <c r="Z1121" s="111" t="n"/>
      <c r="AA1121" s="111" t="n"/>
      <c r="AK1121" s="55" t="n"/>
      <c r="AL1121" s="89" t="n"/>
    </row>
    <row r="1122">
      <c r="A1122" s="34" t="n">
        <v>1120</v>
      </c>
      <c r="B1122" s="34" t="n"/>
      <c r="C1122" s="34" t="n"/>
      <c r="D1122" s="34" t="n"/>
      <c r="E1122" s="34" t="n"/>
      <c r="F1122" s="86" t="n"/>
      <c r="G1122" s="86" t="n"/>
      <c r="H1122" s="111" t="n"/>
      <c r="I1122" s="87" t="n"/>
      <c r="J1122" s="87" t="n"/>
      <c r="K1122" s="111" t="n"/>
      <c r="L1122" s="86" t="n"/>
      <c r="M1122" s="101" t="n"/>
      <c r="N1122" s="89" t="n"/>
      <c r="O1122" s="144" t="n"/>
      <c r="P1122" s="86" t="n"/>
      <c r="Q1122" s="89" t="n"/>
      <c r="R1122" s="89" t="n"/>
      <c r="S1122" s="89" t="n"/>
      <c r="T1122" s="55" t="n"/>
      <c r="Y1122" s="111" t="n"/>
      <c r="Z1122" s="111" t="n"/>
      <c r="AA1122" s="111" t="n"/>
      <c r="AK1122" s="55" t="n"/>
      <c r="AL1122" s="89" t="n"/>
    </row>
    <row r="1123">
      <c r="A1123" s="34" t="n">
        <v>1121</v>
      </c>
      <c r="B1123" s="34" t="n"/>
      <c r="C1123" s="34" t="n"/>
      <c r="D1123" s="34" t="n"/>
      <c r="E1123" s="34" t="n"/>
      <c r="F1123" s="86" t="n"/>
      <c r="G1123" s="86" t="n"/>
      <c r="H1123" s="111" t="n"/>
      <c r="I1123" s="87" t="n"/>
      <c r="J1123" s="87" t="n"/>
      <c r="K1123" s="111" t="n"/>
      <c r="L1123" s="86" t="n"/>
      <c r="M1123" s="101" t="n"/>
      <c r="N1123" s="89" t="n"/>
      <c r="O1123" s="144" t="n"/>
      <c r="P1123" s="86" t="n"/>
      <c r="Q1123" s="89" t="n"/>
      <c r="R1123" s="89" t="n"/>
      <c r="S1123" s="89" t="n"/>
      <c r="T1123" s="55" t="n"/>
      <c r="Y1123" s="111" t="n"/>
      <c r="Z1123" s="111" t="n"/>
      <c r="AA1123" s="111" t="n"/>
      <c r="AK1123" s="55" t="n"/>
      <c r="AL1123" s="89" t="n"/>
    </row>
    <row r="1124">
      <c r="A1124" s="34" t="n">
        <v>1122</v>
      </c>
      <c r="B1124" s="34" t="n"/>
      <c r="C1124" s="34" t="n"/>
      <c r="D1124" s="34" t="n"/>
      <c r="E1124" s="34" t="n"/>
      <c r="F1124" s="86" t="n"/>
      <c r="G1124" s="86" t="n"/>
      <c r="H1124" s="111" t="n"/>
      <c r="I1124" s="87" t="n"/>
      <c r="J1124" s="87" t="n"/>
      <c r="K1124" s="111" t="n"/>
      <c r="L1124" s="86" t="n"/>
      <c r="M1124" s="101" t="n"/>
      <c r="N1124" s="89" t="n"/>
      <c r="O1124" s="144" t="n"/>
      <c r="P1124" s="86" t="n"/>
      <c r="Q1124" s="89" t="n"/>
      <c r="R1124" s="89" t="n"/>
      <c r="S1124" s="89" t="n"/>
      <c r="T1124" s="55" t="n"/>
      <c r="Y1124" s="111" t="n"/>
      <c r="Z1124" s="111" t="n"/>
      <c r="AA1124" s="111" t="n"/>
      <c r="AK1124" s="55" t="n"/>
      <c r="AL1124" s="89" t="n"/>
    </row>
    <row r="1125">
      <c r="A1125" s="34" t="n">
        <v>1123</v>
      </c>
      <c r="B1125" s="34" t="n"/>
      <c r="C1125" s="34" t="n"/>
      <c r="D1125" s="34" t="n"/>
      <c r="E1125" s="34" t="n"/>
      <c r="F1125" s="86" t="n"/>
      <c r="G1125" s="86" t="n"/>
      <c r="H1125" s="111" t="n"/>
      <c r="I1125" s="87" t="n"/>
      <c r="J1125" s="87" t="n"/>
      <c r="K1125" s="111" t="n"/>
      <c r="L1125" s="86" t="n"/>
      <c r="M1125" s="101" t="n"/>
      <c r="N1125" s="89" t="n"/>
      <c r="O1125" s="144" t="n"/>
      <c r="P1125" s="86" t="n"/>
      <c r="Q1125" s="89" t="n"/>
      <c r="R1125" s="89" t="n"/>
      <c r="S1125" s="89" t="n"/>
      <c r="T1125" s="55" t="n"/>
      <c r="Y1125" s="111" t="n"/>
      <c r="Z1125" s="111" t="n"/>
      <c r="AA1125" s="111" t="n"/>
      <c r="AK1125" s="55" t="n"/>
      <c r="AL1125" s="89" t="n"/>
    </row>
    <row r="1126">
      <c r="A1126" s="34" t="n">
        <v>1124</v>
      </c>
      <c r="B1126" s="34" t="n"/>
      <c r="C1126" s="34" t="n"/>
      <c r="D1126" s="34" t="n"/>
      <c r="E1126" s="34" t="n"/>
      <c r="F1126" s="86" t="n"/>
      <c r="G1126" s="86" t="n"/>
      <c r="H1126" s="111" t="n"/>
      <c r="I1126" s="87" t="n"/>
      <c r="J1126" s="87" t="n"/>
      <c r="K1126" s="111" t="n"/>
      <c r="L1126" s="86" t="n"/>
      <c r="M1126" s="101" t="n"/>
      <c r="N1126" s="89" t="n"/>
      <c r="O1126" s="144" t="n"/>
      <c r="P1126" s="86" t="n"/>
      <c r="Q1126" s="89" t="n"/>
      <c r="R1126" s="89" t="n"/>
      <c r="S1126" s="89" t="n"/>
      <c r="T1126" s="55" t="n"/>
      <c r="Y1126" s="111" t="n"/>
      <c r="Z1126" s="111" t="n"/>
      <c r="AA1126" s="111" t="n"/>
      <c r="AK1126" s="55" t="n"/>
      <c r="AL1126" s="89" t="n"/>
    </row>
    <row r="1127">
      <c r="A1127" s="34" t="n">
        <v>1125</v>
      </c>
      <c r="B1127" s="34" t="n"/>
      <c r="C1127" s="34" t="n"/>
      <c r="D1127" s="34" t="n"/>
      <c r="E1127" s="34" t="n"/>
      <c r="F1127" s="86" t="n"/>
      <c r="G1127" s="86" t="n"/>
      <c r="H1127" s="111" t="n"/>
      <c r="I1127" s="87" t="n"/>
      <c r="J1127" s="87" t="n"/>
      <c r="K1127" s="111" t="n"/>
      <c r="L1127" s="86" t="n"/>
      <c r="M1127" s="101" t="n"/>
      <c r="N1127" s="89" t="n"/>
      <c r="O1127" s="144" t="n"/>
      <c r="P1127" s="86" t="n"/>
      <c r="Q1127" s="89" t="n"/>
      <c r="R1127" s="89" t="n"/>
      <c r="S1127" s="89" t="n"/>
      <c r="T1127" s="55" t="n"/>
      <c r="Y1127" s="111" t="n"/>
      <c r="Z1127" s="111" t="n"/>
      <c r="AA1127" s="111" t="n"/>
      <c r="AK1127" s="55" t="n"/>
      <c r="AL1127" s="89" t="n"/>
    </row>
    <row r="1128">
      <c r="A1128" s="34" t="n">
        <v>1126</v>
      </c>
      <c r="B1128" s="34" t="n"/>
      <c r="C1128" s="34" t="n"/>
      <c r="D1128" s="34" t="n"/>
      <c r="E1128" s="34" t="n"/>
      <c r="F1128" s="86" t="n"/>
      <c r="G1128" s="86" t="n"/>
      <c r="H1128" s="111" t="n"/>
      <c r="I1128" s="87" t="n"/>
      <c r="J1128" s="87" t="n"/>
      <c r="K1128" s="111" t="n"/>
      <c r="L1128" s="86" t="n"/>
      <c r="M1128" s="101" t="n"/>
      <c r="N1128" s="89" t="n"/>
      <c r="O1128" s="144" t="n"/>
      <c r="P1128" s="86" t="n"/>
      <c r="Q1128" s="89" t="n"/>
      <c r="R1128" s="89" t="n"/>
      <c r="S1128" s="89" t="n"/>
      <c r="T1128" s="55" t="n"/>
      <c r="Y1128" s="111" t="n"/>
      <c r="Z1128" s="111" t="n"/>
      <c r="AA1128" s="111" t="n"/>
      <c r="AK1128" s="55" t="n"/>
      <c r="AL1128" s="89" t="n"/>
    </row>
    <row r="1129">
      <c r="A1129" s="34" t="n">
        <v>1127</v>
      </c>
      <c r="B1129" s="34" t="n"/>
      <c r="C1129" s="34" t="n"/>
      <c r="D1129" s="34" t="n"/>
      <c r="E1129" s="34" t="n"/>
      <c r="F1129" s="86" t="n"/>
      <c r="G1129" s="86" t="n"/>
      <c r="H1129" s="111" t="n"/>
      <c r="I1129" s="87" t="n"/>
      <c r="J1129" s="87" t="n"/>
      <c r="K1129" s="111" t="n"/>
      <c r="L1129" s="86" t="n"/>
      <c r="M1129" s="101" t="n"/>
      <c r="N1129" s="89" t="n"/>
      <c r="O1129" s="144" t="n"/>
      <c r="P1129" s="86" t="n"/>
      <c r="Q1129" s="89" t="n"/>
      <c r="R1129" s="89" t="n"/>
      <c r="S1129" s="89" t="n"/>
      <c r="T1129" s="55" t="n"/>
      <c r="Y1129" s="111" t="n"/>
      <c r="Z1129" s="111" t="n"/>
      <c r="AA1129" s="111" t="n"/>
      <c r="AK1129" s="55" t="n"/>
      <c r="AL1129" s="89" t="n"/>
    </row>
    <row r="1130">
      <c r="A1130" s="34" t="n">
        <v>1128</v>
      </c>
      <c r="B1130" s="34" t="n"/>
      <c r="C1130" s="34" t="n"/>
      <c r="D1130" s="34" t="n"/>
      <c r="E1130" s="34" t="n"/>
      <c r="F1130" s="86" t="n"/>
      <c r="G1130" s="86" t="n"/>
      <c r="H1130" s="111" t="n"/>
      <c r="I1130" s="87" t="n"/>
      <c r="J1130" s="87" t="n"/>
      <c r="K1130" s="111" t="n"/>
      <c r="L1130" s="86" t="n"/>
      <c r="M1130" s="101" t="n"/>
      <c r="N1130" s="89" t="n"/>
      <c r="O1130" s="144" t="n"/>
      <c r="P1130" s="86" t="n"/>
      <c r="Q1130" s="89" t="n"/>
      <c r="R1130" s="89" t="n"/>
      <c r="S1130" s="89" t="n"/>
      <c r="T1130" s="55" t="n"/>
      <c r="Y1130" s="111" t="n"/>
      <c r="Z1130" s="111" t="n"/>
      <c r="AA1130" s="111" t="n"/>
      <c r="AK1130" s="55" t="n"/>
      <c r="AL1130" s="89" t="n"/>
    </row>
    <row r="1131">
      <c r="A1131" s="34" t="n">
        <v>1129</v>
      </c>
      <c r="B1131" s="34" t="n"/>
      <c r="C1131" s="34" t="n"/>
      <c r="D1131" s="34" t="n"/>
      <c r="E1131" s="34" t="n"/>
      <c r="F1131" s="86" t="n"/>
      <c r="G1131" s="86" t="n"/>
      <c r="H1131" s="111" t="n"/>
      <c r="I1131" s="87" t="n"/>
      <c r="J1131" s="87" t="n"/>
      <c r="K1131" s="111" t="n"/>
      <c r="L1131" s="86" t="n"/>
      <c r="M1131" s="101" t="n"/>
      <c r="N1131" s="89" t="n"/>
      <c r="O1131" s="144" t="n"/>
      <c r="P1131" s="86" t="n"/>
      <c r="Q1131" s="89" t="n"/>
      <c r="R1131" s="89" t="n"/>
      <c r="S1131" s="89" t="n"/>
      <c r="T1131" s="55" t="n"/>
      <c r="Y1131" s="111" t="n"/>
      <c r="Z1131" s="111" t="n"/>
      <c r="AA1131" s="111" t="n"/>
      <c r="AK1131" s="55" t="n"/>
      <c r="AL1131" s="89" t="n"/>
    </row>
    <row r="1132">
      <c r="A1132" s="34" t="n">
        <v>1130</v>
      </c>
      <c r="B1132" s="34" t="n"/>
      <c r="C1132" s="34" t="n"/>
      <c r="D1132" s="34" t="n"/>
      <c r="E1132" s="34" t="n"/>
      <c r="F1132" s="86" t="n"/>
      <c r="G1132" s="86" t="n"/>
      <c r="H1132" s="111" t="n"/>
      <c r="I1132" s="87" t="n"/>
      <c r="J1132" s="87" t="n"/>
      <c r="K1132" s="111" t="n"/>
      <c r="L1132" s="86" t="n"/>
      <c r="M1132" s="101" t="n"/>
      <c r="N1132" s="89" t="n"/>
      <c r="O1132" s="144" t="n"/>
      <c r="P1132" s="86" t="n"/>
      <c r="Q1132" s="89" t="n"/>
      <c r="R1132" s="89" t="n"/>
      <c r="S1132" s="89" t="n"/>
      <c r="T1132" s="55" t="n"/>
      <c r="Y1132" s="111" t="n"/>
      <c r="Z1132" s="111" t="n"/>
      <c r="AA1132" s="111" t="n"/>
      <c r="AK1132" s="55" t="n"/>
      <c r="AL1132" s="89" t="n"/>
    </row>
    <row r="1133">
      <c r="A1133" s="34" t="n">
        <v>1131</v>
      </c>
      <c r="B1133" s="34" t="n"/>
      <c r="C1133" s="34" t="n"/>
      <c r="D1133" s="34" t="n"/>
      <c r="E1133" s="34" t="n"/>
      <c r="F1133" s="86" t="n"/>
      <c r="G1133" s="86" t="n"/>
      <c r="H1133" s="111" t="n"/>
      <c r="I1133" s="87" t="n"/>
      <c r="J1133" s="87" t="n"/>
      <c r="K1133" s="111" t="n"/>
      <c r="L1133" s="86" t="n"/>
      <c r="M1133" s="101" t="n"/>
      <c r="N1133" s="89" t="n"/>
      <c r="O1133" s="144" t="n"/>
      <c r="P1133" s="86" t="n"/>
      <c r="Q1133" s="89" t="n"/>
      <c r="R1133" s="89" t="n"/>
      <c r="S1133" s="89" t="n"/>
      <c r="T1133" s="55" t="n"/>
      <c r="Y1133" s="111" t="n"/>
      <c r="Z1133" s="111" t="n"/>
      <c r="AA1133" s="111" t="n"/>
      <c r="AK1133" s="55" t="n"/>
      <c r="AL1133" s="89" t="n"/>
    </row>
    <row r="1134">
      <c r="A1134" s="34" t="n">
        <v>1132</v>
      </c>
      <c r="B1134" s="34" t="n"/>
      <c r="C1134" s="34" t="n"/>
      <c r="D1134" s="34" t="n"/>
      <c r="E1134" s="34" t="n"/>
      <c r="F1134" s="86" t="n"/>
      <c r="G1134" s="86" t="n"/>
      <c r="H1134" s="111" t="n"/>
      <c r="I1134" s="87" t="n"/>
      <c r="J1134" s="87" t="n"/>
      <c r="K1134" s="111" t="n"/>
      <c r="L1134" s="86" t="n"/>
      <c r="M1134" s="101" t="n"/>
      <c r="N1134" s="89" t="n"/>
      <c r="O1134" s="144" t="n"/>
      <c r="P1134" s="86" t="n"/>
      <c r="Q1134" s="89" t="n"/>
      <c r="R1134" s="89" t="n"/>
      <c r="S1134" s="89" t="n"/>
      <c r="T1134" s="55" t="n"/>
      <c r="Y1134" s="111" t="n"/>
      <c r="Z1134" s="111" t="n"/>
      <c r="AA1134" s="111" t="n"/>
      <c r="AK1134" s="55" t="n"/>
      <c r="AL1134" s="89" t="n"/>
    </row>
    <row r="1135">
      <c r="A1135" s="34" t="n">
        <v>1133</v>
      </c>
      <c r="B1135" s="34" t="n"/>
      <c r="C1135" s="34" t="n"/>
      <c r="D1135" s="34" t="n"/>
      <c r="E1135" s="34" t="n"/>
      <c r="F1135" s="86" t="n"/>
      <c r="G1135" s="86" t="n"/>
      <c r="H1135" s="111" t="n"/>
      <c r="I1135" s="87" t="n"/>
      <c r="J1135" s="87" t="n"/>
      <c r="K1135" s="111" t="n"/>
      <c r="L1135" s="86" t="n"/>
      <c r="M1135" s="101" t="n"/>
      <c r="N1135" s="89" t="n"/>
      <c r="O1135" s="144" t="n"/>
      <c r="P1135" s="86" t="n"/>
      <c r="Q1135" s="89" t="n"/>
      <c r="R1135" s="89" t="n"/>
      <c r="S1135" s="89" t="n"/>
      <c r="T1135" s="55" t="n"/>
      <c r="Y1135" s="111" t="n"/>
      <c r="Z1135" s="111" t="n"/>
      <c r="AA1135" s="111" t="n"/>
      <c r="AK1135" s="55" t="n"/>
      <c r="AL1135" s="89" t="n"/>
    </row>
    <row r="1136">
      <c r="A1136" s="34" t="n">
        <v>1134</v>
      </c>
      <c r="B1136" s="34" t="n"/>
      <c r="C1136" s="34" t="n"/>
      <c r="D1136" s="34" t="n"/>
      <c r="E1136" s="34" t="n"/>
      <c r="F1136" s="86" t="n"/>
      <c r="G1136" s="86" t="n"/>
      <c r="H1136" s="111" t="n"/>
      <c r="I1136" s="87" t="n"/>
      <c r="J1136" s="87" t="n"/>
      <c r="K1136" s="111" t="n"/>
      <c r="L1136" s="86" t="n"/>
      <c r="M1136" s="101" t="n"/>
      <c r="N1136" s="89" t="n"/>
      <c r="O1136" s="144" t="n"/>
      <c r="P1136" s="86" t="n"/>
      <c r="Q1136" s="89" t="n"/>
      <c r="R1136" s="89" t="n"/>
      <c r="S1136" s="89" t="n"/>
      <c r="T1136" s="55" t="n"/>
      <c r="Y1136" s="111" t="n"/>
      <c r="Z1136" s="111" t="n"/>
      <c r="AA1136" s="111" t="n"/>
      <c r="AK1136" s="55" t="n"/>
      <c r="AL1136" s="89" t="n"/>
    </row>
    <row r="1137">
      <c r="A1137" s="34" t="n">
        <v>1135</v>
      </c>
      <c r="B1137" s="34" t="n"/>
      <c r="C1137" s="34" t="n"/>
      <c r="D1137" s="34" t="n"/>
      <c r="E1137" s="34" t="n"/>
      <c r="F1137" s="86" t="n"/>
      <c r="G1137" s="86" t="n"/>
      <c r="H1137" s="111" t="n"/>
      <c r="I1137" s="87" t="n"/>
      <c r="J1137" s="87" t="n"/>
      <c r="K1137" s="111" t="n"/>
      <c r="L1137" s="86" t="n"/>
      <c r="M1137" s="101" t="n"/>
      <c r="N1137" s="89" t="n"/>
      <c r="O1137" s="144" t="n"/>
      <c r="P1137" s="86" t="n"/>
      <c r="Q1137" s="89" t="n"/>
      <c r="R1137" s="89" t="n"/>
      <c r="S1137" s="89" t="n"/>
      <c r="T1137" s="55" t="n"/>
      <c r="Y1137" s="111" t="n"/>
      <c r="Z1137" s="111" t="n"/>
      <c r="AA1137" s="111" t="n"/>
      <c r="AK1137" s="55" t="n"/>
      <c r="AL1137" s="89" t="n"/>
    </row>
    <row r="1138">
      <c r="A1138" s="34" t="n">
        <v>1136</v>
      </c>
      <c r="B1138" s="34" t="n"/>
      <c r="C1138" s="34" t="n"/>
      <c r="D1138" s="34" t="n"/>
      <c r="E1138" s="34" t="n"/>
      <c r="F1138" s="86" t="n"/>
      <c r="G1138" s="86" t="n"/>
      <c r="H1138" s="111" t="n"/>
      <c r="I1138" s="87" t="n"/>
      <c r="J1138" s="87" t="n"/>
      <c r="K1138" s="111" t="n"/>
      <c r="L1138" s="86" t="n"/>
      <c r="M1138" s="101" t="n"/>
      <c r="N1138" s="89" t="n"/>
      <c r="O1138" s="144" t="n"/>
      <c r="P1138" s="86" t="n"/>
      <c r="Q1138" s="89" t="n"/>
      <c r="R1138" s="89" t="n"/>
      <c r="S1138" s="89" t="n"/>
      <c r="T1138" s="55" t="n"/>
      <c r="Y1138" s="111" t="n"/>
      <c r="Z1138" s="111" t="n"/>
      <c r="AA1138" s="111" t="n"/>
      <c r="AK1138" s="55" t="n"/>
      <c r="AL1138" s="89" t="n"/>
    </row>
    <row r="1139">
      <c r="A1139" s="34" t="n">
        <v>1137</v>
      </c>
      <c r="B1139" s="34" t="n"/>
      <c r="C1139" s="34" t="n"/>
      <c r="D1139" s="34" t="n"/>
      <c r="E1139" s="34" t="n"/>
      <c r="F1139" s="86" t="n"/>
      <c r="G1139" s="86" t="n"/>
      <c r="H1139" s="111" t="n"/>
      <c r="I1139" s="87" t="n"/>
      <c r="J1139" s="87" t="n"/>
      <c r="K1139" s="111" t="n"/>
      <c r="L1139" s="86" t="n"/>
      <c r="M1139" s="101" t="n"/>
      <c r="N1139" s="89" t="n"/>
      <c r="O1139" s="144" t="n"/>
      <c r="P1139" s="86" t="n"/>
      <c r="Q1139" s="89" t="n"/>
      <c r="R1139" s="89" t="n"/>
      <c r="S1139" s="89" t="n"/>
      <c r="T1139" s="55" t="n"/>
      <c r="Y1139" s="111" t="n"/>
      <c r="Z1139" s="111" t="n"/>
      <c r="AA1139" s="111" t="n"/>
      <c r="AK1139" s="55" t="n"/>
      <c r="AL1139" s="89" t="n"/>
    </row>
    <row r="1140">
      <c r="A1140" s="34" t="n">
        <v>1138</v>
      </c>
      <c r="B1140" s="34" t="n"/>
      <c r="C1140" s="34" t="n"/>
      <c r="D1140" s="34" t="n"/>
      <c r="E1140" s="34" t="n"/>
      <c r="F1140" s="86" t="n"/>
      <c r="G1140" s="86" t="n"/>
      <c r="H1140" s="111" t="n"/>
      <c r="I1140" s="87" t="n"/>
      <c r="J1140" s="87" t="n"/>
      <c r="K1140" s="111" t="n"/>
      <c r="L1140" s="86" t="n"/>
      <c r="M1140" s="101" t="n"/>
      <c r="N1140" s="89" t="n"/>
      <c r="O1140" s="144" t="n"/>
      <c r="P1140" s="86" t="n"/>
      <c r="Q1140" s="89" t="n"/>
      <c r="R1140" s="89" t="n"/>
      <c r="S1140" s="89" t="n"/>
      <c r="T1140" s="55" t="n"/>
      <c r="Y1140" s="111" t="n"/>
      <c r="Z1140" s="111" t="n"/>
      <c r="AA1140" s="111" t="n"/>
      <c r="AK1140" s="55" t="n"/>
      <c r="AL1140" s="89" t="n"/>
    </row>
    <row r="1141">
      <c r="A1141" s="34" t="n">
        <v>1139</v>
      </c>
      <c r="B1141" s="34" t="n"/>
      <c r="C1141" s="34" t="n"/>
      <c r="D1141" s="34" t="n"/>
      <c r="E1141" s="34" t="n"/>
      <c r="F1141" s="86" t="n"/>
      <c r="G1141" s="86" t="n"/>
      <c r="H1141" s="111" t="n"/>
      <c r="I1141" s="87" t="n"/>
      <c r="J1141" s="87" t="n"/>
      <c r="K1141" s="111" t="n"/>
      <c r="L1141" s="86" t="n"/>
      <c r="M1141" s="101" t="n"/>
      <c r="N1141" s="89" t="n"/>
      <c r="O1141" s="144" t="n"/>
      <c r="P1141" s="86" t="n"/>
      <c r="Q1141" s="89" t="n"/>
      <c r="R1141" s="89" t="n"/>
      <c r="S1141" s="89" t="n"/>
      <c r="T1141" s="55" t="n"/>
      <c r="Y1141" s="111" t="n"/>
      <c r="Z1141" s="111" t="n"/>
      <c r="AA1141" s="111" t="n"/>
      <c r="AK1141" s="55" t="n"/>
      <c r="AL1141" s="89" t="n"/>
    </row>
    <row r="1142">
      <c r="A1142" s="34" t="n">
        <v>1140</v>
      </c>
      <c r="B1142" s="34" t="n"/>
      <c r="C1142" s="34" t="n"/>
      <c r="D1142" s="34" t="n"/>
      <c r="E1142" s="34" t="n"/>
      <c r="F1142" s="86" t="n"/>
      <c r="G1142" s="86" t="n"/>
      <c r="H1142" s="111" t="n"/>
      <c r="I1142" s="87" t="n"/>
      <c r="J1142" s="87" t="n"/>
      <c r="K1142" s="111" t="n"/>
      <c r="L1142" s="86" t="n"/>
      <c r="M1142" s="101" t="n"/>
      <c r="N1142" s="89" t="n"/>
      <c r="O1142" s="144" t="n"/>
      <c r="P1142" s="86" t="n"/>
      <c r="Q1142" s="89" t="n"/>
      <c r="R1142" s="89" t="n"/>
      <c r="S1142" s="89" t="n"/>
      <c r="T1142" s="55" t="n"/>
      <c r="Y1142" s="111" t="n"/>
      <c r="Z1142" s="111" t="n"/>
      <c r="AA1142" s="111" t="n"/>
      <c r="AK1142" s="55" t="n"/>
      <c r="AL1142" s="89" t="n"/>
    </row>
    <row r="1143">
      <c r="A1143" s="34" t="n">
        <v>1141</v>
      </c>
      <c r="B1143" s="34" t="n"/>
      <c r="C1143" s="34" t="n"/>
      <c r="D1143" s="34" t="n"/>
      <c r="E1143" s="34" t="n"/>
      <c r="F1143" s="86" t="n"/>
      <c r="G1143" s="86" t="n"/>
      <c r="H1143" s="111" t="n"/>
      <c r="I1143" s="87" t="n"/>
      <c r="J1143" s="87" t="n"/>
      <c r="K1143" s="111" t="n"/>
      <c r="L1143" s="86" t="n"/>
      <c r="M1143" s="101" t="n"/>
      <c r="N1143" s="89" t="n"/>
      <c r="O1143" s="144" t="n"/>
      <c r="P1143" s="86" t="n"/>
      <c r="Q1143" s="89" t="n"/>
      <c r="R1143" s="89" t="n"/>
      <c r="S1143" s="89" t="n"/>
      <c r="T1143" s="55" t="n"/>
      <c r="Y1143" s="111" t="n"/>
      <c r="Z1143" s="111" t="n"/>
      <c r="AA1143" s="111" t="n"/>
      <c r="AK1143" s="55" t="n"/>
      <c r="AL1143" s="89" t="n"/>
    </row>
    <row r="1144">
      <c r="A1144" s="34" t="n">
        <v>1142</v>
      </c>
      <c r="B1144" s="34" t="n"/>
      <c r="C1144" s="34" t="n"/>
      <c r="D1144" s="34" t="n"/>
      <c r="E1144" s="34" t="n"/>
      <c r="F1144" s="86" t="n"/>
      <c r="G1144" s="86" t="n"/>
      <c r="H1144" s="111" t="n"/>
      <c r="I1144" s="87" t="n"/>
      <c r="J1144" s="87" t="n"/>
      <c r="K1144" s="111" t="n"/>
      <c r="L1144" s="86" t="n"/>
      <c r="M1144" s="101" t="n"/>
      <c r="N1144" s="89" t="n"/>
      <c r="O1144" s="144" t="n"/>
      <c r="P1144" s="86" t="n"/>
      <c r="Q1144" s="89" t="n"/>
      <c r="R1144" s="89" t="n"/>
      <c r="S1144" s="89" t="n"/>
      <c r="T1144" s="55" t="n"/>
      <c r="Y1144" s="111" t="n"/>
      <c r="Z1144" s="111" t="n"/>
      <c r="AA1144" s="111" t="n"/>
      <c r="AK1144" s="55" t="n"/>
      <c r="AL1144" s="89" t="n"/>
    </row>
    <row r="1145">
      <c r="A1145" s="34" t="n">
        <v>1143</v>
      </c>
      <c r="B1145" s="34" t="n"/>
      <c r="C1145" s="34" t="n"/>
      <c r="D1145" s="34" t="n"/>
      <c r="E1145" s="34" t="n"/>
      <c r="F1145" s="86" t="n"/>
      <c r="G1145" s="86" t="n"/>
      <c r="H1145" s="111" t="n"/>
      <c r="I1145" s="87" t="n"/>
      <c r="J1145" s="87" t="n"/>
      <c r="K1145" s="111" t="n"/>
      <c r="L1145" s="86" t="n"/>
      <c r="M1145" s="101" t="n"/>
      <c r="N1145" s="89" t="n"/>
      <c r="O1145" s="144" t="n"/>
      <c r="P1145" s="86" t="n"/>
      <c r="Q1145" s="89" t="n"/>
      <c r="R1145" s="89" t="n"/>
      <c r="S1145" s="89" t="n"/>
      <c r="T1145" s="55" t="n"/>
      <c r="Y1145" s="111" t="n"/>
      <c r="Z1145" s="111" t="n"/>
      <c r="AA1145" s="111" t="n"/>
      <c r="AK1145" s="55" t="n"/>
      <c r="AL1145" s="89" t="n"/>
    </row>
    <row r="1146">
      <c r="A1146" s="34" t="n">
        <v>1144</v>
      </c>
      <c r="B1146" s="34" t="n"/>
      <c r="C1146" s="34" t="n"/>
      <c r="D1146" s="34" t="n"/>
      <c r="E1146" s="34" t="n"/>
      <c r="F1146" s="86" t="n"/>
      <c r="G1146" s="86" t="n"/>
      <c r="H1146" s="111" t="n"/>
      <c r="I1146" s="87" t="n"/>
      <c r="J1146" s="87" t="n"/>
      <c r="K1146" s="111" t="n"/>
      <c r="L1146" s="86" t="n"/>
      <c r="M1146" s="101" t="n"/>
      <c r="N1146" s="89" t="n"/>
      <c r="O1146" s="144" t="n"/>
      <c r="P1146" s="86" t="n"/>
      <c r="Q1146" s="89" t="n"/>
      <c r="R1146" s="89" t="n"/>
      <c r="S1146" s="89" t="n"/>
      <c r="T1146" s="55" t="n"/>
      <c r="Y1146" s="111" t="n"/>
      <c r="Z1146" s="111" t="n"/>
      <c r="AA1146" s="111" t="n"/>
      <c r="AK1146" s="55" t="n"/>
      <c r="AL1146" s="89" t="n"/>
    </row>
    <row r="1147">
      <c r="A1147" s="34" t="n">
        <v>1145</v>
      </c>
      <c r="B1147" s="34" t="n"/>
      <c r="C1147" s="34" t="n"/>
      <c r="D1147" s="34" t="n"/>
      <c r="E1147" s="34" t="n"/>
      <c r="F1147" s="86" t="n"/>
      <c r="G1147" s="86" t="n"/>
      <c r="H1147" s="111" t="n"/>
      <c r="I1147" s="87" t="n"/>
      <c r="J1147" s="87" t="n"/>
      <c r="K1147" s="111" t="n"/>
      <c r="L1147" s="86" t="n"/>
      <c r="M1147" s="101" t="n"/>
      <c r="N1147" s="89" t="n"/>
      <c r="O1147" s="144" t="n"/>
      <c r="P1147" s="86" t="n"/>
      <c r="Q1147" s="89" t="n"/>
      <c r="R1147" s="89" t="n"/>
      <c r="S1147" s="89" t="n"/>
      <c r="T1147" s="55" t="n"/>
      <c r="Y1147" s="111" t="n"/>
      <c r="Z1147" s="111" t="n"/>
      <c r="AA1147" s="111" t="n"/>
      <c r="AK1147" s="55" t="n"/>
      <c r="AL1147" s="89" t="n"/>
    </row>
    <row r="1148">
      <c r="A1148" s="34" t="n">
        <v>1146</v>
      </c>
      <c r="B1148" s="34" t="n"/>
      <c r="C1148" s="34" t="n"/>
      <c r="D1148" s="34" t="n"/>
      <c r="E1148" s="34" t="n"/>
      <c r="F1148" s="86" t="n"/>
      <c r="G1148" s="86" t="n"/>
      <c r="H1148" s="111" t="n"/>
      <c r="I1148" s="87" t="n"/>
      <c r="J1148" s="87" t="n"/>
      <c r="K1148" s="111" t="n"/>
      <c r="L1148" s="86" t="n"/>
      <c r="M1148" s="101" t="n"/>
      <c r="N1148" s="89" t="n"/>
      <c r="O1148" s="144" t="n"/>
      <c r="P1148" s="86" t="n"/>
      <c r="Q1148" s="89" t="n"/>
      <c r="R1148" s="89" t="n"/>
      <c r="S1148" s="89" t="n"/>
      <c r="T1148" s="55" t="n"/>
      <c r="Y1148" s="111" t="n"/>
      <c r="Z1148" s="111" t="n"/>
      <c r="AA1148" s="111" t="n"/>
      <c r="AK1148" s="55" t="n"/>
      <c r="AL1148" s="89" t="n"/>
    </row>
    <row r="1149">
      <c r="A1149" s="34" t="n">
        <v>1147</v>
      </c>
      <c r="B1149" s="34" t="n"/>
      <c r="C1149" s="34" t="n"/>
      <c r="D1149" s="34" t="n"/>
      <c r="E1149" s="34" t="n"/>
      <c r="F1149" s="86" t="n"/>
      <c r="G1149" s="86" t="n"/>
      <c r="H1149" s="111" t="n"/>
      <c r="I1149" s="87" t="n"/>
      <c r="J1149" s="87" t="n"/>
      <c r="K1149" s="111" t="n"/>
      <c r="L1149" s="86" t="n"/>
      <c r="M1149" s="101" t="n"/>
      <c r="N1149" s="89" t="n"/>
      <c r="O1149" s="144" t="n"/>
      <c r="P1149" s="86" t="n"/>
      <c r="Q1149" s="89" t="n"/>
      <c r="R1149" s="89" t="n"/>
      <c r="S1149" s="89" t="n"/>
      <c r="T1149" s="55" t="n"/>
      <c r="Y1149" s="111" t="n"/>
      <c r="Z1149" s="111" t="n"/>
      <c r="AA1149" s="111" t="n"/>
      <c r="AK1149" s="55" t="n"/>
      <c r="AL1149" s="89" t="n"/>
    </row>
    <row r="1150">
      <c r="A1150" s="34" t="n">
        <v>1148</v>
      </c>
      <c r="B1150" s="34" t="n"/>
      <c r="C1150" s="34" t="n"/>
      <c r="D1150" s="34" t="n"/>
      <c r="E1150" s="34" t="n"/>
      <c r="F1150" s="86" t="n"/>
      <c r="G1150" s="86" t="n"/>
      <c r="H1150" s="111" t="n"/>
      <c r="I1150" s="87" t="n"/>
      <c r="J1150" s="87" t="n"/>
      <c r="K1150" s="111" t="n"/>
      <c r="L1150" s="86" t="n"/>
      <c r="M1150" s="101" t="n"/>
      <c r="N1150" s="89" t="n"/>
      <c r="O1150" s="144" t="n"/>
      <c r="P1150" s="86" t="n"/>
      <c r="Q1150" s="89" t="n"/>
      <c r="R1150" s="89" t="n"/>
      <c r="S1150" s="89" t="n"/>
      <c r="T1150" s="55" t="n"/>
      <c r="Y1150" s="111" t="n"/>
      <c r="Z1150" s="111" t="n"/>
      <c r="AA1150" s="111" t="n"/>
      <c r="AK1150" s="55" t="n"/>
      <c r="AL1150" s="89" t="n"/>
    </row>
    <row r="1151">
      <c r="A1151" s="34" t="n">
        <v>1149</v>
      </c>
      <c r="B1151" s="34" t="n"/>
      <c r="C1151" s="34" t="n"/>
      <c r="D1151" s="34" t="n"/>
      <c r="E1151" s="34" t="n"/>
      <c r="F1151" s="86" t="n"/>
      <c r="G1151" s="86" t="n"/>
      <c r="H1151" s="111" t="n"/>
      <c r="I1151" s="87" t="n"/>
      <c r="J1151" s="87" t="n"/>
      <c r="K1151" s="111" t="n"/>
      <c r="L1151" s="86" t="n"/>
      <c r="M1151" s="101" t="n"/>
      <c r="N1151" s="89" t="n"/>
      <c r="O1151" s="144" t="n"/>
      <c r="P1151" s="86" t="n"/>
      <c r="Q1151" s="89" t="n"/>
      <c r="R1151" s="89" t="n"/>
      <c r="S1151" s="89" t="n"/>
      <c r="T1151" s="55" t="n"/>
      <c r="Y1151" s="111" t="n"/>
      <c r="Z1151" s="111" t="n"/>
      <c r="AA1151" s="111" t="n"/>
      <c r="AK1151" s="55" t="n"/>
      <c r="AL1151" s="89" t="n"/>
    </row>
    <row r="1152">
      <c r="A1152" s="34" t="n">
        <v>1150</v>
      </c>
      <c r="B1152" s="34" t="n"/>
      <c r="C1152" s="34" t="n"/>
      <c r="D1152" s="34" t="n"/>
      <c r="E1152" s="34" t="n"/>
      <c r="F1152" s="86" t="n"/>
      <c r="G1152" s="86" t="n"/>
      <c r="H1152" s="111" t="n"/>
      <c r="I1152" s="87" t="n"/>
      <c r="J1152" s="87" t="n"/>
      <c r="K1152" s="111" t="n"/>
      <c r="L1152" s="86" t="n"/>
      <c r="M1152" s="101" t="n"/>
      <c r="N1152" s="89" t="n"/>
      <c r="O1152" s="144" t="n"/>
      <c r="P1152" s="86" t="n"/>
      <c r="Q1152" s="89" t="n"/>
      <c r="R1152" s="89" t="n"/>
      <c r="S1152" s="89" t="n"/>
      <c r="T1152" s="55" t="n"/>
      <c r="Y1152" s="111" t="n"/>
      <c r="Z1152" s="111" t="n"/>
      <c r="AA1152" s="111" t="n"/>
      <c r="AK1152" s="55" t="n"/>
      <c r="AL1152" s="89" t="n"/>
    </row>
    <row r="1153">
      <c r="A1153" s="34" t="n">
        <v>1151</v>
      </c>
      <c r="B1153" s="34" t="n"/>
      <c r="C1153" s="34" t="n"/>
      <c r="D1153" s="34" t="n"/>
      <c r="E1153" s="34" t="n"/>
      <c r="F1153" s="86" t="n"/>
      <c r="G1153" s="86" t="n"/>
      <c r="H1153" s="111" t="n"/>
      <c r="I1153" s="87" t="n"/>
      <c r="J1153" s="87" t="n"/>
      <c r="K1153" s="111" t="n"/>
      <c r="L1153" s="86" t="n"/>
      <c r="M1153" s="101" t="n"/>
      <c r="N1153" s="89" t="n"/>
      <c r="O1153" s="144" t="n"/>
      <c r="P1153" s="86" t="n"/>
      <c r="Q1153" s="89" t="n"/>
      <c r="R1153" s="89" t="n"/>
      <c r="S1153" s="89" t="n"/>
      <c r="T1153" s="55" t="n"/>
      <c r="Y1153" s="111" t="n"/>
      <c r="Z1153" s="111" t="n"/>
      <c r="AA1153" s="111" t="n"/>
      <c r="AK1153" s="55" t="n"/>
      <c r="AL1153" s="89" t="n"/>
    </row>
    <row r="1154">
      <c r="A1154" s="34" t="n">
        <v>1152</v>
      </c>
      <c r="B1154" s="34" t="n"/>
      <c r="C1154" s="34" t="n"/>
      <c r="D1154" s="34" t="n"/>
      <c r="E1154" s="34" t="n"/>
      <c r="F1154" s="86" t="n"/>
      <c r="G1154" s="86" t="n"/>
      <c r="H1154" s="111" t="n"/>
      <c r="I1154" s="87" t="n"/>
      <c r="J1154" s="87" t="n"/>
      <c r="K1154" s="111" t="n"/>
      <c r="L1154" s="86" t="n"/>
      <c r="M1154" s="101" t="n"/>
      <c r="N1154" s="89" t="n"/>
      <c r="O1154" s="144" t="n"/>
      <c r="P1154" s="86" t="n"/>
      <c r="Q1154" s="89" t="n"/>
      <c r="R1154" s="89" t="n"/>
      <c r="S1154" s="89" t="n"/>
      <c r="T1154" s="55" t="n"/>
      <c r="Y1154" s="111" t="n"/>
      <c r="Z1154" s="111" t="n"/>
      <c r="AA1154" s="111" t="n"/>
      <c r="AK1154" s="55" t="n"/>
      <c r="AL1154" s="89" t="n"/>
    </row>
    <row r="1155">
      <c r="A1155" s="34" t="n">
        <v>1153</v>
      </c>
      <c r="B1155" s="34" t="n"/>
      <c r="C1155" s="34" t="n"/>
      <c r="D1155" s="34" t="n"/>
      <c r="E1155" s="34" t="n"/>
      <c r="F1155" s="86" t="n"/>
      <c r="G1155" s="86" t="n"/>
      <c r="H1155" s="111" t="n"/>
      <c r="I1155" s="87" t="n"/>
      <c r="J1155" s="87" t="n"/>
      <c r="K1155" s="111" t="n"/>
      <c r="L1155" s="86" t="n"/>
      <c r="M1155" s="101" t="n"/>
      <c r="N1155" s="89" t="n"/>
      <c r="O1155" s="144" t="n"/>
      <c r="P1155" s="86" t="n"/>
      <c r="Q1155" s="89" t="n"/>
      <c r="R1155" s="89" t="n"/>
      <c r="S1155" s="89" t="n"/>
      <c r="T1155" s="55" t="n"/>
      <c r="Y1155" s="111" t="n"/>
      <c r="Z1155" s="111" t="n"/>
      <c r="AA1155" s="111" t="n"/>
      <c r="AK1155" s="55" t="n"/>
      <c r="AL1155" s="89" t="n"/>
    </row>
    <row r="1156">
      <c r="A1156" s="34" t="n">
        <v>1154</v>
      </c>
      <c r="B1156" s="34" t="n"/>
      <c r="C1156" s="34" t="n"/>
      <c r="D1156" s="34" t="n"/>
      <c r="E1156" s="34" t="n"/>
      <c r="F1156" s="86" t="n"/>
      <c r="G1156" s="86" t="n"/>
      <c r="H1156" s="111" t="n"/>
      <c r="I1156" s="87" t="n"/>
      <c r="J1156" s="87" t="n"/>
      <c r="K1156" s="111" t="n"/>
      <c r="L1156" s="86" t="n"/>
      <c r="M1156" s="101" t="n"/>
      <c r="N1156" s="89" t="n"/>
      <c r="O1156" s="144" t="n"/>
      <c r="P1156" s="86" t="n"/>
      <c r="Q1156" s="89" t="n"/>
      <c r="R1156" s="89" t="n"/>
      <c r="S1156" s="89" t="n"/>
      <c r="T1156" s="55" t="n"/>
      <c r="Y1156" s="111" t="n"/>
      <c r="Z1156" s="111" t="n"/>
      <c r="AA1156" s="111" t="n"/>
      <c r="AK1156" s="55" t="n"/>
      <c r="AL1156" s="89" t="n"/>
    </row>
    <row r="1157">
      <c r="A1157" s="34" t="n">
        <v>1155</v>
      </c>
      <c r="B1157" s="34" t="n"/>
      <c r="C1157" s="34" t="n"/>
      <c r="D1157" s="34" t="n"/>
      <c r="E1157" s="34" t="n"/>
      <c r="F1157" s="86" t="n"/>
      <c r="G1157" s="86" t="n"/>
      <c r="H1157" s="111" t="n"/>
      <c r="I1157" s="87" t="n"/>
      <c r="J1157" s="87" t="n"/>
      <c r="K1157" s="111" t="n"/>
      <c r="L1157" s="86" t="n"/>
      <c r="M1157" s="101" t="n"/>
      <c r="N1157" s="89" t="n"/>
      <c r="O1157" s="144" t="n"/>
      <c r="P1157" s="86" t="n"/>
      <c r="Q1157" s="89" t="n"/>
      <c r="R1157" s="89" t="n"/>
      <c r="S1157" s="89" t="n"/>
      <c r="T1157" s="55" t="n"/>
      <c r="Y1157" s="111" t="n"/>
      <c r="Z1157" s="111" t="n"/>
      <c r="AA1157" s="111" t="n"/>
      <c r="AK1157" s="55" t="n"/>
      <c r="AL1157" s="89" t="n"/>
    </row>
    <row r="1158">
      <c r="A1158" s="34" t="n">
        <v>1156</v>
      </c>
      <c r="B1158" s="34" t="n"/>
      <c r="C1158" s="34" t="n"/>
      <c r="D1158" s="34" t="n"/>
      <c r="E1158" s="34" t="n"/>
      <c r="F1158" s="86" t="n"/>
      <c r="G1158" s="86" t="n"/>
      <c r="H1158" s="111" t="n"/>
      <c r="I1158" s="87" t="n"/>
      <c r="J1158" s="87" t="n"/>
      <c r="K1158" s="111" t="n"/>
      <c r="L1158" s="86" t="n"/>
      <c r="M1158" s="101" t="n"/>
      <c r="N1158" s="89" t="n"/>
      <c r="O1158" s="144" t="n"/>
      <c r="P1158" s="86" t="n"/>
      <c r="Q1158" s="89" t="n"/>
      <c r="R1158" s="89" t="n"/>
      <c r="S1158" s="89" t="n"/>
      <c r="T1158" s="55" t="n"/>
      <c r="Y1158" s="111" t="n"/>
      <c r="Z1158" s="111" t="n"/>
      <c r="AA1158" s="111" t="n"/>
      <c r="AK1158" s="55" t="n"/>
      <c r="AL1158" s="89" t="n"/>
    </row>
    <row r="1159">
      <c r="A1159" s="34" t="n">
        <v>1157</v>
      </c>
      <c r="B1159" s="34" t="n"/>
      <c r="C1159" s="34" t="n"/>
      <c r="D1159" s="34" t="n"/>
      <c r="E1159" s="34" t="n"/>
      <c r="F1159" s="86" t="n"/>
      <c r="G1159" s="86" t="n"/>
      <c r="H1159" s="111" t="n"/>
      <c r="I1159" s="87" t="n"/>
      <c r="J1159" s="87" t="n"/>
      <c r="K1159" s="111" t="n"/>
      <c r="L1159" s="86" t="n"/>
      <c r="M1159" s="101" t="n"/>
      <c r="N1159" s="89" t="n"/>
      <c r="O1159" s="144" t="n"/>
      <c r="P1159" s="86" t="n"/>
      <c r="Q1159" s="89" t="n"/>
      <c r="R1159" s="89" t="n"/>
      <c r="S1159" s="89" t="n"/>
      <c r="T1159" s="55" t="n"/>
      <c r="Y1159" s="111" t="n"/>
      <c r="Z1159" s="111" t="n"/>
      <c r="AA1159" s="111" t="n"/>
      <c r="AK1159" s="55" t="n"/>
      <c r="AL1159" s="89" t="n"/>
    </row>
    <row r="1160">
      <c r="A1160" s="34" t="n">
        <v>1158</v>
      </c>
      <c r="B1160" s="34" t="n"/>
      <c r="C1160" s="34" t="n"/>
      <c r="D1160" s="34" t="n"/>
      <c r="E1160" s="34" t="n"/>
      <c r="F1160" s="86" t="n"/>
      <c r="G1160" s="86" t="n"/>
      <c r="H1160" s="111" t="n"/>
      <c r="I1160" s="87" t="n"/>
      <c r="J1160" s="87" t="n"/>
      <c r="K1160" s="111" t="n"/>
      <c r="L1160" s="86" t="n"/>
      <c r="M1160" s="101" t="n"/>
      <c r="N1160" s="89" t="n"/>
      <c r="O1160" s="144" t="n"/>
      <c r="P1160" s="86" t="n"/>
      <c r="Q1160" s="89" t="n"/>
      <c r="R1160" s="89" t="n"/>
      <c r="S1160" s="89" t="n"/>
      <c r="T1160" s="55" t="n"/>
      <c r="Y1160" s="111" t="n"/>
      <c r="Z1160" s="111" t="n"/>
      <c r="AA1160" s="111" t="n"/>
      <c r="AK1160" s="55" t="n"/>
      <c r="AL1160" s="89" t="n"/>
    </row>
    <row r="1161">
      <c r="A1161" s="34" t="n">
        <v>1159</v>
      </c>
      <c r="B1161" s="34" t="n"/>
      <c r="C1161" s="34" t="n"/>
      <c r="D1161" s="34" t="n"/>
      <c r="E1161" s="34" t="n"/>
      <c r="F1161" s="86" t="n"/>
      <c r="G1161" s="86" t="n"/>
      <c r="H1161" s="111" t="n"/>
      <c r="I1161" s="87" t="n"/>
      <c r="J1161" s="87" t="n"/>
      <c r="K1161" s="111" t="n"/>
      <c r="L1161" s="86" t="n"/>
      <c r="M1161" s="101" t="n"/>
      <c r="N1161" s="89" t="n"/>
      <c r="O1161" s="144" t="n"/>
      <c r="P1161" s="86" t="n"/>
      <c r="Q1161" s="89" t="n"/>
      <c r="R1161" s="89" t="n"/>
      <c r="S1161" s="89" t="n"/>
      <c r="T1161" s="55" t="n"/>
      <c r="Y1161" s="111" t="n"/>
      <c r="Z1161" s="111" t="n"/>
      <c r="AA1161" s="111" t="n"/>
      <c r="AK1161" s="55" t="n"/>
      <c r="AL1161" s="89" t="n"/>
    </row>
    <row r="1162">
      <c r="A1162" s="34" t="n">
        <v>1160</v>
      </c>
      <c r="B1162" s="34" t="n"/>
      <c r="C1162" s="34" t="n"/>
      <c r="D1162" s="34" t="n"/>
      <c r="E1162" s="34" t="n"/>
      <c r="F1162" s="86" t="n"/>
      <c r="G1162" s="86" t="n"/>
      <c r="H1162" s="111" t="n"/>
      <c r="I1162" s="87" t="n"/>
      <c r="J1162" s="87" t="n"/>
      <c r="K1162" s="111" t="n"/>
      <c r="L1162" s="86" t="n"/>
      <c r="M1162" s="101" t="n"/>
      <c r="N1162" s="89" t="n"/>
      <c r="O1162" s="144" t="n"/>
      <c r="P1162" s="86" t="n"/>
      <c r="Q1162" s="89" t="n"/>
      <c r="R1162" s="89" t="n"/>
      <c r="S1162" s="89" t="n"/>
      <c r="T1162" s="55" t="n"/>
      <c r="Y1162" s="111" t="n"/>
      <c r="Z1162" s="111" t="n"/>
      <c r="AA1162" s="111" t="n"/>
      <c r="AK1162" s="55" t="n"/>
      <c r="AL1162" s="89" t="n"/>
    </row>
    <row r="1163">
      <c r="A1163" s="34" t="n">
        <v>1161</v>
      </c>
      <c r="B1163" s="34" t="n"/>
      <c r="C1163" s="34" t="n"/>
      <c r="D1163" s="34" t="n"/>
      <c r="E1163" s="34" t="n"/>
      <c r="F1163" s="86" t="n"/>
      <c r="G1163" s="86" t="n"/>
      <c r="H1163" s="111" t="n"/>
      <c r="I1163" s="87" t="n"/>
      <c r="J1163" s="87" t="n"/>
      <c r="K1163" s="111" t="n"/>
      <c r="L1163" s="86" t="n"/>
      <c r="M1163" s="101" t="n"/>
      <c r="N1163" s="89" t="n"/>
      <c r="O1163" s="144" t="n"/>
      <c r="P1163" s="86" t="n"/>
      <c r="Q1163" s="89" t="n"/>
      <c r="R1163" s="89" t="n"/>
      <c r="S1163" s="89" t="n"/>
      <c r="T1163" s="55" t="n"/>
      <c r="Y1163" s="111" t="n"/>
      <c r="Z1163" s="111" t="n"/>
      <c r="AA1163" s="111" t="n"/>
      <c r="AK1163" s="55" t="n"/>
      <c r="AL1163" s="89" t="n"/>
    </row>
    <row r="1164">
      <c r="A1164" s="34" t="n">
        <v>1162</v>
      </c>
      <c r="B1164" s="34" t="n"/>
      <c r="C1164" s="34" t="n"/>
      <c r="D1164" s="34" t="n"/>
      <c r="E1164" s="34" t="n"/>
      <c r="F1164" s="86" t="n"/>
      <c r="G1164" s="86" t="n"/>
      <c r="H1164" s="111" t="n"/>
      <c r="I1164" s="87" t="n"/>
      <c r="J1164" s="87" t="n"/>
      <c r="K1164" s="111" t="n"/>
      <c r="L1164" s="86" t="n"/>
      <c r="M1164" s="101" t="n"/>
      <c r="N1164" s="89" t="n"/>
      <c r="O1164" s="144" t="n"/>
      <c r="P1164" s="86" t="n"/>
      <c r="Q1164" s="89" t="n"/>
      <c r="R1164" s="89" t="n"/>
      <c r="S1164" s="89" t="n"/>
      <c r="T1164" s="55" t="n"/>
      <c r="Y1164" s="111" t="n"/>
      <c r="Z1164" s="111" t="n"/>
      <c r="AA1164" s="111" t="n"/>
      <c r="AK1164" s="55" t="n"/>
      <c r="AL1164" s="89" t="n"/>
    </row>
    <row r="1165">
      <c r="A1165" s="34" t="n">
        <v>1163</v>
      </c>
      <c r="B1165" s="34" t="n"/>
      <c r="C1165" s="34" t="n"/>
      <c r="D1165" s="34" t="n"/>
      <c r="E1165" s="34" t="n"/>
      <c r="F1165" s="86" t="n"/>
      <c r="G1165" s="86" t="n"/>
      <c r="H1165" s="111" t="n"/>
      <c r="I1165" s="87" t="n"/>
      <c r="J1165" s="87" t="n"/>
      <c r="K1165" s="111" t="n"/>
      <c r="L1165" s="86" t="n"/>
      <c r="M1165" s="101" t="n"/>
      <c r="N1165" s="89" t="n"/>
      <c r="O1165" s="144" t="n"/>
      <c r="P1165" s="86" t="n"/>
      <c r="Q1165" s="89" t="n"/>
      <c r="R1165" s="89" t="n"/>
      <c r="S1165" s="89" t="n"/>
      <c r="T1165" s="55" t="n"/>
      <c r="Y1165" s="111" t="n"/>
      <c r="Z1165" s="111" t="n"/>
      <c r="AA1165" s="111" t="n"/>
      <c r="AK1165" s="55" t="n"/>
      <c r="AL1165" s="89" t="n"/>
    </row>
    <row r="1166">
      <c r="A1166" s="34" t="n">
        <v>1164</v>
      </c>
      <c r="B1166" s="34" t="n"/>
      <c r="C1166" s="34" t="n"/>
      <c r="D1166" s="34" t="n"/>
      <c r="E1166" s="34" t="n"/>
      <c r="F1166" s="86" t="n"/>
      <c r="G1166" s="86" t="n"/>
      <c r="H1166" s="111" t="n"/>
      <c r="I1166" s="87" t="n"/>
      <c r="J1166" s="87" t="n"/>
      <c r="K1166" s="111" t="n"/>
      <c r="L1166" s="86" t="n"/>
      <c r="M1166" s="101" t="n"/>
      <c r="N1166" s="89" t="n"/>
      <c r="O1166" s="144" t="n"/>
      <c r="P1166" s="86" t="n"/>
      <c r="Q1166" s="89" t="n"/>
      <c r="R1166" s="89" t="n"/>
      <c r="S1166" s="89" t="n"/>
      <c r="T1166" s="55" t="n"/>
      <c r="Y1166" s="111" t="n"/>
      <c r="Z1166" s="111" t="n"/>
      <c r="AA1166" s="111" t="n"/>
      <c r="AK1166" s="55" t="n"/>
      <c r="AL1166" s="89" t="n"/>
    </row>
    <row r="1167">
      <c r="A1167" s="34" t="n">
        <v>1165</v>
      </c>
      <c r="B1167" s="34" t="n"/>
      <c r="C1167" s="34" t="n"/>
      <c r="D1167" s="34" t="n"/>
      <c r="E1167" s="34" t="n"/>
      <c r="F1167" s="86" t="n"/>
      <c r="G1167" s="86" t="n"/>
      <c r="H1167" s="111" t="n"/>
      <c r="I1167" s="87" t="n"/>
      <c r="J1167" s="87" t="n"/>
      <c r="K1167" s="111" t="n"/>
      <c r="L1167" s="86" t="n"/>
      <c r="M1167" s="101" t="n"/>
      <c r="N1167" s="89" t="n"/>
      <c r="O1167" s="144" t="n"/>
      <c r="P1167" s="86" t="n"/>
      <c r="Q1167" s="89" t="n"/>
      <c r="R1167" s="89" t="n"/>
      <c r="S1167" s="89" t="n"/>
      <c r="T1167" s="55" t="n"/>
      <c r="Y1167" s="111" t="n"/>
      <c r="Z1167" s="111" t="n"/>
      <c r="AA1167" s="111" t="n"/>
      <c r="AK1167" s="55" t="n"/>
      <c r="AL1167" s="89" t="n"/>
    </row>
    <row r="1168">
      <c r="A1168" s="34" t="n">
        <v>1166</v>
      </c>
      <c r="B1168" s="34" t="n"/>
      <c r="C1168" s="34" t="n"/>
      <c r="D1168" s="34" t="n"/>
      <c r="E1168" s="34" t="n"/>
      <c r="F1168" s="86" t="n"/>
      <c r="G1168" s="86" t="n"/>
      <c r="H1168" s="111" t="n"/>
      <c r="I1168" s="87" t="n"/>
      <c r="J1168" s="87" t="n"/>
      <c r="K1168" s="111" t="n"/>
      <c r="L1168" s="86" t="n"/>
      <c r="M1168" s="101" t="n"/>
      <c r="N1168" s="89" t="n"/>
      <c r="O1168" s="144" t="n"/>
      <c r="P1168" s="86" t="n"/>
      <c r="Q1168" s="89" t="n"/>
      <c r="R1168" s="89" t="n"/>
      <c r="S1168" s="89" t="n"/>
      <c r="T1168" s="55" t="n"/>
      <c r="Y1168" s="111" t="n"/>
      <c r="Z1168" s="111" t="n"/>
      <c r="AA1168" s="111" t="n"/>
      <c r="AK1168" s="55" t="n"/>
      <c r="AL1168" s="89" t="n"/>
    </row>
    <row r="1169">
      <c r="A1169" s="34" t="n">
        <v>1167</v>
      </c>
      <c r="B1169" s="34" t="n"/>
      <c r="C1169" s="34" t="n"/>
      <c r="D1169" s="34" t="n"/>
      <c r="E1169" s="34" t="n"/>
      <c r="F1169" s="86" t="n"/>
      <c r="G1169" s="86" t="n"/>
      <c r="H1169" s="111" t="n"/>
      <c r="I1169" s="87" t="n"/>
      <c r="J1169" s="87" t="n"/>
      <c r="K1169" s="111" t="n"/>
      <c r="L1169" s="86" t="n"/>
      <c r="M1169" s="101" t="n"/>
      <c r="N1169" s="89" t="n"/>
      <c r="O1169" s="144" t="n"/>
      <c r="P1169" s="86" t="n"/>
      <c r="Q1169" s="89" t="n"/>
      <c r="R1169" s="89" t="n"/>
      <c r="S1169" s="89" t="n"/>
      <c r="T1169" s="55" t="n"/>
      <c r="Y1169" s="111" t="n"/>
      <c r="Z1169" s="111" t="n"/>
      <c r="AA1169" s="111" t="n"/>
      <c r="AK1169" s="55" t="n"/>
      <c r="AL1169" s="89" t="n"/>
    </row>
    <row r="1170">
      <c r="A1170" s="34" t="n">
        <v>1168</v>
      </c>
      <c r="B1170" s="34" t="n"/>
      <c r="C1170" s="34" t="n"/>
      <c r="D1170" s="34" t="n"/>
      <c r="E1170" s="34" t="n"/>
      <c r="F1170" s="86" t="n"/>
      <c r="G1170" s="86" t="n"/>
      <c r="H1170" s="111" t="n"/>
      <c r="I1170" s="87" t="n"/>
      <c r="J1170" s="87" t="n"/>
      <c r="K1170" s="111" t="n"/>
      <c r="L1170" s="86" t="n"/>
      <c r="M1170" s="101" t="n"/>
      <c r="N1170" s="89" t="n"/>
      <c r="O1170" s="144" t="n"/>
      <c r="P1170" s="86" t="n"/>
      <c r="Q1170" s="89" t="n"/>
      <c r="R1170" s="89" t="n"/>
      <c r="S1170" s="89" t="n"/>
      <c r="T1170" s="55" t="n"/>
      <c r="Y1170" s="111" t="n"/>
      <c r="Z1170" s="111" t="n"/>
      <c r="AA1170" s="111" t="n"/>
      <c r="AK1170" s="55" t="n"/>
      <c r="AL1170" s="89" t="n"/>
    </row>
    <row r="1171">
      <c r="A1171" s="34" t="n">
        <v>1169</v>
      </c>
      <c r="B1171" s="34" t="n"/>
      <c r="C1171" s="34" t="n"/>
      <c r="D1171" s="34" t="n"/>
      <c r="E1171" s="34" t="n"/>
      <c r="F1171" s="86" t="n"/>
      <c r="G1171" s="86" t="n"/>
      <c r="H1171" s="111" t="n"/>
      <c r="I1171" s="87" t="n"/>
      <c r="J1171" s="87" t="n"/>
      <c r="K1171" s="111" t="n"/>
      <c r="L1171" s="86" t="n"/>
      <c r="M1171" s="101" t="n"/>
      <c r="N1171" s="89" t="n"/>
      <c r="O1171" s="144" t="n"/>
      <c r="P1171" s="86" t="n"/>
      <c r="Q1171" s="89" t="n"/>
      <c r="R1171" s="89" t="n"/>
      <c r="S1171" s="89" t="n"/>
      <c r="T1171" s="55" t="n"/>
      <c r="Y1171" s="111" t="n"/>
      <c r="Z1171" s="111" t="n"/>
      <c r="AA1171" s="111" t="n"/>
      <c r="AK1171" s="55" t="n"/>
      <c r="AL1171" s="89" t="n"/>
    </row>
    <row r="1172">
      <c r="A1172" s="34" t="n">
        <v>1170</v>
      </c>
      <c r="B1172" s="34" t="n"/>
      <c r="C1172" s="34" t="n"/>
      <c r="D1172" s="34" t="n"/>
      <c r="E1172" s="34" t="n"/>
      <c r="F1172" s="86" t="n"/>
      <c r="G1172" s="86" t="n"/>
      <c r="H1172" s="111" t="n"/>
      <c r="I1172" s="87" t="n"/>
      <c r="J1172" s="87" t="n"/>
      <c r="K1172" s="111" t="n"/>
      <c r="L1172" s="86" t="n"/>
      <c r="M1172" s="101" t="n"/>
      <c r="N1172" s="89" t="n"/>
      <c r="O1172" s="144" t="n"/>
      <c r="P1172" s="86" t="n"/>
      <c r="Q1172" s="89" t="n"/>
      <c r="R1172" s="89" t="n"/>
      <c r="S1172" s="89" t="n"/>
      <c r="T1172" s="55" t="n"/>
      <c r="Y1172" s="111" t="n"/>
      <c r="Z1172" s="111" t="n"/>
      <c r="AA1172" s="111" t="n"/>
      <c r="AK1172" s="55" t="n"/>
      <c r="AL1172" s="89" t="n"/>
    </row>
    <row r="1173">
      <c r="A1173" s="34" t="n">
        <v>1171</v>
      </c>
      <c r="B1173" s="34" t="n"/>
      <c r="C1173" s="34" t="n"/>
      <c r="D1173" s="34" t="n"/>
      <c r="E1173" s="34" t="n"/>
      <c r="F1173" s="86" t="n"/>
      <c r="G1173" s="86" t="n"/>
      <c r="H1173" s="111" t="n"/>
      <c r="I1173" s="87" t="n"/>
      <c r="J1173" s="87" t="n"/>
      <c r="K1173" s="111" t="n"/>
      <c r="L1173" s="86" t="n"/>
      <c r="M1173" s="101" t="n"/>
      <c r="N1173" s="89" t="n"/>
      <c r="O1173" s="144" t="n"/>
      <c r="P1173" s="86" t="n"/>
      <c r="Q1173" s="89" t="n"/>
      <c r="R1173" s="89" t="n"/>
      <c r="S1173" s="89" t="n"/>
      <c r="T1173" s="55" t="n"/>
      <c r="Y1173" s="111" t="n"/>
      <c r="Z1173" s="111" t="n"/>
      <c r="AA1173" s="111" t="n"/>
      <c r="AK1173" s="55" t="n"/>
      <c r="AL1173" s="89" t="n"/>
    </row>
    <row r="1174">
      <c r="A1174" s="34" t="n">
        <v>1172</v>
      </c>
      <c r="B1174" s="34" t="n"/>
      <c r="C1174" s="34" t="n"/>
      <c r="D1174" s="34" t="n"/>
      <c r="E1174" s="34" t="n"/>
      <c r="F1174" s="86" t="n"/>
      <c r="G1174" s="86" t="n"/>
      <c r="H1174" s="111" t="n"/>
      <c r="I1174" s="87" t="n"/>
      <c r="J1174" s="87" t="n"/>
      <c r="K1174" s="111" t="n"/>
      <c r="L1174" s="86" t="n"/>
      <c r="M1174" s="101" t="n"/>
      <c r="N1174" s="89" t="n"/>
      <c r="O1174" s="144" t="n"/>
      <c r="P1174" s="86" t="n"/>
      <c r="Q1174" s="89" t="n"/>
      <c r="R1174" s="89" t="n"/>
      <c r="S1174" s="89" t="n"/>
      <c r="T1174" s="55" t="n"/>
      <c r="Y1174" s="111" t="n"/>
      <c r="Z1174" s="111" t="n"/>
      <c r="AA1174" s="111" t="n"/>
      <c r="AK1174" s="55" t="n"/>
      <c r="AL1174" s="89" t="n"/>
    </row>
    <row r="1175">
      <c r="A1175" s="34" t="n">
        <v>1173</v>
      </c>
      <c r="B1175" s="34" t="n"/>
      <c r="C1175" s="34" t="n"/>
      <c r="D1175" s="34" t="n"/>
      <c r="E1175" s="34" t="n"/>
      <c r="F1175" s="86" t="n"/>
      <c r="G1175" s="86" t="n"/>
      <c r="H1175" s="111" t="n"/>
      <c r="I1175" s="87" t="n"/>
      <c r="J1175" s="87" t="n"/>
      <c r="K1175" s="111" t="n"/>
      <c r="L1175" s="86" t="n"/>
      <c r="M1175" s="101" t="n"/>
      <c r="N1175" s="89" t="n"/>
      <c r="O1175" s="144" t="n"/>
      <c r="P1175" s="86" t="n"/>
      <c r="Q1175" s="89" t="n"/>
      <c r="R1175" s="89" t="n"/>
      <c r="S1175" s="89" t="n"/>
      <c r="T1175" s="55" t="n"/>
      <c r="Y1175" s="111" t="n"/>
      <c r="Z1175" s="111" t="n"/>
      <c r="AA1175" s="111" t="n"/>
      <c r="AK1175" s="55" t="n"/>
      <c r="AL1175" s="89" t="n"/>
    </row>
    <row r="1176">
      <c r="A1176" s="34" t="n">
        <v>1174</v>
      </c>
      <c r="B1176" s="34" t="n"/>
      <c r="C1176" s="34" t="n"/>
      <c r="D1176" s="34" t="n"/>
      <c r="E1176" s="34" t="n"/>
      <c r="F1176" s="86" t="n"/>
      <c r="G1176" s="86" t="n"/>
      <c r="H1176" s="111" t="n"/>
      <c r="I1176" s="87" t="n"/>
      <c r="J1176" s="87" t="n"/>
      <c r="K1176" s="111" t="n"/>
      <c r="L1176" s="86" t="n"/>
      <c r="M1176" s="101" t="n"/>
      <c r="N1176" s="89" t="n"/>
      <c r="O1176" s="144" t="n"/>
      <c r="P1176" s="86" t="n"/>
      <c r="Q1176" s="89" t="n"/>
      <c r="R1176" s="89" t="n"/>
      <c r="S1176" s="89" t="n"/>
      <c r="T1176" s="55" t="n"/>
      <c r="Y1176" s="111" t="n"/>
      <c r="Z1176" s="111" t="n"/>
      <c r="AA1176" s="111" t="n"/>
      <c r="AK1176" s="55" t="n"/>
      <c r="AL1176" s="89" t="n"/>
    </row>
    <row r="1177">
      <c r="A1177" s="34" t="n">
        <v>1175</v>
      </c>
      <c r="B1177" s="34" t="n"/>
      <c r="C1177" s="34" t="n"/>
      <c r="D1177" s="34" t="n"/>
      <c r="E1177" s="34" t="n"/>
      <c r="F1177" s="86" t="n"/>
      <c r="G1177" s="86" t="n"/>
      <c r="H1177" s="111" t="n"/>
      <c r="I1177" s="87" t="n"/>
      <c r="J1177" s="87" t="n"/>
      <c r="K1177" s="111" t="n"/>
      <c r="L1177" s="86" t="n"/>
      <c r="M1177" s="101" t="n"/>
      <c r="N1177" s="89" t="n"/>
      <c r="O1177" s="144" t="n"/>
      <c r="P1177" s="86" t="n"/>
      <c r="Q1177" s="89" t="n"/>
      <c r="R1177" s="89" t="n"/>
      <c r="S1177" s="89" t="n"/>
      <c r="T1177" s="55" t="n"/>
      <c r="Y1177" s="111" t="n"/>
      <c r="Z1177" s="111" t="n"/>
      <c r="AA1177" s="111" t="n"/>
      <c r="AK1177" s="55" t="n"/>
      <c r="AL1177" s="89" t="n"/>
    </row>
    <row r="1178">
      <c r="A1178" s="34" t="n">
        <v>1176</v>
      </c>
      <c r="B1178" s="34" t="n"/>
      <c r="C1178" s="34" t="n"/>
      <c r="D1178" s="34" t="n"/>
      <c r="E1178" s="34" t="n"/>
      <c r="F1178" s="86" t="n"/>
      <c r="G1178" s="86" t="n"/>
      <c r="H1178" s="111" t="n"/>
      <c r="I1178" s="87" t="n"/>
      <c r="J1178" s="87" t="n"/>
      <c r="K1178" s="111" t="n"/>
      <c r="L1178" s="86" t="n"/>
      <c r="M1178" s="101" t="n"/>
      <c r="N1178" s="89" t="n"/>
      <c r="O1178" s="144" t="n"/>
      <c r="P1178" s="86" t="n"/>
      <c r="Q1178" s="89" t="n"/>
      <c r="R1178" s="89" t="n"/>
      <c r="S1178" s="89" t="n"/>
      <c r="T1178" s="55" t="n"/>
      <c r="Y1178" s="111" t="n"/>
      <c r="Z1178" s="111" t="n"/>
      <c r="AA1178" s="111" t="n"/>
      <c r="AK1178" s="55" t="n"/>
      <c r="AL1178" s="89" t="n"/>
    </row>
    <row r="1179">
      <c r="A1179" s="34" t="n">
        <v>1177</v>
      </c>
      <c r="B1179" s="34" t="n"/>
      <c r="C1179" s="34" t="n"/>
      <c r="D1179" s="34" t="n"/>
      <c r="E1179" s="34" t="n"/>
      <c r="F1179" s="86" t="n"/>
      <c r="G1179" s="86" t="n"/>
      <c r="H1179" s="111" t="n"/>
      <c r="I1179" s="87" t="n"/>
      <c r="J1179" s="87" t="n"/>
      <c r="K1179" s="111" t="n"/>
      <c r="L1179" s="86" t="n"/>
      <c r="M1179" s="101" t="n"/>
      <c r="N1179" s="89" t="n"/>
      <c r="O1179" s="144" t="n"/>
      <c r="P1179" s="86" t="n"/>
      <c r="Q1179" s="89" t="n"/>
      <c r="R1179" s="89" t="n"/>
      <c r="S1179" s="89" t="n"/>
      <c r="T1179" s="55" t="n"/>
      <c r="Y1179" s="111" t="n"/>
      <c r="Z1179" s="111" t="n"/>
      <c r="AA1179" s="111" t="n"/>
      <c r="AK1179" s="55" t="n"/>
      <c r="AL1179" s="89" t="n"/>
    </row>
    <row r="1180">
      <c r="A1180" s="34" t="n">
        <v>1178</v>
      </c>
      <c r="B1180" s="34" t="n"/>
      <c r="C1180" s="34" t="n"/>
      <c r="D1180" s="34" t="n"/>
      <c r="E1180" s="34" t="n"/>
      <c r="F1180" s="86" t="n"/>
      <c r="G1180" s="86" t="n"/>
      <c r="H1180" s="111" t="n"/>
      <c r="I1180" s="87" t="n"/>
      <c r="J1180" s="87" t="n"/>
      <c r="K1180" s="111" t="n"/>
      <c r="L1180" s="86" t="n"/>
      <c r="M1180" s="101" t="n"/>
      <c r="N1180" s="89" t="n"/>
      <c r="O1180" s="144" t="n"/>
      <c r="P1180" s="86" t="n"/>
      <c r="Q1180" s="89" t="n"/>
      <c r="R1180" s="89" t="n"/>
      <c r="S1180" s="89" t="n"/>
      <c r="T1180" s="55" t="n"/>
      <c r="Y1180" s="111" t="n"/>
      <c r="Z1180" s="111" t="n"/>
      <c r="AA1180" s="111" t="n"/>
      <c r="AK1180" s="55" t="n"/>
      <c r="AL1180" s="89" t="n"/>
    </row>
    <row r="1181">
      <c r="A1181" s="34" t="n">
        <v>1179</v>
      </c>
      <c r="B1181" s="34" t="n"/>
      <c r="C1181" s="34" t="n"/>
      <c r="D1181" s="34" t="n"/>
      <c r="E1181" s="34" t="n"/>
      <c r="F1181" s="86" t="n"/>
      <c r="G1181" s="86" t="n"/>
      <c r="H1181" s="111" t="n"/>
      <c r="I1181" s="87" t="n"/>
      <c r="J1181" s="87" t="n"/>
      <c r="K1181" s="111" t="n"/>
      <c r="L1181" s="86" t="n"/>
      <c r="M1181" s="101" t="n"/>
      <c r="N1181" s="89" t="n"/>
      <c r="O1181" s="144" t="n"/>
      <c r="P1181" s="86" t="n"/>
      <c r="Q1181" s="89" t="n"/>
      <c r="R1181" s="89" t="n"/>
      <c r="S1181" s="89" t="n"/>
      <c r="T1181" s="55" t="n"/>
      <c r="Y1181" s="111" t="n"/>
      <c r="Z1181" s="111" t="n"/>
      <c r="AA1181" s="111" t="n"/>
      <c r="AK1181" s="55" t="n"/>
      <c r="AL1181" s="89" t="n"/>
    </row>
    <row r="1182">
      <c r="A1182" s="34" t="n">
        <v>1180</v>
      </c>
      <c r="B1182" s="34" t="n"/>
      <c r="C1182" s="34" t="n"/>
      <c r="D1182" s="34" t="n"/>
      <c r="E1182" s="34" t="n"/>
      <c r="F1182" s="86" t="n"/>
      <c r="G1182" s="86" t="n"/>
      <c r="H1182" s="111" t="n"/>
      <c r="I1182" s="87" t="n"/>
      <c r="J1182" s="87" t="n"/>
      <c r="K1182" s="111" t="n"/>
      <c r="L1182" s="86" t="n"/>
      <c r="M1182" s="101" t="n"/>
      <c r="N1182" s="89" t="n"/>
      <c r="O1182" s="144" t="n"/>
      <c r="P1182" s="86" t="n"/>
      <c r="Q1182" s="89" t="n"/>
      <c r="R1182" s="89" t="n"/>
      <c r="S1182" s="89" t="n"/>
      <c r="T1182" s="55" t="n"/>
      <c r="Y1182" s="111" t="n"/>
      <c r="Z1182" s="111" t="n"/>
      <c r="AA1182" s="111" t="n"/>
      <c r="AK1182" s="55" t="n"/>
      <c r="AL1182" s="89" t="n"/>
    </row>
    <row r="1183">
      <c r="A1183" s="34" t="n">
        <v>1181</v>
      </c>
      <c r="B1183" s="34" t="n"/>
      <c r="C1183" s="34" t="n"/>
      <c r="D1183" s="34" t="n"/>
      <c r="E1183" s="34" t="n"/>
      <c r="F1183" s="86" t="n"/>
      <c r="G1183" s="86" t="n"/>
      <c r="H1183" s="111" t="n"/>
      <c r="I1183" s="87" t="n"/>
      <c r="J1183" s="87" t="n"/>
      <c r="K1183" s="111" t="n"/>
      <c r="L1183" s="86" t="n"/>
      <c r="M1183" s="101" t="n"/>
      <c r="N1183" s="89" t="n"/>
      <c r="O1183" s="144" t="n"/>
      <c r="P1183" s="86" t="n"/>
      <c r="Q1183" s="89" t="n"/>
      <c r="R1183" s="89" t="n"/>
      <c r="S1183" s="89" t="n"/>
      <c r="T1183" s="55" t="n"/>
      <c r="Y1183" s="111" t="n"/>
      <c r="Z1183" s="111" t="n"/>
      <c r="AA1183" s="111" t="n"/>
      <c r="AK1183" s="55" t="n"/>
      <c r="AL1183" s="89" t="n"/>
    </row>
    <row r="1184">
      <c r="A1184" s="34" t="n">
        <v>1182</v>
      </c>
      <c r="B1184" s="34" t="n"/>
      <c r="C1184" s="34" t="n"/>
      <c r="D1184" s="34" t="n"/>
      <c r="E1184" s="34" t="n"/>
      <c r="F1184" s="86" t="n"/>
      <c r="G1184" s="86" t="n"/>
      <c r="H1184" s="111" t="n"/>
      <c r="I1184" s="87" t="n"/>
      <c r="J1184" s="87" t="n"/>
      <c r="K1184" s="111" t="n"/>
      <c r="L1184" s="86" t="n"/>
      <c r="M1184" s="101" t="n"/>
      <c r="N1184" s="89" t="n"/>
      <c r="O1184" s="144" t="n"/>
      <c r="P1184" s="86" t="n"/>
      <c r="Q1184" s="89" t="n"/>
      <c r="R1184" s="89" t="n"/>
      <c r="S1184" s="89" t="n"/>
      <c r="T1184" s="55" t="n"/>
      <c r="Y1184" s="111" t="n"/>
      <c r="Z1184" s="111" t="n"/>
      <c r="AA1184" s="111" t="n"/>
      <c r="AK1184" s="55" t="n"/>
      <c r="AL1184" s="89" t="n"/>
    </row>
    <row r="1185">
      <c r="A1185" s="34" t="n">
        <v>1183</v>
      </c>
      <c r="B1185" s="34" t="n"/>
      <c r="C1185" s="34" t="n"/>
      <c r="D1185" s="34" t="n"/>
      <c r="E1185" s="34" t="n"/>
      <c r="F1185" s="86" t="n"/>
      <c r="G1185" s="86" t="n"/>
      <c r="H1185" s="111" t="n"/>
      <c r="I1185" s="87" t="n"/>
      <c r="J1185" s="87" t="n"/>
      <c r="K1185" s="111" t="n"/>
      <c r="L1185" s="86" t="n"/>
      <c r="M1185" s="101" t="n"/>
      <c r="N1185" s="89" t="n"/>
      <c r="O1185" s="144" t="n"/>
      <c r="P1185" s="86" t="n"/>
      <c r="Q1185" s="89" t="n"/>
      <c r="R1185" s="89" t="n"/>
      <c r="S1185" s="89" t="n"/>
      <c r="T1185" s="55" t="n"/>
      <c r="Y1185" s="111" t="n"/>
      <c r="Z1185" s="111" t="n"/>
      <c r="AA1185" s="111" t="n"/>
      <c r="AK1185" s="55" t="n"/>
      <c r="AL1185" s="89" t="n"/>
    </row>
    <row r="1186">
      <c r="A1186" s="34" t="n">
        <v>1184</v>
      </c>
      <c r="B1186" s="34" t="n"/>
      <c r="C1186" s="34" t="n"/>
      <c r="D1186" s="34" t="n"/>
      <c r="E1186" s="34" t="n"/>
      <c r="F1186" s="86" t="n"/>
      <c r="G1186" s="86" t="n"/>
      <c r="H1186" s="111" t="n"/>
      <c r="I1186" s="87" t="n"/>
      <c r="J1186" s="87" t="n"/>
      <c r="K1186" s="111" t="n"/>
      <c r="L1186" s="86" t="n"/>
      <c r="M1186" s="101" t="n"/>
      <c r="N1186" s="89" t="n"/>
      <c r="O1186" s="144" t="n"/>
      <c r="P1186" s="86" t="n"/>
      <c r="Q1186" s="89" t="n"/>
      <c r="R1186" s="89" t="n"/>
      <c r="S1186" s="89" t="n"/>
      <c r="T1186" s="55" t="n"/>
      <c r="Y1186" s="111" t="n"/>
      <c r="Z1186" s="111" t="n"/>
      <c r="AA1186" s="111" t="n"/>
      <c r="AK1186" s="55" t="n"/>
      <c r="AL1186" s="89" t="n"/>
    </row>
    <row r="1187">
      <c r="A1187" s="34" t="n">
        <v>1185</v>
      </c>
      <c r="B1187" s="34" t="n"/>
      <c r="C1187" s="34" t="n"/>
      <c r="D1187" s="34" t="n"/>
      <c r="E1187" s="34" t="n"/>
      <c r="F1187" s="86" t="n"/>
      <c r="G1187" s="86" t="n"/>
      <c r="H1187" s="111" t="n"/>
      <c r="I1187" s="87" t="n"/>
      <c r="J1187" s="87" t="n"/>
      <c r="K1187" s="111" t="n"/>
      <c r="L1187" s="86" t="n"/>
      <c r="M1187" s="101" t="n"/>
      <c r="N1187" s="89" t="n"/>
      <c r="O1187" s="144" t="n"/>
      <c r="P1187" s="86" t="n"/>
      <c r="Q1187" s="89" t="n"/>
      <c r="R1187" s="89" t="n"/>
      <c r="S1187" s="89" t="n"/>
      <c r="T1187" s="55" t="n"/>
      <c r="Y1187" s="111" t="n"/>
      <c r="Z1187" s="111" t="n"/>
      <c r="AA1187" s="111" t="n"/>
      <c r="AK1187" s="55" t="n"/>
      <c r="AL1187" s="89" t="n"/>
    </row>
    <row r="1188">
      <c r="A1188" s="34" t="n">
        <v>1186</v>
      </c>
      <c r="B1188" s="34" t="n"/>
      <c r="C1188" s="34" t="n"/>
      <c r="D1188" s="34" t="n"/>
      <c r="E1188" s="34" t="n"/>
      <c r="F1188" s="86" t="n"/>
      <c r="G1188" s="86" t="n"/>
      <c r="H1188" s="111" t="n"/>
      <c r="I1188" s="87" t="n"/>
      <c r="J1188" s="87" t="n"/>
      <c r="K1188" s="111" t="n"/>
      <c r="L1188" s="86" t="n"/>
      <c r="M1188" s="101" t="n"/>
      <c r="N1188" s="89" t="n"/>
      <c r="O1188" s="144" t="n"/>
      <c r="P1188" s="86" t="n"/>
      <c r="Q1188" s="89" t="n"/>
      <c r="R1188" s="89" t="n"/>
      <c r="S1188" s="89" t="n"/>
      <c r="T1188" s="55" t="n"/>
      <c r="Y1188" s="111" t="n"/>
      <c r="Z1188" s="111" t="n"/>
      <c r="AA1188" s="111" t="n"/>
      <c r="AK1188" s="55" t="n"/>
      <c r="AL1188" s="89" t="n"/>
    </row>
    <row r="1189">
      <c r="A1189" s="34" t="n">
        <v>1187</v>
      </c>
      <c r="B1189" s="34" t="n"/>
      <c r="C1189" s="34" t="n"/>
      <c r="D1189" s="34" t="n"/>
      <c r="E1189" s="34" t="n"/>
      <c r="F1189" s="86" t="n"/>
      <c r="G1189" s="86" t="n"/>
      <c r="H1189" s="111" t="n"/>
      <c r="I1189" s="87" t="n"/>
      <c r="J1189" s="87" t="n"/>
      <c r="K1189" s="111" t="n"/>
      <c r="L1189" s="86" t="n"/>
      <c r="M1189" s="101" t="n"/>
      <c r="N1189" s="89" t="n"/>
      <c r="O1189" s="144" t="n"/>
      <c r="P1189" s="86" t="n"/>
      <c r="Q1189" s="89" t="n"/>
      <c r="R1189" s="89" t="n"/>
      <c r="S1189" s="89" t="n"/>
      <c r="T1189" s="55" t="n"/>
      <c r="Y1189" s="111" t="n"/>
      <c r="Z1189" s="111" t="n"/>
      <c r="AA1189" s="111" t="n"/>
      <c r="AK1189" s="55" t="n"/>
      <c r="AL1189" s="89" t="n"/>
    </row>
    <row r="1190">
      <c r="A1190" s="34" t="n">
        <v>1188</v>
      </c>
      <c r="B1190" s="34" t="n"/>
      <c r="C1190" s="34" t="n"/>
      <c r="D1190" s="34" t="n"/>
      <c r="E1190" s="34" t="n"/>
      <c r="F1190" s="86" t="n"/>
      <c r="G1190" s="86" t="n"/>
      <c r="H1190" s="111" t="n"/>
      <c r="I1190" s="87" t="n"/>
      <c r="J1190" s="87" t="n"/>
      <c r="K1190" s="111" t="n"/>
      <c r="L1190" s="86" t="n"/>
      <c r="M1190" s="101" t="n"/>
      <c r="N1190" s="89" t="n"/>
      <c r="O1190" s="144" t="n"/>
      <c r="P1190" s="86" t="n"/>
      <c r="Q1190" s="89" t="n"/>
      <c r="R1190" s="89" t="n"/>
      <c r="S1190" s="89" t="n"/>
      <c r="T1190" s="55" t="n"/>
      <c r="Y1190" s="111" t="n"/>
      <c r="Z1190" s="111" t="n"/>
      <c r="AA1190" s="111" t="n"/>
      <c r="AK1190" s="55" t="n"/>
      <c r="AL1190" s="89" t="n"/>
    </row>
    <row r="1191">
      <c r="A1191" s="34" t="n">
        <v>1189</v>
      </c>
      <c r="B1191" s="34" t="n"/>
      <c r="C1191" s="34" t="n"/>
      <c r="D1191" s="34" t="n"/>
      <c r="E1191" s="34" t="n"/>
      <c r="F1191" s="86" t="n"/>
      <c r="G1191" s="86" t="n"/>
      <c r="H1191" s="111" t="n"/>
      <c r="I1191" s="87" t="n"/>
      <c r="J1191" s="87" t="n"/>
      <c r="K1191" s="111" t="n"/>
      <c r="L1191" s="86" t="n"/>
      <c r="M1191" s="101" t="n"/>
      <c r="N1191" s="89" t="n"/>
      <c r="O1191" s="144" t="n"/>
      <c r="P1191" s="86" t="n"/>
      <c r="Q1191" s="89" t="n"/>
      <c r="R1191" s="89" t="n"/>
      <c r="S1191" s="89" t="n"/>
      <c r="T1191" s="55" t="n"/>
      <c r="Y1191" s="111" t="n"/>
      <c r="Z1191" s="111" t="n"/>
      <c r="AA1191" s="111" t="n"/>
      <c r="AK1191" s="55" t="n"/>
      <c r="AL1191" s="89" t="n"/>
    </row>
    <row r="1192">
      <c r="A1192" s="34" t="n">
        <v>1190</v>
      </c>
      <c r="B1192" s="34" t="n"/>
      <c r="C1192" s="34" t="n"/>
      <c r="D1192" s="34" t="n"/>
      <c r="E1192" s="34" t="n"/>
      <c r="F1192" s="86" t="n"/>
      <c r="G1192" s="86" t="n"/>
      <c r="H1192" s="111" t="n"/>
      <c r="I1192" s="87" t="n"/>
      <c r="J1192" s="87" t="n"/>
      <c r="K1192" s="111" t="n"/>
      <c r="L1192" s="86" t="n"/>
      <c r="M1192" s="101" t="n"/>
      <c r="N1192" s="89" t="n"/>
      <c r="O1192" s="144" t="n"/>
      <c r="P1192" s="86" t="n"/>
      <c r="Q1192" s="89" t="n"/>
      <c r="R1192" s="89" t="n"/>
      <c r="S1192" s="89" t="n"/>
      <c r="T1192" s="55" t="n"/>
      <c r="Y1192" s="111" t="n"/>
      <c r="Z1192" s="111" t="n"/>
      <c r="AA1192" s="111" t="n"/>
      <c r="AK1192" s="55" t="n"/>
      <c r="AL1192" s="89" t="n"/>
    </row>
    <row r="1193">
      <c r="A1193" s="34" t="n">
        <v>1191</v>
      </c>
      <c r="B1193" s="34" t="n"/>
      <c r="C1193" s="34" t="n"/>
      <c r="D1193" s="34" t="n"/>
      <c r="E1193" s="34" t="n"/>
      <c r="F1193" s="86" t="n"/>
      <c r="G1193" s="86" t="n"/>
      <c r="H1193" s="111" t="n"/>
      <c r="I1193" s="87" t="n"/>
      <c r="J1193" s="87" t="n"/>
      <c r="K1193" s="111" t="n"/>
      <c r="L1193" s="86" t="n"/>
      <c r="M1193" s="101" t="n"/>
      <c r="N1193" s="89" t="n"/>
      <c r="O1193" s="144" t="n"/>
      <c r="P1193" s="86" t="n"/>
      <c r="Q1193" s="89" t="n"/>
      <c r="R1193" s="89" t="n"/>
      <c r="S1193" s="89" t="n"/>
      <c r="T1193" s="55" t="n"/>
      <c r="Y1193" s="111" t="n"/>
      <c r="Z1193" s="111" t="n"/>
      <c r="AA1193" s="111" t="n"/>
      <c r="AK1193" s="55" t="n"/>
      <c r="AL1193" s="89" t="n"/>
    </row>
    <row r="1194">
      <c r="A1194" s="34" t="n">
        <v>1192</v>
      </c>
      <c r="B1194" s="34" t="n"/>
      <c r="C1194" s="34" t="n"/>
      <c r="D1194" s="34" t="n"/>
      <c r="E1194" s="34" t="n"/>
      <c r="F1194" s="86" t="n"/>
      <c r="G1194" s="86" t="n"/>
      <c r="H1194" s="111" t="n"/>
      <c r="I1194" s="87" t="n"/>
      <c r="J1194" s="87" t="n"/>
      <c r="K1194" s="111" t="n"/>
      <c r="L1194" s="86" t="n"/>
      <c r="M1194" s="101" t="n"/>
      <c r="N1194" s="89" t="n"/>
      <c r="O1194" s="144" t="n"/>
      <c r="P1194" s="86" t="n"/>
      <c r="Q1194" s="89" t="n"/>
      <c r="R1194" s="89" t="n"/>
      <c r="S1194" s="89" t="n"/>
      <c r="T1194" s="55" t="n"/>
      <c r="Y1194" s="111" t="n"/>
      <c r="Z1194" s="111" t="n"/>
      <c r="AA1194" s="111" t="n"/>
      <c r="AK1194" s="55" t="n"/>
      <c r="AL1194" s="89" t="n"/>
    </row>
    <row r="1195">
      <c r="A1195" s="34" t="n">
        <v>1193</v>
      </c>
      <c r="B1195" s="34" t="n"/>
      <c r="C1195" s="34" t="n"/>
      <c r="D1195" s="34" t="n"/>
      <c r="E1195" s="34" t="n"/>
      <c r="F1195" s="86" t="n"/>
      <c r="G1195" s="86" t="n"/>
      <c r="H1195" s="111" t="n"/>
      <c r="I1195" s="87" t="n"/>
      <c r="J1195" s="87" t="n"/>
      <c r="K1195" s="111" t="n"/>
      <c r="L1195" s="86" t="n"/>
      <c r="M1195" s="101" t="n"/>
      <c r="N1195" s="89" t="n"/>
      <c r="O1195" s="144" t="n"/>
      <c r="P1195" s="86" t="n"/>
      <c r="Q1195" s="89" t="n"/>
      <c r="R1195" s="89" t="n"/>
      <c r="S1195" s="89" t="n"/>
      <c r="T1195" s="55" t="n"/>
      <c r="Y1195" s="111" t="n"/>
      <c r="Z1195" s="111" t="n"/>
      <c r="AA1195" s="111" t="n"/>
      <c r="AK1195" s="55" t="n"/>
      <c r="AL1195" s="89" t="n"/>
    </row>
    <row r="1196">
      <c r="A1196" s="34" t="n">
        <v>1194</v>
      </c>
      <c r="B1196" s="34" t="n"/>
      <c r="C1196" s="34" t="n"/>
      <c r="D1196" s="34" t="n"/>
      <c r="E1196" s="34" t="n"/>
      <c r="F1196" s="86" t="n"/>
      <c r="G1196" s="86" t="n"/>
      <c r="H1196" s="111" t="n"/>
      <c r="I1196" s="87" t="n"/>
      <c r="J1196" s="87" t="n"/>
      <c r="K1196" s="111" t="n"/>
      <c r="L1196" s="86" t="n"/>
      <c r="M1196" s="101" t="n"/>
      <c r="N1196" s="89" t="n"/>
      <c r="O1196" s="144" t="n"/>
      <c r="P1196" s="86" t="n"/>
      <c r="Q1196" s="89" t="n"/>
      <c r="R1196" s="89" t="n"/>
      <c r="S1196" s="89" t="n"/>
      <c r="T1196" s="55" t="n"/>
      <c r="Y1196" s="111" t="n"/>
      <c r="Z1196" s="111" t="n"/>
      <c r="AA1196" s="111" t="n"/>
      <c r="AK1196" s="55" t="n"/>
      <c r="AL1196" s="89" t="n"/>
    </row>
    <row r="1197">
      <c r="A1197" s="34" t="n">
        <v>1195</v>
      </c>
      <c r="B1197" s="34" t="n"/>
      <c r="C1197" s="34" t="n"/>
      <c r="D1197" s="34" t="n"/>
      <c r="E1197" s="34" t="n"/>
      <c r="F1197" s="86" t="n"/>
      <c r="G1197" s="86" t="n"/>
      <c r="H1197" s="111" t="n"/>
      <c r="I1197" s="87" t="n"/>
      <c r="J1197" s="87" t="n"/>
      <c r="K1197" s="111" t="n"/>
      <c r="L1197" s="86" t="n"/>
      <c r="M1197" s="101" t="n"/>
      <c r="N1197" s="89" t="n"/>
      <c r="O1197" s="144" t="n"/>
      <c r="P1197" s="86" t="n"/>
      <c r="Q1197" s="89" t="n"/>
      <c r="R1197" s="89" t="n"/>
      <c r="S1197" s="89" t="n"/>
      <c r="T1197" s="55" t="n"/>
      <c r="Y1197" s="111" t="n"/>
      <c r="Z1197" s="111" t="n"/>
      <c r="AA1197" s="111" t="n"/>
      <c r="AK1197" s="55" t="n"/>
      <c r="AL1197" s="89" t="n"/>
    </row>
    <row r="1198">
      <c r="A1198" s="34" t="n">
        <v>1196</v>
      </c>
      <c r="B1198" s="34" t="n"/>
      <c r="C1198" s="34" t="n"/>
      <c r="D1198" s="34" t="n"/>
      <c r="E1198" s="34" t="n"/>
      <c r="F1198" s="86" t="n"/>
      <c r="G1198" s="86" t="n"/>
      <c r="H1198" s="111" t="n"/>
      <c r="I1198" s="87" t="n"/>
      <c r="J1198" s="87" t="n"/>
      <c r="K1198" s="111" t="n"/>
      <c r="L1198" s="86" t="n"/>
      <c r="M1198" s="101" t="n"/>
      <c r="N1198" s="89" t="n"/>
      <c r="O1198" s="144" t="n"/>
      <c r="P1198" s="86" t="n"/>
      <c r="Q1198" s="89" t="n"/>
      <c r="R1198" s="89" t="n"/>
      <c r="S1198" s="89" t="n"/>
      <c r="T1198" s="55" t="n"/>
      <c r="Y1198" s="111" t="n"/>
      <c r="Z1198" s="111" t="n"/>
      <c r="AA1198" s="111" t="n"/>
      <c r="AK1198" s="55" t="n"/>
      <c r="AL1198" s="89" t="n"/>
    </row>
    <row r="1199">
      <c r="A1199" s="34" t="n">
        <v>1197</v>
      </c>
      <c r="B1199" s="34" t="n"/>
      <c r="C1199" s="34" t="n"/>
      <c r="D1199" s="34" t="n"/>
      <c r="E1199" s="34" t="n"/>
      <c r="F1199" s="86" t="n"/>
      <c r="G1199" s="86" t="n"/>
      <c r="H1199" s="111" t="n"/>
      <c r="I1199" s="87" t="n"/>
      <c r="J1199" s="87" t="n"/>
      <c r="K1199" s="111" t="n"/>
      <c r="L1199" s="86" t="n"/>
      <c r="M1199" s="101" t="n"/>
      <c r="N1199" s="89" t="n"/>
      <c r="O1199" s="144" t="n"/>
      <c r="P1199" s="86" t="n"/>
      <c r="Q1199" s="89" t="n"/>
      <c r="R1199" s="89" t="n"/>
      <c r="S1199" s="89" t="n"/>
      <c r="T1199" s="55" t="n"/>
      <c r="Y1199" s="111" t="n"/>
      <c r="Z1199" s="111" t="n"/>
      <c r="AA1199" s="111" t="n"/>
      <c r="AK1199" s="55" t="n"/>
      <c r="AL1199" s="89" t="n"/>
    </row>
    <row r="1200">
      <c r="A1200" s="34" t="n">
        <v>1198</v>
      </c>
      <c r="B1200" s="34" t="n"/>
      <c r="C1200" s="34" t="n"/>
      <c r="D1200" s="34" t="n"/>
      <c r="E1200" s="34" t="n"/>
      <c r="F1200" s="86" t="n"/>
      <c r="G1200" s="86" t="n"/>
      <c r="H1200" s="111" t="n"/>
      <c r="I1200" s="87" t="n"/>
      <c r="J1200" s="87" t="n"/>
      <c r="K1200" s="111" t="n"/>
      <c r="L1200" s="86" t="n"/>
      <c r="M1200" s="101" t="n"/>
      <c r="N1200" s="89" t="n"/>
      <c r="O1200" s="144" t="n"/>
      <c r="P1200" s="86" t="n"/>
      <c r="Q1200" s="89" t="n"/>
      <c r="R1200" s="89" t="n"/>
      <c r="S1200" s="89" t="n"/>
      <c r="T1200" s="55" t="n"/>
      <c r="Y1200" s="111" t="n"/>
      <c r="Z1200" s="111" t="n"/>
      <c r="AA1200" s="111" t="n"/>
      <c r="AK1200" s="55" t="n"/>
      <c r="AL1200" s="89" t="n"/>
    </row>
    <row r="1201">
      <c r="A1201" s="34" t="n">
        <v>1199</v>
      </c>
      <c r="B1201" s="34" t="n"/>
      <c r="C1201" s="34" t="n"/>
      <c r="D1201" s="34" t="n"/>
      <c r="E1201" s="34" t="n"/>
      <c r="F1201" s="86" t="n"/>
      <c r="G1201" s="86" t="n"/>
      <c r="H1201" s="111" t="n"/>
      <c r="I1201" s="87" t="n"/>
      <c r="J1201" s="87" t="n"/>
      <c r="K1201" s="111" t="n"/>
      <c r="L1201" s="86" t="n"/>
      <c r="M1201" s="101" t="n"/>
      <c r="N1201" s="89" t="n"/>
      <c r="O1201" s="144" t="n"/>
      <c r="P1201" s="86" t="n"/>
      <c r="Q1201" s="89" t="n"/>
      <c r="R1201" s="89" t="n"/>
      <c r="S1201" s="89" t="n"/>
      <c r="T1201" s="55" t="n"/>
      <c r="Y1201" s="111" t="n"/>
      <c r="Z1201" s="111" t="n"/>
      <c r="AA1201" s="111" t="n"/>
      <c r="AK1201" s="55" t="n"/>
      <c r="AL1201" s="89" t="n"/>
    </row>
    <row r="1202">
      <c r="A1202" s="34" t="n">
        <v>1200</v>
      </c>
      <c r="B1202" s="34" t="n"/>
      <c r="C1202" s="34" t="n"/>
      <c r="D1202" s="34" t="n"/>
      <c r="E1202" s="34" t="n"/>
      <c r="F1202" s="86" t="n"/>
      <c r="G1202" s="86" t="n"/>
      <c r="H1202" s="111" t="n"/>
      <c r="I1202" s="87" t="n"/>
      <c r="J1202" s="87" t="n"/>
      <c r="K1202" s="111" t="n"/>
      <c r="L1202" s="86" t="n"/>
      <c r="M1202" s="101" t="n"/>
      <c r="N1202" s="89" t="n"/>
      <c r="O1202" s="144" t="n"/>
      <c r="P1202" s="86" t="n"/>
      <c r="Q1202" s="89" t="n"/>
      <c r="R1202" s="89" t="n"/>
      <c r="S1202" s="89" t="n"/>
      <c r="T1202" s="55" t="n"/>
      <c r="Y1202" s="111" t="n"/>
      <c r="Z1202" s="111" t="n"/>
      <c r="AA1202" s="111" t="n"/>
      <c r="AK1202" s="55" t="n"/>
      <c r="AL1202" s="89" t="n"/>
    </row>
    <row r="1203">
      <c r="A1203" s="34" t="n">
        <v>1201</v>
      </c>
      <c r="B1203" s="34" t="n"/>
      <c r="C1203" s="34" t="n"/>
      <c r="D1203" s="34" t="n"/>
      <c r="E1203" s="34" t="n"/>
      <c r="F1203" s="86" t="n"/>
      <c r="G1203" s="86" t="n"/>
      <c r="H1203" s="111" t="n"/>
      <c r="I1203" s="87" t="n"/>
      <c r="J1203" s="87" t="n"/>
      <c r="K1203" s="111" t="n"/>
      <c r="L1203" s="86" t="n"/>
      <c r="M1203" s="101" t="n"/>
      <c r="N1203" s="89" t="n"/>
      <c r="O1203" s="144" t="n"/>
      <c r="P1203" s="86" t="n"/>
      <c r="Q1203" s="89" t="n"/>
      <c r="R1203" s="89" t="n"/>
      <c r="S1203" s="89" t="n"/>
      <c r="T1203" s="55" t="n"/>
      <c r="Y1203" s="111" t="n"/>
      <c r="Z1203" s="111" t="n"/>
      <c r="AA1203" s="111" t="n"/>
      <c r="AK1203" s="55" t="n"/>
      <c r="AL1203" s="89" t="n"/>
    </row>
    <row r="1204">
      <c r="A1204" s="34" t="n">
        <v>1202</v>
      </c>
      <c r="B1204" s="34" t="n"/>
      <c r="C1204" s="34" t="n"/>
      <c r="D1204" s="34" t="n"/>
      <c r="E1204" s="34" t="n"/>
      <c r="F1204" s="86" t="n"/>
      <c r="G1204" s="86" t="n"/>
      <c r="H1204" s="111" t="n"/>
      <c r="I1204" s="87" t="n"/>
      <c r="J1204" s="87" t="n"/>
      <c r="K1204" s="111" t="n"/>
      <c r="L1204" s="86" t="n"/>
      <c r="M1204" s="101" t="n"/>
      <c r="N1204" s="89" t="n"/>
      <c r="O1204" s="144" t="n"/>
      <c r="P1204" s="86" t="n"/>
      <c r="Q1204" s="89" t="n"/>
      <c r="R1204" s="89" t="n"/>
      <c r="S1204" s="89" t="n"/>
      <c r="T1204" s="55" t="n"/>
      <c r="Y1204" s="111" t="n"/>
      <c r="Z1204" s="111" t="n"/>
      <c r="AA1204" s="111" t="n"/>
      <c r="AK1204" s="55" t="n"/>
      <c r="AL1204" s="89" t="n"/>
    </row>
    <row r="1205">
      <c r="A1205" s="34" t="n">
        <v>1203</v>
      </c>
      <c r="B1205" s="34" t="n"/>
      <c r="C1205" s="34" t="n"/>
      <c r="D1205" s="34" t="n"/>
      <c r="E1205" s="34" t="n"/>
      <c r="F1205" s="86" t="n"/>
      <c r="G1205" s="86" t="n"/>
      <c r="H1205" s="111" t="n"/>
      <c r="I1205" s="87" t="n"/>
      <c r="J1205" s="87" t="n"/>
      <c r="K1205" s="111" t="n"/>
      <c r="L1205" s="86" t="n"/>
      <c r="M1205" s="101" t="n"/>
      <c r="N1205" s="89" t="n"/>
      <c r="O1205" s="144" t="n"/>
      <c r="P1205" s="86" t="n"/>
      <c r="Q1205" s="89" t="n"/>
      <c r="R1205" s="89" t="n"/>
      <c r="S1205" s="89" t="n"/>
      <c r="T1205" s="55" t="n"/>
      <c r="Y1205" s="111" t="n"/>
      <c r="Z1205" s="111" t="n"/>
      <c r="AA1205" s="111" t="n"/>
      <c r="AK1205" s="55" t="n"/>
      <c r="AL1205" s="89" t="n"/>
    </row>
    <row r="1206">
      <c r="A1206" s="34" t="n">
        <v>1204</v>
      </c>
      <c r="B1206" s="34" t="n"/>
      <c r="C1206" s="34" t="n"/>
      <c r="D1206" s="34" t="n"/>
      <c r="E1206" s="34" t="n"/>
      <c r="F1206" s="86" t="n"/>
      <c r="G1206" s="86" t="n"/>
      <c r="H1206" s="111" t="n"/>
      <c r="I1206" s="87" t="n"/>
      <c r="J1206" s="87" t="n"/>
      <c r="K1206" s="111" t="n"/>
      <c r="L1206" s="86" t="n"/>
      <c r="M1206" s="101" t="n"/>
      <c r="N1206" s="89" t="n"/>
      <c r="O1206" s="144" t="n"/>
      <c r="P1206" s="86" t="n"/>
      <c r="Q1206" s="89" t="n"/>
      <c r="R1206" s="89" t="n"/>
      <c r="S1206" s="89" t="n"/>
      <c r="T1206" s="55" t="n"/>
      <c r="Y1206" s="111" t="n"/>
      <c r="Z1206" s="111" t="n"/>
      <c r="AA1206" s="111" t="n"/>
      <c r="AK1206" s="55" t="n"/>
      <c r="AL1206" s="89" t="n"/>
    </row>
    <row r="1207">
      <c r="A1207" s="34" t="n">
        <v>1205</v>
      </c>
      <c r="B1207" s="34" t="n"/>
      <c r="C1207" s="34" t="n"/>
      <c r="D1207" s="34" t="n"/>
      <c r="E1207" s="34" t="n"/>
      <c r="F1207" s="86" t="n"/>
      <c r="G1207" s="86" t="n"/>
      <c r="H1207" s="111" t="n"/>
      <c r="I1207" s="87" t="n"/>
      <c r="J1207" s="87" t="n"/>
      <c r="K1207" s="111" t="n"/>
      <c r="L1207" s="86" t="n"/>
      <c r="M1207" s="101" t="n"/>
      <c r="N1207" s="89" t="n"/>
      <c r="O1207" s="144" t="n"/>
      <c r="P1207" s="86" t="n"/>
      <c r="Q1207" s="89" t="n"/>
      <c r="R1207" s="89" t="n"/>
      <c r="S1207" s="89" t="n"/>
      <c r="T1207" s="55" t="n"/>
      <c r="Y1207" s="111" t="n"/>
      <c r="Z1207" s="111" t="n"/>
      <c r="AA1207" s="111" t="n"/>
      <c r="AK1207" s="55" t="n"/>
      <c r="AL1207" s="89" t="n"/>
    </row>
    <row r="1208">
      <c r="A1208" s="34" t="n">
        <v>1206</v>
      </c>
      <c r="B1208" s="34" t="n"/>
      <c r="C1208" s="34" t="n"/>
      <c r="D1208" s="34" t="n"/>
      <c r="E1208" s="34" t="n"/>
      <c r="F1208" s="86" t="n"/>
      <c r="G1208" s="86" t="n"/>
      <c r="H1208" s="111" t="n"/>
      <c r="I1208" s="87" t="n"/>
      <c r="J1208" s="87" t="n"/>
      <c r="K1208" s="111" t="n"/>
      <c r="L1208" s="86" t="n"/>
      <c r="M1208" s="101" t="n"/>
      <c r="N1208" s="89" t="n"/>
      <c r="O1208" s="144" t="n"/>
      <c r="P1208" s="86" t="n"/>
      <c r="Q1208" s="89" t="n"/>
      <c r="R1208" s="89" t="n"/>
      <c r="S1208" s="89" t="n"/>
      <c r="T1208" s="55" t="n"/>
      <c r="Y1208" s="111" t="n"/>
      <c r="Z1208" s="111" t="n"/>
      <c r="AA1208" s="111" t="n"/>
      <c r="AK1208" s="55" t="n"/>
      <c r="AL1208" s="89" t="n"/>
    </row>
    <row r="1209">
      <c r="A1209" s="34" t="n">
        <v>1207</v>
      </c>
      <c r="B1209" s="34" t="n"/>
      <c r="C1209" s="34" t="n"/>
      <c r="D1209" s="34" t="n"/>
      <c r="E1209" s="34" t="n"/>
      <c r="F1209" s="86" t="n"/>
      <c r="G1209" s="86" t="n"/>
      <c r="H1209" s="111" t="n"/>
      <c r="I1209" s="87" t="n"/>
      <c r="J1209" s="87" t="n"/>
      <c r="K1209" s="111" t="n"/>
      <c r="L1209" s="86" t="n"/>
      <c r="M1209" s="101" t="n"/>
      <c r="N1209" s="89" t="n"/>
      <c r="O1209" s="144" t="n"/>
      <c r="P1209" s="86" t="n"/>
      <c r="Q1209" s="89" t="n"/>
      <c r="R1209" s="89" t="n"/>
      <c r="S1209" s="89" t="n"/>
      <c r="T1209" s="55" t="n"/>
      <c r="Y1209" s="111" t="n"/>
      <c r="Z1209" s="111" t="n"/>
      <c r="AA1209" s="111" t="n"/>
      <c r="AK1209" s="55" t="n"/>
      <c r="AL1209" s="89" t="n"/>
    </row>
    <row r="1210">
      <c r="A1210" s="34" t="n">
        <v>1208</v>
      </c>
      <c r="B1210" s="34" t="n"/>
      <c r="C1210" s="34" t="n"/>
      <c r="D1210" s="34" t="n"/>
      <c r="E1210" s="34" t="n"/>
      <c r="F1210" s="86" t="n"/>
      <c r="G1210" s="86" t="n"/>
      <c r="H1210" s="111" t="n"/>
      <c r="I1210" s="87" t="n"/>
      <c r="J1210" s="87" t="n"/>
      <c r="K1210" s="111" t="n"/>
      <c r="L1210" s="86" t="n"/>
      <c r="M1210" s="101" t="n"/>
      <c r="N1210" s="89" t="n"/>
      <c r="O1210" s="144" t="n"/>
      <c r="P1210" s="86" t="n"/>
      <c r="Q1210" s="89" t="n"/>
      <c r="R1210" s="89" t="n"/>
      <c r="S1210" s="89" t="n"/>
      <c r="T1210" s="55" t="n"/>
      <c r="Y1210" s="111" t="n"/>
      <c r="Z1210" s="111" t="n"/>
      <c r="AA1210" s="111" t="n"/>
      <c r="AK1210" s="55" t="n"/>
      <c r="AL1210" s="89" t="n"/>
    </row>
    <row r="1211">
      <c r="A1211" s="34" t="n">
        <v>1209</v>
      </c>
      <c r="B1211" s="34" t="n"/>
      <c r="C1211" s="34" t="n"/>
      <c r="D1211" s="34" t="n"/>
      <c r="E1211" s="34" t="n"/>
      <c r="F1211" s="86" t="n"/>
      <c r="G1211" s="86" t="n"/>
      <c r="H1211" s="111" t="n"/>
      <c r="I1211" s="87" t="n"/>
      <c r="J1211" s="87" t="n"/>
      <c r="K1211" s="111" t="n"/>
      <c r="L1211" s="86" t="n"/>
      <c r="M1211" s="101" t="n"/>
      <c r="N1211" s="89" t="n"/>
      <c r="O1211" s="144" t="n"/>
      <c r="P1211" s="86" t="n"/>
      <c r="Q1211" s="89" t="n"/>
      <c r="R1211" s="89" t="n"/>
      <c r="S1211" s="89" t="n"/>
      <c r="T1211" s="55" t="n"/>
      <c r="Y1211" s="111" t="n"/>
      <c r="Z1211" s="111" t="n"/>
      <c r="AA1211" s="111" t="n"/>
      <c r="AK1211" s="55" t="n"/>
      <c r="AL1211" s="89" t="n"/>
    </row>
    <row r="1212">
      <c r="A1212" s="34" t="n">
        <v>1210</v>
      </c>
      <c r="B1212" s="34" t="n"/>
      <c r="C1212" s="34" t="n"/>
      <c r="D1212" s="34" t="n"/>
      <c r="E1212" s="34" t="n"/>
      <c r="F1212" s="86" t="n"/>
      <c r="G1212" s="86" t="n"/>
      <c r="H1212" s="111" t="n"/>
      <c r="I1212" s="87" t="n"/>
      <c r="J1212" s="87" t="n"/>
      <c r="K1212" s="111" t="n"/>
      <c r="L1212" s="86" t="n"/>
      <c r="M1212" s="101" t="n"/>
      <c r="N1212" s="89" t="n"/>
      <c r="O1212" s="144" t="n"/>
      <c r="P1212" s="86" t="n"/>
      <c r="Q1212" s="89" t="n"/>
      <c r="R1212" s="89" t="n"/>
      <c r="S1212" s="89" t="n"/>
      <c r="T1212" s="55" t="n"/>
      <c r="Y1212" s="111" t="n"/>
      <c r="Z1212" s="111" t="n"/>
      <c r="AA1212" s="111" t="n"/>
      <c r="AK1212" s="55" t="n"/>
      <c r="AL1212" s="89" t="n"/>
    </row>
    <row r="1213">
      <c r="A1213" s="34" t="n">
        <v>1211</v>
      </c>
      <c r="B1213" s="34" t="n"/>
      <c r="C1213" s="34" t="n"/>
      <c r="D1213" s="34" t="n"/>
      <c r="E1213" s="34" t="n"/>
      <c r="F1213" s="86" t="n"/>
      <c r="G1213" s="86" t="n"/>
      <c r="H1213" s="111" t="n"/>
      <c r="I1213" s="87" t="n"/>
      <c r="J1213" s="87" t="n"/>
      <c r="K1213" s="111" t="n"/>
      <c r="L1213" s="86" t="n"/>
      <c r="M1213" s="101" t="n"/>
      <c r="N1213" s="89" t="n"/>
      <c r="O1213" s="144" t="n"/>
      <c r="P1213" s="86" t="n"/>
      <c r="Q1213" s="89" t="n"/>
      <c r="R1213" s="89" t="n"/>
      <c r="S1213" s="89" t="n"/>
      <c r="T1213" s="55" t="n"/>
      <c r="Y1213" s="111" t="n"/>
      <c r="Z1213" s="111" t="n"/>
      <c r="AA1213" s="111" t="n"/>
      <c r="AK1213" s="55" t="n"/>
      <c r="AL1213" s="89" t="n"/>
    </row>
    <row r="1214">
      <c r="A1214" s="34" t="n">
        <v>1212</v>
      </c>
      <c r="B1214" s="34" t="n"/>
      <c r="C1214" s="34" t="n"/>
      <c r="D1214" s="34" t="n"/>
      <c r="E1214" s="34" t="n"/>
      <c r="F1214" s="86" t="n"/>
      <c r="G1214" s="86" t="n"/>
      <c r="H1214" s="111" t="n"/>
      <c r="I1214" s="87" t="n"/>
      <c r="J1214" s="87" t="n"/>
      <c r="K1214" s="111" t="n"/>
      <c r="L1214" s="86" t="n"/>
      <c r="M1214" s="101" t="n"/>
      <c r="N1214" s="89" t="n"/>
      <c r="O1214" s="144" t="n"/>
      <c r="P1214" s="86" t="n"/>
      <c r="Q1214" s="89" t="n"/>
      <c r="R1214" s="89" t="n"/>
      <c r="S1214" s="89" t="n"/>
      <c r="T1214" s="55" t="n"/>
      <c r="Y1214" s="111" t="n"/>
      <c r="Z1214" s="111" t="n"/>
      <c r="AA1214" s="111" t="n"/>
      <c r="AK1214" s="55" t="n"/>
      <c r="AL1214" s="89" t="n"/>
    </row>
    <row r="1215">
      <c r="A1215" s="34" t="n">
        <v>1213</v>
      </c>
      <c r="B1215" s="34" t="n"/>
      <c r="C1215" s="34" t="n"/>
      <c r="D1215" s="34" t="n"/>
      <c r="E1215" s="34" t="n"/>
      <c r="F1215" s="86" t="n"/>
      <c r="G1215" s="86" t="n"/>
      <c r="H1215" s="111" t="n"/>
      <c r="I1215" s="87" t="n"/>
      <c r="J1215" s="87" t="n"/>
      <c r="K1215" s="111" t="n"/>
      <c r="L1215" s="86" t="n"/>
      <c r="M1215" s="101" t="n"/>
      <c r="N1215" s="89" t="n"/>
      <c r="O1215" s="144" t="n"/>
      <c r="P1215" s="86" t="n"/>
      <c r="Q1215" s="89" t="n"/>
      <c r="R1215" s="89" t="n"/>
      <c r="S1215" s="89" t="n"/>
      <c r="T1215" s="55" t="n"/>
      <c r="Y1215" s="111" t="n"/>
      <c r="Z1215" s="111" t="n"/>
      <c r="AA1215" s="111" t="n"/>
      <c r="AK1215" s="55" t="n"/>
      <c r="AL1215" s="89" t="n"/>
    </row>
    <row r="1216">
      <c r="A1216" s="34" t="n"/>
      <c r="B1216" s="34" t="n"/>
      <c r="C1216" s="34" t="n"/>
      <c r="D1216" s="34" t="n"/>
      <c r="E1216" s="34" t="n"/>
      <c r="F1216" s="86" t="n"/>
      <c r="G1216" s="86" t="n"/>
      <c r="H1216" s="111" t="n"/>
      <c r="I1216" s="87" t="n"/>
      <c r="J1216" s="87" t="n"/>
      <c r="K1216" s="111" t="n"/>
      <c r="L1216" s="86" t="n"/>
      <c r="M1216" s="101" t="n"/>
      <c r="N1216" s="111" t="n"/>
      <c r="O1216" s="148" t="n"/>
      <c r="P1216" s="111" t="n"/>
      <c r="Q1216" s="111" t="n"/>
      <c r="R1216" s="111" t="n"/>
      <c r="S1216" s="111" t="n"/>
      <c r="T1216" s="111" t="n"/>
      <c r="Y1216" s="111" t="n"/>
      <c r="Z1216" s="111" t="n"/>
      <c r="AA1216" s="111" t="n"/>
      <c r="AK1216" s="55" t="n"/>
      <c r="AL1216" s="111" t="n"/>
    </row>
    <row r="1217">
      <c r="A1217" s="34" t="n"/>
      <c r="B1217" s="34" t="n"/>
      <c r="C1217" s="34" t="n"/>
      <c r="D1217" s="34" t="n"/>
      <c r="E1217" s="34" t="n"/>
      <c r="F1217" s="86" t="n"/>
      <c r="G1217" s="86" t="n"/>
      <c r="H1217" s="111" t="n"/>
      <c r="I1217" s="87" t="n"/>
      <c r="J1217" s="87" t="n"/>
      <c r="K1217" s="111" t="n"/>
      <c r="L1217" s="86" t="n"/>
      <c r="N1217" s="111" t="n"/>
      <c r="O1217" s="148" t="n"/>
      <c r="P1217" s="111" t="n"/>
      <c r="Q1217" s="111" t="n"/>
      <c r="R1217" s="111" t="n"/>
      <c r="S1217" s="111" t="n"/>
      <c r="T1217" s="111" t="n"/>
      <c r="Y1217" s="111" t="n"/>
      <c r="Z1217" s="111" t="n"/>
      <c r="AA1217" s="111" t="n"/>
      <c r="AK1217" s="55" t="n"/>
      <c r="AL1217" s="111" t="n"/>
    </row>
  </sheetData>
  <autoFilter ref="M2:M1217"/>
  <conditionalFormatting sqref="W2:W1217">
    <cfRule type="notContainsBlanks" priority="1" operator="&lt;openpyxl.descriptors.base.NoneSet object at 0x000001D3D92DAD50&gt;" dxfId="6">
      <formula>LEN(TRIM(W2))&gt;0</formula>
    </cfRule>
  </conditionalFormatting>
  <dataValidations count="4">
    <dataValidation sqref="V3:V402" showDropDown="0" showInputMessage="0" showErrorMessage="0" allowBlank="1" type="custom">
      <formula1>OR(TIMEVALUE(TEXT(V3, "hh:mm:ss"))=V3, AND(ISNUMBER(V3), LEFT(CELL("format", V3))="D"))</formula1>
    </dataValidation>
    <dataValidation sqref="M1002" showDropDown="0" showInputMessage="0" showErrorMessage="1" allowBlank="1" type="list">
      <formula1>"Normal,Hard,Very Hard"</formula1>
    </dataValidation>
    <dataValidation sqref="W3:W402 Y3:Y402" showDropDown="0" showInputMessage="0" showErrorMessage="0" allowBlank="1" type="custom">
      <formula1>AND(ISNUMBER(W3),(NOT(OR(NOT(ISERROR(DATEVALUE(W3))), AND(ISNUMBER(W3), LEFT(CELL("format", W3))="D")))))</formula1>
    </dataValidation>
    <dataValidation sqref="M3:M1001" showDropDown="0" showInputMessage="0" showErrorMessage="1" allowBlank="1" type="list">
      <formula1>"Normal,Hard,Very Hard"</formula1>
    </dataValidation>
  </dataValidations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26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7.29071508" customWidth="1" style="150" min="2" max="2"/>
    <col width="13.43357168" customWidth="1" style="150" min="3" max="4"/>
    <col width="13.57642828" customWidth="1" style="150" min="5" max="5"/>
    <col width="13.43357168" customWidth="1" style="150" min="6" max="7"/>
    <col width="13.57642828" customWidth="1" style="150" min="8" max="8"/>
    <col width="14.71928583" customWidth="1" style="150" min="9" max="9"/>
    <col width="12.57642828" customWidth="1" style="150" min="10" max="10"/>
    <col width="15.86214243" customWidth="1" style="150" min="11" max="12"/>
    <col width="21.57642828" customWidth="1" style="150" min="13" max="13"/>
    <col width="19.29071508" customWidth="1" style="150" min="14" max="14"/>
    <col width="15.00499998" customWidth="1" style="150" min="15" max="20"/>
    <col width="16.57642828" customWidth="1" style="150" min="22" max="22"/>
    <col width="15.86214243" customWidth="1" style="150" min="23" max="24"/>
  </cols>
  <sheetData>
    <row r="1" ht="22.5" customHeight="1" s="150">
      <c r="A1" s="32" t="inlineStr">
        <is>
          <t>Segment</t>
        </is>
      </c>
      <c r="B1" s="34" t="n"/>
      <c r="C1" s="34" t="inlineStr">
        <is>
          <t>Complete</t>
        </is>
      </c>
      <c r="D1" s="49" t="inlineStr">
        <is>
          <t>Complete</t>
        </is>
      </c>
      <c r="E1" s="49" t="inlineStr">
        <is>
          <t>Complete</t>
        </is>
      </c>
      <c r="F1" s="103" t="inlineStr">
        <is>
          <t>Fail</t>
        </is>
      </c>
      <c r="G1" s="103" t="inlineStr">
        <is>
          <t>Fail</t>
        </is>
      </c>
      <c r="H1" s="103" t="inlineStr">
        <is>
          <t>Fail</t>
        </is>
      </c>
      <c r="I1" s="111" t="n"/>
      <c r="J1" s="104" t="inlineStr">
        <is>
          <t>Complete</t>
        </is>
      </c>
      <c r="K1" s="104" t="inlineStr">
        <is>
          <t>Column 1</t>
        </is>
      </c>
      <c r="L1" s="104" t="inlineStr">
        <is>
          <t>Column 2</t>
        </is>
      </c>
      <c r="M1" s="104" t="inlineStr">
        <is>
          <t>Column 3</t>
        </is>
      </c>
      <c r="N1" s="34" t="n"/>
      <c r="O1" s="34" t="inlineStr">
        <is>
          <t>Complete</t>
        </is>
      </c>
      <c r="P1" s="49" t="inlineStr">
        <is>
          <t>Complete</t>
        </is>
      </c>
      <c r="Q1" s="49" t="inlineStr">
        <is>
          <t>Complete</t>
        </is>
      </c>
      <c r="R1" s="103" t="inlineStr">
        <is>
          <t>Fail</t>
        </is>
      </c>
      <c r="S1" s="103" t="inlineStr">
        <is>
          <t>Fail</t>
        </is>
      </c>
      <c r="T1" s="103" t="inlineStr">
        <is>
          <t>Fail</t>
        </is>
      </c>
      <c r="V1" s="104" t="inlineStr">
        <is>
          <t>Complete</t>
        </is>
      </c>
      <c r="W1" s="104" t="inlineStr">
        <is>
          <t>Column 1</t>
        </is>
      </c>
      <c r="X1" s="104" t="inlineStr">
        <is>
          <t>Column 2</t>
        </is>
      </c>
    </row>
    <row r="2" ht="22.5" customHeight="1" s="150">
      <c r="A2" s="40" t="inlineStr">
        <is>
          <t>Level</t>
        </is>
      </c>
      <c r="B2" s="105" t="inlineStr">
        <is>
          <t>Total USED Booster</t>
        </is>
      </c>
      <c r="C2" s="105" t="inlineStr">
        <is>
          <t>Booster A used</t>
        </is>
      </c>
      <c r="D2" s="105" t="inlineStr">
        <is>
          <t>Booster B used</t>
        </is>
      </c>
      <c r="E2" s="105" t="inlineStr">
        <is>
          <t>Booster C used</t>
        </is>
      </c>
      <c r="F2" s="105" t="inlineStr">
        <is>
          <t>Booster A used</t>
        </is>
      </c>
      <c r="G2" s="105" t="inlineStr">
        <is>
          <t>Booster B used</t>
        </is>
      </c>
      <c r="H2" s="105" t="inlineStr">
        <is>
          <t>Booster C used</t>
        </is>
      </c>
      <c r="I2" s="106" t="inlineStr">
        <is>
          <t>%_used_booster</t>
        </is>
      </c>
      <c r="J2" s="107" t="inlineStr">
        <is>
          <t>%_A_used</t>
        </is>
      </c>
      <c r="K2" s="107" t="inlineStr">
        <is>
          <t>%_B_used</t>
        </is>
      </c>
      <c r="L2" s="107" t="inlineStr">
        <is>
          <t>%_C_used</t>
        </is>
      </c>
      <c r="M2" s="107" t="inlineStr">
        <is>
          <t>Total not USED Booster</t>
        </is>
      </c>
      <c r="N2" s="105" t="inlineStr">
        <is>
          <t>Total OWNED Booster</t>
        </is>
      </c>
      <c r="O2" s="105" t="inlineStr">
        <is>
          <t>Booster A owned</t>
        </is>
      </c>
      <c r="P2" s="105" t="inlineStr">
        <is>
          <t>Booster B owned</t>
        </is>
      </c>
      <c r="Q2" s="105" t="inlineStr">
        <is>
          <t>Booster C owned</t>
        </is>
      </c>
      <c r="R2" s="105" t="inlineStr">
        <is>
          <t>Booster A owned</t>
        </is>
      </c>
      <c r="S2" s="105" t="inlineStr">
        <is>
          <t>Booster B owned</t>
        </is>
      </c>
      <c r="T2" s="105" t="inlineStr">
        <is>
          <t>Booster C owned</t>
        </is>
      </c>
      <c r="U2" s="115" t="inlineStr">
        <is>
          <t>Total Rewarded</t>
        </is>
      </c>
      <c r="V2" s="107" t="inlineStr">
        <is>
          <t>%_A_owned</t>
        </is>
      </c>
      <c r="W2" s="107" t="inlineStr">
        <is>
          <t>%_B_owned</t>
        </is>
      </c>
      <c r="X2" s="107" t="inlineStr">
        <is>
          <t>%_C_owned</t>
        </is>
      </c>
    </row>
    <row r="3" ht="22.5" customHeight="1" s="150">
      <c r="A3" s="34" t="n">
        <v>1</v>
      </c>
      <c r="B3" s="109">
        <f>C3+D3+E3+F3+G3+H3</f>
        <v/>
      </c>
      <c r="C3" s="110" t="n">
        <v>0</v>
      </c>
      <c r="D3" s="110" t="n">
        <v>0</v>
      </c>
      <c r="E3" s="110" t="n">
        <v>0</v>
      </c>
      <c r="F3" s="110" t="n">
        <v>0</v>
      </c>
      <c r="G3" s="110" t="n">
        <v>0</v>
      </c>
      <c r="H3" s="110" t="n">
        <v>0</v>
      </c>
      <c r="I3" s="111">
        <f>(100*B3)/N3</f>
        <v/>
      </c>
      <c r="J3" s="112">
        <f>((C3+F3)*100)/B3</f>
        <v/>
      </c>
      <c r="K3" s="112">
        <f>((D3+G3)*100)/B3</f>
        <v/>
      </c>
      <c r="L3" s="112">
        <f>((E3+H3)*100)/B3</f>
        <v/>
      </c>
      <c r="M3" s="113" t="n"/>
      <c r="N3" s="109">
        <f>O3+P3+Q3+R3+S3+T3</f>
        <v/>
      </c>
      <c r="O3" s="110" t="n">
        <v>0</v>
      </c>
      <c r="P3" s="110" t="n">
        <v>0</v>
      </c>
      <c r="Q3" s="110" t="n">
        <v>0</v>
      </c>
      <c r="R3" s="110" t="n">
        <v>0</v>
      </c>
      <c r="S3" s="110" t="n">
        <v>0</v>
      </c>
      <c r="T3" s="110" t="n">
        <v>0</v>
      </c>
      <c r="U3" s="50" t="n">
        <v>0</v>
      </c>
      <c r="V3" s="112">
        <f>((O3+R3)*100)/N3</f>
        <v/>
      </c>
      <c r="W3" s="112">
        <f>((P3+S3)*100)/N3</f>
        <v/>
      </c>
      <c r="X3" s="112">
        <f>((Q3+T3)*100)/N3</f>
        <v/>
      </c>
    </row>
    <row r="4" ht="22.5" customHeight="1" s="150">
      <c r="A4" s="34" t="n">
        <v>2</v>
      </c>
      <c r="B4" s="109">
        <f>C4+D4+E4+F4+G4+H4</f>
        <v/>
      </c>
      <c r="C4" s="110" t="n">
        <v>0</v>
      </c>
      <c r="D4" s="110" t="n">
        <v>0</v>
      </c>
      <c r="E4" s="110" t="n">
        <v>0</v>
      </c>
      <c r="F4" s="110" t="n">
        <v>0</v>
      </c>
      <c r="G4" s="110" t="n">
        <v>0</v>
      </c>
      <c r="H4" s="110" t="n">
        <v>0</v>
      </c>
      <c r="I4" s="111">
        <f>(100*B4)/N4</f>
        <v/>
      </c>
      <c r="J4" s="112">
        <f>((C4+F4)*100)/B4</f>
        <v/>
      </c>
      <c r="K4" s="112">
        <f>((D4+G4)*100)/B4</f>
        <v/>
      </c>
      <c r="L4" s="112">
        <f>((E4+H4)*100)/B4</f>
        <v/>
      </c>
      <c r="M4" s="114">
        <f>N4-B3</f>
        <v/>
      </c>
      <c r="N4" s="109">
        <f>O4+P4+Q4+R4+S4+T4</f>
        <v/>
      </c>
      <c r="O4" s="110" t="n">
        <v>0</v>
      </c>
      <c r="P4" s="110" t="n">
        <v>0</v>
      </c>
      <c r="Q4" s="110" t="n">
        <v>0</v>
      </c>
      <c r="R4" s="110" t="n">
        <v>0</v>
      </c>
      <c r="S4" s="110" t="n">
        <v>0</v>
      </c>
      <c r="T4" s="110" t="n">
        <v>0</v>
      </c>
      <c r="U4" s="50" t="n">
        <v>0</v>
      </c>
      <c r="V4" s="112">
        <f>((O4+R4)*100)/N4</f>
        <v/>
      </c>
      <c r="W4" s="112">
        <f>((P4+S4)*100)/N4</f>
        <v/>
      </c>
      <c r="X4" s="112">
        <f>((Q4+T4)*100)/N4</f>
        <v/>
      </c>
    </row>
    <row r="5" ht="22.5" customHeight="1" s="150">
      <c r="A5" s="34" t="n">
        <v>3</v>
      </c>
      <c r="B5" s="109">
        <f>C5+D5+E5+F5+G5+H5</f>
        <v/>
      </c>
      <c r="C5" s="110" t="n">
        <v>0</v>
      </c>
      <c r="D5" s="110" t="n">
        <v>0</v>
      </c>
      <c r="E5" s="110" t="n">
        <v>0</v>
      </c>
      <c r="F5" s="110" t="n">
        <v>0</v>
      </c>
      <c r="G5" s="110" t="n">
        <v>0</v>
      </c>
      <c r="H5" s="110" t="n">
        <v>0</v>
      </c>
      <c r="I5" s="111">
        <f>(100*B5)/N5</f>
        <v/>
      </c>
      <c r="J5" s="112">
        <f>((C5+F5)*100)/B5</f>
        <v/>
      </c>
      <c r="K5" s="112">
        <f>((D5+G5)*100)/B5</f>
        <v/>
      </c>
      <c r="L5" s="112">
        <f>((E5+H5)*100)/B5</f>
        <v/>
      </c>
      <c r="M5" s="114">
        <f>N5-B4</f>
        <v/>
      </c>
      <c r="N5" s="109">
        <f>O5+P5+Q5+R5+S5+T5</f>
        <v/>
      </c>
      <c r="O5" s="110" t="n">
        <v>0</v>
      </c>
      <c r="P5" s="110" t="n">
        <v>0</v>
      </c>
      <c r="Q5" s="110" t="n">
        <v>0</v>
      </c>
      <c r="R5" s="110" t="n">
        <v>0</v>
      </c>
      <c r="S5" s="110" t="n">
        <v>0</v>
      </c>
      <c r="T5" s="110" t="n">
        <v>0</v>
      </c>
      <c r="U5" s="50" t="n">
        <v>0</v>
      </c>
      <c r="V5" s="112">
        <f>((O5+R5)*100)/N5</f>
        <v/>
      </c>
      <c r="W5" s="112">
        <f>((P5+S5)*100)/N5</f>
        <v/>
      </c>
      <c r="X5" s="112">
        <f>((Q5+T5)*100)/N5</f>
        <v/>
      </c>
    </row>
    <row r="6" ht="22.5" customHeight="1" s="150">
      <c r="A6" s="34" t="n">
        <v>4</v>
      </c>
      <c r="B6" s="109">
        <f>C6+D6+E6+F6+G6+H6</f>
        <v/>
      </c>
      <c r="C6" s="110" t="n">
        <v>0</v>
      </c>
      <c r="D6" s="110" t="n">
        <v>0</v>
      </c>
      <c r="E6" s="110" t="n">
        <v>0</v>
      </c>
      <c r="F6" s="110" t="n">
        <v>0</v>
      </c>
      <c r="G6" s="110" t="n">
        <v>0</v>
      </c>
      <c r="H6" s="110" t="n">
        <v>0</v>
      </c>
      <c r="I6" s="111">
        <f>(100*B6)/N6</f>
        <v/>
      </c>
      <c r="J6" s="112">
        <f>((C6+F6)*100)/B6</f>
        <v/>
      </c>
      <c r="K6" s="112">
        <f>((D6+G6)*100)/B6</f>
        <v/>
      </c>
      <c r="L6" s="112">
        <f>((E6+H6)*100)/B6</f>
        <v/>
      </c>
      <c r="M6" s="114">
        <f>N6-B5</f>
        <v/>
      </c>
      <c r="N6" s="109">
        <f>O6+P6+Q6+R6+S6+T6</f>
        <v/>
      </c>
      <c r="O6" s="110" t="n">
        <v>0</v>
      </c>
      <c r="P6" s="110" t="n">
        <v>0</v>
      </c>
      <c r="Q6" s="110" t="n">
        <v>0</v>
      </c>
      <c r="R6" s="110" t="n">
        <v>0</v>
      </c>
      <c r="S6" s="110" t="n">
        <v>0</v>
      </c>
      <c r="T6" s="110" t="n">
        <v>0</v>
      </c>
      <c r="U6" s="50" t="n">
        <v>0</v>
      </c>
      <c r="V6" s="112">
        <f>((O6+R6)*100)/N6</f>
        <v/>
      </c>
      <c r="W6" s="112">
        <f>((P6+S6)*100)/N6</f>
        <v/>
      </c>
      <c r="X6" s="112">
        <f>((Q6+T6)*100)/N6</f>
        <v/>
      </c>
    </row>
    <row r="7" ht="22.5" customHeight="1" s="150">
      <c r="A7" s="34" t="n">
        <v>5</v>
      </c>
      <c r="B7" s="109">
        <f>C7+D7+E7+F7+G7+H7</f>
        <v/>
      </c>
      <c r="C7" s="110" t="n">
        <v>0</v>
      </c>
      <c r="D7" s="110" t="n">
        <v>0</v>
      </c>
      <c r="E7" s="110" t="n">
        <v>0</v>
      </c>
      <c r="F7" s="110" t="n">
        <v>0</v>
      </c>
      <c r="G7" s="110" t="n">
        <v>0</v>
      </c>
      <c r="H7" s="110" t="n">
        <v>0</v>
      </c>
      <c r="I7" s="111">
        <f>(100*B7)/N7</f>
        <v/>
      </c>
      <c r="J7" s="112">
        <f>((C7+F7)*100)/B7</f>
        <v/>
      </c>
      <c r="K7" s="112">
        <f>((D7+G7)*100)/B7</f>
        <v/>
      </c>
      <c r="L7" s="112">
        <f>((E7+H7)*100)/B7</f>
        <v/>
      </c>
      <c r="M7" s="114">
        <f>N7-B6</f>
        <v/>
      </c>
      <c r="N7" s="109">
        <f>O7+P7+Q7+R7+S7+T7</f>
        <v/>
      </c>
      <c r="O7" s="110" t="n">
        <v>0</v>
      </c>
      <c r="P7" s="110" t="n">
        <v>0</v>
      </c>
      <c r="Q7" s="110" t="n">
        <v>0</v>
      </c>
      <c r="R7" s="110" t="n">
        <v>0</v>
      </c>
      <c r="S7" s="110" t="n">
        <v>0</v>
      </c>
      <c r="T7" s="110" t="n">
        <v>0</v>
      </c>
      <c r="U7" s="50" t="n">
        <v>3</v>
      </c>
      <c r="V7" s="112">
        <f>((O7+R7)*100)/N7</f>
        <v/>
      </c>
      <c r="W7" s="112">
        <f>((P7+S7)*100)/N7</f>
        <v/>
      </c>
      <c r="X7" s="112">
        <f>((Q7+T7)*100)/N7</f>
        <v/>
      </c>
    </row>
    <row r="8" ht="22.5" customHeight="1" s="150">
      <c r="A8" s="34" t="n">
        <v>6</v>
      </c>
      <c r="B8" s="109">
        <f>C8+D8+E8+F8+G8+H8</f>
        <v/>
      </c>
      <c r="C8" s="110" t="n">
        <v>0</v>
      </c>
      <c r="D8" s="110" t="n">
        <v>0</v>
      </c>
      <c r="E8" s="110" t="n">
        <v>0</v>
      </c>
      <c r="F8" s="110" t="n">
        <v>0</v>
      </c>
      <c r="G8" s="110" t="n">
        <v>0</v>
      </c>
      <c r="H8" s="110" t="n">
        <v>0</v>
      </c>
      <c r="I8" s="111">
        <f>(100*B8)/N8</f>
        <v/>
      </c>
      <c r="J8" s="112">
        <f>((C8+F8)*100)/B8</f>
        <v/>
      </c>
      <c r="K8" s="112">
        <f>((D8+G8)*100)/B8</f>
        <v/>
      </c>
      <c r="L8" s="112">
        <f>((E8+H8)*100)/B8</f>
        <v/>
      </c>
      <c r="M8" s="114">
        <f>N8-B7</f>
        <v/>
      </c>
      <c r="N8" s="109">
        <f>O8+P8+Q8+R8+S8+T8</f>
        <v/>
      </c>
      <c r="O8" s="110" t="n">
        <v>0</v>
      </c>
      <c r="P8" s="110" t="n">
        <v>0</v>
      </c>
      <c r="Q8" s="110" t="n">
        <v>0</v>
      </c>
      <c r="R8" s="110" t="n">
        <v>0</v>
      </c>
      <c r="S8" s="110" t="n">
        <v>0</v>
      </c>
      <c r="T8" s="110" t="n">
        <v>0</v>
      </c>
      <c r="U8" s="50" t="n">
        <v>10</v>
      </c>
      <c r="V8" s="112">
        <f>((O8+R8)*100)/N8</f>
        <v/>
      </c>
      <c r="W8" s="112">
        <f>((P8+S8)*100)/N8</f>
        <v/>
      </c>
      <c r="X8" s="112">
        <f>((Q8+T8)*100)/N8</f>
        <v/>
      </c>
    </row>
    <row r="9" ht="22.5" customHeight="1" s="150">
      <c r="A9" s="34" t="n">
        <v>7</v>
      </c>
      <c r="B9" s="109">
        <f>C9+D9+E9+F9+G9+H9</f>
        <v/>
      </c>
      <c r="C9" s="110" t="n">
        <v>0</v>
      </c>
      <c r="D9" s="110" t="n">
        <v>0</v>
      </c>
      <c r="E9" s="110" t="n">
        <v>0</v>
      </c>
      <c r="F9" s="110" t="n">
        <v>0</v>
      </c>
      <c r="G9" s="110" t="n">
        <v>0</v>
      </c>
      <c r="H9" s="110" t="n">
        <v>0</v>
      </c>
      <c r="I9" s="111">
        <f>(100*B9)/N9</f>
        <v/>
      </c>
      <c r="J9" s="112">
        <f>((C9+F9)*100)/B9</f>
        <v/>
      </c>
      <c r="K9" s="112">
        <f>((D9+G9)*100)/B9</f>
        <v/>
      </c>
      <c r="L9" s="112">
        <f>((E9+H9)*100)/B9</f>
        <v/>
      </c>
      <c r="M9" s="114">
        <f>N9-B8</f>
        <v/>
      </c>
      <c r="N9" s="109">
        <f>O9+P9+Q9+R9+S9+T9</f>
        <v/>
      </c>
      <c r="O9" s="110" t="n">
        <v>0</v>
      </c>
      <c r="P9" s="110" t="n">
        <v>0</v>
      </c>
      <c r="Q9" s="110" t="n">
        <v>0</v>
      </c>
      <c r="R9" s="110" t="n">
        <v>0</v>
      </c>
      <c r="S9" s="110" t="n">
        <v>0</v>
      </c>
      <c r="T9" s="110" t="n">
        <v>0</v>
      </c>
      <c r="U9" s="50" t="n">
        <v>0</v>
      </c>
      <c r="V9" s="112">
        <f>((O9+R9)*100)/N9</f>
        <v/>
      </c>
      <c r="W9" s="112">
        <f>((P9+S9)*100)/N9</f>
        <v/>
      </c>
      <c r="X9" s="112">
        <f>((Q9+T9)*100)/N9</f>
        <v/>
      </c>
    </row>
    <row r="10" ht="22.5" customHeight="1" s="150">
      <c r="A10" s="34" t="n">
        <v>8</v>
      </c>
      <c r="B10" s="109">
        <f>C10+D10+E10+F10+G10+H10</f>
        <v/>
      </c>
      <c r="C10" s="110" t="n">
        <v>3804.53974657947</v>
      </c>
      <c r="D10" s="110" t="n">
        <v>0</v>
      </c>
      <c r="E10" s="110" t="n">
        <v>0</v>
      </c>
      <c r="F10" s="110" t="n">
        <v>12.8967449036592</v>
      </c>
      <c r="G10" s="110" t="n">
        <v>0</v>
      </c>
      <c r="H10" s="110" t="n">
        <v>0</v>
      </c>
      <c r="I10" s="111">
        <f>(100*B10)/N10</f>
        <v/>
      </c>
      <c r="J10" s="112">
        <f>((C10+F10)*100)/B10</f>
        <v/>
      </c>
      <c r="K10" s="112">
        <f>((D10+G10)*100)/B10</f>
        <v/>
      </c>
      <c r="L10" s="112">
        <f>((E10+H10)*100)/B10</f>
        <v/>
      </c>
      <c r="M10" s="114">
        <f>N10-B9</f>
        <v/>
      </c>
      <c r="N10" s="109">
        <f>O10+P10+Q10+R10+S10+T10</f>
        <v/>
      </c>
      <c r="O10" s="110" t="n">
        <v>3871.6028200785</v>
      </c>
      <c r="P10" s="110" t="n">
        <v>0</v>
      </c>
      <c r="Q10" s="110" t="n">
        <v>0</v>
      </c>
      <c r="R10" s="110" t="n">
        <v>82.5391673834192</v>
      </c>
      <c r="S10" s="110" t="n">
        <v>0</v>
      </c>
      <c r="T10" s="110" t="n">
        <v>0</v>
      </c>
      <c r="U10" s="50" t="n">
        <v>0</v>
      </c>
      <c r="V10" s="112">
        <f>((O10+R10)*100)/N10</f>
        <v/>
      </c>
      <c r="W10" s="112">
        <f>((P10+S10)*100)/N10</f>
        <v/>
      </c>
      <c r="X10" s="112">
        <f>((Q10+T10)*100)/N10</f>
        <v/>
      </c>
    </row>
    <row r="11" ht="22.5" customHeight="1" s="150">
      <c r="A11" s="34" t="n">
        <v>9</v>
      </c>
      <c r="B11" s="109">
        <f>C11+D11+E11+F11+G11+H11</f>
        <v/>
      </c>
      <c r="C11" s="110" t="n">
        <v>49.0076306339051</v>
      </c>
      <c r="D11" s="110" t="n">
        <v>0</v>
      </c>
      <c r="E11" s="110" t="n">
        <v>0</v>
      </c>
      <c r="F11" s="110" t="n">
        <v>0</v>
      </c>
      <c r="G11" s="110" t="n">
        <v>0</v>
      </c>
      <c r="H11" s="110" t="n">
        <v>0</v>
      </c>
      <c r="I11" s="111">
        <f>(100*B11)/N11</f>
        <v/>
      </c>
      <c r="J11" s="112">
        <f>((C11+F11)*100)/B11</f>
        <v/>
      </c>
      <c r="K11" s="112">
        <f>((D11+G11)*100)/B11</f>
        <v/>
      </c>
      <c r="L11" s="112">
        <f>((E11+H11)*100)/B11</f>
        <v/>
      </c>
      <c r="M11" s="114">
        <f>N11-B10</f>
        <v/>
      </c>
      <c r="N11" s="109">
        <f>O11+P11+Q11+R11+S11+T11</f>
        <v/>
      </c>
      <c r="O11" s="110" t="n">
        <v>3794.22235065655</v>
      </c>
      <c r="P11" s="110" t="n">
        <v>0</v>
      </c>
      <c r="Q11" s="110" t="n">
        <v>0</v>
      </c>
      <c r="R11" s="110" t="n">
        <v>152.181589863179</v>
      </c>
      <c r="S11" s="110" t="n">
        <v>0</v>
      </c>
      <c r="T11" s="110" t="n">
        <v>0</v>
      </c>
      <c r="U11" s="50" t="n">
        <v>8</v>
      </c>
      <c r="V11" s="112">
        <f>((O11+R11)*100)/N11</f>
        <v/>
      </c>
      <c r="W11" s="112">
        <f>((P11+S11)*100)/N11</f>
        <v/>
      </c>
      <c r="X11" s="112">
        <f>((Q11+T11)*100)/N11</f>
        <v/>
      </c>
    </row>
    <row r="12" ht="22.5" customHeight="1" s="150">
      <c r="A12" s="34" t="n">
        <v>10</v>
      </c>
      <c r="B12" s="109">
        <f>C12+D12+E12+F12+G12+H12</f>
        <v/>
      </c>
      <c r="C12" s="110" t="n">
        <v>59.3250265568325</v>
      </c>
      <c r="D12" s="110" t="n">
        <v>0</v>
      </c>
      <c r="E12" s="110" t="n">
        <v>0</v>
      </c>
      <c r="F12" s="110" t="n">
        <v>0</v>
      </c>
      <c r="G12" s="110" t="n">
        <v>0</v>
      </c>
      <c r="H12" s="110" t="n">
        <v>0</v>
      </c>
      <c r="I12" s="111">
        <f>(100*B12)/N12</f>
        <v/>
      </c>
      <c r="J12" s="112">
        <f>((C12+F12)*100)/B12</f>
        <v/>
      </c>
      <c r="K12" s="112">
        <f>((D12+G12)*100)/B12</f>
        <v/>
      </c>
      <c r="L12" s="112">
        <f>((E12+H12)*100)/B12</f>
        <v/>
      </c>
      <c r="M12" s="114">
        <f>N12-B11</f>
        <v/>
      </c>
      <c r="N12" s="109">
        <f>O12+P12+Q12+R12+S12+T12</f>
        <v/>
      </c>
      <c r="O12" s="110" t="n">
        <v>3667.83425060069</v>
      </c>
      <c r="P12" s="110" t="n">
        <v>0</v>
      </c>
      <c r="Q12" s="110" t="n">
        <v>0</v>
      </c>
      <c r="R12" s="110" t="n">
        <v>33.531536749514</v>
      </c>
      <c r="S12" s="110" t="n">
        <v>0</v>
      </c>
      <c r="T12" s="110" t="n">
        <v>0</v>
      </c>
      <c r="U12" s="50" t="n">
        <v>15</v>
      </c>
      <c r="V12" s="112">
        <f>((O12+R12)*100)/N12</f>
        <v/>
      </c>
      <c r="W12" s="112">
        <f>((P12+S12)*100)/N12</f>
        <v/>
      </c>
      <c r="X12" s="112">
        <f>((Q12+T12)*100)/N12</f>
        <v/>
      </c>
    </row>
    <row r="13" ht="22.5" customHeight="1" s="150">
      <c r="A13" s="34" t="n">
        <v>11</v>
      </c>
      <c r="B13" s="109">
        <f>C13+D13+E13+F13+G13+H13</f>
        <v/>
      </c>
      <c r="C13" s="110" t="n">
        <v>221.824012342939</v>
      </c>
      <c r="D13" s="110" t="n">
        <v>0</v>
      </c>
      <c r="E13" s="110" t="n">
        <v>0</v>
      </c>
      <c r="F13" s="110" t="n">
        <v>43.8489326724414</v>
      </c>
      <c r="G13" s="110" t="n">
        <v>0</v>
      </c>
      <c r="H13" s="110" t="n">
        <v>0</v>
      </c>
      <c r="I13" s="111">
        <f>(100*B13)/N13</f>
        <v/>
      </c>
      <c r="J13" s="112">
        <f>((C13+F13)*100)/B13</f>
        <v/>
      </c>
      <c r="K13" s="112">
        <f>((D13+G13)*100)/B13</f>
        <v/>
      </c>
      <c r="L13" s="112">
        <f>((E13+H13)*100)/B13</f>
        <v/>
      </c>
      <c r="M13" s="114">
        <f>N13-B12</f>
        <v/>
      </c>
      <c r="N13" s="109">
        <f>O13+P13+Q13+R13+S13+T13</f>
        <v/>
      </c>
      <c r="O13" s="110" t="n">
        <v>3211.28948101115</v>
      </c>
      <c r="P13" s="110" t="n">
        <v>0</v>
      </c>
      <c r="Q13" s="110" t="n">
        <v>0</v>
      </c>
      <c r="R13" s="110" t="n">
        <v>1160.70704132933</v>
      </c>
      <c r="S13" s="110" t="n">
        <v>0</v>
      </c>
      <c r="T13" s="110" t="n">
        <v>0</v>
      </c>
      <c r="U13" s="50" t="n">
        <v>591</v>
      </c>
      <c r="V13" s="112">
        <f>((O13+R13)*100)/N13</f>
        <v/>
      </c>
      <c r="W13" s="112">
        <f>((P13+S13)*100)/N13</f>
        <v/>
      </c>
      <c r="X13" s="112">
        <f>((Q13+T13)*100)/N13</f>
        <v/>
      </c>
    </row>
    <row r="14" ht="22.5" customHeight="1" s="150">
      <c r="A14" s="34" t="n">
        <v>12</v>
      </c>
      <c r="B14" s="109">
        <f>C14+D14+E14+F14+G14+H14</f>
        <v/>
      </c>
      <c r="C14" s="110" t="n">
        <v>28.3728387880503</v>
      </c>
      <c r="D14" s="110" t="n">
        <v>3345.4156280092</v>
      </c>
      <c r="E14" s="110" t="n">
        <v>0</v>
      </c>
      <c r="F14" s="110" t="n">
        <v>2.57934898073185</v>
      </c>
      <c r="G14" s="110" t="n">
        <v>10.3173959229274</v>
      </c>
      <c r="H14" s="110" t="n">
        <v>0</v>
      </c>
      <c r="I14" s="111">
        <f>(100*B14)/N14</f>
        <v/>
      </c>
      <c r="J14" s="112">
        <f>((C14+F14)*100)/B14</f>
        <v/>
      </c>
      <c r="K14" s="112">
        <f>((D14+G14)*100)/B14</f>
        <v/>
      </c>
      <c r="L14" s="112">
        <f>((E14+H14)*100)/B14</f>
        <v/>
      </c>
      <c r="M14" s="114">
        <f>N14-B13</f>
        <v/>
      </c>
      <c r="N14" s="109">
        <f>O14+P14+Q14+R14+S14+T14</f>
        <v/>
      </c>
      <c r="O14" s="110" t="n">
        <v>3046.21114624431</v>
      </c>
      <c r="P14" s="110" t="n">
        <v>3332.51888310555</v>
      </c>
      <c r="Q14" s="110" t="n">
        <v>0</v>
      </c>
      <c r="R14" s="110" t="n">
        <v>15.4760938843911</v>
      </c>
      <c r="S14" s="110" t="n">
        <v>23.2141408265866</v>
      </c>
      <c r="T14" s="110" t="n">
        <v>0</v>
      </c>
      <c r="U14" s="50" t="n">
        <v>340</v>
      </c>
      <c r="V14" s="112">
        <f>((O14+R14)*100)/N14</f>
        <v/>
      </c>
      <c r="W14" s="112">
        <f>((P14+S14)*100)/N14</f>
        <v/>
      </c>
      <c r="X14" s="112">
        <f>((Q14+T14)*100)/N14</f>
        <v/>
      </c>
    </row>
    <row r="15" ht="22.5" customHeight="1" s="150">
      <c r="A15" s="34" t="n">
        <v>13</v>
      </c>
      <c r="B15" s="109">
        <f>C15+D15+E15+F15+G15+H15</f>
        <v/>
      </c>
      <c r="C15" s="110" t="n">
        <v>0</v>
      </c>
      <c r="D15" s="110" t="n">
        <v>20.6347918458548</v>
      </c>
      <c r="E15" s="110" t="n">
        <v>0</v>
      </c>
      <c r="F15" s="110" t="n">
        <v>0</v>
      </c>
      <c r="G15" s="110" t="n">
        <v>0</v>
      </c>
      <c r="H15" s="110" t="n">
        <v>0</v>
      </c>
      <c r="I15" s="111">
        <f>(100*B15)/N15</f>
        <v/>
      </c>
      <c r="J15" s="112">
        <f>((C15+F15)*100)/B15</f>
        <v/>
      </c>
      <c r="K15" s="112">
        <f>((D15+G15)*100)/B15</f>
        <v/>
      </c>
      <c r="L15" s="112">
        <f>((E15+H15)*100)/B15</f>
        <v/>
      </c>
      <c r="M15" s="114">
        <f>N15-B14</f>
        <v/>
      </c>
      <c r="N15" s="109">
        <f>O15+P15+Q15+R15+S15+T15</f>
        <v/>
      </c>
      <c r="O15" s="110" t="n">
        <v>2986.88611968748</v>
      </c>
      <c r="P15" s="110" t="n">
        <v>3252.55906470286</v>
      </c>
      <c r="Q15" s="110" t="n">
        <v>0</v>
      </c>
      <c r="R15" s="110" t="n">
        <v>10.3173959229274</v>
      </c>
      <c r="S15" s="110" t="n">
        <v>12.8967449036592</v>
      </c>
      <c r="T15" s="110" t="n">
        <v>0</v>
      </c>
      <c r="U15" s="50" t="n">
        <v>320</v>
      </c>
      <c r="V15" s="112">
        <f>((O15+R15)*100)/N15</f>
        <v/>
      </c>
      <c r="W15" s="112">
        <f>((P15+S15)*100)/N15</f>
        <v/>
      </c>
      <c r="X15" s="112">
        <f>((Q15+T15)*100)/N15</f>
        <v/>
      </c>
    </row>
    <row r="16" ht="22.5" customHeight="1" s="150">
      <c r="A16" s="34" t="n">
        <v>14</v>
      </c>
      <c r="B16" s="109">
        <f>C16+D16+E16+F16+G16+H16</f>
        <v/>
      </c>
      <c r="C16" s="110" t="n">
        <v>77.3804694219555</v>
      </c>
      <c r="D16" s="110" t="n">
        <v>28.3728387880503</v>
      </c>
      <c r="E16" s="110" t="n">
        <v>0</v>
      </c>
      <c r="F16" s="110" t="n">
        <v>12.8967449036592</v>
      </c>
      <c r="G16" s="110" t="n">
        <v>61.9043755375644</v>
      </c>
      <c r="H16" s="110" t="n">
        <v>0</v>
      </c>
      <c r="I16" s="111">
        <f>(100*B16)/N16</f>
        <v/>
      </c>
      <c r="J16" s="112">
        <f>((C16+F16)*100)/B16</f>
        <v/>
      </c>
      <c r="K16" s="112">
        <f>((D16+G16)*100)/B16</f>
        <v/>
      </c>
      <c r="L16" s="112">
        <f>((E16+H16)*100)/B16</f>
        <v/>
      </c>
      <c r="M16" s="114">
        <f>N16-B15</f>
        <v/>
      </c>
      <c r="N16" s="109">
        <f>O16+P16+Q16+R16+S16+T16</f>
        <v/>
      </c>
      <c r="O16" s="110" t="n">
        <v>2845.02192574723</v>
      </c>
      <c r="P16" s="110" t="n">
        <v>3105.53617280114</v>
      </c>
      <c r="Q16" s="110" t="n">
        <v>0</v>
      </c>
      <c r="R16" s="110" t="n">
        <v>928.565633063466</v>
      </c>
      <c r="S16" s="110" t="n">
        <v>972.414565735907</v>
      </c>
      <c r="T16" s="110" t="n">
        <v>0</v>
      </c>
      <c r="U16" s="50" t="n">
        <v>408</v>
      </c>
      <c r="V16" s="112">
        <f>((O16+R16)*100)/N16</f>
        <v/>
      </c>
      <c r="W16" s="112">
        <f>((P16+S16)*100)/N16</f>
        <v/>
      </c>
      <c r="X16" s="112">
        <f>((Q16+T16)*100)/N16</f>
        <v/>
      </c>
    </row>
    <row r="17" ht="22.5" customHeight="1" s="150">
      <c r="A17" s="34" t="n">
        <v>15</v>
      </c>
      <c r="B17" s="109">
        <f>C17+D17+E17+F17+G17+H17</f>
        <v/>
      </c>
      <c r="C17" s="110" t="n">
        <v>5.1586979614637</v>
      </c>
      <c r="D17" s="110" t="n">
        <v>28.3728387880503</v>
      </c>
      <c r="E17" s="110" t="n">
        <v>0</v>
      </c>
      <c r="F17" s="110" t="n">
        <v>2.57934898073185</v>
      </c>
      <c r="G17" s="110" t="n">
        <v>7.73804694219555</v>
      </c>
      <c r="H17" s="110" t="n">
        <v>0</v>
      </c>
      <c r="I17" s="111">
        <f>(100*B17)/N17</f>
        <v/>
      </c>
      <c r="J17" s="112">
        <f>((C17+F17)*100)/B17</f>
        <v/>
      </c>
      <c r="K17" s="112">
        <f>((D17+G17)*100)/B17</f>
        <v/>
      </c>
      <c r="L17" s="112">
        <f>((E17+H17)*100)/B17</f>
        <v/>
      </c>
      <c r="M17" s="114">
        <f>N17-B16</f>
        <v/>
      </c>
      <c r="N17" s="109">
        <f>O17+P17+Q17+R17+S17+T17</f>
        <v/>
      </c>
      <c r="O17" s="110" t="n">
        <v>2826.9664828821</v>
      </c>
      <c r="P17" s="110" t="n">
        <v>3059.10789114797</v>
      </c>
      <c r="Q17" s="110" t="n">
        <v>0</v>
      </c>
      <c r="R17" s="110" t="n">
        <v>72.22177146049179</v>
      </c>
      <c r="S17" s="110" t="n">
        <v>85.11851636415101</v>
      </c>
      <c r="T17" s="110" t="n">
        <v>0</v>
      </c>
      <c r="U17" s="50" t="n">
        <v>291</v>
      </c>
      <c r="V17" s="112">
        <f>((O17+R17)*100)/N17</f>
        <v/>
      </c>
      <c r="W17" s="112">
        <f>((P17+S17)*100)/N17</f>
        <v/>
      </c>
      <c r="X17" s="112">
        <f>((Q17+T17)*100)/N17</f>
        <v/>
      </c>
    </row>
    <row r="18" ht="22.5" customHeight="1" s="150">
      <c r="A18" s="34" t="n">
        <v>16</v>
      </c>
      <c r="B18" s="109">
        <f>C18+D18+E18+F18+G18+H18</f>
        <v/>
      </c>
      <c r="C18" s="110" t="n">
        <v>7.73804694219555</v>
      </c>
      <c r="D18" s="110" t="n">
        <v>5.1586979614637</v>
      </c>
      <c r="E18" s="110" t="n">
        <v>2945.61653599577</v>
      </c>
      <c r="F18" s="110" t="n">
        <v>2.57934898073185</v>
      </c>
      <c r="G18" s="110" t="n">
        <v>7.73804694219555</v>
      </c>
      <c r="H18" s="110" t="n">
        <v>113.491355152201</v>
      </c>
      <c r="I18" s="111">
        <f>(100*B18)/N18</f>
        <v/>
      </c>
      <c r="J18" s="112">
        <f>((C18+F18)*100)/B18</f>
        <v/>
      </c>
      <c r="K18" s="112">
        <f>((D18+G18)*100)/B18</f>
        <v/>
      </c>
      <c r="L18" s="112">
        <f>((E18+H18)*100)/B18</f>
        <v/>
      </c>
      <c r="M18" s="114">
        <f>N18-B17</f>
        <v/>
      </c>
      <c r="N18" s="109">
        <f>O18+P18+Q18+R18+S18+T18</f>
        <v/>
      </c>
      <c r="O18" s="110" t="n">
        <v>2752.16536244088</v>
      </c>
      <c r="P18" s="110" t="n">
        <v>2971.41002580309</v>
      </c>
      <c r="Q18" s="110" t="n">
        <v>3151.96445445432</v>
      </c>
      <c r="R18" s="110" t="n">
        <v>172.816381709033</v>
      </c>
      <c r="S18" s="110" t="n">
        <v>193.451173554888</v>
      </c>
      <c r="T18" s="110" t="n">
        <v>242.458804188793</v>
      </c>
      <c r="U18" s="50" t="n">
        <v>317</v>
      </c>
      <c r="V18" s="112">
        <f>((O18+R18)*100)/N18</f>
        <v/>
      </c>
      <c r="W18" s="112">
        <f>((P18+S18)*100)/N18</f>
        <v/>
      </c>
      <c r="X18" s="112">
        <f>((Q18+T18)*100)/N18</f>
        <v/>
      </c>
    </row>
    <row r="19" ht="22.5" customHeight="1" s="150">
      <c r="A19" s="34" t="n">
        <v>17</v>
      </c>
      <c r="B19" s="109">
        <f>C19+D19+E19+F19+G19+H19</f>
        <v/>
      </c>
      <c r="C19" s="110" t="n">
        <v>7.73804694219555</v>
      </c>
      <c r="D19" s="110" t="n">
        <v>15.4760938843911</v>
      </c>
      <c r="E19" s="110" t="n">
        <v>15.4760938843911</v>
      </c>
      <c r="F19" s="110" t="n">
        <v>0</v>
      </c>
      <c r="G19" s="110" t="n">
        <v>0</v>
      </c>
      <c r="H19" s="110" t="n">
        <v>0</v>
      </c>
      <c r="I19" s="111">
        <f>(100*B19)/N19</f>
        <v/>
      </c>
      <c r="J19" s="112">
        <f>((C19+F19)*100)/B19</f>
        <v/>
      </c>
      <c r="K19" s="112">
        <f>((D19+G19)*100)/B19</f>
        <v/>
      </c>
      <c r="L19" s="112">
        <f>((E19+H19)*100)/B19</f>
        <v/>
      </c>
      <c r="M19" s="114">
        <f>N19-B18</f>
        <v/>
      </c>
      <c r="N19" s="109">
        <f>O19+P19+Q19+R19+S19+T19</f>
        <v/>
      </c>
      <c r="O19" s="110" t="n">
        <v>2695.41968486478</v>
      </c>
      <c r="P19" s="110" t="n">
        <v>2896.60890536186</v>
      </c>
      <c r="Q19" s="110" t="n">
        <v>3064.26658910943</v>
      </c>
      <c r="R19" s="110" t="n">
        <v>110.912006171469</v>
      </c>
      <c r="S19" s="110" t="n">
        <v>121.229402094396</v>
      </c>
      <c r="T19" s="110" t="n">
        <v>131.546798017324</v>
      </c>
      <c r="U19" s="50" t="n">
        <v>271</v>
      </c>
      <c r="V19" s="112">
        <f>((O19+R19)*100)/N19</f>
        <v/>
      </c>
      <c r="W19" s="112">
        <f>((P19+S19)*100)/N19</f>
        <v/>
      </c>
      <c r="X19" s="112">
        <f>((Q19+T19)*100)/N19</f>
        <v/>
      </c>
    </row>
    <row r="20" ht="22.5" customHeight="1" s="150">
      <c r="A20" s="34" t="n">
        <v>18</v>
      </c>
      <c r="B20" s="109">
        <f>C20+D20+E20+F20+G20+H20</f>
        <v/>
      </c>
      <c r="C20" s="110" t="n">
        <v>2.57934898073185</v>
      </c>
      <c r="D20" s="110" t="n">
        <v>2.57934898073185</v>
      </c>
      <c r="E20" s="110" t="n">
        <v>7.73804694219555</v>
      </c>
      <c r="F20" s="110" t="n">
        <v>0</v>
      </c>
      <c r="G20" s="110" t="n">
        <v>0</v>
      </c>
      <c r="H20" s="110" t="n">
        <v>0</v>
      </c>
      <c r="I20" s="111">
        <f>(100*B20)/N20</f>
        <v/>
      </c>
      <c r="J20" s="112">
        <f>((C20+F20)*100)/B20</f>
        <v/>
      </c>
      <c r="K20" s="112">
        <f>((D20+G20)*100)/B20</f>
        <v/>
      </c>
      <c r="L20" s="112">
        <f>((E20+H20)*100)/B20</f>
        <v/>
      </c>
      <c r="M20" s="114">
        <f>N20-B19</f>
        <v/>
      </c>
      <c r="N20" s="109">
        <f>O20+P20+Q20+R20+S20+T20</f>
        <v/>
      </c>
      <c r="O20" s="110" t="n">
        <v>2674.78489301892</v>
      </c>
      <c r="P20" s="110" t="n">
        <v>2868.23606657381</v>
      </c>
      <c r="Q20" s="110" t="n">
        <v>3035.89375032138</v>
      </c>
      <c r="R20" s="110" t="n">
        <v>12.8967449036592</v>
      </c>
      <c r="S20" s="110" t="n">
        <v>12.8967449036592</v>
      </c>
      <c r="T20" s="110" t="n">
        <v>12.8967449036592</v>
      </c>
      <c r="U20" s="50" t="n">
        <v>281</v>
      </c>
      <c r="V20" s="112">
        <f>((O20+R20)*100)/N20</f>
        <v/>
      </c>
      <c r="W20" s="112">
        <f>((P20+S20)*100)/N20</f>
        <v/>
      </c>
      <c r="X20" s="112">
        <f>((Q20+T20)*100)/N20</f>
        <v/>
      </c>
    </row>
    <row r="21" ht="22.5" customHeight="1" s="150">
      <c r="A21" s="34" t="n">
        <v>19</v>
      </c>
      <c r="B21" s="109">
        <f>C21+D21+E21+F21+G21+H21</f>
        <v/>
      </c>
      <c r="C21" s="110" t="n">
        <v>2.57934898073185</v>
      </c>
      <c r="D21" s="110" t="n">
        <v>10.3173959229274</v>
      </c>
      <c r="E21" s="110" t="n">
        <v>10.3173959229274</v>
      </c>
      <c r="F21" s="110" t="n">
        <v>0</v>
      </c>
      <c r="G21" s="110" t="n">
        <v>0</v>
      </c>
      <c r="H21" s="110" t="n">
        <v>0</v>
      </c>
      <c r="I21" s="111">
        <f>(100*B21)/N21</f>
        <v/>
      </c>
      <c r="J21" s="112">
        <f>((C21+F21)*100)/B21</f>
        <v/>
      </c>
      <c r="K21" s="112">
        <f>((D21+G21)*100)/B21</f>
        <v/>
      </c>
      <c r="L21" s="112">
        <f>((E21+H21)*100)/B21</f>
        <v/>
      </c>
      <c r="M21" s="114">
        <f>N21-B20</f>
        <v/>
      </c>
      <c r="N21" s="109">
        <f>O21+P21+Q21+R21+S21+T21</f>
        <v/>
      </c>
      <c r="O21" s="110" t="n">
        <v>2669.62619505746</v>
      </c>
      <c r="P21" s="110" t="n">
        <v>2850.18062370869</v>
      </c>
      <c r="Q21" s="110" t="n">
        <v>3015.25895847553</v>
      </c>
      <c r="R21" s="110" t="n">
        <v>7.73804694219555</v>
      </c>
      <c r="S21" s="110" t="n">
        <v>10.3173959229274</v>
      </c>
      <c r="T21" s="110" t="n">
        <v>10.3173959229274</v>
      </c>
      <c r="U21" s="50" t="n">
        <v>578</v>
      </c>
      <c r="V21" s="112">
        <f>((O21+R21)*100)/N21</f>
        <v/>
      </c>
      <c r="W21" s="112">
        <f>((P21+S21)*100)/N21</f>
        <v/>
      </c>
      <c r="X21" s="112">
        <f>((Q21+T21)*100)/N21</f>
        <v/>
      </c>
    </row>
    <row r="22" ht="22.5" customHeight="1" s="150">
      <c r="A22" s="34" t="n">
        <v>20</v>
      </c>
      <c r="B22" s="109">
        <f>C22+D22+E22+F22+G22+H22</f>
        <v/>
      </c>
      <c r="C22" s="110" t="n">
        <v>90.27721432561469</v>
      </c>
      <c r="D22" s="110" t="n">
        <v>177.975079670497</v>
      </c>
      <c r="E22" s="110" t="n">
        <v>170.237032728302</v>
      </c>
      <c r="F22" s="110" t="n">
        <v>5.1586979614637</v>
      </c>
      <c r="G22" s="110" t="n">
        <v>77.3804694219555</v>
      </c>
      <c r="H22" s="110" t="n">
        <v>12.8967449036592</v>
      </c>
      <c r="I22" s="111">
        <f>(100*B22)/N22</f>
        <v/>
      </c>
      <c r="J22" s="112">
        <f>((C22+F22)*100)/B22</f>
        <v/>
      </c>
      <c r="K22" s="112">
        <f>((D22+G22)*100)/B22</f>
        <v/>
      </c>
      <c r="L22" s="112">
        <f>((E22+H22)*100)/B22</f>
        <v/>
      </c>
      <c r="M22" s="114">
        <f>N22-B21</f>
        <v/>
      </c>
      <c r="N22" s="109">
        <f>O22+P22+Q22+R22+S22+T22</f>
        <v/>
      </c>
      <c r="O22" s="110" t="n">
        <v>2574.19028277038</v>
      </c>
      <c r="P22" s="110" t="n">
        <v>2612.88051748136</v>
      </c>
      <c r="Q22" s="110" t="n">
        <v>2816.64908695918</v>
      </c>
      <c r="R22" s="110" t="n">
        <v>159.919636805374</v>
      </c>
      <c r="S22" s="110" t="n">
        <v>92.8565633063466</v>
      </c>
      <c r="T22" s="110" t="n">
        <v>175.395730689765</v>
      </c>
      <c r="U22" s="50" t="n">
        <v>369</v>
      </c>
      <c r="V22" s="112">
        <f>((O22+R22)*100)/N22</f>
        <v/>
      </c>
      <c r="W22" s="112">
        <f>((P22+S22)*100)/N22</f>
        <v/>
      </c>
      <c r="X22" s="112">
        <f>((Q22+T22)*100)/N22</f>
        <v/>
      </c>
    </row>
    <row r="23" ht="22.5" customHeight="1" s="150">
      <c r="A23" s="34" t="n">
        <v>21</v>
      </c>
      <c r="B23" s="109">
        <f>C23+D23+E23+F23+G23+H23</f>
        <v/>
      </c>
      <c r="C23" s="110" t="n">
        <v>12.8967449036592</v>
      </c>
      <c r="D23" s="110" t="n">
        <v>43.8489326724414</v>
      </c>
      <c r="E23" s="110" t="n">
        <v>28.3728387880503</v>
      </c>
      <c r="F23" s="110" t="n">
        <v>0</v>
      </c>
      <c r="G23" s="110" t="n">
        <v>0</v>
      </c>
      <c r="H23" s="110" t="n">
        <v>0</v>
      </c>
      <c r="I23" s="111">
        <f>(100*B23)/N23</f>
        <v/>
      </c>
      <c r="J23" s="112">
        <f>((C23+F23)*100)/B23</f>
        <v/>
      </c>
      <c r="K23" s="112">
        <f>((D23+G23)*100)/B23</f>
        <v/>
      </c>
      <c r="L23" s="112">
        <f>((E23+H23)*100)/B23</f>
        <v/>
      </c>
      <c r="M23" s="114">
        <f>N23-B22</f>
        <v/>
      </c>
      <c r="N23" s="109">
        <f>O23+P23+Q23+R23+S23+T23</f>
        <v/>
      </c>
      <c r="O23" s="110" t="n">
        <v>2646.41205423087</v>
      </c>
      <c r="P23" s="110" t="n">
        <v>2664.467497096</v>
      </c>
      <c r="Q23" s="110" t="n">
        <v>2857.91867065089</v>
      </c>
      <c r="R23" s="110" t="n">
        <v>20.6347918458548</v>
      </c>
      <c r="S23" s="110" t="n">
        <v>20.6347918458548</v>
      </c>
      <c r="T23" s="110" t="n">
        <v>23.2141408265866</v>
      </c>
      <c r="U23" s="50" t="n">
        <v>681</v>
      </c>
      <c r="V23" s="112">
        <f>((O23+R23)*100)/N23</f>
        <v/>
      </c>
      <c r="W23" s="112">
        <f>((P23+S23)*100)/N23</f>
        <v/>
      </c>
      <c r="X23" s="112">
        <f>((Q23+T23)*100)/N23</f>
        <v/>
      </c>
    </row>
    <row r="24" ht="22.5" customHeight="1" s="150">
      <c r="A24" s="34" t="n">
        <v>22</v>
      </c>
      <c r="B24" s="109">
        <f>C24+D24+E24+F24+G24+H24</f>
        <v/>
      </c>
      <c r="C24" s="110" t="n">
        <v>0</v>
      </c>
      <c r="D24" s="110" t="n">
        <v>0</v>
      </c>
      <c r="E24" s="110" t="n">
        <v>5.1586979614637</v>
      </c>
      <c r="F24" s="110" t="n">
        <v>0</v>
      </c>
      <c r="G24" s="110" t="n">
        <v>0</v>
      </c>
      <c r="H24" s="110" t="n">
        <v>0</v>
      </c>
      <c r="I24" s="111">
        <f>(100*B24)/N24</f>
        <v/>
      </c>
      <c r="J24" s="112">
        <f>((C24+F24)*100)/B24</f>
        <v/>
      </c>
      <c r="K24" s="112">
        <f>((D24+G24)*100)/B24</f>
        <v/>
      </c>
      <c r="L24" s="112">
        <f>((E24+H24)*100)/B24</f>
        <v/>
      </c>
      <c r="M24" s="114">
        <f>N24-B23</f>
        <v/>
      </c>
      <c r="N24" s="109">
        <f>O24+P24+Q24+R24+S24+T24</f>
        <v/>
      </c>
      <c r="O24" s="110" t="n">
        <v>2610.30116850063</v>
      </c>
      <c r="P24" s="110" t="n">
        <v>2643.83270525014</v>
      </c>
      <c r="Q24" s="110" t="n">
        <v>2814.06973797844</v>
      </c>
      <c r="R24" s="110" t="n">
        <v>15.4760938843911</v>
      </c>
      <c r="S24" s="110" t="n">
        <v>18.0554428651229</v>
      </c>
      <c r="T24" s="110" t="n">
        <v>25.7934898073184</v>
      </c>
      <c r="U24" s="50" t="n">
        <v>340</v>
      </c>
      <c r="V24" s="112">
        <f>((O24+R24)*100)/N24</f>
        <v/>
      </c>
      <c r="W24" s="112">
        <f>((P24+S24)*100)/N24</f>
        <v/>
      </c>
      <c r="X24" s="112">
        <f>((Q24+T24)*100)/N24</f>
        <v/>
      </c>
    </row>
    <row r="25" ht="22.5" customHeight="1" s="150">
      <c r="A25" s="34" t="n">
        <v>23</v>
      </c>
      <c r="B25" s="109">
        <f>C25+D25+E25+F25+G25+H25</f>
        <v/>
      </c>
      <c r="C25" s="110" t="n">
        <v>250.196851130989</v>
      </c>
      <c r="D25" s="110" t="n">
        <v>611.305708433448</v>
      </c>
      <c r="E25" s="110" t="n">
        <v>294.04578380343</v>
      </c>
      <c r="F25" s="110" t="n">
        <v>28.3728387880503</v>
      </c>
      <c r="G25" s="110" t="n">
        <v>43.8489326724414</v>
      </c>
      <c r="H25" s="110" t="n">
        <v>56.7456775761007</v>
      </c>
      <c r="I25" s="111">
        <f>(100*B25)/N25</f>
        <v/>
      </c>
      <c r="J25" s="112">
        <f>((C25+F25)*100)/B25</f>
        <v/>
      </c>
      <c r="K25" s="112">
        <f>((D25+G25)*100)/B25</f>
        <v/>
      </c>
      <c r="L25" s="112">
        <f>((E25+H25)*100)/B25</f>
        <v/>
      </c>
      <c r="M25" s="114">
        <f>N25-B24</f>
        <v/>
      </c>
      <c r="N25" s="109">
        <f>O25+P25+Q25+R25+S25+T25</f>
        <v/>
      </c>
      <c r="O25" s="110" t="n">
        <v>2344.62822348525</v>
      </c>
      <c r="P25" s="110" t="n">
        <v>2009.31285599011</v>
      </c>
      <c r="Q25" s="110" t="n">
        <v>2450.38153169525</v>
      </c>
      <c r="R25" s="110" t="n">
        <v>433.33062876295</v>
      </c>
      <c r="S25" s="110" t="n">
        <v>484.917608377587</v>
      </c>
      <c r="T25" s="110" t="n">
        <v>513.2904471656381</v>
      </c>
      <c r="U25" s="50" t="n">
        <v>374</v>
      </c>
      <c r="V25" s="112">
        <f>((O25+R25)*100)/N25</f>
        <v/>
      </c>
      <c r="W25" s="112">
        <f>((P25+S25)*100)/N25</f>
        <v/>
      </c>
      <c r="X25" s="112">
        <f>((Q25+T25)*100)/N25</f>
        <v/>
      </c>
    </row>
    <row r="26" ht="22.5" customHeight="1" s="150">
      <c r="A26" s="34" t="n">
        <v>24</v>
      </c>
      <c r="B26" s="109">
        <f>C26+D26+E26+F26+G26+H26</f>
        <v/>
      </c>
      <c r="C26" s="110" t="n">
        <v>281.149038899771</v>
      </c>
      <c r="D26" s="110" t="n">
        <v>172.816381709033</v>
      </c>
      <c r="E26" s="110" t="n">
        <v>265.67294501538</v>
      </c>
      <c r="F26" s="110" t="n">
        <v>7.73804694219555</v>
      </c>
      <c r="G26" s="110" t="n">
        <v>5.1586979614637</v>
      </c>
      <c r="H26" s="110" t="n">
        <v>46.4282816531733</v>
      </c>
      <c r="I26" s="111">
        <f>(100*B26)/N26</f>
        <v/>
      </c>
      <c r="J26" s="112">
        <f>((C26+F26)*100)/B26</f>
        <v/>
      </c>
      <c r="K26" s="112">
        <f>((D26+G26)*100)/B26</f>
        <v/>
      </c>
      <c r="L26" s="112">
        <f>((E26+H26)*100)/B26</f>
        <v/>
      </c>
      <c r="M26" s="114">
        <f>N26-B25</f>
        <v/>
      </c>
      <c r="N26" s="109">
        <f>O26+P26+Q26+R26+S26+T26</f>
        <v/>
      </c>
      <c r="O26" s="110" t="n">
        <v>2146.01835196889</v>
      </c>
      <c r="P26" s="110" t="n">
        <v>1880.34540695351</v>
      </c>
      <c r="Q26" s="110" t="n">
        <v>2182.12923769914</v>
      </c>
      <c r="R26" s="110" t="n">
        <v>170.237032728302</v>
      </c>
      <c r="S26" s="110" t="n">
        <v>147.022891901715</v>
      </c>
      <c r="T26" s="110" t="n">
        <v>159.919636805374</v>
      </c>
      <c r="U26" s="50" t="n">
        <v>302</v>
      </c>
      <c r="V26" s="112">
        <f>((O26+R26)*100)/N26</f>
        <v/>
      </c>
      <c r="W26" s="112">
        <f>((P26+S26)*100)/N26</f>
        <v/>
      </c>
      <c r="X26" s="112">
        <f>((Q26+T26)*100)/N26</f>
        <v/>
      </c>
    </row>
    <row r="27" ht="22.5" customHeight="1" s="150">
      <c r="A27" s="34" t="n">
        <v>25</v>
      </c>
      <c r="B27" s="109">
        <f>C27+D27+E27+F27+G27+H27</f>
        <v/>
      </c>
      <c r="C27" s="110" t="n">
        <v>10.3173959229274</v>
      </c>
      <c r="D27" s="110" t="n">
        <v>5.1586979614637</v>
      </c>
      <c r="E27" s="110" t="n">
        <v>2.57934898073185</v>
      </c>
      <c r="F27" s="110" t="n">
        <v>0</v>
      </c>
      <c r="G27" s="110" t="n">
        <v>0</v>
      </c>
      <c r="H27" s="110" t="n">
        <v>0</v>
      </c>
      <c r="I27" s="111">
        <f>(100*B27)/N27</f>
        <v/>
      </c>
      <c r="J27" s="112">
        <f>((C27+F27)*100)/B27</f>
        <v/>
      </c>
      <c r="K27" s="112">
        <f>((D27+G27)*100)/B27</f>
        <v/>
      </c>
      <c r="L27" s="112">
        <f>((E27+H27)*100)/B27</f>
        <v/>
      </c>
      <c r="M27" s="114">
        <f>N27-B26</f>
        <v/>
      </c>
      <c r="N27" s="109">
        <f>O27+P27+Q27+R27+S27+T27</f>
        <v/>
      </c>
      <c r="O27" s="110" t="n">
        <v>2135.70095604597</v>
      </c>
      <c r="P27" s="110" t="n">
        <v>1875.18670899205</v>
      </c>
      <c r="Q27" s="110" t="n">
        <v>2174.39119075694</v>
      </c>
      <c r="R27" s="110" t="n">
        <v>0</v>
      </c>
      <c r="S27" s="110" t="n">
        <v>2.57934898073185</v>
      </c>
      <c r="T27" s="110" t="n">
        <v>2.57934898073185</v>
      </c>
      <c r="U27" s="50" t="n">
        <v>261</v>
      </c>
      <c r="V27" s="112">
        <f>((O27+R27)*100)/N27</f>
        <v/>
      </c>
      <c r="W27" s="112">
        <f>((P27+S27)*100)/N27</f>
        <v/>
      </c>
      <c r="X27" s="112">
        <f>((Q27+T27)*100)/N27</f>
        <v/>
      </c>
    </row>
    <row r="28" ht="22.5" customHeight="1" s="150">
      <c r="A28" s="34" t="n">
        <v>26</v>
      </c>
      <c r="B28" s="109">
        <f>C28+D28+E28+F28+G28+H28</f>
        <v/>
      </c>
      <c r="C28" s="110" t="n">
        <v>0</v>
      </c>
      <c r="D28" s="110" t="n">
        <v>0</v>
      </c>
      <c r="E28" s="110" t="n">
        <v>0</v>
      </c>
      <c r="F28" s="110" t="n">
        <v>0</v>
      </c>
      <c r="G28" s="110" t="n">
        <v>0</v>
      </c>
      <c r="H28" s="110" t="n">
        <v>0</v>
      </c>
      <c r="I28" s="111">
        <f>(100*B28)/N28</f>
        <v/>
      </c>
      <c r="J28" s="112">
        <f>((C28+F28)*100)/B28</f>
        <v/>
      </c>
      <c r="K28" s="112">
        <f>((D28+G28)*100)/B28</f>
        <v/>
      </c>
      <c r="L28" s="112">
        <f>((E28+H28)*100)/B28</f>
        <v/>
      </c>
      <c r="M28" s="114">
        <f>N28-B27</f>
        <v/>
      </c>
      <c r="N28" s="109">
        <f>O28+P28+Q28+R28+S28+T28</f>
        <v/>
      </c>
      <c r="O28" s="110" t="n">
        <v>2130.5422580845</v>
      </c>
      <c r="P28" s="110" t="n">
        <v>1859.71061510766</v>
      </c>
      <c r="Q28" s="110" t="n">
        <v>2169.23249279548</v>
      </c>
      <c r="R28" s="110" t="n">
        <v>0</v>
      </c>
      <c r="S28" s="110" t="n">
        <v>0</v>
      </c>
      <c r="T28" s="110" t="n">
        <v>0</v>
      </c>
      <c r="U28" s="50" t="n">
        <v>253</v>
      </c>
      <c r="V28" s="112">
        <f>((O28+R28)*100)/N28</f>
        <v/>
      </c>
      <c r="W28" s="112">
        <f>((P28+S28)*100)/N28</f>
        <v/>
      </c>
      <c r="X28" s="112">
        <f>((Q28+T28)*100)/N28</f>
        <v/>
      </c>
    </row>
    <row r="29" ht="22.5" customHeight="1" s="150">
      <c r="A29" s="34" t="n">
        <v>27</v>
      </c>
      <c r="B29" s="109">
        <f>C29+D29+E29+F29+G29+H29</f>
        <v/>
      </c>
      <c r="C29" s="110" t="n">
        <v>15.4760938843911</v>
      </c>
      <c r="D29" s="110" t="n">
        <v>2.57934898073185</v>
      </c>
      <c r="E29" s="110" t="n">
        <v>2.57934898073185</v>
      </c>
      <c r="F29" s="110" t="n">
        <v>5.1586979614637</v>
      </c>
      <c r="G29" s="110" t="n">
        <v>2.57934898073185</v>
      </c>
      <c r="H29" s="110" t="n">
        <v>2.57934898073185</v>
      </c>
      <c r="I29" s="111">
        <f>(100*B29)/N29</f>
        <v/>
      </c>
      <c r="J29" s="112">
        <f>((C29+F29)*100)/B29</f>
        <v/>
      </c>
      <c r="K29" s="112">
        <f>((D29+G29)*100)/B29</f>
        <v/>
      </c>
      <c r="L29" s="112">
        <f>((E29+H29)*100)/B29</f>
        <v/>
      </c>
      <c r="M29" s="114">
        <f>N29-B28</f>
        <v/>
      </c>
      <c r="N29" s="109">
        <f>O29+P29+Q29+R29+S29+T29</f>
        <v/>
      </c>
      <c r="O29" s="110" t="n">
        <v>2099.59007031572</v>
      </c>
      <c r="P29" s="110" t="n">
        <v>1849.39321918473</v>
      </c>
      <c r="Q29" s="110" t="n">
        <v>2148.59770094963</v>
      </c>
      <c r="R29" s="110" t="n">
        <v>608.726359452716</v>
      </c>
      <c r="S29" s="110" t="n">
        <v>554.560030857347</v>
      </c>
      <c r="T29" s="110" t="n">
        <v>691.265526836135</v>
      </c>
      <c r="U29" s="50" t="n">
        <v>307</v>
      </c>
      <c r="V29" s="112">
        <f>((O29+R29)*100)/N29</f>
        <v/>
      </c>
      <c r="W29" s="112">
        <f>((P29+S29)*100)/N29</f>
        <v/>
      </c>
      <c r="X29" s="112">
        <f>((Q29+T29)*100)/N29</f>
        <v/>
      </c>
    </row>
    <row r="30" ht="22.5" customHeight="1" s="150">
      <c r="A30" s="34" t="n">
        <v>28</v>
      </c>
      <c r="B30" s="109">
        <f>C30+D30+E30+F30+G30+H30</f>
        <v/>
      </c>
      <c r="C30" s="110" t="n">
        <v>2.57934898073185</v>
      </c>
      <c r="D30" s="110" t="n">
        <v>0</v>
      </c>
      <c r="E30" s="110" t="n">
        <v>2.57934898073185</v>
      </c>
      <c r="F30" s="110" t="n">
        <v>0</v>
      </c>
      <c r="G30" s="110" t="n">
        <v>0</v>
      </c>
      <c r="H30" s="110" t="n">
        <v>0</v>
      </c>
      <c r="I30" s="111">
        <f>(100*B30)/N30</f>
        <v/>
      </c>
      <c r="J30" s="112">
        <f>((C30+F30)*100)/B30</f>
        <v/>
      </c>
      <c r="K30" s="112">
        <f>((D30+G30)*100)/B30</f>
        <v/>
      </c>
      <c r="L30" s="112">
        <f>((E30+H30)*100)/B30</f>
        <v/>
      </c>
      <c r="M30" s="114">
        <f>N30-B29</f>
        <v/>
      </c>
      <c r="N30" s="109">
        <f>O30+P30+Q30+R30+S30+T30</f>
        <v/>
      </c>
      <c r="O30" s="110" t="n">
        <v>2122.80421114231</v>
      </c>
      <c r="P30" s="110" t="n">
        <v>1851.97256816546</v>
      </c>
      <c r="Q30" s="110" t="n">
        <v>2151.17704993036</v>
      </c>
      <c r="R30" s="110" t="n">
        <v>5.1586979614637</v>
      </c>
      <c r="S30" s="110" t="n">
        <v>5.1586979614637</v>
      </c>
      <c r="T30" s="110" t="n">
        <v>2.57934898073185</v>
      </c>
      <c r="U30" s="50" t="n">
        <v>253</v>
      </c>
      <c r="V30" s="112">
        <f>((O30+R30)*100)/N30</f>
        <v/>
      </c>
      <c r="W30" s="112">
        <f>((P30+S30)*100)/N30</f>
        <v/>
      </c>
      <c r="X30" s="112">
        <f>((Q30+T30)*100)/N30</f>
        <v/>
      </c>
    </row>
    <row r="31" ht="22.5" customHeight="1" s="150">
      <c r="A31" s="34" t="n">
        <v>29</v>
      </c>
      <c r="B31" s="109">
        <f>C31+D31+E31+F31+G31+H31</f>
        <v/>
      </c>
      <c r="C31" s="110" t="n">
        <v>2.57934898073185</v>
      </c>
      <c r="D31" s="110" t="n">
        <v>2.57934898073185</v>
      </c>
      <c r="E31" s="110" t="n">
        <v>2.57934898073185</v>
      </c>
      <c r="F31" s="110" t="n">
        <v>0</v>
      </c>
      <c r="G31" s="110" t="n">
        <v>0</v>
      </c>
      <c r="H31" s="110" t="n">
        <v>0</v>
      </c>
      <c r="I31" s="111">
        <f>(100*B31)/N31</f>
        <v/>
      </c>
      <c r="J31" s="112">
        <f>((C31+F31)*100)/B31</f>
        <v/>
      </c>
      <c r="K31" s="112">
        <f>((D31+G31)*100)/B31</f>
        <v/>
      </c>
      <c r="L31" s="112">
        <f>((E31+H31)*100)/B31</f>
        <v/>
      </c>
      <c r="M31" s="114">
        <f>N31-B30</f>
        <v/>
      </c>
      <c r="N31" s="109">
        <f>O31+P31+Q31+R31+S31+T31</f>
        <v/>
      </c>
      <c r="O31" s="110" t="n">
        <v>2094.43137235426</v>
      </c>
      <c r="P31" s="110" t="n">
        <v>1851.97256816546</v>
      </c>
      <c r="Q31" s="110" t="n">
        <v>2122.80421114231</v>
      </c>
      <c r="R31" s="110" t="n">
        <v>54.1663285953688</v>
      </c>
      <c r="S31" s="110" t="n">
        <v>46.4282816531733</v>
      </c>
      <c r="T31" s="110" t="n">
        <v>64.4837245182962</v>
      </c>
      <c r="U31" s="50" t="n">
        <v>219</v>
      </c>
      <c r="V31" s="112">
        <f>((O31+R31)*100)/N31</f>
        <v/>
      </c>
      <c r="W31" s="112">
        <f>((P31+S31)*100)/N31</f>
        <v/>
      </c>
      <c r="X31" s="112">
        <f>((Q31+T31)*100)/N31</f>
        <v/>
      </c>
    </row>
    <row r="32" ht="22.5" customHeight="1" s="150">
      <c r="A32" s="34" t="n">
        <v>30</v>
      </c>
      <c r="B32" s="109">
        <f>C32+D32+E32+F32+G32+H32</f>
        <v/>
      </c>
      <c r="C32" s="110" t="n">
        <v>7.73804694219555</v>
      </c>
      <c r="D32" s="110" t="n">
        <v>7.73804694219555</v>
      </c>
      <c r="E32" s="110" t="n">
        <v>10.3173959229274</v>
      </c>
      <c r="F32" s="110" t="n">
        <v>2.57934898073185</v>
      </c>
      <c r="G32" s="110" t="n">
        <v>0</v>
      </c>
      <c r="H32" s="110" t="n">
        <v>0</v>
      </c>
      <c r="I32" s="111">
        <f>(100*B32)/N32</f>
        <v/>
      </c>
      <c r="J32" s="112">
        <f>((C32+F32)*100)/B32</f>
        <v/>
      </c>
      <c r="K32" s="112">
        <f>((D32+G32)*100)/B32</f>
        <v/>
      </c>
      <c r="L32" s="112">
        <f>((E32+H32)*100)/B32</f>
        <v/>
      </c>
      <c r="M32" s="114">
        <f>N32-B31</f>
        <v/>
      </c>
      <c r="N32" s="109">
        <f>O32+P32+Q32+R32+S32+T32</f>
        <v/>
      </c>
      <c r="O32" s="110" t="n">
        <v>2060.89983560474</v>
      </c>
      <c r="P32" s="110" t="n">
        <v>1823.59972937741</v>
      </c>
      <c r="Q32" s="110" t="n">
        <v>2081.5346274506</v>
      </c>
      <c r="R32" s="110" t="n">
        <v>98.0152612678103</v>
      </c>
      <c r="S32" s="110" t="n">
        <v>90.27721432561469</v>
      </c>
      <c r="T32" s="110" t="n">
        <v>105.753308210005</v>
      </c>
      <c r="U32" s="50" t="n">
        <v>258</v>
      </c>
      <c r="V32" s="112">
        <f>((O32+R32)*100)/N32</f>
        <v/>
      </c>
      <c r="W32" s="112">
        <f>((P32+S32)*100)/N32</f>
        <v/>
      </c>
      <c r="X32" s="112">
        <f>((Q32+T32)*100)/N32</f>
        <v/>
      </c>
    </row>
    <row r="33" ht="22.5" customHeight="1" s="150">
      <c r="A33" s="34" t="n">
        <v>31</v>
      </c>
      <c r="B33" s="109">
        <f>C33+D33+E33+F33+G33+H33</f>
        <v/>
      </c>
      <c r="C33" s="110" t="n">
        <v>25.7934898073184</v>
      </c>
      <c r="D33" s="110" t="n">
        <v>10.3173959229274</v>
      </c>
      <c r="E33" s="110" t="n">
        <v>10.3173959229274</v>
      </c>
      <c r="F33" s="110" t="n">
        <v>7.73804694219555</v>
      </c>
      <c r="G33" s="110" t="n">
        <v>2.57934898073185</v>
      </c>
      <c r="H33" s="110" t="n">
        <v>7.73804694219555</v>
      </c>
      <c r="I33" s="111">
        <f>(100*B33)/N33</f>
        <v/>
      </c>
      <c r="J33" s="112">
        <f>((C33+F33)*100)/B33</f>
        <v/>
      </c>
      <c r="K33" s="112">
        <f>((D33+G33)*100)/B33</f>
        <v/>
      </c>
      <c r="L33" s="112">
        <f>((E33+H33)*100)/B33</f>
        <v/>
      </c>
      <c r="M33" s="114">
        <f>N33-B32</f>
        <v/>
      </c>
      <c r="N33" s="109">
        <f>O33+P33+Q33+R33+S33+T33</f>
        <v/>
      </c>
      <c r="O33" s="110" t="n">
        <v>2045.42374172035</v>
      </c>
      <c r="P33" s="110" t="n">
        <v>1815.86168243522</v>
      </c>
      <c r="Q33" s="110" t="n">
        <v>2037.68569477816</v>
      </c>
      <c r="R33" s="110" t="n">
        <v>913.089539179074</v>
      </c>
      <c r="S33" s="110" t="n">
        <v>797.018835046141</v>
      </c>
      <c r="T33" s="110" t="n">
        <v>913.089539179074</v>
      </c>
      <c r="U33" s="50" t="n">
        <v>312</v>
      </c>
      <c r="V33" s="112">
        <f>((O33+R33)*100)/N33</f>
        <v/>
      </c>
      <c r="W33" s="112">
        <f>((P33+S33)*100)/N33</f>
        <v/>
      </c>
      <c r="X33" s="112">
        <f>((Q33+T33)*100)/N33</f>
        <v/>
      </c>
    </row>
    <row r="34" ht="22.5" customHeight="1" s="150">
      <c r="A34" s="34" t="n">
        <v>32</v>
      </c>
      <c r="B34" s="109">
        <f>C34+D34+E34+F34+G34+H34</f>
        <v/>
      </c>
      <c r="C34" s="110" t="n">
        <v>59.3250265568325</v>
      </c>
      <c r="D34" s="110" t="n">
        <v>20.6347918458548</v>
      </c>
      <c r="E34" s="110" t="n">
        <v>33.531536749514</v>
      </c>
      <c r="F34" s="110" t="n">
        <v>0</v>
      </c>
      <c r="G34" s="110" t="n">
        <v>7.73804694219555</v>
      </c>
      <c r="H34" s="110" t="n">
        <v>10.3173959229274</v>
      </c>
      <c r="I34" s="111">
        <f>(100*B34)/N34</f>
        <v/>
      </c>
      <c r="J34" s="112">
        <f>((C34+F34)*100)/B34</f>
        <v/>
      </c>
      <c r="K34" s="112">
        <f>((D34+G34)*100)/B34</f>
        <v/>
      </c>
      <c r="L34" s="112">
        <f>((E34+H34)*100)/B34</f>
        <v/>
      </c>
      <c r="M34" s="114">
        <f>N34-B33</f>
        <v/>
      </c>
      <c r="N34" s="109">
        <f>O34+P34+Q34+R34+S34+T34</f>
        <v/>
      </c>
      <c r="O34" s="110" t="n">
        <v>1993.83676210572</v>
      </c>
      <c r="P34" s="110" t="n">
        <v>1774.59209874351</v>
      </c>
      <c r="Q34" s="110" t="n">
        <v>1993.83676210572</v>
      </c>
      <c r="R34" s="110" t="n">
        <v>226.982710304402</v>
      </c>
      <c r="S34" s="110" t="n">
        <v>201.189220497084</v>
      </c>
      <c r="T34" s="110" t="n">
        <v>255.355549092453</v>
      </c>
      <c r="U34" s="50" t="n">
        <v>286</v>
      </c>
      <c r="V34" s="112">
        <f>((O34+R34)*100)/N34</f>
        <v/>
      </c>
      <c r="W34" s="112">
        <f>((P34+S34)*100)/N34</f>
        <v/>
      </c>
      <c r="X34" s="112">
        <f>((Q34+T34)*100)/N34</f>
        <v/>
      </c>
    </row>
    <row r="35" ht="22.5" customHeight="1" s="150">
      <c r="A35" s="34" t="n">
        <v>33</v>
      </c>
      <c r="B35" s="109">
        <f>C35+D35+E35+F35+G35+H35</f>
        <v/>
      </c>
      <c r="C35" s="110" t="n">
        <v>5.1586979614637</v>
      </c>
      <c r="D35" s="110" t="n">
        <v>2.57934898073185</v>
      </c>
      <c r="E35" s="110" t="n">
        <v>0</v>
      </c>
      <c r="F35" s="110" t="n">
        <v>0</v>
      </c>
      <c r="G35" s="110" t="n">
        <v>0</v>
      </c>
      <c r="H35" s="110" t="n">
        <v>0</v>
      </c>
      <c r="I35" s="111">
        <f>(100*B35)/N35</f>
        <v/>
      </c>
      <c r="J35" s="112">
        <f>((C35+F35)*100)/B35</f>
        <v/>
      </c>
      <c r="K35" s="112">
        <f>((D35+G35)*100)/B35</f>
        <v/>
      </c>
      <c r="L35" s="112">
        <f>((E35+H35)*100)/B35</f>
        <v/>
      </c>
      <c r="M35" s="114">
        <f>N35-B34</f>
        <v/>
      </c>
      <c r="N35" s="109">
        <f>O35+P35+Q35+R35+S35+T35</f>
        <v/>
      </c>
      <c r="O35" s="110" t="n">
        <v>1991.25741312498</v>
      </c>
      <c r="P35" s="110" t="n">
        <v>1766.85405180131</v>
      </c>
      <c r="Q35" s="110" t="n">
        <v>1991.25741312498</v>
      </c>
      <c r="R35" s="110" t="n">
        <v>242.458804188793</v>
      </c>
      <c r="S35" s="110" t="n">
        <v>211.506616420011</v>
      </c>
      <c r="T35" s="110" t="n">
        <v>234.720757246598</v>
      </c>
      <c r="U35" s="50" t="n">
        <v>294</v>
      </c>
      <c r="V35" s="112">
        <f>((O35+R35)*100)/N35</f>
        <v/>
      </c>
      <c r="W35" s="112">
        <f>((P35+S35)*100)/N35</f>
        <v/>
      </c>
      <c r="X35" s="112">
        <f>((Q35+T35)*100)/N35</f>
        <v/>
      </c>
    </row>
    <row r="36" ht="22.5" customHeight="1" s="150">
      <c r="A36" s="34" t="n">
        <v>34</v>
      </c>
      <c r="B36" s="109">
        <f>C36+D36+E36+F36+G36+H36</f>
        <v/>
      </c>
      <c r="C36" s="110" t="n">
        <v>2.57934898073185</v>
      </c>
      <c r="D36" s="110" t="n">
        <v>2.57934898073185</v>
      </c>
      <c r="E36" s="110" t="n">
        <v>10.3173959229274</v>
      </c>
      <c r="F36" s="110" t="n">
        <v>0</v>
      </c>
      <c r="G36" s="110" t="n">
        <v>0</v>
      </c>
      <c r="H36" s="110" t="n">
        <v>0</v>
      </c>
      <c r="I36" s="111">
        <f>(100*B36)/N36</f>
        <v/>
      </c>
      <c r="J36" s="112">
        <f>((C36+F36)*100)/B36</f>
        <v/>
      </c>
      <c r="K36" s="112">
        <f>((D36+G36)*100)/B36</f>
        <v/>
      </c>
      <c r="L36" s="112">
        <f>((E36+H36)*100)/B36</f>
        <v/>
      </c>
      <c r="M36" s="114">
        <f>N36-B35</f>
        <v/>
      </c>
      <c r="N36" s="109">
        <f>O36+P36+Q36+R36+S36+T36</f>
        <v/>
      </c>
      <c r="O36" s="110" t="n">
        <v>1978.36066822132</v>
      </c>
      <c r="P36" s="110" t="n">
        <v>1761.69535383985</v>
      </c>
      <c r="Q36" s="110" t="n">
        <v>1978.36066822132</v>
      </c>
      <c r="R36" s="110" t="n">
        <v>103.173959229273</v>
      </c>
      <c r="S36" s="110" t="n">
        <v>69.6424224797599</v>
      </c>
      <c r="T36" s="110" t="n">
        <v>85.11851636415101</v>
      </c>
      <c r="U36" s="50" t="n">
        <v>240</v>
      </c>
      <c r="V36" s="112">
        <f>((O36+R36)*100)/N36</f>
        <v/>
      </c>
      <c r="W36" s="112">
        <f>((P36+S36)*100)/N36</f>
        <v/>
      </c>
      <c r="X36" s="112">
        <f>((Q36+T36)*100)/N36</f>
        <v/>
      </c>
    </row>
    <row r="37" ht="22.5" customHeight="1" s="150">
      <c r="A37" s="34" t="n">
        <v>35</v>
      </c>
      <c r="B37" s="109">
        <f>C37+D37+E37+F37+G37+H37</f>
        <v/>
      </c>
      <c r="C37" s="110" t="n">
        <v>23.2141408265866</v>
      </c>
      <c r="D37" s="110" t="n">
        <v>10.3173959229274</v>
      </c>
      <c r="E37" s="110" t="n">
        <v>10.3173959229274</v>
      </c>
      <c r="F37" s="110" t="n">
        <v>0</v>
      </c>
      <c r="G37" s="110" t="n">
        <v>2.57934898073185</v>
      </c>
      <c r="H37" s="110" t="n">
        <v>0</v>
      </c>
      <c r="I37" s="111">
        <f>(100*B37)/N37</f>
        <v/>
      </c>
      <c r="J37" s="112">
        <f>((C37+F37)*100)/B37</f>
        <v/>
      </c>
      <c r="K37" s="112">
        <f>((D37+G37)*100)/B37</f>
        <v/>
      </c>
      <c r="L37" s="112">
        <f>((E37+H37)*100)/B37</f>
        <v/>
      </c>
      <c r="M37" s="114">
        <f>N37-B36</f>
        <v/>
      </c>
      <c r="N37" s="109">
        <f>O37+P37+Q37+R37+S37+T37</f>
        <v/>
      </c>
      <c r="O37" s="110" t="n">
        <v>1921.61499064522</v>
      </c>
      <c r="P37" s="110" t="n">
        <v>1743.63991097473</v>
      </c>
      <c r="Q37" s="110" t="n">
        <v>1926.77368860669</v>
      </c>
      <c r="R37" s="110" t="n">
        <v>330.156669533676</v>
      </c>
      <c r="S37" s="110" t="n">
        <v>312.101226668553</v>
      </c>
      <c r="T37" s="110" t="n">
        <v>350.791461379531</v>
      </c>
      <c r="U37" s="50" t="n">
        <v>291</v>
      </c>
      <c r="V37" s="112">
        <f>((O37+R37)*100)/N37</f>
        <v/>
      </c>
      <c r="W37" s="112">
        <f>((P37+S37)*100)/N37</f>
        <v/>
      </c>
      <c r="X37" s="112">
        <f>((Q37+T37)*100)/N37</f>
        <v/>
      </c>
    </row>
    <row r="38" ht="22.5" customHeight="1" s="150">
      <c r="A38" s="34" t="n">
        <v>36</v>
      </c>
      <c r="B38" s="109">
        <f>C38+D38+E38+F38+G38+H38</f>
        <v/>
      </c>
      <c r="C38" s="110" t="n">
        <v>2.57934898073185</v>
      </c>
      <c r="D38" s="110" t="n">
        <v>2.57934898073185</v>
      </c>
      <c r="E38" s="110" t="n">
        <v>0</v>
      </c>
      <c r="F38" s="110" t="n">
        <v>0</v>
      </c>
      <c r="G38" s="110" t="n">
        <v>0</v>
      </c>
      <c r="H38" s="110" t="n">
        <v>0</v>
      </c>
      <c r="I38" s="111">
        <f>(100*B38)/N38</f>
        <v/>
      </c>
      <c r="J38" s="112">
        <f>((C38+F38)*100)/B38</f>
        <v/>
      </c>
      <c r="K38" s="112">
        <f>((D38+G38)*100)/B38</f>
        <v/>
      </c>
      <c r="L38" s="112">
        <f>((E38+H38)*100)/B38</f>
        <v/>
      </c>
      <c r="M38" s="114">
        <f>N38-B37</f>
        <v/>
      </c>
      <c r="N38" s="109">
        <f>O38+P38+Q38+R38+S38+T38</f>
        <v/>
      </c>
      <c r="O38" s="110" t="n">
        <v>1911.2975947223</v>
      </c>
      <c r="P38" s="110" t="n">
        <v>1741.06056199399</v>
      </c>
      <c r="Q38" s="110" t="n">
        <v>1916.45629268376</v>
      </c>
      <c r="R38" s="110" t="n">
        <v>5.1586979614637</v>
      </c>
      <c r="S38" s="110" t="n">
        <v>5.1586979614637</v>
      </c>
      <c r="T38" s="110" t="n">
        <v>2.57934898073185</v>
      </c>
      <c r="U38" s="50" t="n">
        <v>217</v>
      </c>
      <c r="V38" s="112">
        <f>((O38+R38)*100)/N38</f>
        <v/>
      </c>
      <c r="W38" s="112">
        <f>((P38+S38)*100)/N38</f>
        <v/>
      </c>
      <c r="X38" s="112">
        <f>((Q38+T38)*100)/N38</f>
        <v/>
      </c>
    </row>
    <row r="39" ht="22.5" customHeight="1" s="150">
      <c r="A39" s="34" t="n">
        <v>37</v>
      </c>
      <c r="B39" s="109">
        <f>C39+D39+E39+F39+G39+H39</f>
        <v/>
      </c>
      <c r="C39" s="110" t="n">
        <v>0</v>
      </c>
      <c r="D39" s="110" t="n">
        <v>0</v>
      </c>
      <c r="E39" s="110" t="n">
        <v>0</v>
      </c>
      <c r="F39" s="110" t="n">
        <v>0</v>
      </c>
      <c r="G39" s="110" t="n">
        <v>0</v>
      </c>
      <c r="H39" s="110" t="n">
        <v>0</v>
      </c>
      <c r="I39" s="111">
        <f>(100*B39)/N39</f>
        <v/>
      </c>
      <c r="J39" s="112">
        <f>((C39+F39)*100)/B39</f>
        <v/>
      </c>
      <c r="K39" s="112">
        <f>((D39+G39)*100)/B39</f>
        <v/>
      </c>
      <c r="L39" s="112">
        <f>((E39+H39)*100)/B39</f>
        <v/>
      </c>
      <c r="M39" s="114">
        <f>N39-B38</f>
        <v/>
      </c>
      <c r="N39" s="109">
        <f>O39+P39+Q39+R39+S39+T39</f>
        <v/>
      </c>
      <c r="O39" s="110" t="n">
        <v>1934.51173554888</v>
      </c>
      <c r="P39" s="110" t="n">
        <v>1746.21925995546</v>
      </c>
      <c r="Q39" s="110" t="n">
        <v>1926.77368860669</v>
      </c>
      <c r="R39" s="110" t="n">
        <v>0</v>
      </c>
      <c r="S39" s="110" t="n">
        <v>2.57934898073185</v>
      </c>
      <c r="T39" s="110" t="n">
        <v>5.1586979614637</v>
      </c>
      <c r="U39" s="50" t="n">
        <v>201</v>
      </c>
      <c r="V39" s="112">
        <f>((O39+R39)*100)/N39</f>
        <v/>
      </c>
      <c r="W39" s="112">
        <f>((P39+S39)*100)/N39</f>
        <v/>
      </c>
      <c r="X39" s="112">
        <f>((Q39+T39)*100)/N39</f>
        <v/>
      </c>
    </row>
    <row r="40" ht="22.5" customHeight="1" s="150">
      <c r="A40" s="34" t="n">
        <v>38</v>
      </c>
      <c r="B40" s="109">
        <f>C40+D40+E40+F40+G40+H40</f>
        <v/>
      </c>
      <c r="C40" s="110" t="n">
        <v>2.57934898073185</v>
      </c>
      <c r="D40" s="110" t="n">
        <v>0</v>
      </c>
      <c r="E40" s="110" t="n">
        <v>5.1586979614637</v>
      </c>
      <c r="F40" s="110" t="n">
        <v>0</v>
      </c>
      <c r="G40" s="110" t="n">
        <v>0</v>
      </c>
      <c r="H40" s="110" t="n">
        <v>0</v>
      </c>
      <c r="I40" s="111">
        <f>(100*B40)/N40</f>
        <v/>
      </c>
      <c r="J40" s="112">
        <f>((C40+F40)*100)/B40</f>
        <v/>
      </c>
      <c r="K40" s="112">
        <f>((D40+G40)*100)/B40</f>
        <v/>
      </c>
      <c r="L40" s="112">
        <f>((E40+H40)*100)/B40</f>
        <v/>
      </c>
      <c r="M40" s="114">
        <f>N40-B39</f>
        <v/>
      </c>
      <c r="N40" s="109">
        <f>O40+P40+Q40+R40+S40+T40</f>
        <v/>
      </c>
      <c r="O40" s="110" t="n">
        <v>1926.77368860669</v>
      </c>
      <c r="P40" s="110" t="n">
        <v>1725.5844681096</v>
      </c>
      <c r="Q40" s="110" t="n">
        <v>1908.71824574156</v>
      </c>
      <c r="R40" s="110" t="n">
        <v>0</v>
      </c>
      <c r="S40" s="110" t="n">
        <v>5.1586979614637</v>
      </c>
      <c r="T40" s="110" t="n">
        <v>2.57934898073185</v>
      </c>
      <c r="U40" s="50" t="n">
        <v>237</v>
      </c>
      <c r="V40" s="112">
        <f>((O40+R40)*100)/N40</f>
        <v/>
      </c>
      <c r="W40" s="112">
        <f>((P40+S40)*100)/N40</f>
        <v/>
      </c>
      <c r="X40" s="112">
        <f>((Q40+T40)*100)/N40</f>
        <v/>
      </c>
    </row>
    <row r="41" ht="22.5" customHeight="1" s="150">
      <c r="A41" s="34" t="n">
        <v>39</v>
      </c>
      <c r="B41" s="109">
        <f>C41+D41+E41+F41+G41+H41</f>
        <v/>
      </c>
      <c r="C41" s="110" t="n">
        <v>90.27721432561469</v>
      </c>
      <c r="D41" s="110" t="n">
        <v>41.2695836917096</v>
      </c>
      <c r="E41" s="110" t="n">
        <v>46.4282816531733</v>
      </c>
      <c r="F41" s="110" t="n">
        <v>95.43591228707839</v>
      </c>
      <c r="G41" s="110" t="n">
        <v>92.8565633063466</v>
      </c>
      <c r="H41" s="110" t="n">
        <v>90.27721432561469</v>
      </c>
      <c r="I41" s="111">
        <f>(100*B41)/N41</f>
        <v/>
      </c>
      <c r="J41" s="112">
        <f>((C41+F41)*100)/B41</f>
        <v/>
      </c>
      <c r="K41" s="112">
        <f>((D41+G41)*100)/B41</f>
        <v/>
      </c>
      <c r="L41" s="112">
        <f>((E41+H41)*100)/B41</f>
        <v/>
      </c>
      <c r="M41" s="114">
        <f>N41-B40</f>
        <v/>
      </c>
      <c r="N41" s="109">
        <f>O41+P41+Q41+R41+S41+T41</f>
        <v/>
      </c>
      <c r="O41" s="110" t="n">
        <v>1777.17144772424</v>
      </c>
      <c r="P41" s="110" t="n">
        <v>1586.29962315008</v>
      </c>
      <c r="Q41" s="110" t="n">
        <v>1704.94967626375</v>
      </c>
      <c r="R41" s="110" t="n">
        <v>2347.20757246598</v>
      </c>
      <c r="S41" s="110" t="n">
        <v>1821.02038039668</v>
      </c>
      <c r="T41" s="110" t="n">
        <v>2164.07379483402</v>
      </c>
      <c r="U41" s="50" t="n">
        <v>464</v>
      </c>
      <c r="V41" s="112">
        <f>((O41+R41)*100)/N41</f>
        <v/>
      </c>
      <c r="W41" s="112">
        <f>((P41+S41)*100)/N41</f>
        <v/>
      </c>
      <c r="X41" s="112">
        <f>((Q41+T41)*100)/N41</f>
        <v/>
      </c>
    </row>
    <row r="42" ht="22.5" customHeight="1" s="150">
      <c r="A42" s="34" t="n">
        <v>40</v>
      </c>
      <c r="B42" s="109">
        <f>C42+D42+E42+F42+G42+H42</f>
        <v/>
      </c>
      <c r="C42" s="110" t="n">
        <v>686.106828874672</v>
      </c>
      <c r="D42" s="110" t="n">
        <v>255.355549092453</v>
      </c>
      <c r="E42" s="110" t="n">
        <v>446.22737366661</v>
      </c>
      <c r="F42" s="110" t="n">
        <v>613.88505741418</v>
      </c>
      <c r="G42" s="110" t="n">
        <v>247.617502150257</v>
      </c>
      <c r="H42" s="110" t="n">
        <v>296.625132784162</v>
      </c>
      <c r="I42" s="111">
        <f>(100*B42)/N42</f>
        <v/>
      </c>
      <c r="J42" s="112">
        <f>((C42+F42)*100)/B42</f>
        <v/>
      </c>
      <c r="K42" s="112">
        <f>((D42+G42)*100)/B42</f>
        <v/>
      </c>
      <c r="L42" s="112">
        <f>((E42+H42)*100)/B42</f>
        <v/>
      </c>
      <c r="M42" s="114">
        <f>N42-B41</f>
        <v/>
      </c>
      <c r="N42" s="109">
        <f>O42+P42+Q42+R42+S42+T42</f>
        <v/>
      </c>
      <c r="O42" s="110" t="n">
        <v>1346.42016794202</v>
      </c>
      <c r="P42" s="110" t="n">
        <v>1276.77774546226</v>
      </c>
      <c r="Q42" s="110" t="n">
        <v>1114.27875967615</v>
      </c>
      <c r="R42" s="110" t="n">
        <v>2256.93035814036</v>
      </c>
      <c r="S42" s="110" t="n">
        <v>2104.74876827718</v>
      </c>
      <c r="T42" s="110" t="n">
        <v>2029.94764783596</v>
      </c>
      <c r="U42" s="50" t="n">
        <v>714</v>
      </c>
      <c r="V42" s="112">
        <f>((O42+R42)*100)/N42</f>
        <v/>
      </c>
      <c r="W42" s="112">
        <f>((P42+S42)*100)/N42</f>
        <v/>
      </c>
      <c r="X42" s="112">
        <f>((Q42+T42)*100)/N42</f>
        <v/>
      </c>
    </row>
    <row r="43" ht="22.5" customHeight="1" s="150">
      <c r="A43" s="34" t="n">
        <v>41</v>
      </c>
      <c r="B43" s="109">
        <f>C43+D43+E43+F43+G43+H43</f>
        <v/>
      </c>
      <c r="C43" s="110" t="n">
        <v>36.1108857302459</v>
      </c>
      <c r="D43" s="110" t="n">
        <v>25.7934898073184</v>
      </c>
      <c r="E43" s="110" t="n">
        <v>5.1586979614637</v>
      </c>
      <c r="F43" s="110" t="n">
        <v>0</v>
      </c>
      <c r="G43" s="110" t="n">
        <v>0</v>
      </c>
      <c r="H43" s="110" t="n">
        <v>0</v>
      </c>
      <c r="I43" s="111">
        <f>(100*B43)/N43</f>
        <v/>
      </c>
      <c r="J43" s="112">
        <f>((C43+F43)*100)/B43</f>
        <v/>
      </c>
      <c r="K43" s="112">
        <f>((D43+G43)*100)/B43</f>
        <v/>
      </c>
      <c r="L43" s="112">
        <f>((E43+H43)*100)/B43</f>
        <v/>
      </c>
      <c r="M43" s="114">
        <f>N43-B42</f>
        <v/>
      </c>
      <c r="N43" s="109">
        <f>O43+P43+Q43+R43+S43+T43</f>
        <v/>
      </c>
      <c r="O43" s="110" t="n">
        <v>1650.78334766838</v>
      </c>
      <c r="P43" s="110" t="n">
        <v>1261.30165157787</v>
      </c>
      <c r="Q43" s="110" t="n">
        <v>1116.85810865689</v>
      </c>
      <c r="R43" s="110" t="n">
        <v>12.8967449036592</v>
      </c>
      <c r="S43" s="110" t="n">
        <v>7.73804694219555</v>
      </c>
      <c r="T43" s="110" t="n">
        <v>10.3173959229274</v>
      </c>
      <c r="U43" s="50" t="n">
        <v>279</v>
      </c>
      <c r="V43" s="112">
        <f>((O43+R43)*100)/N43</f>
        <v/>
      </c>
      <c r="W43" s="112">
        <f>((P43+S43)*100)/N43</f>
        <v/>
      </c>
      <c r="X43" s="112">
        <f>((Q43+T43)*100)/N43</f>
        <v/>
      </c>
    </row>
    <row r="44" ht="22.5" customHeight="1" s="150">
      <c r="A44" s="34" t="n">
        <v>42</v>
      </c>
      <c r="B44" s="109">
        <f>C44+D44+E44+F44+G44+H44</f>
        <v/>
      </c>
      <c r="C44" s="110" t="n">
        <v>562.298077799543</v>
      </c>
      <c r="D44" s="110" t="n">
        <v>51.5869796146369</v>
      </c>
      <c r="E44" s="110" t="n">
        <v>234.720757246598</v>
      </c>
      <c r="F44" s="110" t="n">
        <v>113.491355152201</v>
      </c>
      <c r="G44" s="110" t="n">
        <v>51.5869796146369</v>
      </c>
      <c r="H44" s="110" t="n">
        <v>23.2141408265866</v>
      </c>
      <c r="I44" s="111">
        <f>(100*B44)/N44</f>
        <v/>
      </c>
      <c r="J44" s="112">
        <f>((C44+F44)*100)/B44</f>
        <v/>
      </c>
      <c r="K44" s="112">
        <f>((D44+G44)*100)/B44</f>
        <v/>
      </c>
      <c r="L44" s="112">
        <f>((E44+H44)*100)/B44</f>
        <v/>
      </c>
      <c r="M44" s="114">
        <f>N44-B43</f>
        <v/>
      </c>
      <c r="N44" s="109">
        <f>O44+P44+Q44+R44+S44+T44</f>
        <v/>
      </c>
      <c r="O44" s="110" t="n">
        <v>1483.12566392081</v>
      </c>
      <c r="P44" s="110" t="n">
        <v>1163.28639031006</v>
      </c>
      <c r="Q44" s="110" t="n">
        <v>889.875398352488</v>
      </c>
      <c r="R44" s="110" t="n">
        <v>2517.44460519428</v>
      </c>
      <c r="S44" s="110" t="n">
        <v>1694.63228034082</v>
      </c>
      <c r="T44" s="110" t="n">
        <v>1400.58649653739</v>
      </c>
      <c r="U44" s="50" t="n">
        <v>544</v>
      </c>
      <c r="V44" s="112">
        <f>((O44+R44)*100)/N44</f>
        <v/>
      </c>
      <c r="W44" s="112">
        <f>((P44+S44)*100)/N44</f>
        <v/>
      </c>
      <c r="X44" s="112">
        <f>((Q44+T44)*100)/N44</f>
        <v/>
      </c>
    </row>
    <row r="45" ht="22.5" customHeight="1" s="150">
      <c r="A45" s="34" t="n">
        <v>43</v>
      </c>
      <c r="B45" s="109">
        <f>C45+D45+E45+F45+G45+H45</f>
        <v/>
      </c>
      <c r="C45" s="110" t="n">
        <v>185.713126612693</v>
      </c>
      <c r="D45" s="110" t="n">
        <v>30.9521877687822</v>
      </c>
      <c r="E45" s="110" t="n">
        <v>54.1663285953688</v>
      </c>
      <c r="F45" s="110" t="n">
        <v>0</v>
      </c>
      <c r="G45" s="110" t="n">
        <v>0</v>
      </c>
      <c r="H45" s="110" t="n">
        <v>2.57934898073185</v>
      </c>
      <c r="I45" s="111">
        <f>(100*B45)/N45</f>
        <v/>
      </c>
      <c r="J45" s="112">
        <f>((C45+F45)*100)/B45</f>
        <v/>
      </c>
      <c r="K45" s="112">
        <f>((D45+G45)*100)/B45</f>
        <v/>
      </c>
      <c r="L45" s="112">
        <f>((E45+H45)*100)/B45</f>
        <v/>
      </c>
      <c r="M45" s="114">
        <f>N45-B44</f>
        <v/>
      </c>
      <c r="N45" s="109">
        <f>O45+P45+Q45+R45+S45+T45</f>
        <v/>
      </c>
      <c r="O45" s="110" t="n">
        <v>1441.8560802291</v>
      </c>
      <c r="P45" s="110" t="n">
        <v>1140.07224948347</v>
      </c>
      <c r="Q45" s="110" t="n">
        <v>869.240606506633</v>
      </c>
      <c r="R45" s="110" t="n">
        <v>98.0152612678103</v>
      </c>
      <c r="S45" s="110" t="n">
        <v>56.7456775761007</v>
      </c>
      <c r="T45" s="110" t="n">
        <v>69.6424224797599</v>
      </c>
      <c r="U45" s="50" t="n">
        <v>261</v>
      </c>
      <c r="V45" s="112">
        <f>((O45+R45)*100)/N45</f>
        <v/>
      </c>
      <c r="W45" s="112">
        <f>((P45+S45)*100)/N45</f>
        <v/>
      </c>
      <c r="X45" s="112">
        <f>((Q45+T45)*100)/N45</f>
        <v/>
      </c>
    </row>
    <row r="46" ht="22.5" customHeight="1" s="150">
      <c r="A46" s="34" t="n">
        <v>44</v>
      </c>
      <c r="B46" s="109">
        <f>C46+D46+E46+F46+G46+H46</f>
        <v/>
      </c>
      <c r="C46" s="110" t="n">
        <v>5.1586979614637</v>
      </c>
      <c r="D46" s="110" t="n">
        <v>2.57934898073185</v>
      </c>
      <c r="E46" s="110" t="n">
        <v>2.57934898073185</v>
      </c>
      <c r="F46" s="110" t="n">
        <v>0</v>
      </c>
      <c r="G46" s="110" t="n">
        <v>0</v>
      </c>
      <c r="H46" s="110" t="n">
        <v>0</v>
      </c>
      <c r="I46" s="111">
        <f>(100*B46)/N46</f>
        <v/>
      </c>
      <c r="J46" s="112">
        <f>((C46+F46)*100)/B46</f>
        <v/>
      </c>
      <c r="K46" s="112">
        <f>((D46+G46)*100)/B46</f>
        <v/>
      </c>
      <c r="L46" s="112">
        <f>((E46+H46)*100)/B46</f>
        <v/>
      </c>
      <c r="M46" s="114">
        <f>N46-B45</f>
        <v/>
      </c>
      <c r="N46" s="109">
        <f>O46+P46+Q46+R46+S46+T46</f>
        <v/>
      </c>
      <c r="O46" s="110" t="n">
        <v>1506.3398047474</v>
      </c>
      <c r="P46" s="110" t="n">
        <v>1127.17550457981</v>
      </c>
      <c r="Q46" s="110" t="n">
        <v>846.026465680046</v>
      </c>
      <c r="R46" s="110" t="n">
        <v>5.1586979614637</v>
      </c>
      <c r="S46" s="110" t="n">
        <v>7.73804694219555</v>
      </c>
      <c r="T46" s="110" t="n">
        <v>2.57934898073185</v>
      </c>
      <c r="U46" s="50" t="n">
        <v>242</v>
      </c>
      <c r="V46" s="112">
        <f>((O46+R46)*100)/N46</f>
        <v/>
      </c>
      <c r="W46" s="112">
        <f>((P46+S46)*100)/N46</f>
        <v/>
      </c>
      <c r="X46" s="112">
        <f>((Q46+T46)*100)/N46</f>
        <v/>
      </c>
    </row>
    <row r="47" ht="22.5" customHeight="1" s="150">
      <c r="A47" s="34" t="n">
        <v>45</v>
      </c>
      <c r="B47" s="109">
        <f>C47+D47+E47+F47+G47+H47</f>
        <v/>
      </c>
      <c r="C47" s="110" t="n">
        <v>2.57934898073185</v>
      </c>
      <c r="D47" s="110" t="n">
        <v>0</v>
      </c>
      <c r="E47" s="110" t="n">
        <v>2.57934898073185</v>
      </c>
      <c r="F47" s="110" t="n">
        <v>0</v>
      </c>
      <c r="G47" s="110" t="n">
        <v>0</v>
      </c>
      <c r="H47" s="110" t="n">
        <v>0</v>
      </c>
      <c r="I47" s="111">
        <f>(100*B47)/N47</f>
        <v/>
      </c>
      <c r="J47" s="112">
        <f>((C47+F47)*100)/B47</f>
        <v/>
      </c>
      <c r="K47" s="112">
        <f>((D47+G47)*100)/B47</f>
        <v/>
      </c>
      <c r="L47" s="112">
        <f>((E47+H47)*100)/B47</f>
        <v/>
      </c>
      <c r="M47" s="114">
        <f>N47-B46</f>
        <v/>
      </c>
      <c r="N47" s="109">
        <f>O47+P47+Q47+R47+S47+T47</f>
        <v/>
      </c>
      <c r="O47" s="110" t="n">
        <v>1578.56157620789</v>
      </c>
      <c r="P47" s="110" t="n">
        <v>1140.07224948347</v>
      </c>
      <c r="Q47" s="110" t="n">
        <v>846.026465680046</v>
      </c>
      <c r="R47" s="110" t="n">
        <v>0</v>
      </c>
      <c r="S47" s="110" t="n">
        <v>0</v>
      </c>
      <c r="T47" s="110" t="n">
        <v>0</v>
      </c>
      <c r="U47" s="50" t="n">
        <v>237</v>
      </c>
      <c r="V47" s="112">
        <f>((O47+R47)*100)/N47</f>
        <v/>
      </c>
      <c r="W47" s="112">
        <f>((P47+S47)*100)/N47</f>
        <v/>
      </c>
      <c r="X47" s="112">
        <f>((Q47+T47)*100)/N47</f>
        <v/>
      </c>
    </row>
    <row r="48" ht="22.5" customHeight="1" s="150">
      <c r="A48" s="34" t="n">
        <v>46</v>
      </c>
      <c r="B48" s="109">
        <f>C48+D48+E48+F48+G48+H48</f>
        <v/>
      </c>
      <c r="C48" s="110" t="n">
        <v>0</v>
      </c>
      <c r="D48" s="110" t="n">
        <v>0</v>
      </c>
      <c r="E48" s="110" t="n">
        <v>0</v>
      </c>
      <c r="F48" s="110" t="n">
        <v>0</v>
      </c>
      <c r="G48" s="110" t="n">
        <v>0</v>
      </c>
      <c r="H48" s="110" t="n">
        <v>0</v>
      </c>
      <c r="I48" s="111">
        <f>(100*B48)/N48</f>
        <v/>
      </c>
      <c r="J48" s="112">
        <f>((C48+F48)*100)/B48</f>
        <v/>
      </c>
      <c r="K48" s="112">
        <f>((D48+G48)*100)/B48</f>
        <v/>
      </c>
      <c r="L48" s="112">
        <f>((E48+H48)*100)/B48</f>
        <v/>
      </c>
      <c r="M48" s="114">
        <f>N48-B47</f>
        <v/>
      </c>
      <c r="N48" s="109">
        <f>O48+P48+Q48+R48+S48+T48</f>
        <v/>
      </c>
      <c r="O48" s="110" t="n">
        <v>1632.72790480326</v>
      </c>
      <c r="P48" s="110" t="n">
        <v>1142.6515984642</v>
      </c>
      <c r="Q48" s="110" t="n">
        <v>846.026465680046</v>
      </c>
      <c r="R48" s="110" t="n">
        <v>5.1586979614637</v>
      </c>
      <c r="S48" s="110" t="n">
        <v>0</v>
      </c>
      <c r="T48" s="110" t="n">
        <v>5.1586979614637</v>
      </c>
      <c r="U48" s="50" t="n">
        <v>219</v>
      </c>
      <c r="V48" s="112">
        <f>((O48+R48)*100)/N48</f>
        <v/>
      </c>
      <c r="W48" s="112">
        <f>((P48+S48)*100)/N48</f>
        <v/>
      </c>
      <c r="X48" s="112">
        <f>((Q48+T48)*100)/N48</f>
        <v/>
      </c>
    </row>
    <row r="49" ht="22.5" customHeight="1" s="150">
      <c r="A49" s="34" t="n">
        <v>47</v>
      </c>
      <c r="B49" s="109">
        <f>C49+D49+E49+F49+G49+H49</f>
        <v/>
      </c>
      <c r="C49" s="110" t="n">
        <v>0</v>
      </c>
      <c r="D49" s="110" t="n">
        <v>0</v>
      </c>
      <c r="E49" s="110" t="n">
        <v>0</v>
      </c>
      <c r="F49" s="110" t="n">
        <v>0</v>
      </c>
      <c r="G49" s="110" t="n">
        <v>0</v>
      </c>
      <c r="H49" s="110" t="n">
        <v>0</v>
      </c>
      <c r="I49" s="111">
        <f>(100*B49)/N49</f>
        <v/>
      </c>
      <c r="J49" s="112">
        <f>((C49+F49)*100)/B49</f>
        <v/>
      </c>
      <c r="K49" s="112">
        <f>((D49+G49)*100)/B49</f>
        <v/>
      </c>
      <c r="L49" s="112">
        <f>((E49+H49)*100)/B49</f>
        <v/>
      </c>
      <c r="M49" s="114">
        <f>N49-B48</f>
        <v/>
      </c>
      <c r="N49" s="109">
        <f>O49+P49+Q49+R49+S49+T49</f>
        <v/>
      </c>
      <c r="O49" s="110" t="n">
        <v>1658.52139461057</v>
      </c>
      <c r="P49" s="110" t="n">
        <v>1129.75485356055</v>
      </c>
      <c r="Q49" s="110" t="n">
        <v>838.288418737851</v>
      </c>
      <c r="R49" s="110" t="n">
        <v>5.1586979614637</v>
      </c>
      <c r="S49" s="110" t="n">
        <v>0</v>
      </c>
      <c r="T49" s="110" t="n">
        <v>5.1586979614637</v>
      </c>
      <c r="U49" s="50" t="n">
        <v>206</v>
      </c>
      <c r="V49" s="112">
        <f>((O49+R49)*100)/N49</f>
        <v/>
      </c>
      <c r="W49" s="112">
        <f>((P49+S49)*100)/N49</f>
        <v/>
      </c>
      <c r="X49" s="112">
        <f>((Q49+T49)*100)/N49</f>
        <v/>
      </c>
    </row>
    <row r="50" ht="22.5" customHeight="1" s="150">
      <c r="A50" s="34" t="n">
        <v>48</v>
      </c>
      <c r="B50" s="109">
        <f>C50+D50+E50+F50+G50+H50</f>
        <v/>
      </c>
      <c r="C50" s="110" t="n">
        <v>20.6347918458548</v>
      </c>
      <c r="D50" s="110" t="n">
        <v>2.57934898073185</v>
      </c>
      <c r="E50" s="110" t="n">
        <v>5.1586979614637</v>
      </c>
      <c r="F50" s="110" t="n">
        <v>7.73804694219555</v>
      </c>
      <c r="G50" s="110" t="n">
        <v>0</v>
      </c>
      <c r="H50" s="110" t="n">
        <v>0</v>
      </c>
      <c r="I50" s="111">
        <f>(100*B50)/N50</f>
        <v/>
      </c>
      <c r="J50" s="112">
        <f>((C50+F50)*100)/B50</f>
        <v/>
      </c>
      <c r="K50" s="112">
        <f>((D50+G50)*100)/B50</f>
        <v/>
      </c>
      <c r="L50" s="112">
        <f>((E50+H50)*100)/B50</f>
        <v/>
      </c>
      <c r="M50" s="114">
        <f>N50-B49</f>
        <v/>
      </c>
      <c r="N50" s="109">
        <f>O50+P50+Q50+R50+S50+T50</f>
        <v/>
      </c>
      <c r="O50" s="110" t="n">
        <v>1991.25741312498</v>
      </c>
      <c r="P50" s="110" t="n">
        <v>1145.23094744494</v>
      </c>
      <c r="Q50" s="110" t="n">
        <v>866.661257525901</v>
      </c>
      <c r="R50" s="110" t="n">
        <v>518.449145127101</v>
      </c>
      <c r="S50" s="110" t="n">
        <v>288.887085841967</v>
      </c>
      <c r="T50" s="110" t="n">
        <v>232.141408265866</v>
      </c>
      <c r="U50" s="50" t="n">
        <v>276</v>
      </c>
      <c r="V50" s="112">
        <f>((O50+R50)*100)/N50</f>
        <v/>
      </c>
      <c r="W50" s="112">
        <f>((P50+S50)*100)/N50</f>
        <v/>
      </c>
      <c r="X50" s="112">
        <f>((Q50+T50)*100)/N50</f>
        <v/>
      </c>
    </row>
    <row r="51" ht="22.5" customHeight="1" s="150">
      <c r="A51" s="34" t="n">
        <v>49</v>
      </c>
      <c r="B51" s="109">
        <f>C51+D51+E51+F51+G51+H51</f>
        <v/>
      </c>
      <c r="C51" s="110" t="n">
        <v>87.6978653448828</v>
      </c>
      <c r="D51" s="110" t="n">
        <v>15.4760938843911</v>
      </c>
      <c r="E51" s="110" t="n">
        <v>5.1586979614637</v>
      </c>
      <c r="F51" s="110" t="n">
        <v>59.3250265568325</v>
      </c>
      <c r="G51" s="110" t="n">
        <v>25.7934898073184</v>
      </c>
      <c r="H51" s="110" t="n">
        <v>12.8967449036592</v>
      </c>
      <c r="I51" s="111">
        <f>(100*B51)/N51</f>
        <v/>
      </c>
      <c r="J51" s="112">
        <f>((C51+F51)*100)/B51</f>
        <v/>
      </c>
      <c r="K51" s="112">
        <f>((D51+G51)*100)/B51</f>
        <v/>
      </c>
      <c r="L51" s="112">
        <f>((E51+H51)*100)/B51</f>
        <v/>
      </c>
      <c r="M51" s="114">
        <f>N51-B50</f>
        <v/>
      </c>
      <c r="N51" s="109">
        <f>O51+P51+Q51+R51+S51+T51</f>
        <v/>
      </c>
      <c r="O51" s="110" t="n">
        <v>1890.66280287644</v>
      </c>
      <c r="P51" s="110" t="n">
        <v>1091.06461884957</v>
      </c>
      <c r="Q51" s="110" t="n">
        <v>827.971022814923</v>
      </c>
      <c r="R51" s="110" t="n">
        <v>1800.38558855083</v>
      </c>
      <c r="S51" s="110" t="n">
        <v>1026.58089433127</v>
      </c>
      <c r="T51" s="110" t="n">
        <v>820.232975872728</v>
      </c>
      <c r="U51" s="50" t="n">
        <v>438</v>
      </c>
      <c r="V51" s="112">
        <f>((O51+R51)*100)/N51</f>
        <v/>
      </c>
      <c r="W51" s="112">
        <f>((P51+S51)*100)/N51</f>
        <v/>
      </c>
      <c r="X51" s="112">
        <f>((Q51+T51)*100)/N51</f>
        <v/>
      </c>
    </row>
    <row r="52" ht="22.5" customHeight="1" s="150">
      <c r="A52" s="34" t="n">
        <v>50</v>
      </c>
      <c r="B52" s="109">
        <f>C52+D52+E52+F52+G52+H52</f>
        <v/>
      </c>
      <c r="C52" s="110" t="n">
        <v>283.728387880503</v>
      </c>
      <c r="D52" s="110" t="n">
        <v>69.6424224797599</v>
      </c>
      <c r="E52" s="110" t="n">
        <v>64.4837245182962</v>
      </c>
      <c r="F52" s="110" t="n">
        <v>46.4282816531733</v>
      </c>
      <c r="G52" s="110" t="n">
        <v>61.9043755375644</v>
      </c>
      <c r="H52" s="110" t="n">
        <v>28.3728387880503</v>
      </c>
      <c r="I52" s="111">
        <f>(100*B52)/N52</f>
        <v/>
      </c>
      <c r="J52" s="112">
        <f>((C52+F52)*100)/B52</f>
        <v/>
      </c>
      <c r="K52" s="112">
        <f>((D52+G52)*100)/B52</f>
        <v/>
      </c>
      <c r="L52" s="112">
        <f>((E52+H52)*100)/B52</f>
        <v/>
      </c>
      <c r="M52" s="114">
        <f>N52-B51</f>
        <v/>
      </c>
      <c r="N52" s="109">
        <f>O52+P52+Q52+R52+S52+T52</f>
        <v/>
      </c>
      <c r="O52" s="110" t="n">
        <v>2027.36829885523</v>
      </c>
      <c r="P52" s="110" t="n">
        <v>1013.68414942761</v>
      </c>
      <c r="Q52" s="110" t="n">
        <v>781.54274116175</v>
      </c>
      <c r="R52" s="110" t="n">
        <v>1668.8387905335</v>
      </c>
      <c r="S52" s="110" t="n">
        <v>807.336230969069</v>
      </c>
      <c r="T52" s="110" t="n">
        <v>699.003573778331</v>
      </c>
      <c r="U52" s="50" t="n">
        <v>428</v>
      </c>
      <c r="V52" s="112">
        <f>((O52+R52)*100)/N52</f>
        <v/>
      </c>
      <c r="W52" s="112">
        <f>((P52+S52)*100)/N52</f>
        <v/>
      </c>
      <c r="X52" s="112">
        <f>((Q52+T52)*100)/N52</f>
        <v/>
      </c>
    </row>
    <row r="53" ht="22.5" customHeight="1" s="150">
      <c r="A53" s="34" t="n">
        <v>51</v>
      </c>
      <c r="B53" s="109">
        <f>C53+D53+E53+F53+G53+H53</f>
        <v/>
      </c>
      <c r="C53" s="110" t="n">
        <v>704.162271739795</v>
      </c>
      <c r="D53" s="110" t="n">
        <v>167.65768374757</v>
      </c>
      <c r="E53" s="110" t="n">
        <v>273.410991957576</v>
      </c>
      <c r="F53" s="110" t="n">
        <v>175.395730689765</v>
      </c>
      <c r="G53" s="110" t="n">
        <v>128.967449036592</v>
      </c>
      <c r="H53" s="110" t="n">
        <v>82.5391673834192</v>
      </c>
      <c r="I53" s="111">
        <f>(100*B53)/N53</f>
        <v/>
      </c>
      <c r="J53" s="112">
        <f>((C53+F53)*100)/B53</f>
        <v/>
      </c>
      <c r="K53" s="112">
        <f>((D53+G53)*100)/B53</f>
        <v/>
      </c>
      <c r="L53" s="112">
        <f>((E53+H53)*100)/B53</f>
        <v/>
      </c>
      <c r="M53" s="114">
        <f>N53-B52</f>
        <v/>
      </c>
      <c r="N53" s="109">
        <f>O53+P53+Q53+R53+S53+T53</f>
        <v/>
      </c>
      <c r="O53" s="110" t="n">
        <v>1795.22689058936</v>
      </c>
      <c r="P53" s="110" t="n">
        <v>1142.6515984642</v>
      </c>
      <c r="Q53" s="110" t="n">
        <v>551.980681876615</v>
      </c>
      <c r="R53" s="110" t="n">
        <v>1769.43340078204</v>
      </c>
      <c r="S53" s="110" t="n">
        <v>1199.39727604031</v>
      </c>
      <c r="T53" s="110" t="n">
        <v>588.091567606861</v>
      </c>
      <c r="U53" s="50" t="n">
        <v>469</v>
      </c>
      <c r="V53" s="112">
        <f>((O53+R53)*100)/N53</f>
        <v/>
      </c>
      <c r="W53" s="112">
        <f>((P53+S53)*100)/N53</f>
        <v/>
      </c>
      <c r="X53" s="112">
        <f>((Q53+T53)*100)/N53</f>
        <v/>
      </c>
    </row>
    <row r="54" ht="22.5" customHeight="1" s="150">
      <c r="A54" s="34" t="n">
        <v>52</v>
      </c>
      <c r="B54" s="109">
        <f>C54+D54+E54+F54+G54+H54</f>
        <v/>
      </c>
      <c r="C54" s="110" t="n">
        <v>508.131749204174</v>
      </c>
      <c r="D54" s="110" t="n">
        <v>59.3250265568325</v>
      </c>
      <c r="E54" s="110" t="n">
        <v>61.9043755375644</v>
      </c>
      <c r="F54" s="110" t="n">
        <v>10.3173959229274</v>
      </c>
      <c r="G54" s="110" t="n">
        <v>0</v>
      </c>
      <c r="H54" s="110" t="n">
        <v>15.4760938843911</v>
      </c>
      <c r="I54" s="111">
        <f>(100*B54)/N54</f>
        <v/>
      </c>
      <c r="J54" s="112">
        <f>((C54+F54)*100)/B54</f>
        <v/>
      </c>
      <c r="K54" s="112">
        <f>((D54+G54)*100)/B54</f>
        <v/>
      </c>
      <c r="L54" s="112">
        <f>((E54+H54)*100)/B54</f>
        <v/>
      </c>
      <c r="M54" s="114">
        <f>N54-B53</f>
        <v/>
      </c>
      <c r="N54" s="109">
        <f>O54+P54+Q54+R54+S54+T54</f>
        <v/>
      </c>
      <c r="O54" s="110" t="n">
        <v>1655.94204562984</v>
      </c>
      <c r="P54" s="110" t="n">
        <v>1271.6190475008</v>
      </c>
      <c r="Q54" s="110" t="n">
        <v>513.2904471656381</v>
      </c>
      <c r="R54" s="110" t="n">
        <v>260.514247053916</v>
      </c>
      <c r="S54" s="110" t="n">
        <v>245.038153169525</v>
      </c>
      <c r="T54" s="110" t="n">
        <v>100.594610248542</v>
      </c>
      <c r="U54" s="50" t="n">
        <v>320</v>
      </c>
      <c r="V54" s="112">
        <f>((O54+R54)*100)/N54</f>
        <v/>
      </c>
      <c r="W54" s="112">
        <f>((P54+S54)*100)/N54</f>
        <v/>
      </c>
      <c r="X54" s="112">
        <f>((Q54+T54)*100)/N54</f>
        <v/>
      </c>
    </row>
    <row r="55" ht="22.5" customHeight="1" s="150">
      <c r="A55" s="34" t="n">
        <v>53</v>
      </c>
      <c r="B55" s="109">
        <f>C55+D55+E55+F55+G55+H55</f>
        <v/>
      </c>
      <c r="C55" s="110" t="n">
        <v>10.3173959229274</v>
      </c>
      <c r="D55" s="110" t="n">
        <v>2.57934898073185</v>
      </c>
      <c r="E55" s="110" t="n">
        <v>0</v>
      </c>
      <c r="F55" s="110" t="n">
        <v>0</v>
      </c>
      <c r="G55" s="110" t="n">
        <v>0</v>
      </c>
      <c r="H55" s="110" t="n">
        <v>0</v>
      </c>
      <c r="I55" s="111">
        <f>(100*B55)/N55</f>
        <v/>
      </c>
      <c r="J55" s="112">
        <f>((C55+F55)*100)/B55</f>
        <v/>
      </c>
      <c r="K55" s="112">
        <f>((D55+G55)*100)/B55</f>
        <v/>
      </c>
      <c r="L55" s="112">
        <f>((E55+H55)*100)/B55</f>
        <v/>
      </c>
      <c r="M55" s="114">
        <f>N55-B54</f>
        <v/>
      </c>
      <c r="N55" s="109">
        <f>O55+P55+Q55+R55+S55+T55</f>
        <v/>
      </c>
      <c r="O55" s="110" t="n">
        <v>1746.21925995546</v>
      </c>
      <c r="P55" s="110" t="n">
        <v>1356.73756386495</v>
      </c>
      <c r="Q55" s="110" t="n">
        <v>510.711098184906</v>
      </c>
      <c r="R55" s="110" t="n">
        <v>7.73804694219555</v>
      </c>
      <c r="S55" s="110" t="n">
        <v>5.1586979614637</v>
      </c>
      <c r="T55" s="110" t="n">
        <v>0</v>
      </c>
      <c r="U55" s="50" t="n">
        <v>235</v>
      </c>
      <c r="V55" s="112">
        <f>((O55+R55)*100)/N55</f>
        <v/>
      </c>
      <c r="W55" s="112">
        <f>((P55+S55)*100)/N55</f>
        <v/>
      </c>
      <c r="X55" s="112">
        <f>((Q55+T55)*100)/N55</f>
        <v/>
      </c>
    </row>
    <row r="56" ht="22.5" customHeight="1" s="150">
      <c r="A56" s="34" t="n">
        <v>54</v>
      </c>
      <c r="B56" s="109">
        <f>C56+D56+E56+F56+G56+H56</f>
        <v/>
      </c>
      <c r="C56" s="110" t="n">
        <v>0</v>
      </c>
      <c r="D56" s="110" t="n">
        <v>2.57934898073185</v>
      </c>
      <c r="E56" s="110" t="n">
        <v>2.57934898073185</v>
      </c>
      <c r="F56" s="110" t="n">
        <v>0</v>
      </c>
      <c r="G56" s="110" t="n">
        <v>0</v>
      </c>
      <c r="H56" s="110" t="n">
        <v>0</v>
      </c>
      <c r="I56" s="111">
        <f>(100*B56)/N56</f>
        <v/>
      </c>
      <c r="J56" s="112">
        <f>((C56+F56)*100)/B56</f>
        <v/>
      </c>
      <c r="K56" s="112">
        <f>((D56+G56)*100)/B56</f>
        <v/>
      </c>
      <c r="L56" s="112">
        <f>((E56+H56)*100)/B56</f>
        <v/>
      </c>
      <c r="M56" s="114">
        <f>N56-B55</f>
        <v/>
      </c>
      <c r="N56" s="109">
        <f>O56+P56+Q56+R56+S56+T56</f>
        <v/>
      </c>
      <c r="O56" s="110" t="n">
        <v>1818.44103141595</v>
      </c>
      <c r="P56" s="110" t="n">
        <v>1431.53868430617</v>
      </c>
      <c r="Q56" s="110" t="n">
        <v>518.449145127101</v>
      </c>
      <c r="R56" s="110" t="n">
        <v>2.57934898073185</v>
      </c>
      <c r="S56" s="110" t="n">
        <v>0</v>
      </c>
      <c r="T56" s="110" t="n">
        <v>0</v>
      </c>
      <c r="U56" s="50" t="n">
        <v>212</v>
      </c>
      <c r="V56" s="112">
        <f>((O56+R56)*100)/N56</f>
        <v/>
      </c>
      <c r="W56" s="112">
        <f>((P56+S56)*100)/N56</f>
        <v/>
      </c>
      <c r="X56" s="112">
        <f>((Q56+T56)*100)/N56</f>
        <v/>
      </c>
    </row>
    <row r="57" ht="22.5" customHeight="1" s="150">
      <c r="A57" s="34" t="n">
        <v>55</v>
      </c>
      <c r="B57" s="109">
        <f>C57+D57+E57+F57+G57+H57</f>
        <v/>
      </c>
      <c r="C57" s="110" t="n">
        <v>286.307736861235</v>
      </c>
      <c r="D57" s="110" t="n">
        <v>18.0554428651229</v>
      </c>
      <c r="E57" s="110" t="n">
        <v>28.3728387880503</v>
      </c>
      <c r="F57" s="110" t="n">
        <v>374.005602206118</v>
      </c>
      <c r="G57" s="110" t="n">
        <v>196.03052253562</v>
      </c>
      <c r="H57" s="110" t="n">
        <v>72.22177146049179</v>
      </c>
      <c r="I57" s="111">
        <f>(100*B57)/N57</f>
        <v/>
      </c>
      <c r="J57" s="112">
        <f>((C57+F57)*100)/B57</f>
        <v/>
      </c>
      <c r="K57" s="112">
        <f>((D57+G57)*100)/B57</f>
        <v/>
      </c>
      <c r="L57" s="112">
        <f>((E57+H57)*100)/B57</f>
        <v/>
      </c>
      <c r="M57" s="114">
        <f>N57-B56</f>
        <v/>
      </c>
      <c r="N57" s="109">
        <f>O57+P57+Q57+R57+S57+T57</f>
        <v/>
      </c>
      <c r="O57" s="110" t="n">
        <v>1586.29962315008</v>
      </c>
      <c r="P57" s="110" t="n">
        <v>1299.99188628885</v>
      </c>
      <c r="Q57" s="110" t="n">
        <v>484.917608377587</v>
      </c>
      <c r="R57" s="110" t="n">
        <v>4890.44566746758</v>
      </c>
      <c r="S57" s="110" t="n">
        <v>4317.83019374511</v>
      </c>
      <c r="T57" s="110" t="n">
        <v>1676.5768374757</v>
      </c>
      <c r="U57" s="50" t="n">
        <v>542</v>
      </c>
      <c r="V57" s="112">
        <f>((O57+R57)*100)/N57</f>
        <v/>
      </c>
      <c r="W57" s="112">
        <f>((P57+S57)*100)/N57</f>
        <v/>
      </c>
      <c r="X57" s="112">
        <f>((Q57+T57)*100)/N57</f>
        <v/>
      </c>
    </row>
    <row r="58" ht="22.5" customHeight="1" s="150">
      <c r="A58" s="34" t="n">
        <v>56</v>
      </c>
      <c r="B58" s="109">
        <f>C58+D58+E58+F58+G58+H58</f>
        <v/>
      </c>
      <c r="C58" s="110" t="n">
        <v>2.57934898073185</v>
      </c>
      <c r="D58" s="110" t="n">
        <v>0</v>
      </c>
      <c r="E58" s="110" t="n">
        <v>0</v>
      </c>
      <c r="F58" s="110" t="n">
        <v>0</v>
      </c>
      <c r="G58" s="110" t="n">
        <v>0</v>
      </c>
      <c r="H58" s="110" t="n">
        <v>0</v>
      </c>
      <c r="I58" s="111">
        <f>(100*B58)/N58</f>
        <v/>
      </c>
      <c r="J58" s="112">
        <f>((C58+F58)*100)/B58</f>
        <v/>
      </c>
      <c r="K58" s="112">
        <f>((D58+G58)*100)/B58</f>
        <v/>
      </c>
      <c r="L58" s="112">
        <f>((E58+H58)*100)/B58</f>
        <v/>
      </c>
      <c r="M58" s="114">
        <f>N58-B57</f>
        <v/>
      </c>
      <c r="N58" s="109">
        <f>O58+P58+Q58+R58+S58+T58</f>
        <v/>
      </c>
      <c r="O58" s="110" t="n">
        <v>1679.15618645643</v>
      </c>
      <c r="P58" s="110" t="n">
        <v>1361.89626182641</v>
      </c>
      <c r="Q58" s="110" t="n">
        <v>490.076306339051</v>
      </c>
      <c r="R58" s="110" t="n">
        <v>2.57934898073185</v>
      </c>
      <c r="S58" s="110" t="n">
        <v>0</v>
      </c>
      <c r="T58" s="110" t="n">
        <v>0</v>
      </c>
      <c r="U58" s="50" t="n">
        <v>206</v>
      </c>
      <c r="V58" s="112">
        <f>((O58+R58)*100)/N58</f>
        <v/>
      </c>
      <c r="W58" s="112">
        <f>((P58+S58)*100)/N58</f>
        <v/>
      </c>
      <c r="X58" s="112">
        <f>((Q58+T58)*100)/N58</f>
        <v/>
      </c>
    </row>
    <row r="59" ht="22.5" customHeight="1" s="150">
      <c r="A59" s="34" t="n">
        <v>57</v>
      </c>
      <c r="B59" s="109">
        <f>C59+D59+E59+F59+G59+H59</f>
        <v/>
      </c>
      <c r="C59" s="110" t="n">
        <v>7.73804694219555</v>
      </c>
      <c r="D59" s="110" t="n">
        <v>0</v>
      </c>
      <c r="E59" s="110" t="n">
        <v>0</v>
      </c>
      <c r="F59" s="110" t="n">
        <v>0</v>
      </c>
      <c r="G59" s="110" t="n">
        <v>0</v>
      </c>
      <c r="H59" s="110" t="n">
        <v>0</v>
      </c>
      <c r="I59" s="111">
        <f>(100*B59)/N59</f>
        <v/>
      </c>
      <c r="J59" s="112">
        <f>((C59+F59)*100)/B59</f>
        <v/>
      </c>
      <c r="K59" s="112">
        <f>((D59+G59)*100)/B59</f>
        <v/>
      </c>
      <c r="L59" s="112">
        <f>((E59+H59)*100)/B59</f>
        <v/>
      </c>
      <c r="M59" s="114">
        <f>N59-B58</f>
        <v/>
      </c>
      <c r="N59" s="109">
        <f>O59+P59+Q59+R59+S59+T59</f>
        <v/>
      </c>
      <c r="O59" s="110" t="n">
        <v>1712.68772320594</v>
      </c>
      <c r="P59" s="110" t="n">
        <v>1382.53105367227</v>
      </c>
      <c r="Q59" s="110" t="n">
        <v>492.655655319783</v>
      </c>
      <c r="R59" s="110" t="n">
        <v>0</v>
      </c>
      <c r="S59" s="110" t="n">
        <v>0</v>
      </c>
      <c r="T59" s="110" t="n">
        <v>0</v>
      </c>
      <c r="U59" s="50" t="n">
        <v>222</v>
      </c>
      <c r="V59" s="112">
        <f>((O59+R59)*100)/N59</f>
        <v/>
      </c>
      <c r="W59" s="112">
        <f>((P59+S59)*100)/N59</f>
        <v/>
      </c>
      <c r="X59" s="112">
        <f>((Q59+T59)*100)/N59</f>
        <v/>
      </c>
    </row>
    <row r="60" ht="22.5" customHeight="1" s="150">
      <c r="A60" s="34" t="n">
        <v>58</v>
      </c>
      <c r="B60" s="109">
        <f>C60+D60+E60+F60+G60+H60</f>
        <v/>
      </c>
      <c r="C60" s="110" t="n">
        <v>5.1586979614637</v>
      </c>
      <c r="D60" s="110" t="n">
        <v>0</v>
      </c>
      <c r="E60" s="110" t="n">
        <v>0</v>
      </c>
      <c r="F60" s="110" t="n">
        <v>0</v>
      </c>
      <c r="G60" s="110" t="n">
        <v>0</v>
      </c>
      <c r="H60" s="110" t="n">
        <v>0</v>
      </c>
      <c r="I60" s="111">
        <f>(100*B60)/N60</f>
        <v/>
      </c>
      <c r="J60" s="112">
        <f>((C60+F60)*100)/B60</f>
        <v/>
      </c>
      <c r="K60" s="112">
        <f>((D60+G60)*100)/B60</f>
        <v/>
      </c>
      <c r="L60" s="112">
        <f>((E60+H60)*100)/B60</f>
        <v/>
      </c>
      <c r="M60" s="114">
        <f>N60-B59</f>
        <v/>
      </c>
      <c r="N60" s="109">
        <f>O60+P60+Q60+R60+S60+T60</f>
        <v/>
      </c>
      <c r="O60" s="110" t="n">
        <v>1833.91712530034</v>
      </c>
      <c r="P60" s="110" t="n">
        <v>1418.64193940251</v>
      </c>
      <c r="Q60" s="110" t="n">
        <v>495.235004300515</v>
      </c>
      <c r="R60" s="110" t="n">
        <v>221.824012342939</v>
      </c>
      <c r="S60" s="110" t="n">
        <v>126.38810005586</v>
      </c>
      <c r="T60" s="110" t="n">
        <v>46.4282816531733</v>
      </c>
      <c r="U60" s="50" t="n">
        <v>219</v>
      </c>
      <c r="V60" s="112">
        <f>((O60+R60)*100)/N60</f>
        <v/>
      </c>
      <c r="W60" s="112">
        <f>((P60+S60)*100)/N60</f>
        <v/>
      </c>
      <c r="X60" s="112">
        <f>((Q60+T60)*100)/N60</f>
        <v/>
      </c>
    </row>
    <row r="61" ht="22.5" customHeight="1" s="150">
      <c r="A61" s="34" t="n">
        <v>59</v>
      </c>
      <c r="B61" s="109">
        <f>C61+D61+E61+F61+G61+H61</f>
        <v/>
      </c>
      <c r="C61" s="110" t="n">
        <v>490.076306339051</v>
      </c>
      <c r="D61" s="110" t="n">
        <v>100.594610248542</v>
      </c>
      <c r="E61" s="110" t="n">
        <v>59.3250265568325</v>
      </c>
      <c r="F61" s="110" t="n">
        <v>5.1586979614637</v>
      </c>
      <c r="G61" s="110" t="n">
        <v>46.4282816531733</v>
      </c>
      <c r="H61" s="110" t="n">
        <v>15.4760938843911</v>
      </c>
      <c r="I61" s="111">
        <f>(100*B61)/N61</f>
        <v/>
      </c>
      <c r="J61" s="112">
        <f>((C61+F61)*100)/B61</f>
        <v/>
      </c>
      <c r="K61" s="112">
        <f>((D61+G61)*100)/B61</f>
        <v/>
      </c>
      <c r="L61" s="112">
        <f>((E61+H61)*100)/B61</f>
        <v/>
      </c>
      <c r="M61" s="114">
        <f>N61-B60</f>
        <v/>
      </c>
      <c r="N61" s="109">
        <f>O61+P61+Q61+R61+S61+T61</f>
        <v/>
      </c>
      <c r="O61" s="110" t="n">
        <v>1547.60938843911</v>
      </c>
      <c r="P61" s="110" t="n">
        <v>1323.20602711543</v>
      </c>
      <c r="Q61" s="110" t="n">
        <v>433.33062876295</v>
      </c>
      <c r="R61" s="110" t="n">
        <v>846.026465680046</v>
      </c>
      <c r="S61" s="110" t="n">
        <v>1060.11243108079</v>
      </c>
      <c r="T61" s="110" t="n">
        <v>343.053414437336</v>
      </c>
      <c r="U61" s="50" t="n">
        <v>320</v>
      </c>
      <c r="V61" s="112">
        <f>((O61+R61)*100)/N61</f>
        <v/>
      </c>
      <c r="W61" s="112">
        <f>((P61+S61)*100)/N61</f>
        <v/>
      </c>
      <c r="X61" s="112">
        <f>((Q61+T61)*100)/N61</f>
        <v/>
      </c>
    </row>
    <row r="62" ht="22.5" customHeight="1" s="150">
      <c r="A62" s="34" t="n">
        <v>60</v>
      </c>
      <c r="B62" s="109">
        <f>C62+D62+E62+F62+G62+H62</f>
        <v/>
      </c>
      <c r="C62" s="110" t="n">
        <v>72.22177146049179</v>
      </c>
      <c r="D62" s="110" t="n">
        <v>15.4760938843911</v>
      </c>
      <c r="E62" s="110" t="n">
        <v>2.57934898073185</v>
      </c>
      <c r="F62" s="110" t="n">
        <v>0</v>
      </c>
      <c r="G62" s="110" t="n">
        <v>0</v>
      </c>
      <c r="H62" s="110" t="n">
        <v>0</v>
      </c>
      <c r="I62" s="111">
        <f>(100*B62)/N62</f>
        <v/>
      </c>
      <c r="J62" s="112">
        <f>((C62+F62)*100)/B62</f>
        <v/>
      </c>
      <c r="K62" s="112">
        <f>((D62+G62)*100)/B62</f>
        <v/>
      </c>
      <c r="L62" s="112">
        <f>((E62+H62)*100)/B62</f>
        <v/>
      </c>
      <c r="M62" s="114">
        <f>N62-B61</f>
        <v/>
      </c>
      <c r="N62" s="109">
        <f>O62+P62+Q62+R62+S62+T62</f>
        <v/>
      </c>
      <c r="O62" s="110" t="n">
        <v>1563.0854823235</v>
      </c>
      <c r="P62" s="110" t="n">
        <v>1338.68212099983</v>
      </c>
      <c r="Q62" s="110" t="n">
        <v>430.751279782218</v>
      </c>
      <c r="R62" s="110" t="n">
        <v>162.498985786106</v>
      </c>
      <c r="S62" s="110" t="n">
        <v>126.38810005586</v>
      </c>
      <c r="T62" s="110" t="n">
        <v>36.1108857302459</v>
      </c>
      <c r="U62" s="50" t="n">
        <v>230</v>
      </c>
      <c r="V62" s="112">
        <f>((O62+R62)*100)/N62</f>
        <v/>
      </c>
      <c r="W62" s="112">
        <f>((P62+S62)*100)/N62</f>
        <v/>
      </c>
      <c r="X62" s="112">
        <f>((Q62+T62)*100)/N62</f>
        <v/>
      </c>
    </row>
    <row r="63" ht="22.5" customHeight="1" s="150">
      <c r="A63" s="34" t="n">
        <v>61</v>
      </c>
      <c r="B63" s="109">
        <f>C63+D63+E63+F63+G63+H63</f>
        <v/>
      </c>
      <c r="C63" s="110" t="n">
        <v>162.498985786106</v>
      </c>
      <c r="D63" s="110" t="n">
        <v>23.2141408265866</v>
      </c>
      <c r="E63" s="110" t="n">
        <v>7.73804694219555</v>
      </c>
      <c r="F63" s="110" t="n">
        <v>18.0554428651229</v>
      </c>
      <c r="G63" s="110" t="n">
        <v>10.3173959229274</v>
      </c>
      <c r="H63" s="110" t="n">
        <v>0</v>
      </c>
      <c r="I63" s="111">
        <f>(100*B63)/N63</f>
        <v/>
      </c>
      <c r="J63" s="112">
        <f>((C63+F63)*100)/B63</f>
        <v/>
      </c>
      <c r="K63" s="112">
        <f>((D63+G63)*100)/B63</f>
        <v/>
      </c>
      <c r="L63" s="112">
        <f>((E63+H63)*100)/B63</f>
        <v/>
      </c>
      <c r="M63" s="114">
        <f>N63-B62</f>
        <v/>
      </c>
      <c r="N63" s="109">
        <f>O63+P63+Q63+R63+S63+T63</f>
        <v/>
      </c>
      <c r="O63" s="110" t="n">
        <v>1529.55394557398</v>
      </c>
      <c r="P63" s="110" t="n">
        <v>1310.30928221177</v>
      </c>
      <c r="Q63" s="110" t="n">
        <v>441.068675705146</v>
      </c>
      <c r="R63" s="110" t="n">
        <v>974.993914716639</v>
      </c>
      <c r="S63" s="110" t="n">
        <v>887.296049371756</v>
      </c>
      <c r="T63" s="110" t="n">
        <v>294.04578380343</v>
      </c>
      <c r="U63" s="50" t="n">
        <v>302</v>
      </c>
      <c r="V63" s="112">
        <f>((O63+R63)*100)/N63</f>
        <v/>
      </c>
      <c r="W63" s="112">
        <f>((P63+S63)*100)/N63</f>
        <v/>
      </c>
      <c r="X63" s="112">
        <f>((Q63+T63)*100)/N63</f>
        <v/>
      </c>
    </row>
    <row r="64" ht="22.5" customHeight="1" s="150">
      <c r="A64" s="34" t="n">
        <v>62</v>
      </c>
      <c r="B64" s="109">
        <f>C64+D64+E64+F64+G64+H64</f>
        <v/>
      </c>
      <c r="C64" s="110" t="n">
        <v>172.816381709033</v>
      </c>
      <c r="D64" s="110" t="n">
        <v>41.2695836917096</v>
      </c>
      <c r="E64" s="110" t="n">
        <v>5.1586979614637</v>
      </c>
      <c r="F64" s="110" t="n">
        <v>33.531536749514</v>
      </c>
      <c r="G64" s="110" t="n">
        <v>10.3173959229274</v>
      </c>
      <c r="H64" s="110" t="n">
        <v>10.3173959229274</v>
      </c>
      <c r="I64" s="111">
        <f>(100*B64)/N64</f>
        <v/>
      </c>
      <c r="J64" s="112">
        <f>((C64+F64)*100)/B64</f>
        <v/>
      </c>
      <c r="K64" s="112">
        <f>((D64+G64)*100)/B64</f>
        <v/>
      </c>
      <c r="L64" s="112">
        <f>((E64+H64)*100)/B64</f>
        <v/>
      </c>
      <c r="M64" s="114">
        <f>N64-B63</f>
        <v/>
      </c>
      <c r="N64" s="109">
        <f>O64+P64+Q64+R64+S64+T64</f>
        <v/>
      </c>
      <c r="O64" s="110" t="n">
        <v>1465.07022105569</v>
      </c>
      <c r="P64" s="110" t="n">
        <v>1250.98425565494</v>
      </c>
      <c r="Q64" s="110" t="n">
        <v>425.592581820755</v>
      </c>
      <c r="R64" s="110" t="n">
        <v>699.003573778331</v>
      </c>
      <c r="S64" s="110" t="n">
        <v>562.298077799543</v>
      </c>
      <c r="T64" s="110" t="n">
        <v>123.808751075128</v>
      </c>
      <c r="U64" s="50" t="n">
        <v>294</v>
      </c>
      <c r="V64" s="112">
        <f>((O64+R64)*100)/N64</f>
        <v/>
      </c>
      <c r="W64" s="112">
        <f>((P64+S64)*100)/N64</f>
        <v/>
      </c>
      <c r="X64" s="112">
        <f>((Q64+T64)*100)/N64</f>
        <v/>
      </c>
    </row>
    <row r="65" ht="22.5" customHeight="1" s="150">
      <c r="A65" s="34" t="n">
        <v>63</v>
      </c>
      <c r="B65" s="109">
        <f>C65+D65+E65+F65+G65+H65</f>
        <v/>
      </c>
      <c r="C65" s="110" t="n">
        <v>5.1586979614637</v>
      </c>
      <c r="D65" s="110" t="n">
        <v>7.73804694219555</v>
      </c>
      <c r="E65" s="110" t="n">
        <v>2.57934898073185</v>
      </c>
      <c r="F65" s="110" t="n">
        <v>0</v>
      </c>
      <c r="G65" s="110" t="n">
        <v>5.1586979614637</v>
      </c>
      <c r="H65" s="110" t="n">
        <v>0</v>
      </c>
      <c r="I65" s="111">
        <f>(100*B65)/N65</f>
        <v/>
      </c>
      <c r="J65" s="112">
        <f>((C65+F65)*100)/B65</f>
        <v/>
      </c>
      <c r="K65" s="112">
        <f>((D65+G65)*100)/B65</f>
        <v/>
      </c>
      <c r="L65" s="112">
        <f>((E65+H65)*100)/B65</f>
        <v/>
      </c>
      <c r="M65" s="114">
        <f>N65-B64</f>
        <v/>
      </c>
      <c r="N65" s="109">
        <f>O65+P65+Q65+R65+S65+T65</f>
        <v/>
      </c>
      <c r="O65" s="110" t="n">
        <v>1532.13329455471</v>
      </c>
      <c r="P65" s="110" t="n">
        <v>1287.09514138519</v>
      </c>
      <c r="Q65" s="110" t="n">
        <v>441.068675705146</v>
      </c>
      <c r="R65" s="110" t="n">
        <v>12.8967449036592</v>
      </c>
      <c r="S65" s="110" t="n">
        <v>7.73804694219555</v>
      </c>
      <c r="T65" s="110" t="n">
        <v>2.57934898073185</v>
      </c>
      <c r="U65" s="50" t="n">
        <v>206</v>
      </c>
      <c r="V65" s="112">
        <f>((O65+R65)*100)/N65</f>
        <v/>
      </c>
      <c r="W65" s="112">
        <f>((P65+S65)*100)/N65</f>
        <v/>
      </c>
      <c r="X65" s="112">
        <f>((Q65+T65)*100)/N65</f>
        <v/>
      </c>
    </row>
    <row r="66" ht="22.5" customHeight="1" s="150">
      <c r="A66" s="34" t="n">
        <v>64</v>
      </c>
      <c r="B66" s="109">
        <f>C66+D66+E66+F66+G66+H66</f>
        <v/>
      </c>
      <c r="C66" s="110" t="n">
        <v>64.4837245182962</v>
      </c>
      <c r="D66" s="110" t="n">
        <v>7.73804694219555</v>
      </c>
      <c r="E66" s="110" t="n">
        <v>5.1586979614637</v>
      </c>
      <c r="F66" s="110" t="n">
        <v>7.73804694219555</v>
      </c>
      <c r="G66" s="110" t="n">
        <v>0</v>
      </c>
      <c r="H66" s="110" t="n">
        <v>0</v>
      </c>
      <c r="I66" s="111">
        <f>(100*B66)/N66</f>
        <v/>
      </c>
      <c r="J66" s="112">
        <f>((C66+F66)*100)/B66</f>
        <v/>
      </c>
      <c r="K66" s="112">
        <f>((D66+G66)*100)/B66</f>
        <v/>
      </c>
      <c r="L66" s="112">
        <f>((E66+H66)*100)/B66</f>
        <v/>
      </c>
      <c r="M66" s="114">
        <f>N66-B65</f>
        <v/>
      </c>
      <c r="N66" s="109">
        <f>O66+P66+Q66+R66+S66+T66</f>
        <v/>
      </c>
      <c r="O66" s="110" t="n">
        <v>1514.07785168959</v>
      </c>
      <c r="P66" s="110" t="n">
        <v>1287.09514138519</v>
      </c>
      <c r="Q66" s="110" t="n">
        <v>441.068675705146</v>
      </c>
      <c r="R66" s="110" t="n">
        <v>384.322998129045</v>
      </c>
      <c r="S66" s="110" t="n">
        <v>301.783830745626</v>
      </c>
      <c r="T66" s="110" t="n">
        <v>95.43591228707839</v>
      </c>
      <c r="U66" s="50" t="n">
        <v>237</v>
      </c>
      <c r="V66" s="112">
        <f>((O66+R66)*100)/N66</f>
        <v/>
      </c>
      <c r="W66" s="112">
        <f>((P66+S66)*100)/N66</f>
        <v/>
      </c>
      <c r="X66" s="112">
        <f>((Q66+T66)*100)/N66</f>
        <v/>
      </c>
    </row>
    <row r="67" ht="22.5" customHeight="1" s="150">
      <c r="A67" s="34" t="n">
        <v>65</v>
      </c>
      <c r="B67" s="109">
        <f>C67+D67+E67+F67+G67+H67</f>
        <v/>
      </c>
      <c r="C67" s="110" t="n">
        <v>729.955761547113</v>
      </c>
      <c r="D67" s="110" t="n">
        <v>54.1663285953688</v>
      </c>
      <c r="E67" s="110" t="n">
        <v>72.22177146049179</v>
      </c>
      <c r="F67" s="110" t="n">
        <v>1658.52139461057</v>
      </c>
      <c r="G67" s="110" t="n">
        <v>417.854534878559</v>
      </c>
      <c r="H67" s="110" t="n">
        <v>242.458804188793</v>
      </c>
      <c r="I67" s="111">
        <f>(100*B67)/N67</f>
        <v/>
      </c>
      <c r="J67" s="112">
        <f>((C67+F67)*100)/B67</f>
        <v/>
      </c>
      <c r="K67" s="112">
        <f>((D67+G67)*100)/B67</f>
        <v/>
      </c>
      <c r="L67" s="112">
        <f>((E67+H67)*100)/B67</f>
        <v/>
      </c>
      <c r="M67" s="114">
        <f>N67-B66</f>
        <v/>
      </c>
      <c r="N67" s="109">
        <f>O67+P67+Q67+R67+S67+T67</f>
        <v/>
      </c>
      <c r="O67" s="110" t="n">
        <v>1165.86573929079</v>
      </c>
      <c r="P67" s="110" t="n">
        <v>951.779773890052</v>
      </c>
      <c r="Q67" s="110" t="n">
        <v>337.894716475872</v>
      </c>
      <c r="R67" s="110" t="n">
        <v>5705.51994537885</v>
      </c>
      <c r="S67" s="110" t="n">
        <v>6654.72037028817</v>
      </c>
      <c r="T67" s="110" t="n">
        <v>1991.25741312498</v>
      </c>
      <c r="U67" s="50" t="n">
        <v>655</v>
      </c>
      <c r="V67" s="112">
        <f>((O67+R67)*100)/N67</f>
        <v/>
      </c>
      <c r="W67" s="112">
        <f>((P67+S67)*100)/N67</f>
        <v/>
      </c>
      <c r="X67" s="112">
        <f>((Q67+T67)*100)/N67</f>
        <v/>
      </c>
    </row>
    <row r="68" ht="22.5" customHeight="1" s="150">
      <c r="A68" s="34" t="n">
        <v>66</v>
      </c>
      <c r="B68" s="109">
        <f>C68+D68+E68+F68+G68+H68</f>
        <v/>
      </c>
      <c r="C68" s="110" t="n">
        <v>2.57934898073185</v>
      </c>
      <c r="D68" s="110" t="n">
        <v>0</v>
      </c>
      <c r="E68" s="110" t="n">
        <v>0</v>
      </c>
      <c r="F68" s="110" t="n">
        <v>0</v>
      </c>
      <c r="G68" s="110" t="n">
        <v>0</v>
      </c>
      <c r="H68" s="110" t="n">
        <v>0</v>
      </c>
      <c r="I68" s="111">
        <f>(100*B68)/N68</f>
        <v/>
      </c>
      <c r="J68" s="112">
        <f>((C68+F68)*100)/B68</f>
        <v/>
      </c>
      <c r="K68" s="112">
        <f>((D68+G68)*100)/B68</f>
        <v/>
      </c>
      <c r="L68" s="112">
        <f>((E68+H68)*100)/B68</f>
        <v/>
      </c>
      <c r="M68" s="114">
        <f>N68-B67</f>
        <v/>
      </c>
      <c r="N68" s="109">
        <f>O68+P68+Q68+R68+S68+T68</f>
        <v/>
      </c>
      <c r="O68" s="110" t="n">
        <v>1212.29402094396</v>
      </c>
      <c r="P68" s="110" t="n">
        <v>1005.94610248542</v>
      </c>
      <c r="Q68" s="110" t="n">
        <v>335.31536749514</v>
      </c>
      <c r="R68" s="110" t="n">
        <v>5.1586979614637</v>
      </c>
      <c r="S68" s="110" t="n">
        <v>7.73804694219555</v>
      </c>
      <c r="T68" s="110" t="n">
        <v>2.57934898073185</v>
      </c>
      <c r="U68" s="50" t="n">
        <v>165</v>
      </c>
      <c r="V68" s="112">
        <f>((O68+R68)*100)/N68</f>
        <v/>
      </c>
      <c r="W68" s="112">
        <f>((P68+S68)*100)/N68</f>
        <v/>
      </c>
      <c r="X68" s="112">
        <f>((Q68+T68)*100)/N68</f>
        <v/>
      </c>
    </row>
    <row r="69" ht="22.5" customHeight="1" s="150">
      <c r="A69" s="34" t="n">
        <v>67</v>
      </c>
      <c r="B69" s="109">
        <f>C69+D69+E69+F69+G69+H69</f>
        <v/>
      </c>
      <c r="C69" s="110" t="n">
        <v>85.11851636415101</v>
      </c>
      <c r="D69" s="110" t="n">
        <v>10.3173959229274</v>
      </c>
      <c r="E69" s="110" t="n">
        <v>12.8967449036592</v>
      </c>
      <c r="F69" s="110" t="n">
        <v>7.73804694219555</v>
      </c>
      <c r="G69" s="110" t="n">
        <v>5.1586979614637</v>
      </c>
      <c r="H69" s="110" t="n">
        <v>2.57934898073185</v>
      </c>
      <c r="I69" s="111">
        <f>(100*B69)/N69</f>
        <v/>
      </c>
      <c r="J69" s="112">
        <f>((C69+F69)*100)/B69</f>
        <v/>
      </c>
      <c r="K69" s="112">
        <f>((D69+G69)*100)/B69</f>
        <v/>
      </c>
      <c r="L69" s="112">
        <f>((E69+H69)*100)/B69</f>
        <v/>
      </c>
      <c r="M69" s="114">
        <f>N69-B68</f>
        <v/>
      </c>
      <c r="N69" s="109">
        <f>O69+P69+Q69+R69+S69+T69</f>
        <v/>
      </c>
      <c r="O69" s="110" t="n">
        <v>1173.60378623299</v>
      </c>
      <c r="P69" s="110" t="n">
        <v>1005.94610248542</v>
      </c>
      <c r="Q69" s="110" t="n">
        <v>340.474065456604</v>
      </c>
      <c r="R69" s="110" t="n">
        <v>154.760938843911</v>
      </c>
      <c r="S69" s="110" t="n">
        <v>147.022891901715</v>
      </c>
      <c r="T69" s="110" t="n">
        <v>61.9043755375644</v>
      </c>
      <c r="U69" s="50" t="n">
        <v>193</v>
      </c>
      <c r="V69" s="112">
        <f>((O69+R69)*100)/N69</f>
        <v/>
      </c>
      <c r="W69" s="112">
        <f>((P69+S69)*100)/N69</f>
        <v/>
      </c>
      <c r="X69" s="112">
        <f>((Q69+T69)*100)/N69</f>
        <v/>
      </c>
    </row>
    <row r="70" ht="22.5" customHeight="1" s="150">
      <c r="A70" s="34" t="n">
        <v>68</v>
      </c>
      <c r="B70" s="109">
        <f>C70+D70+E70+F70+G70+H70</f>
        <v/>
      </c>
      <c r="C70" s="110" t="n">
        <v>25.7934898073184</v>
      </c>
      <c r="D70" s="110" t="n">
        <v>5.1586979614637</v>
      </c>
      <c r="E70" s="110" t="n">
        <v>2.57934898073185</v>
      </c>
      <c r="F70" s="110" t="n">
        <v>0</v>
      </c>
      <c r="G70" s="110" t="n">
        <v>0</v>
      </c>
      <c r="H70" s="110" t="n">
        <v>0</v>
      </c>
      <c r="I70" s="111">
        <f>(100*B70)/N70</f>
        <v/>
      </c>
      <c r="J70" s="112">
        <f>((C70+F70)*100)/B70</f>
        <v/>
      </c>
      <c r="K70" s="112">
        <f>((D70+G70)*100)/B70</f>
        <v/>
      </c>
      <c r="L70" s="112">
        <f>((E70+H70)*100)/B70</f>
        <v/>
      </c>
      <c r="M70" s="114">
        <f>N70-B69</f>
        <v/>
      </c>
      <c r="N70" s="109">
        <f>O70+P70+Q70+R70+S70+T70</f>
        <v/>
      </c>
      <c r="O70" s="110" t="n">
        <v>1220.03206788616</v>
      </c>
      <c r="P70" s="110" t="n">
        <v>1093.6439678303</v>
      </c>
      <c r="Q70" s="110" t="n">
        <v>353.370810360263</v>
      </c>
      <c r="R70" s="110" t="n">
        <v>221.824012342939</v>
      </c>
      <c r="S70" s="110" t="n">
        <v>165.078334766838</v>
      </c>
      <c r="T70" s="110" t="n">
        <v>59.3250265568325</v>
      </c>
      <c r="U70" s="50" t="n">
        <v>193</v>
      </c>
      <c r="V70" s="112">
        <f>((O70+R70)*100)/N70</f>
        <v/>
      </c>
      <c r="W70" s="112">
        <f>((P70+S70)*100)/N70</f>
        <v/>
      </c>
      <c r="X70" s="112">
        <f>((Q70+T70)*100)/N70</f>
        <v/>
      </c>
    </row>
    <row r="71" ht="22.5" customHeight="1" s="150">
      <c r="A71" s="34" t="n">
        <v>69</v>
      </c>
      <c r="B71" s="109">
        <f>C71+D71+E71+F71+G71+H71</f>
        <v/>
      </c>
      <c r="C71" s="110" t="n">
        <v>10.3173959229274</v>
      </c>
      <c r="D71" s="110" t="n">
        <v>2.57934898073185</v>
      </c>
      <c r="E71" s="110" t="n">
        <v>0</v>
      </c>
      <c r="F71" s="110" t="n">
        <v>2.57934898073185</v>
      </c>
      <c r="G71" s="110" t="n">
        <v>0</v>
      </c>
      <c r="H71" s="110" t="n">
        <v>0</v>
      </c>
      <c r="I71" s="111">
        <f>(100*B71)/N71</f>
        <v/>
      </c>
      <c r="J71" s="112">
        <f>((C71+F71)*100)/B71</f>
        <v/>
      </c>
      <c r="K71" s="112">
        <f>((D71+G71)*100)/B71</f>
        <v/>
      </c>
      <c r="L71" s="112">
        <f>((E71+H71)*100)/B71</f>
        <v/>
      </c>
      <c r="M71" s="114">
        <f>N71-B70</f>
        <v/>
      </c>
      <c r="N71" s="109">
        <f>O71+P71+Q71+R71+S71+T71</f>
        <v/>
      </c>
      <c r="O71" s="110" t="n">
        <v>1238.08751075128</v>
      </c>
      <c r="P71" s="110" t="n">
        <v>1088.48526986884</v>
      </c>
      <c r="Q71" s="110" t="n">
        <v>361.108857302459</v>
      </c>
      <c r="R71" s="110" t="n">
        <v>185.713126612693</v>
      </c>
      <c r="S71" s="110" t="n">
        <v>154.760938843911</v>
      </c>
      <c r="T71" s="110" t="n">
        <v>23.2141408265866</v>
      </c>
      <c r="U71" s="50" t="n">
        <v>196</v>
      </c>
      <c r="V71" s="112">
        <f>((O71+R71)*100)/N71</f>
        <v/>
      </c>
      <c r="W71" s="112">
        <f>((P71+S71)*100)/N71</f>
        <v/>
      </c>
      <c r="X71" s="112">
        <f>((Q71+T71)*100)/N71</f>
        <v/>
      </c>
    </row>
    <row r="72" ht="22.5" customHeight="1" s="150">
      <c r="A72" s="34" t="n">
        <v>70</v>
      </c>
      <c r="B72" s="109">
        <f>C72+D72+E72+F72+G72+H72</f>
        <v/>
      </c>
      <c r="C72" s="110" t="n">
        <v>5.1586979614637</v>
      </c>
      <c r="D72" s="110" t="n">
        <v>2.57934898073185</v>
      </c>
      <c r="E72" s="110" t="n">
        <v>0</v>
      </c>
      <c r="F72" s="110" t="n">
        <v>0</v>
      </c>
      <c r="G72" s="110" t="n">
        <v>0</v>
      </c>
      <c r="H72" s="110" t="n">
        <v>0</v>
      </c>
      <c r="I72" s="111">
        <f>(100*B72)/N72</f>
        <v/>
      </c>
      <c r="J72" s="112">
        <f>((C72+F72)*100)/B72</f>
        <v/>
      </c>
      <c r="K72" s="112">
        <f>((D72+G72)*100)/B72</f>
        <v/>
      </c>
      <c r="L72" s="112">
        <f>((E72+H72)*100)/B72</f>
        <v/>
      </c>
      <c r="M72" s="114">
        <f>N72-B71</f>
        <v/>
      </c>
      <c r="N72" s="109">
        <f>O72+P72+Q72+R72+S72+T72</f>
        <v/>
      </c>
      <c r="O72" s="110" t="n">
        <v>1243.24620871275</v>
      </c>
      <c r="P72" s="110" t="n">
        <v>1116.85810865689</v>
      </c>
      <c r="Q72" s="110" t="n">
        <v>358.529508321727</v>
      </c>
      <c r="R72" s="110" t="n">
        <v>30.9521877687822</v>
      </c>
      <c r="S72" s="110" t="n">
        <v>23.2141408265866</v>
      </c>
      <c r="T72" s="110" t="n">
        <v>7.73804694219555</v>
      </c>
      <c r="U72" s="50" t="n">
        <v>173</v>
      </c>
      <c r="V72" s="112">
        <f>((O72+R72)*100)/N72</f>
        <v/>
      </c>
      <c r="W72" s="112">
        <f>((P72+S72)*100)/N72</f>
        <v/>
      </c>
      <c r="X72" s="112">
        <f>((Q72+T72)*100)/N72</f>
        <v/>
      </c>
    </row>
    <row r="73" ht="22.5" customHeight="1" s="150">
      <c r="A73" s="34" t="n">
        <v>71</v>
      </c>
      <c r="B73" s="109">
        <f>C73+D73+E73+F73+G73+H73</f>
        <v/>
      </c>
      <c r="C73" s="110" t="n">
        <v>59.3250265568325</v>
      </c>
      <c r="D73" s="110" t="n">
        <v>12.8967449036592</v>
      </c>
      <c r="E73" s="110" t="n">
        <v>5.1586979614637</v>
      </c>
      <c r="F73" s="110" t="n">
        <v>5.1586979614637</v>
      </c>
      <c r="G73" s="110" t="n">
        <v>0</v>
      </c>
      <c r="H73" s="110" t="n">
        <v>0</v>
      </c>
      <c r="I73" s="111">
        <f>(100*B73)/N73</f>
        <v/>
      </c>
      <c r="J73" s="112">
        <f>((C73+F73)*100)/B73</f>
        <v/>
      </c>
      <c r="K73" s="112">
        <f>((D73+G73)*100)/B73</f>
        <v/>
      </c>
      <c r="L73" s="112">
        <f>((E73+H73)*100)/B73</f>
        <v/>
      </c>
      <c r="M73" s="114">
        <f>N73-B72</f>
        <v/>
      </c>
      <c r="N73" s="109">
        <f>O73+P73+Q73+R73+S73+T73</f>
        <v/>
      </c>
      <c r="O73" s="110" t="n">
        <v>1196.81792705957</v>
      </c>
      <c r="P73" s="110" t="n">
        <v>1093.6439678303</v>
      </c>
      <c r="Q73" s="110" t="n">
        <v>361.108857302459</v>
      </c>
      <c r="R73" s="110" t="n">
        <v>128.967449036592</v>
      </c>
      <c r="S73" s="110" t="n">
        <v>121.229402094396</v>
      </c>
      <c r="T73" s="110" t="n">
        <v>28.3728387880503</v>
      </c>
      <c r="U73" s="50" t="n">
        <v>204</v>
      </c>
      <c r="V73" s="112">
        <f>((O73+R73)*100)/N73</f>
        <v/>
      </c>
      <c r="W73" s="112">
        <f>((P73+S73)*100)/N73</f>
        <v/>
      </c>
      <c r="X73" s="112">
        <f>((Q73+T73)*100)/N73</f>
        <v/>
      </c>
    </row>
    <row r="74" ht="22.5" customHeight="1" s="150">
      <c r="A74" s="34" t="n">
        <v>72</v>
      </c>
      <c r="B74" s="109">
        <f>C74+D74+E74+F74+G74+H74</f>
        <v/>
      </c>
      <c r="C74" s="110" t="n">
        <v>108.332657190737</v>
      </c>
      <c r="D74" s="110" t="n">
        <v>12.8967449036592</v>
      </c>
      <c r="E74" s="110" t="n">
        <v>7.73804694219555</v>
      </c>
      <c r="F74" s="110" t="n">
        <v>0</v>
      </c>
      <c r="G74" s="110" t="n">
        <v>0</v>
      </c>
      <c r="H74" s="110" t="n">
        <v>0</v>
      </c>
      <c r="I74" s="111">
        <f>(100*B74)/N74</f>
        <v/>
      </c>
      <c r="J74" s="112">
        <f>((C74+F74)*100)/B74</f>
        <v/>
      </c>
      <c r="K74" s="112">
        <f>((D74+G74)*100)/B74</f>
        <v/>
      </c>
      <c r="L74" s="112">
        <f>((E74+H74)*100)/B74</f>
        <v/>
      </c>
      <c r="M74" s="114">
        <f>N74-B73</f>
        <v/>
      </c>
      <c r="N74" s="109">
        <f>O74+P74+Q74+R74+S74+T74</f>
        <v/>
      </c>
      <c r="O74" s="110" t="n">
        <v>1204.55597400177</v>
      </c>
      <c r="P74" s="110" t="n">
        <v>1109.12006171469</v>
      </c>
      <c r="Q74" s="110" t="n">
        <v>366.267555263922</v>
      </c>
      <c r="R74" s="110" t="n">
        <v>0</v>
      </c>
      <c r="S74" s="110" t="n">
        <v>5.1586979614637</v>
      </c>
      <c r="T74" s="110" t="n">
        <v>0</v>
      </c>
      <c r="U74" s="50" t="n">
        <v>173</v>
      </c>
      <c r="V74" s="112">
        <f>((O74+R74)*100)/N74</f>
        <v/>
      </c>
      <c r="W74" s="112">
        <f>((P74+S74)*100)/N74</f>
        <v/>
      </c>
      <c r="X74" s="112">
        <f>((Q74+T74)*100)/N74</f>
        <v/>
      </c>
    </row>
    <row r="75" ht="22.5" customHeight="1" s="150">
      <c r="A75" s="34" t="n">
        <v>73</v>
      </c>
      <c r="B75" s="109">
        <f>C75+D75+E75+F75+G75+H75</f>
        <v/>
      </c>
      <c r="C75" s="110" t="n">
        <v>126.38810005586</v>
      </c>
      <c r="D75" s="110" t="n">
        <v>12.8967449036592</v>
      </c>
      <c r="E75" s="110" t="n">
        <v>2.57934898073185</v>
      </c>
      <c r="F75" s="110" t="n">
        <v>12.8967449036592</v>
      </c>
      <c r="G75" s="110" t="n">
        <v>7.73804694219555</v>
      </c>
      <c r="H75" s="110" t="n">
        <v>10.3173959229274</v>
      </c>
      <c r="I75" s="111">
        <f>(100*B75)/N75</f>
        <v/>
      </c>
      <c r="J75" s="112">
        <f>((C75+F75)*100)/B75</f>
        <v/>
      </c>
      <c r="K75" s="112">
        <f>((D75+G75)*100)/B75</f>
        <v/>
      </c>
      <c r="L75" s="112">
        <f>((E75+H75)*100)/B75</f>
        <v/>
      </c>
      <c r="M75" s="114">
        <f>N75-B74</f>
        <v/>
      </c>
      <c r="N75" s="109">
        <f>O75+P75+Q75+R75+S75+T75</f>
        <v/>
      </c>
      <c r="O75" s="110" t="n">
        <v>1183.92118215591</v>
      </c>
      <c r="P75" s="110" t="n">
        <v>1103.96136375323</v>
      </c>
      <c r="Q75" s="110" t="n">
        <v>368.846904244654</v>
      </c>
      <c r="R75" s="110" t="n">
        <v>410.116487936364</v>
      </c>
      <c r="S75" s="110" t="n">
        <v>430.751279782218</v>
      </c>
      <c r="T75" s="110" t="n">
        <v>116.070704132933</v>
      </c>
      <c r="U75" s="50" t="n">
        <v>224</v>
      </c>
      <c r="V75" s="112">
        <f>((O75+R75)*100)/N75</f>
        <v/>
      </c>
      <c r="W75" s="112">
        <f>((P75+S75)*100)/N75</f>
        <v/>
      </c>
      <c r="X75" s="112">
        <f>((Q75+T75)*100)/N75</f>
        <v/>
      </c>
    </row>
    <row r="76" ht="22.5" customHeight="1" s="150">
      <c r="A76" s="34" t="n">
        <v>74</v>
      </c>
      <c r="B76" s="109">
        <f>C76+D76+E76+F76+G76+H76</f>
        <v/>
      </c>
      <c r="C76" s="110" t="n">
        <v>7.73804694219555</v>
      </c>
      <c r="D76" s="110" t="n">
        <v>2.57934898073185</v>
      </c>
      <c r="E76" s="110" t="n">
        <v>0</v>
      </c>
      <c r="F76" s="110" t="n">
        <v>0</v>
      </c>
      <c r="G76" s="110" t="n">
        <v>0</v>
      </c>
      <c r="H76" s="110" t="n">
        <v>0</v>
      </c>
      <c r="I76" s="111">
        <f>(100*B76)/N76</f>
        <v/>
      </c>
      <c r="J76" s="112">
        <f>((C76+F76)*100)/B76</f>
        <v/>
      </c>
      <c r="K76" s="112">
        <f>((D76+G76)*100)/B76</f>
        <v/>
      </c>
      <c r="L76" s="112">
        <f>((E76+H76)*100)/B76</f>
        <v/>
      </c>
      <c r="M76" s="114">
        <f>N76-B75</f>
        <v/>
      </c>
      <c r="N76" s="109">
        <f>O76+P76+Q76+R76+S76+T76</f>
        <v/>
      </c>
      <c r="O76" s="110" t="n">
        <v>1186.50053113665</v>
      </c>
      <c r="P76" s="110" t="n">
        <v>1122.01680661835</v>
      </c>
      <c r="Q76" s="110" t="n">
        <v>371.426253225386</v>
      </c>
      <c r="R76" s="110" t="n">
        <v>49.0076306339051</v>
      </c>
      <c r="S76" s="110" t="n">
        <v>61.9043755375644</v>
      </c>
      <c r="T76" s="110" t="n">
        <v>10.3173959229274</v>
      </c>
      <c r="U76" s="50" t="n">
        <v>168</v>
      </c>
      <c r="V76" s="112">
        <f>((O76+R76)*100)/N76</f>
        <v/>
      </c>
      <c r="W76" s="112">
        <f>((P76+S76)*100)/N76</f>
        <v/>
      </c>
      <c r="X76" s="112">
        <f>((Q76+T76)*100)/N76</f>
        <v/>
      </c>
    </row>
    <row r="77" ht="22.5" customHeight="1" s="150">
      <c r="A77" s="34" t="n">
        <v>75</v>
      </c>
      <c r="B77" s="109">
        <f>C77+D77+E77+F77+G77+H77</f>
        <v/>
      </c>
      <c r="C77" s="110" t="n">
        <v>239.879455208062</v>
      </c>
      <c r="D77" s="110" t="n">
        <v>25.7934898073184</v>
      </c>
      <c r="E77" s="110" t="n">
        <v>77.3804694219555</v>
      </c>
      <c r="F77" s="110" t="n">
        <v>809.9155799498</v>
      </c>
      <c r="G77" s="110" t="n">
        <v>180.554428651229</v>
      </c>
      <c r="H77" s="110" t="n">
        <v>90.27721432561469</v>
      </c>
      <c r="I77" s="111">
        <f>(100*B77)/N77</f>
        <v/>
      </c>
      <c r="J77" s="112">
        <f>((C77+F77)*100)/B77</f>
        <v/>
      </c>
      <c r="K77" s="112">
        <f>((D77+G77)*100)/B77</f>
        <v/>
      </c>
      <c r="L77" s="112">
        <f>((E77+H77)*100)/B77</f>
        <v/>
      </c>
      <c r="M77" s="114">
        <f>N77-B76</f>
        <v/>
      </c>
      <c r="N77" s="109">
        <f>O77+P77+Q77+R77+S77+T77</f>
        <v/>
      </c>
      <c r="O77" s="110" t="n">
        <v>1083.32657190737</v>
      </c>
      <c r="P77" s="110" t="n">
        <v>1000.78740452395</v>
      </c>
      <c r="Q77" s="110" t="n">
        <v>312.101226668553</v>
      </c>
      <c r="R77" s="110" t="n">
        <v>3012.6796094948</v>
      </c>
      <c r="S77" s="110" t="n">
        <v>2775.37950326747</v>
      </c>
      <c r="T77" s="110" t="n">
        <v>799.598184026873</v>
      </c>
      <c r="U77" s="50" t="n">
        <v>451</v>
      </c>
      <c r="V77" s="112">
        <f>((O77+R77)*100)/N77</f>
        <v/>
      </c>
      <c r="W77" s="112">
        <f>((P77+S77)*100)/N77</f>
        <v/>
      </c>
      <c r="X77" s="112">
        <f>((Q77+T77)*100)/N77</f>
        <v/>
      </c>
    </row>
    <row r="78" ht="22.5" customHeight="1" s="150">
      <c r="A78" s="34" t="n">
        <v>76</v>
      </c>
      <c r="B78" s="109">
        <f>C78+D78+E78+F78+G78+H78</f>
        <v/>
      </c>
      <c r="C78" s="110" t="n">
        <v>0</v>
      </c>
      <c r="D78" s="110" t="n">
        <v>0</v>
      </c>
      <c r="E78" s="110" t="n">
        <v>0</v>
      </c>
      <c r="F78" s="110" t="n">
        <v>0</v>
      </c>
      <c r="G78" s="110" t="n">
        <v>0</v>
      </c>
      <c r="H78" s="110" t="n">
        <v>0</v>
      </c>
      <c r="I78" s="111">
        <f>(100*B78)/N78</f>
        <v/>
      </c>
      <c r="J78" s="112">
        <f>((C78+F78)*100)/B78</f>
        <v/>
      </c>
      <c r="K78" s="112">
        <f>((D78+G78)*100)/B78</f>
        <v/>
      </c>
      <c r="L78" s="112">
        <f>((E78+H78)*100)/B78</f>
        <v/>
      </c>
      <c r="M78" s="114">
        <f>N78-B77</f>
        <v/>
      </c>
      <c r="N78" s="109">
        <f>O78+P78+Q78+R78+S78+T78</f>
        <v/>
      </c>
      <c r="O78" s="110" t="n">
        <v>1111.69941069542</v>
      </c>
      <c r="P78" s="110" t="n">
        <v>1005.94610248542</v>
      </c>
      <c r="Q78" s="110" t="n">
        <v>324.997971572213</v>
      </c>
      <c r="R78" s="110" t="n">
        <v>5.1586979614637</v>
      </c>
      <c r="S78" s="110" t="n">
        <v>0</v>
      </c>
      <c r="T78" s="110" t="n">
        <v>0</v>
      </c>
      <c r="U78" s="50" t="n">
        <v>152</v>
      </c>
      <c r="V78" s="112">
        <f>((O78+R78)*100)/N78</f>
        <v/>
      </c>
      <c r="W78" s="112">
        <f>((P78+S78)*100)/N78</f>
        <v/>
      </c>
      <c r="X78" s="112">
        <f>((Q78+T78)*100)/N78</f>
        <v/>
      </c>
    </row>
    <row r="79" ht="22.5" customHeight="1" s="150">
      <c r="A79" s="34" t="n">
        <v>77</v>
      </c>
      <c r="B79" s="109">
        <f>C79+D79+E79+F79+G79+H79</f>
        <v/>
      </c>
      <c r="C79" s="110" t="n">
        <v>0</v>
      </c>
      <c r="D79" s="110" t="n">
        <v>0</v>
      </c>
      <c r="E79" s="110" t="n">
        <v>0</v>
      </c>
      <c r="F79" s="110" t="n">
        <v>0</v>
      </c>
      <c r="G79" s="110" t="n">
        <v>0</v>
      </c>
      <c r="H79" s="110" t="n">
        <v>0</v>
      </c>
      <c r="I79" s="111">
        <f>(100*B79)/N79</f>
        <v/>
      </c>
      <c r="J79" s="112">
        <f>((C79+F79)*100)/B79</f>
        <v/>
      </c>
      <c r="K79" s="112">
        <f>((D79+G79)*100)/B79</f>
        <v/>
      </c>
      <c r="L79" s="112">
        <f>((E79+H79)*100)/B79</f>
        <v/>
      </c>
      <c r="M79" s="114">
        <f>N79-B78</f>
        <v/>
      </c>
      <c r="N79" s="109">
        <f>O79+P79+Q79+R79+S79+T79</f>
        <v/>
      </c>
      <c r="O79" s="110" t="n">
        <v>1124.59615559908</v>
      </c>
      <c r="P79" s="110" t="n">
        <v>1018.84284738908</v>
      </c>
      <c r="Q79" s="110" t="n">
        <v>335.31536749514</v>
      </c>
      <c r="R79" s="110" t="n">
        <v>20.6347918458548</v>
      </c>
      <c r="S79" s="110" t="n">
        <v>7.73804694219555</v>
      </c>
      <c r="T79" s="110" t="n">
        <v>5.1586979614637</v>
      </c>
      <c r="U79" s="50" t="n">
        <v>150</v>
      </c>
      <c r="V79" s="112">
        <f>((O79+R79)*100)/N79</f>
        <v/>
      </c>
      <c r="W79" s="112">
        <f>((P79+S79)*100)/N79</f>
        <v/>
      </c>
      <c r="X79" s="112">
        <f>((Q79+T79)*100)/N79</f>
        <v/>
      </c>
    </row>
    <row r="80" ht="22.5" customHeight="1" s="150">
      <c r="A80" s="34" t="n">
        <v>78</v>
      </c>
      <c r="B80" s="109">
        <f>C80+D80+E80+F80+G80+H80</f>
        <v/>
      </c>
      <c r="C80" s="110" t="n">
        <v>0</v>
      </c>
      <c r="D80" s="110" t="n">
        <v>0</v>
      </c>
      <c r="E80" s="110" t="n">
        <v>0</v>
      </c>
      <c r="F80" s="110" t="n">
        <v>0</v>
      </c>
      <c r="G80" s="110" t="n">
        <v>0</v>
      </c>
      <c r="H80" s="110" t="n">
        <v>0</v>
      </c>
      <c r="I80" s="111">
        <f>(100*B80)/N80</f>
        <v/>
      </c>
      <c r="J80" s="112">
        <f>((C80+F80)*100)/B80</f>
        <v/>
      </c>
      <c r="K80" s="112">
        <f>((D80+G80)*100)/B80</f>
        <v/>
      </c>
      <c r="L80" s="112">
        <f>((E80+H80)*100)/B80</f>
        <v/>
      </c>
      <c r="M80" s="114">
        <f>N80-B79</f>
        <v/>
      </c>
      <c r="N80" s="109">
        <f>O80+P80+Q80+R80+S80+T80</f>
        <v/>
      </c>
      <c r="O80" s="110" t="n">
        <v>1140.07224948347</v>
      </c>
      <c r="P80" s="110" t="n">
        <v>1024.00154535054</v>
      </c>
      <c r="Q80" s="110" t="n">
        <v>392.061045071241</v>
      </c>
      <c r="R80" s="110" t="n">
        <v>10.3173959229274</v>
      </c>
      <c r="S80" s="110" t="n">
        <v>25.7934898073184</v>
      </c>
      <c r="T80" s="110" t="n">
        <v>5.1586979614637</v>
      </c>
      <c r="U80" s="50" t="n">
        <v>155</v>
      </c>
      <c r="V80" s="112">
        <f>((O80+R80)*100)/N80</f>
        <v/>
      </c>
      <c r="W80" s="112">
        <f>((P80+S80)*100)/N80</f>
        <v/>
      </c>
      <c r="X80" s="112">
        <f>((Q80+T80)*100)/N80</f>
        <v/>
      </c>
    </row>
    <row r="81" ht="22.5" customHeight="1" s="150">
      <c r="A81" s="34" t="n">
        <v>79</v>
      </c>
      <c r="B81" s="109">
        <f>C81+D81+E81+F81+G81+H81</f>
        <v/>
      </c>
      <c r="C81" s="110" t="n">
        <v>38.6902347109777</v>
      </c>
      <c r="D81" s="110" t="n">
        <v>10.3173959229274</v>
      </c>
      <c r="E81" s="110" t="n">
        <v>2.57934898073185</v>
      </c>
      <c r="F81" s="110" t="n">
        <v>5.1586979614637</v>
      </c>
      <c r="G81" s="110" t="n">
        <v>5.1586979614637</v>
      </c>
      <c r="H81" s="110" t="n">
        <v>0</v>
      </c>
      <c r="I81" s="111">
        <f>(100*B81)/N81</f>
        <v/>
      </c>
      <c r="J81" s="112">
        <f>((C81+F81)*100)/B81</f>
        <v/>
      </c>
      <c r="K81" s="112">
        <f>((D81+G81)*100)/B81</f>
        <v/>
      </c>
      <c r="L81" s="112">
        <f>((E81+H81)*100)/B81</f>
        <v/>
      </c>
      <c r="M81" s="114">
        <f>N81-B80</f>
        <v/>
      </c>
      <c r="N81" s="109">
        <f>O81+P81+Q81+R81+S81+T81</f>
        <v/>
      </c>
      <c r="O81" s="110" t="n">
        <v>1168.44508827152</v>
      </c>
      <c r="P81" s="110" t="n">
        <v>1021.42219636981</v>
      </c>
      <c r="Q81" s="110" t="n">
        <v>402.378440994168</v>
      </c>
      <c r="R81" s="110" t="n">
        <v>350.791461379531</v>
      </c>
      <c r="S81" s="110" t="n">
        <v>291.466434822699</v>
      </c>
      <c r="T81" s="110" t="n">
        <v>123.808751075128</v>
      </c>
      <c r="U81" s="50" t="n">
        <v>181</v>
      </c>
      <c r="V81" s="112">
        <f>((O81+R81)*100)/N81</f>
        <v/>
      </c>
      <c r="W81" s="112">
        <f>((P81+S81)*100)/N81</f>
        <v/>
      </c>
      <c r="X81" s="112">
        <f>((Q81+T81)*100)/N81</f>
        <v/>
      </c>
    </row>
    <row r="82" ht="22.5" customHeight="1" s="150">
      <c r="A82" s="34" t="n">
        <v>80</v>
      </c>
      <c r="B82" s="109">
        <f>C82+D82+E82+F82+G82+H82</f>
        <v/>
      </c>
      <c r="C82" s="110" t="n">
        <v>355.950159340995</v>
      </c>
      <c r="D82" s="110" t="n">
        <v>25.7934898073184</v>
      </c>
      <c r="E82" s="110" t="n">
        <v>36.1108857302459</v>
      </c>
      <c r="F82" s="110" t="n">
        <v>147.022891901715</v>
      </c>
      <c r="G82" s="110" t="n">
        <v>38.6902347109777</v>
      </c>
      <c r="H82" s="110" t="n">
        <v>12.8967449036592</v>
      </c>
      <c r="I82" s="111">
        <f>(100*B82)/N82</f>
        <v/>
      </c>
      <c r="J82" s="112">
        <f>((C82+F82)*100)/B82</f>
        <v/>
      </c>
      <c r="K82" s="112">
        <f>((D82+G82)*100)/B82</f>
        <v/>
      </c>
      <c r="L82" s="112">
        <f>((E82+H82)*100)/B82</f>
        <v/>
      </c>
      <c r="M82" s="114">
        <f>N82-B81</f>
        <v/>
      </c>
      <c r="N82" s="109">
        <f>O82+P82+Q82+R82+S82+T82</f>
        <v/>
      </c>
      <c r="O82" s="110" t="n">
        <v>990.47000860103</v>
      </c>
      <c r="P82" s="110" t="n">
        <v>931.144982044197</v>
      </c>
      <c r="Q82" s="110" t="n">
        <v>397.219743032704</v>
      </c>
      <c r="R82" s="110" t="n">
        <v>1529.55394557398</v>
      </c>
      <c r="S82" s="110" t="n">
        <v>1519.23654965105</v>
      </c>
      <c r="T82" s="110" t="n">
        <v>570.036124741738</v>
      </c>
      <c r="U82" s="50" t="n">
        <v>310</v>
      </c>
      <c r="V82" s="112">
        <f>((O82+R82)*100)/N82</f>
        <v/>
      </c>
      <c r="W82" s="112">
        <f>((P82+S82)*100)/N82</f>
        <v/>
      </c>
      <c r="X82" s="112">
        <f>((Q82+T82)*100)/N82</f>
        <v/>
      </c>
    </row>
    <row r="83" ht="22.5" customHeight="1" s="150">
      <c r="A83" s="34" t="n">
        <v>81</v>
      </c>
      <c r="B83" s="109">
        <f>C83+D83+E83+F83+G83+H83</f>
        <v/>
      </c>
      <c r="C83" s="110" t="n">
        <v>141.864193940251</v>
      </c>
      <c r="D83" s="110" t="n">
        <v>7.73804694219555</v>
      </c>
      <c r="E83" s="110" t="n">
        <v>20.6347918458548</v>
      </c>
      <c r="F83" s="110" t="n">
        <v>36.1108857302459</v>
      </c>
      <c r="G83" s="110" t="n">
        <v>0</v>
      </c>
      <c r="H83" s="110" t="n">
        <v>2.57934898073185</v>
      </c>
      <c r="I83" s="111">
        <f>(100*B83)/N83</f>
        <v/>
      </c>
      <c r="J83" s="112">
        <f>((C83+F83)*100)/B83</f>
        <v/>
      </c>
      <c r="K83" s="112">
        <f>((D83+G83)*100)/B83</f>
        <v/>
      </c>
      <c r="L83" s="112">
        <f>((E83+H83)*100)/B83</f>
        <v/>
      </c>
      <c r="M83" s="114">
        <f>N83-B82</f>
        <v/>
      </c>
      <c r="N83" s="109">
        <f>O83+P83+Q83+R83+S83+T83</f>
        <v/>
      </c>
      <c r="O83" s="110" t="n">
        <v>941.462377967125</v>
      </c>
      <c r="P83" s="110" t="n">
        <v>928.565633063466</v>
      </c>
      <c r="Q83" s="110" t="n">
        <v>392.061045071241</v>
      </c>
      <c r="R83" s="110" t="n">
        <v>453.965420608805</v>
      </c>
      <c r="S83" s="110" t="n">
        <v>435.909977743682</v>
      </c>
      <c r="T83" s="110" t="n">
        <v>214.085965400743</v>
      </c>
      <c r="U83" s="50" t="n">
        <v>224</v>
      </c>
      <c r="V83" s="112">
        <f>((O83+R83)*100)/N83</f>
        <v/>
      </c>
      <c r="W83" s="112">
        <f>((P83+S83)*100)/N83</f>
        <v/>
      </c>
      <c r="X83" s="112">
        <f>((Q83+T83)*100)/N83</f>
        <v/>
      </c>
    </row>
    <row r="84" ht="22.5" customHeight="1" s="150">
      <c r="A84" s="34" t="n">
        <v>82</v>
      </c>
      <c r="B84" s="109">
        <f>C84+D84+E84+F84+G84+H84</f>
        <v/>
      </c>
      <c r="C84" s="110" t="n">
        <v>30.9521877687822</v>
      </c>
      <c r="D84" s="110" t="n">
        <v>7.73804694219555</v>
      </c>
      <c r="E84" s="110" t="n">
        <v>10.3173959229274</v>
      </c>
      <c r="F84" s="110" t="n">
        <v>2.57934898073185</v>
      </c>
      <c r="G84" s="110" t="n">
        <v>12.8967449036592</v>
      </c>
      <c r="H84" s="110" t="n">
        <v>10.3173959229274</v>
      </c>
      <c r="I84" s="111">
        <f>(100*B84)/N84</f>
        <v/>
      </c>
      <c r="J84" s="112">
        <f>((C84+F84)*100)/B84</f>
        <v/>
      </c>
      <c r="K84" s="112">
        <f>((D84+G84)*100)/B84</f>
        <v/>
      </c>
      <c r="L84" s="112">
        <f>((E84+H84)*100)/B84</f>
        <v/>
      </c>
      <c r="M84" s="114">
        <f>N84-B83</f>
        <v/>
      </c>
      <c r="N84" s="109">
        <f>O84+P84+Q84+R84+S84+T84</f>
        <v/>
      </c>
      <c r="O84" s="110" t="n">
        <v>931.144982044197</v>
      </c>
      <c r="P84" s="110" t="n">
        <v>925.986284082734</v>
      </c>
      <c r="Q84" s="110" t="n">
        <v>397.219743032704</v>
      </c>
      <c r="R84" s="110" t="n">
        <v>221.824012342939</v>
      </c>
      <c r="S84" s="110" t="n">
        <v>216.665314381475</v>
      </c>
      <c r="T84" s="110" t="n">
        <v>74.8011204412236</v>
      </c>
      <c r="U84" s="50" t="n">
        <v>152</v>
      </c>
      <c r="V84" s="112">
        <f>((O84+R84)*100)/N84</f>
        <v/>
      </c>
      <c r="W84" s="112">
        <f>((P84+S84)*100)/N84</f>
        <v/>
      </c>
      <c r="X84" s="112">
        <f>((Q84+T84)*100)/N84</f>
        <v/>
      </c>
    </row>
    <row r="85" ht="22.5" customHeight="1" s="150">
      <c r="A85" s="34" t="n">
        <v>83</v>
      </c>
      <c r="B85" s="109">
        <f>C85+D85+E85+F85+G85+H85</f>
        <v/>
      </c>
      <c r="C85" s="110" t="n">
        <v>2.57934898073185</v>
      </c>
      <c r="D85" s="110" t="n">
        <v>0</v>
      </c>
      <c r="E85" s="110" t="n">
        <v>0</v>
      </c>
      <c r="F85" s="110" t="n">
        <v>0</v>
      </c>
      <c r="G85" s="110" t="n">
        <v>0</v>
      </c>
      <c r="H85" s="110" t="n">
        <v>0</v>
      </c>
      <c r="I85" s="111">
        <f>(100*B85)/N85</f>
        <v/>
      </c>
      <c r="J85" s="112">
        <f>((C85+F85)*100)/B85</f>
        <v/>
      </c>
      <c r="K85" s="112">
        <f>((D85+G85)*100)/B85</f>
        <v/>
      </c>
      <c r="L85" s="112">
        <f>((E85+H85)*100)/B85</f>
        <v/>
      </c>
      <c r="M85" s="114">
        <f>N85-B84</f>
        <v/>
      </c>
      <c r="N85" s="109">
        <f>O85+P85+Q85+R85+S85+T85</f>
        <v/>
      </c>
      <c r="O85" s="110" t="n">
        <v>964.676518793711</v>
      </c>
      <c r="P85" s="110" t="n">
        <v>951.779773890052</v>
      </c>
      <c r="Q85" s="110" t="n">
        <v>402.378440994168</v>
      </c>
      <c r="R85" s="110" t="n">
        <v>0</v>
      </c>
      <c r="S85" s="110" t="n">
        <v>0</v>
      </c>
      <c r="T85" s="110" t="n">
        <v>0</v>
      </c>
      <c r="U85" s="50" t="n">
        <v>124</v>
      </c>
      <c r="V85" s="112">
        <f>((O85+R85)*100)/N85</f>
        <v/>
      </c>
      <c r="W85" s="112">
        <f>((P85+S85)*100)/N85</f>
        <v/>
      </c>
      <c r="X85" s="112">
        <f>((Q85+T85)*100)/N85</f>
        <v/>
      </c>
    </row>
    <row r="86" ht="22.5" customHeight="1" s="150">
      <c r="A86" s="34" t="n">
        <v>84</v>
      </c>
      <c r="B86" s="109">
        <f>C86+D86+E86+F86+G86+H86</f>
        <v/>
      </c>
      <c r="C86" s="110" t="n">
        <v>25.7934898073184</v>
      </c>
      <c r="D86" s="110" t="n">
        <v>38.6902347109777</v>
      </c>
      <c r="E86" s="110" t="n">
        <v>2.57934898073185</v>
      </c>
      <c r="F86" s="110" t="n">
        <v>18.0554428651229</v>
      </c>
      <c r="G86" s="110" t="n">
        <v>43.8489326724414</v>
      </c>
      <c r="H86" s="110" t="n">
        <v>18.0554428651229</v>
      </c>
      <c r="I86" s="111">
        <f>(100*B86)/N86</f>
        <v/>
      </c>
      <c r="J86" s="112">
        <f>((C86+F86)*100)/B86</f>
        <v/>
      </c>
      <c r="K86" s="112">
        <f>((D86+G86)*100)/B86</f>
        <v/>
      </c>
      <c r="L86" s="112">
        <f>((E86+H86)*100)/B86</f>
        <v/>
      </c>
      <c r="M86" s="114">
        <f>N86-B85</f>
        <v/>
      </c>
      <c r="N86" s="109">
        <f>O86+P86+Q86+R86+S86+T86</f>
        <v/>
      </c>
      <c r="O86" s="110" t="n">
        <v>938.883028986393</v>
      </c>
      <c r="P86" s="110" t="n">
        <v>866.661257525901</v>
      </c>
      <c r="Q86" s="110" t="n">
        <v>394.640394051973</v>
      </c>
      <c r="R86" s="110" t="n">
        <v>453.965420608805</v>
      </c>
      <c r="S86" s="110" t="n">
        <v>415.275185897827</v>
      </c>
      <c r="T86" s="110" t="n">
        <v>139.284844959519</v>
      </c>
      <c r="U86" s="50" t="n">
        <v>173</v>
      </c>
      <c r="V86" s="112">
        <f>((O86+R86)*100)/N86</f>
        <v/>
      </c>
      <c r="W86" s="112">
        <f>((P86+S86)*100)/N86</f>
        <v/>
      </c>
      <c r="X86" s="112">
        <f>((Q86+T86)*100)/N86</f>
        <v/>
      </c>
    </row>
    <row r="87" ht="22.5" customHeight="1" s="150">
      <c r="A87" s="34" t="n">
        <v>85</v>
      </c>
      <c r="B87" s="109">
        <f>C87+D87+E87+F87+G87+H87</f>
        <v/>
      </c>
      <c r="C87" s="110" t="n">
        <v>159.919636805374</v>
      </c>
      <c r="D87" s="110" t="n">
        <v>2.57934898073185</v>
      </c>
      <c r="E87" s="110" t="n">
        <v>2.57934898073185</v>
      </c>
      <c r="F87" s="110" t="n">
        <v>54.1663285953688</v>
      </c>
      <c r="G87" s="110" t="n">
        <v>15.4760938843911</v>
      </c>
      <c r="H87" s="110" t="n">
        <v>5.1586979614637</v>
      </c>
      <c r="I87" s="111">
        <f>(100*B87)/N87</f>
        <v/>
      </c>
      <c r="J87" s="112">
        <f>((C87+F87)*100)/B87</f>
        <v/>
      </c>
      <c r="K87" s="112">
        <f>((D87+G87)*100)/B87</f>
        <v/>
      </c>
      <c r="L87" s="112">
        <f>((E87+H87)*100)/B87</f>
        <v/>
      </c>
      <c r="M87" s="114">
        <f>N87-B86</f>
        <v/>
      </c>
      <c r="N87" s="109">
        <f>O87+P87+Q87+R87+S87+T87</f>
        <v/>
      </c>
      <c r="O87" s="110" t="n">
        <v>905.351492236879</v>
      </c>
      <c r="P87" s="110" t="n">
        <v>820.232975872728</v>
      </c>
      <c r="Q87" s="110" t="n">
        <v>392.061045071241</v>
      </c>
      <c r="R87" s="110" t="n">
        <v>1075.58852496518</v>
      </c>
      <c r="S87" s="110" t="n">
        <v>938.883028986393</v>
      </c>
      <c r="T87" s="110" t="n">
        <v>430.751279782218</v>
      </c>
      <c r="U87" s="50" t="n">
        <v>261</v>
      </c>
      <c r="V87" s="112">
        <f>((O87+R87)*100)/N87</f>
        <v/>
      </c>
      <c r="W87" s="112">
        <f>((P87+S87)*100)/N87</f>
        <v/>
      </c>
      <c r="X87" s="112">
        <f>((Q87+T87)*100)/N87</f>
        <v/>
      </c>
    </row>
    <row r="88" ht="22.5" customHeight="1" s="150">
      <c r="A88" s="34" t="n">
        <v>86</v>
      </c>
      <c r="B88" s="109">
        <f>C88+D88+E88+F88+G88+H88</f>
        <v/>
      </c>
      <c r="C88" s="110" t="n">
        <v>25.7934898073184</v>
      </c>
      <c r="D88" s="110" t="n">
        <v>0</v>
      </c>
      <c r="E88" s="110" t="n">
        <v>2.57934898073185</v>
      </c>
      <c r="F88" s="110" t="n">
        <v>0</v>
      </c>
      <c r="G88" s="110" t="n">
        <v>0</v>
      </c>
      <c r="H88" s="110" t="n">
        <v>0</v>
      </c>
      <c r="I88" s="111">
        <f>(100*B88)/N88</f>
        <v/>
      </c>
      <c r="J88" s="112">
        <f>((C88+F88)*100)/B88</f>
        <v/>
      </c>
      <c r="K88" s="112">
        <f>((D88+G88)*100)/B88</f>
        <v/>
      </c>
      <c r="L88" s="112">
        <f>((E88+H88)*100)/B88</f>
        <v/>
      </c>
      <c r="M88" s="114">
        <f>N88-B87</f>
        <v/>
      </c>
      <c r="N88" s="109">
        <f>O88+P88+Q88+R88+S88+T88</f>
        <v/>
      </c>
      <c r="O88" s="110" t="n">
        <v>907.930841217611</v>
      </c>
      <c r="P88" s="110" t="n">
        <v>835.709069757119</v>
      </c>
      <c r="Q88" s="110" t="n">
        <v>389.481696090509</v>
      </c>
      <c r="R88" s="110" t="n">
        <v>41.2695836917096</v>
      </c>
      <c r="S88" s="110" t="n">
        <v>20.6347918458548</v>
      </c>
      <c r="T88" s="110" t="n">
        <v>10.3173959229274</v>
      </c>
      <c r="U88" s="50" t="n">
        <v>121</v>
      </c>
      <c r="V88" s="112">
        <f>((O88+R88)*100)/N88</f>
        <v/>
      </c>
      <c r="W88" s="112">
        <f>((P88+S88)*100)/N88</f>
        <v/>
      </c>
      <c r="X88" s="112">
        <f>((Q88+T88)*100)/N88</f>
        <v/>
      </c>
    </row>
    <row r="89" ht="22.5" customHeight="1" s="150">
      <c r="A89" s="34" t="n">
        <v>87</v>
      </c>
      <c r="B89" s="109">
        <f>C89+D89+E89+F89+G89+H89</f>
        <v/>
      </c>
      <c r="C89" s="110" t="n">
        <v>270.831642976844</v>
      </c>
      <c r="D89" s="110" t="n">
        <v>36.1108857302459</v>
      </c>
      <c r="E89" s="110" t="n">
        <v>46.4282816531733</v>
      </c>
      <c r="F89" s="110" t="n">
        <v>139.284844959519</v>
      </c>
      <c r="G89" s="110" t="n">
        <v>25.7934898073184</v>
      </c>
      <c r="H89" s="110" t="n">
        <v>38.6902347109777</v>
      </c>
      <c r="I89" s="111">
        <f>(100*B89)/N89</f>
        <v/>
      </c>
      <c r="J89" s="112">
        <f>((C89+F89)*100)/B89</f>
        <v/>
      </c>
      <c r="K89" s="112">
        <f>((D89+G89)*100)/B89</f>
        <v/>
      </c>
      <c r="L89" s="112">
        <f>((E89+H89)*100)/B89</f>
        <v/>
      </c>
      <c r="M89" s="114">
        <f>N89-B88</f>
        <v/>
      </c>
      <c r="N89" s="109">
        <f>O89+P89+Q89+R89+S89+T89</f>
        <v/>
      </c>
      <c r="O89" s="110" t="n">
        <v>809.9155799498</v>
      </c>
      <c r="P89" s="110" t="n">
        <v>791.8601370846779</v>
      </c>
      <c r="Q89" s="110" t="n">
        <v>361.108857302459</v>
      </c>
      <c r="R89" s="110" t="n">
        <v>1524.39524761252</v>
      </c>
      <c r="S89" s="110" t="n">
        <v>1181.34183317518</v>
      </c>
      <c r="T89" s="110" t="n">
        <v>459.124118570269</v>
      </c>
      <c r="U89" s="50" t="n">
        <v>248</v>
      </c>
      <c r="V89" s="112">
        <f>((O89+R89)*100)/N89</f>
        <v/>
      </c>
      <c r="W89" s="112">
        <f>((P89+S89)*100)/N89</f>
        <v/>
      </c>
      <c r="X89" s="112">
        <f>((Q89+T89)*100)/N89</f>
        <v/>
      </c>
    </row>
    <row r="90" ht="22.5" customHeight="1" s="150">
      <c r="A90" s="34" t="n">
        <v>88</v>
      </c>
      <c r="B90" s="109">
        <f>C90+D90+E90+F90+G90+H90</f>
        <v/>
      </c>
      <c r="C90" s="110" t="n">
        <v>2.57934898073185</v>
      </c>
      <c r="D90" s="110" t="n">
        <v>2.57934898073185</v>
      </c>
      <c r="E90" s="110" t="n">
        <v>2.57934898073185</v>
      </c>
      <c r="F90" s="110" t="n">
        <v>0</v>
      </c>
      <c r="G90" s="110" t="n">
        <v>0</v>
      </c>
      <c r="H90" s="110" t="n">
        <v>0</v>
      </c>
      <c r="I90" s="111">
        <f>(100*B90)/N90</f>
        <v/>
      </c>
      <c r="J90" s="112">
        <f>((C90+F90)*100)/B90</f>
        <v/>
      </c>
      <c r="K90" s="112">
        <f>((D90+G90)*100)/B90</f>
        <v/>
      </c>
      <c r="L90" s="112">
        <f>((E90+H90)*100)/B90</f>
        <v/>
      </c>
      <c r="M90" s="114">
        <f>N90-B89</f>
        <v/>
      </c>
      <c r="N90" s="109">
        <f>O90+P90+Q90+R90+S90+T90</f>
        <v/>
      </c>
      <c r="O90" s="110" t="n">
        <v>835.709069757119</v>
      </c>
      <c r="P90" s="110" t="n">
        <v>799.598184026873</v>
      </c>
      <c r="Q90" s="110" t="n">
        <v>363.68820628319</v>
      </c>
      <c r="R90" s="110" t="n">
        <v>92.8565633063466</v>
      </c>
      <c r="S90" s="110" t="n">
        <v>51.5869796146369</v>
      </c>
      <c r="T90" s="110" t="n">
        <v>30.9521877687822</v>
      </c>
      <c r="U90" s="50" t="n">
        <v>137</v>
      </c>
      <c r="V90" s="112">
        <f>((O90+R90)*100)/N90</f>
        <v/>
      </c>
      <c r="W90" s="112">
        <f>((P90+S90)*100)/N90</f>
        <v/>
      </c>
      <c r="X90" s="112">
        <f>((Q90+T90)*100)/N90</f>
        <v/>
      </c>
    </row>
    <row r="91" ht="22.5" customHeight="1" s="150">
      <c r="A91" s="34" t="n">
        <v>89</v>
      </c>
      <c r="B91" s="109">
        <f>C91+D91+E91+F91+G91+H91</f>
        <v/>
      </c>
      <c r="C91" s="110" t="n">
        <v>2.57934898073185</v>
      </c>
      <c r="D91" s="110" t="n">
        <v>0</v>
      </c>
      <c r="E91" s="110" t="n">
        <v>0</v>
      </c>
      <c r="F91" s="110" t="n">
        <v>0</v>
      </c>
      <c r="G91" s="110" t="n">
        <v>0</v>
      </c>
      <c r="H91" s="110" t="n">
        <v>0</v>
      </c>
      <c r="I91" s="111">
        <f>(100*B91)/N91</f>
        <v/>
      </c>
      <c r="J91" s="112">
        <f>((C91+F91)*100)/B91</f>
        <v/>
      </c>
      <c r="K91" s="112">
        <f>((D91+G91)*100)/B91</f>
        <v/>
      </c>
      <c r="L91" s="112">
        <f>((E91+H91)*100)/B91</f>
        <v/>
      </c>
      <c r="M91" s="114">
        <f>N91-B90</f>
        <v/>
      </c>
      <c r="N91" s="109">
        <f>O91+P91+Q91+R91+S91+T91</f>
        <v/>
      </c>
      <c r="O91" s="110" t="n">
        <v>980.152612678103</v>
      </c>
      <c r="P91" s="110" t="n">
        <v>817.6536268919961</v>
      </c>
      <c r="Q91" s="110" t="n">
        <v>368.846904244654</v>
      </c>
      <c r="R91" s="110" t="n">
        <v>33.531536749514</v>
      </c>
      <c r="S91" s="110" t="n">
        <v>20.6347918458548</v>
      </c>
      <c r="T91" s="110" t="n">
        <v>18.0554428651229</v>
      </c>
      <c r="U91" s="50" t="n">
        <v>129</v>
      </c>
      <c r="V91" s="112">
        <f>((O91+R91)*100)/N91</f>
        <v/>
      </c>
      <c r="W91" s="112">
        <f>((P91+S91)*100)/N91</f>
        <v/>
      </c>
      <c r="X91" s="112">
        <f>((Q91+T91)*100)/N91</f>
        <v/>
      </c>
    </row>
    <row r="92" ht="22.5" customHeight="1" s="150">
      <c r="A92" s="34" t="n">
        <v>90</v>
      </c>
      <c r="B92" s="109">
        <f>C92+D92+E92+F92+G92+H92</f>
        <v/>
      </c>
      <c r="C92" s="110" t="n">
        <v>188.292475593425</v>
      </c>
      <c r="D92" s="110" t="n">
        <v>15.4760938843911</v>
      </c>
      <c r="E92" s="110" t="n">
        <v>41.2695836917096</v>
      </c>
      <c r="F92" s="110" t="n">
        <v>74.8011204412236</v>
      </c>
      <c r="G92" s="110" t="n">
        <v>38.6902347109777</v>
      </c>
      <c r="H92" s="110" t="n">
        <v>15.4760938843911</v>
      </c>
      <c r="I92" s="111">
        <f>(100*B92)/N92</f>
        <v/>
      </c>
      <c r="J92" s="112">
        <f>((C92+F92)*100)/B92</f>
        <v/>
      </c>
      <c r="K92" s="112">
        <f>((D92+G92)*100)/B92</f>
        <v/>
      </c>
      <c r="L92" s="112">
        <f>((E92+H92)*100)/B92</f>
        <v/>
      </c>
      <c r="M92" s="114">
        <f>N92-B91</f>
        <v/>
      </c>
      <c r="N92" s="109">
        <f>O92+P92+Q92+R92+S92+T92</f>
        <v/>
      </c>
      <c r="O92" s="110" t="n">
        <v>941.462377967125</v>
      </c>
      <c r="P92" s="110" t="n">
        <v>781.54274116175</v>
      </c>
      <c r="Q92" s="110" t="n">
        <v>337.894716475872</v>
      </c>
      <c r="R92" s="110" t="n">
        <v>820.232975872728</v>
      </c>
      <c r="S92" s="110" t="n">
        <v>448.806722647341</v>
      </c>
      <c r="T92" s="110" t="n">
        <v>214.085965400743</v>
      </c>
      <c r="U92" s="50" t="n">
        <v>201</v>
      </c>
      <c r="V92" s="112">
        <f>((O92+R92)*100)/N92</f>
        <v/>
      </c>
      <c r="W92" s="112">
        <f>((P92+S92)*100)/N92</f>
        <v/>
      </c>
      <c r="X92" s="112">
        <f>((Q92+T92)*100)/N92</f>
        <v/>
      </c>
    </row>
    <row r="93" ht="22.5" customHeight="1" s="150">
      <c r="A93" s="34" t="n">
        <v>91</v>
      </c>
      <c r="B93" s="109">
        <f>C93+D93+E93+F93+G93+H93</f>
        <v/>
      </c>
      <c r="C93" s="110" t="n">
        <v>165.078334766838</v>
      </c>
      <c r="D93" s="110" t="n">
        <v>10.3173959229274</v>
      </c>
      <c r="E93" s="110" t="n">
        <v>12.8967449036592</v>
      </c>
      <c r="F93" s="110" t="n">
        <v>0</v>
      </c>
      <c r="G93" s="110" t="n">
        <v>2.57934898073185</v>
      </c>
      <c r="H93" s="110" t="n">
        <v>0</v>
      </c>
      <c r="I93" s="111">
        <f>(100*B93)/N93</f>
        <v/>
      </c>
      <c r="J93" s="112">
        <f>((C93+F93)*100)/B93</f>
        <v/>
      </c>
      <c r="K93" s="112">
        <f>((D93+G93)*100)/B93</f>
        <v/>
      </c>
      <c r="L93" s="112">
        <f>((E93+H93)*100)/B93</f>
        <v/>
      </c>
      <c r="M93" s="114">
        <f>N93-B92</f>
        <v/>
      </c>
      <c r="N93" s="109">
        <f>O93+P93+Q93+R93+S93+T93</f>
        <v/>
      </c>
      <c r="O93" s="110" t="n">
        <v>918.248237140538</v>
      </c>
      <c r="P93" s="110" t="n">
        <v>729.955761547113</v>
      </c>
      <c r="Q93" s="110" t="n">
        <v>286.307736861235</v>
      </c>
      <c r="R93" s="110" t="n">
        <v>147.022891901715</v>
      </c>
      <c r="S93" s="110" t="n">
        <v>98.0152612678103</v>
      </c>
      <c r="T93" s="110" t="n">
        <v>49.0076306339051</v>
      </c>
      <c r="U93" s="50" t="n">
        <v>142</v>
      </c>
      <c r="V93" s="112">
        <f>((O93+R93)*100)/N93</f>
        <v/>
      </c>
      <c r="W93" s="112">
        <f>((P93+S93)*100)/N93</f>
        <v/>
      </c>
      <c r="X93" s="112">
        <f>((Q93+T93)*100)/N93</f>
        <v/>
      </c>
    </row>
    <row r="94" ht="22.5" customHeight="1" s="150">
      <c r="A94" s="34" t="n">
        <v>92</v>
      </c>
      <c r="B94" s="109">
        <f>C94+D94+E94+F94+G94+H94</f>
        <v/>
      </c>
      <c r="C94" s="110" t="n">
        <v>30.9521877687822</v>
      </c>
      <c r="D94" s="110" t="n">
        <v>46.4282816531733</v>
      </c>
      <c r="E94" s="110" t="n">
        <v>5.1586979614637</v>
      </c>
      <c r="F94" s="110" t="n">
        <v>15.4760938843911</v>
      </c>
      <c r="G94" s="110" t="n">
        <v>5.1586979614637</v>
      </c>
      <c r="H94" s="110" t="n">
        <v>5.1586979614637</v>
      </c>
      <c r="I94" s="111">
        <f>(100*B94)/N94</f>
        <v/>
      </c>
      <c r="J94" s="112">
        <f>((C94+F94)*100)/B94</f>
        <v/>
      </c>
      <c r="K94" s="112">
        <f>((D94+G94)*100)/B94</f>
        <v/>
      </c>
      <c r="L94" s="112">
        <f>((E94+H94)*100)/B94</f>
        <v/>
      </c>
      <c r="M94" s="114">
        <f>N94-B93</f>
        <v/>
      </c>
      <c r="N94" s="109">
        <f>O94+P94+Q94+R94+S94+T94</f>
        <v/>
      </c>
      <c r="O94" s="110" t="n">
        <v>933.724331024929</v>
      </c>
      <c r="P94" s="110" t="n">
        <v>688.686177855403</v>
      </c>
      <c r="Q94" s="110" t="n">
        <v>283.728387880503</v>
      </c>
      <c r="R94" s="110" t="n">
        <v>299.204481764894</v>
      </c>
      <c r="S94" s="110" t="n">
        <v>175.395730689765</v>
      </c>
      <c r="T94" s="110" t="n">
        <v>54.1663285953688</v>
      </c>
      <c r="U94" s="50" t="n">
        <v>155</v>
      </c>
      <c r="V94" s="112">
        <f>((O94+R94)*100)/N94</f>
        <v/>
      </c>
      <c r="W94" s="112">
        <f>((P94+S94)*100)/N94</f>
        <v/>
      </c>
      <c r="X94" s="112">
        <f>((Q94+T94)*100)/N94</f>
        <v/>
      </c>
    </row>
    <row r="95" ht="22.5" customHeight="1" s="150">
      <c r="A95" s="34" t="n">
        <v>93</v>
      </c>
      <c r="B95" s="109">
        <f>C95+D95+E95+F95+G95+H95</f>
        <v/>
      </c>
      <c r="C95" s="110" t="n">
        <v>2.57934898073185</v>
      </c>
      <c r="D95" s="110" t="n">
        <v>0</v>
      </c>
      <c r="E95" s="110" t="n">
        <v>0</v>
      </c>
      <c r="F95" s="110" t="n">
        <v>0</v>
      </c>
      <c r="G95" s="110" t="n">
        <v>0</v>
      </c>
      <c r="H95" s="110" t="n">
        <v>0</v>
      </c>
      <c r="I95" s="111">
        <f>(100*B95)/N95</f>
        <v/>
      </c>
      <c r="J95" s="112">
        <f>((C95+F95)*100)/B95</f>
        <v/>
      </c>
      <c r="K95" s="112">
        <f>((D95+G95)*100)/B95</f>
        <v/>
      </c>
      <c r="L95" s="112">
        <f>((E95+H95)*100)/B95</f>
        <v/>
      </c>
      <c r="M95" s="114">
        <f>N95-B94</f>
        <v/>
      </c>
      <c r="N95" s="109">
        <f>O95+P95+Q95+R95+S95+T95</f>
        <v/>
      </c>
      <c r="O95" s="110" t="n">
        <v>954.3591228707839</v>
      </c>
      <c r="P95" s="110" t="n">
        <v>683.52747989394</v>
      </c>
      <c r="Q95" s="110" t="n">
        <v>288.887085841967</v>
      </c>
      <c r="R95" s="110" t="n">
        <v>0</v>
      </c>
      <c r="S95" s="110" t="n">
        <v>0</v>
      </c>
      <c r="T95" s="110" t="n">
        <v>0</v>
      </c>
      <c r="U95" s="50" t="n">
        <v>113</v>
      </c>
      <c r="V95" s="112">
        <f>((O95+R95)*100)/N95</f>
        <v/>
      </c>
      <c r="W95" s="112">
        <f>((P95+S95)*100)/N95</f>
        <v/>
      </c>
      <c r="X95" s="112">
        <f>((Q95+T95)*100)/N95</f>
        <v/>
      </c>
    </row>
    <row r="96" ht="22.5" customHeight="1" s="150">
      <c r="A96" s="34" t="n">
        <v>94</v>
      </c>
      <c r="B96" s="109">
        <f>C96+D96+E96+F96+G96+H96</f>
        <v/>
      </c>
      <c r="C96" s="110" t="n">
        <v>0</v>
      </c>
      <c r="D96" s="110" t="n">
        <v>2.57934898073185</v>
      </c>
      <c r="E96" s="110" t="n">
        <v>0</v>
      </c>
      <c r="F96" s="110" t="n">
        <v>0</v>
      </c>
      <c r="G96" s="110" t="n">
        <v>0</v>
      </c>
      <c r="H96" s="110" t="n">
        <v>0</v>
      </c>
      <c r="I96" s="111">
        <f>(100*B96)/N96</f>
        <v/>
      </c>
      <c r="J96" s="112">
        <f>((C96+F96)*100)/B96</f>
        <v/>
      </c>
      <c r="K96" s="112">
        <f>((D96+G96)*100)/B96</f>
        <v/>
      </c>
      <c r="L96" s="112">
        <f>((E96+H96)*100)/B96</f>
        <v/>
      </c>
      <c r="M96" s="114">
        <f>N96-B95</f>
        <v/>
      </c>
      <c r="N96" s="109">
        <f>O96+P96+Q96+R96+S96+T96</f>
        <v/>
      </c>
      <c r="O96" s="110" t="n">
        <v>964.676518793711</v>
      </c>
      <c r="P96" s="110" t="n">
        <v>686.106828874672</v>
      </c>
      <c r="Q96" s="110" t="n">
        <v>291.466434822699</v>
      </c>
      <c r="R96" s="110" t="n">
        <v>10.3173959229274</v>
      </c>
      <c r="S96" s="110" t="n">
        <v>5.1586979614637</v>
      </c>
      <c r="T96" s="110" t="n">
        <v>2.57934898073185</v>
      </c>
      <c r="U96" s="50" t="n">
        <v>116</v>
      </c>
      <c r="V96" s="112">
        <f>((O96+R96)*100)/N96</f>
        <v/>
      </c>
      <c r="W96" s="112">
        <f>((P96+S96)*100)/N96</f>
        <v/>
      </c>
      <c r="X96" s="112">
        <f>((Q96+T96)*100)/N96</f>
        <v/>
      </c>
    </row>
    <row r="97" ht="22.5" customHeight="1" s="150">
      <c r="A97" s="34" t="n">
        <v>95</v>
      </c>
      <c r="B97" s="109">
        <f>C97+D97+E97+F97+G97+H97</f>
        <v/>
      </c>
      <c r="C97" s="110" t="n">
        <v>252.776200111721</v>
      </c>
      <c r="D97" s="110" t="n">
        <v>20.6347918458548</v>
      </c>
      <c r="E97" s="110" t="n">
        <v>61.9043755375644</v>
      </c>
      <c r="F97" s="110" t="n">
        <v>402.378440994168</v>
      </c>
      <c r="G97" s="110" t="n">
        <v>77.3804694219555</v>
      </c>
      <c r="H97" s="110" t="n">
        <v>77.3804694219555</v>
      </c>
      <c r="I97" s="111">
        <f>(100*B97)/N97</f>
        <v/>
      </c>
      <c r="J97" s="112">
        <f>((C97+F97)*100)/B97</f>
        <v/>
      </c>
      <c r="K97" s="112">
        <f>((D97+G97)*100)/B97</f>
        <v/>
      </c>
      <c r="L97" s="112">
        <f>((E97+H97)*100)/B97</f>
        <v/>
      </c>
      <c r="M97" s="114">
        <f>N97-B96</f>
        <v/>
      </c>
      <c r="N97" s="109">
        <f>O97+P97+Q97+R97+S97+T97</f>
        <v/>
      </c>
      <c r="O97" s="110" t="n">
        <v>951.779773890052</v>
      </c>
      <c r="P97" s="110" t="n">
        <v>678.3687819324761</v>
      </c>
      <c r="Q97" s="110" t="n">
        <v>260.514247053916</v>
      </c>
      <c r="R97" s="110" t="n">
        <v>2496.80981334843</v>
      </c>
      <c r="S97" s="110" t="n">
        <v>1498.6017578052</v>
      </c>
      <c r="T97" s="110" t="n">
        <v>554.560030857347</v>
      </c>
      <c r="U97" s="50" t="n">
        <v>286</v>
      </c>
      <c r="V97" s="112">
        <f>((O97+R97)*100)/N97</f>
        <v/>
      </c>
      <c r="W97" s="112">
        <f>((P97+S97)*100)/N97</f>
        <v/>
      </c>
      <c r="X97" s="112">
        <f>((Q97+T97)*100)/N97</f>
        <v/>
      </c>
    </row>
    <row r="98" ht="22.5" customHeight="1" s="150">
      <c r="A98" s="34" t="n">
        <v>96</v>
      </c>
      <c r="B98" s="109">
        <f>C98+D98+E98+F98+G98+H98</f>
        <v/>
      </c>
      <c r="C98" s="110" t="n">
        <v>56.7456775761007</v>
      </c>
      <c r="D98" s="110" t="n">
        <v>18.0554428651229</v>
      </c>
      <c r="E98" s="110" t="n">
        <v>23.2141408265866</v>
      </c>
      <c r="F98" s="110" t="n">
        <v>7.73804694219555</v>
      </c>
      <c r="G98" s="110" t="n">
        <v>2.57934898073185</v>
      </c>
      <c r="H98" s="110" t="n">
        <v>0</v>
      </c>
      <c r="I98" s="111">
        <f>(100*B98)/N98</f>
        <v/>
      </c>
      <c r="J98" s="112">
        <f>((C98+F98)*100)/B98</f>
        <v/>
      </c>
      <c r="K98" s="112">
        <f>((D98+G98)*100)/B98</f>
        <v/>
      </c>
      <c r="L98" s="112">
        <f>((E98+H98)*100)/B98</f>
        <v/>
      </c>
      <c r="M98" s="114">
        <f>N98-B97</f>
        <v/>
      </c>
      <c r="N98" s="109">
        <f>O98+P98+Q98+R98+S98+T98</f>
        <v/>
      </c>
      <c r="O98" s="110" t="n">
        <v>969.835216755175</v>
      </c>
      <c r="P98" s="110" t="n">
        <v>665.472037028817</v>
      </c>
      <c r="Q98" s="110" t="n">
        <v>245.038153169525</v>
      </c>
      <c r="R98" s="110" t="n">
        <v>113.491355152201</v>
      </c>
      <c r="S98" s="110" t="n">
        <v>92.8565633063466</v>
      </c>
      <c r="T98" s="110" t="n">
        <v>23.2141408265866</v>
      </c>
      <c r="U98" s="50" t="n">
        <v>147</v>
      </c>
      <c r="V98" s="112">
        <f>((O98+R98)*100)/N98</f>
        <v/>
      </c>
      <c r="W98" s="112">
        <f>((P98+S98)*100)/N98</f>
        <v/>
      </c>
      <c r="X98" s="112">
        <f>((Q98+T98)*100)/N98</f>
        <v/>
      </c>
    </row>
    <row r="99" ht="22.5" customHeight="1" s="150">
      <c r="A99" s="34" t="n">
        <v>97</v>
      </c>
      <c r="B99" s="109">
        <f>C99+D99+E99+F99+G99+H99</f>
        <v/>
      </c>
      <c r="C99" s="110" t="n">
        <v>159.919636805374</v>
      </c>
      <c r="D99" s="110" t="n">
        <v>15.4760938843911</v>
      </c>
      <c r="E99" s="110" t="n">
        <v>5.1586979614637</v>
      </c>
      <c r="F99" s="110" t="n">
        <v>18.0554428651229</v>
      </c>
      <c r="G99" s="110" t="n">
        <v>12.8967449036592</v>
      </c>
      <c r="H99" s="110" t="n">
        <v>2.57934898073185</v>
      </c>
      <c r="I99" s="111">
        <f>(100*B99)/N99</f>
        <v/>
      </c>
      <c r="J99" s="112">
        <f>((C99+F99)*100)/B99</f>
        <v/>
      </c>
      <c r="K99" s="112">
        <f>((D99+G99)*100)/B99</f>
        <v/>
      </c>
      <c r="L99" s="112">
        <f>((E99+H99)*100)/B99</f>
        <v/>
      </c>
      <c r="M99" s="114">
        <f>N99-B98</f>
        <v/>
      </c>
      <c r="N99" s="109">
        <f>O99+P99+Q99+R99+S99+T99</f>
        <v/>
      </c>
      <c r="O99" s="110" t="n">
        <v>905.351492236879</v>
      </c>
      <c r="P99" s="110" t="n">
        <v>655.154641105889</v>
      </c>
      <c r="Q99" s="110" t="n">
        <v>260.514247053916</v>
      </c>
      <c r="R99" s="110" t="n">
        <v>760.9079493158951</v>
      </c>
      <c r="S99" s="110" t="n">
        <v>479.758910416124</v>
      </c>
      <c r="T99" s="110" t="n">
        <v>188.292475593425</v>
      </c>
      <c r="U99" s="50" t="n">
        <v>188</v>
      </c>
      <c r="V99" s="112">
        <f>((O99+R99)*100)/N99</f>
        <v/>
      </c>
      <c r="W99" s="112">
        <f>((P99+S99)*100)/N99</f>
        <v/>
      </c>
      <c r="X99" s="112">
        <f>((Q99+T99)*100)/N99</f>
        <v/>
      </c>
    </row>
    <row r="100" ht="22.5" customHeight="1" s="150">
      <c r="A100" s="34" t="n">
        <v>98</v>
      </c>
      <c r="B100" s="109">
        <f>C100+D100+E100+F100+G100+H100</f>
        <v/>
      </c>
      <c r="C100" s="110" t="n">
        <v>2.57934898073185</v>
      </c>
      <c r="D100" s="110" t="n">
        <v>0</v>
      </c>
      <c r="E100" s="110" t="n">
        <v>0</v>
      </c>
      <c r="F100" s="110" t="n">
        <v>0</v>
      </c>
      <c r="G100" s="110" t="n">
        <v>0</v>
      </c>
      <c r="H100" s="110" t="n">
        <v>0</v>
      </c>
      <c r="I100" s="111">
        <f>(100*B100)/N100</f>
        <v/>
      </c>
      <c r="J100" s="112">
        <f>((C100+F100)*100)/B100</f>
        <v/>
      </c>
      <c r="K100" s="112">
        <f>((D100+G100)*100)/B100</f>
        <v/>
      </c>
      <c r="L100" s="112">
        <f>((E100+H100)*100)/B100</f>
        <v/>
      </c>
      <c r="M100" s="114">
        <f>N100-B99</f>
        <v/>
      </c>
      <c r="N100" s="109">
        <f>O100+P100+Q100+R100+S100+T100</f>
        <v/>
      </c>
      <c r="O100" s="110" t="n">
        <v>910.510190198343</v>
      </c>
      <c r="P100" s="110" t="n">
        <v>642.25789620223</v>
      </c>
      <c r="Q100" s="110" t="n">
        <v>257.934898073185</v>
      </c>
      <c r="R100" s="110" t="n">
        <v>25.7934898073184</v>
      </c>
      <c r="S100" s="110" t="n">
        <v>15.4760938843911</v>
      </c>
      <c r="T100" s="110" t="n">
        <v>12.8967449036592</v>
      </c>
      <c r="U100" s="50" t="n">
        <v>111</v>
      </c>
      <c r="V100" s="112">
        <f>((O100+R100)*100)/N100</f>
        <v/>
      </c>
      <c r="W100" s="112">
        <f>((P100+S100)*100)/N100</f>
        <v/>
      </c>
      <c r="X100" s="112">
        <f>((Q100+T100)*100)/N100</f>
        <v/>
      </c>
    </row>
    <row r="101" ht="22.5" customHeight="1" s="150">
      <c r="A101" s="34" t="n">
        <v>99</v>
      </c>
      <c r="B101" s="109">
        <f>C101+D101+E101+F101+G101+H101</f>
        <v/>
      </c>
      <c r="C101" s="110" t="n">
        <v>36.1108857302459</v>
      </c>
      <c r="D101" s="110" t="n">
        <v>0</v>
      </c>
      <c r="E101" s="110" t="n">
        <v>0</v>
      </c>
      <c r="F101" s="110" t="n">
        <v>0</v>
      </c>
      <c r="G101" s="110" t="n">
        <v>0</v>
      </c>
      <c r="H101" s="110" t="n">
        <v>0</v>
      </c>
      <c r="I101" s="111">
        <f>(100*B101)/N101</f>
        <v/>
      </c>
      <c r="J101" s="112">
        <f>((C101+F101)*100)/B101</f>
        <v/>
      </c>
      <c r="K101" s="112">
        <f>((D101+G101)*100)/B101</f>
        <v/>
      </c>
      <c r="L101" s="112">
        <f>((E101+H101)*100)/B101</f>
        <v/>
      </c>
      <c r="M101" s="114">
        <f>N101-B100</f>
        <v/>
      </c>
      <c r="N101" s="109">
        <f>O101+P101+Q101+R101+S101+T101</f>
        <v/>
      </c>
      <c r="O101" s="110" t="n">
        <v>936.303680005661</v>
      </c>
      <c r="P101" s="110" t="n">
        <v>657.733990086621</v>
      </c>
      <c r="Q101" s="110" t="n">
        <v>260.514247053916</v>
      </c>
      <c r="R101" s="110" t="n">
        <v>190.871824574156</v>
      </c>
      <c r="S101" s="110" t="n">
        <v>79.9598184026873</v>
      </c>
      <c r="T101" s="110" t="n">
        <v>72.22177146049179</v>
      </c>
      <c r="U101" s="50" t="n">
        <v>119</v>
      </c>
      <c r="V101" s="112">
        <f>((O101+R101)*100)/N101</f>
        <v/>
      </c>
      <c r="W101" s="112">
        <f>((P101+S101)*100)/N101</f>
        <v/>
      </c>
      <c r="X101" s="112">
        <f>((Q101+T101)*100)/N101</f>
        <v/>
      </c>
    </row>
    <row r="102" ht="22.5" customHeight="1" s="150">
      <c r="A102" s="34" t="n">
        <v>100</v>
      </c>
      <c r="B102" s="109">
        <f>C102+D102+E102+F102+G102+H102</f>
        <v/>
      </c>
      <c r="C102" s="110" t="n">
        <v>5.1586979614637</v>
      </c>
      <c r="D102" s="110" t="n">
        <v>0</v>
      </c>
      <c r="E102" s="110" t="n">
        <v>0</v>
      </c>
      <c r="F102" s="110" t="n">
        <v>0</v>
      </c>
      <c r="G102" s="110" t="n">
        <v>0</v>
      </c>
      <c r="H102" s="110" t="n">
        <v>0</v>
      </c>
      <c r="I102" s="111">
        <f>(100*B102)/N102</f>
        <v/>
      </c>
      <c r="J102" s="112">
        <f>((C102+F102)*100)/B102</f>
        <v/>
      </c>
      <c r="K102" s="112">
        <f>((D102+G102)*100)/B102</f>
        <v/>
      </c>
      <c r="L102" s="112">
        <f>((E102+H102)*100)/B102</f>
        <v/>
      </c>
      <c r="M102" s="114">
        <f>N102-B101</f>
        <v/>
      </c>
      <c r="N102" s="109">
        <f>O102+P102+Q102+R102+S102+T102</f>
        <v/>
      </c>
      <c r="O102" s="110" t="n">
        <v>949.20042490932</v>
      </c>
      <c r="P102" s="110" t="n">
        <v>662.892688048085</v>
      </c>
      <c r="Q102" s="110" t="n">
        <v>263.093596034648</v>
      </c>
      <c r="R102" s="110" t="n">
        <v>0</v>
      </c>
      <c r="S102" s="110" t="n">
        <v>0</v>
      </c>
      <c r="T102" s="110" t="n">
        <v>0</v>
      </c>
      <c r="U102" s="50" t="n">
        <v>106</v>
      </c>
      <c r="V102" s="112">
        <f>((O102+R102)*100)/N102</f>
        <v/>
      </c>
      <c r="W102" s="112">
        <f>((P102+S102)*100)/N102</f>
        <v/>
      </c>
      <c r="X102" s="112">
        <f>((Q102+T102)*100)/N102</f>
        <v/>
      </c>
    </row>
    <row r="103" ht="22.5" customHeight="1" s="150">
      <c r="A103" s="34" t="n">
        <v>101</v>
      </c>
      <c r="B103" s="109">
        <f>C103+D103+E103+F103+G103+H103</f>
        <v/>
      </c>
      <c r="C103" s="110" t="n">
        <v>0</v>
      </c>
      <c r="D103" s="110" t="n">
        <v>0</v>
      </c>
      <c r="E103" s="110" t="n">
        <v>0</v>
      </c>
      <c r="F103" s="110" t="n">
        <v>0</v>
      </c>
      <c r="G103" s="110" t="n">
        <v>0</v>
      </c>
      <c r="H103" s="110" t="n">
        <v>0</v>
      </c>
      <c r="I103" s="111">
        <f>(100*B103)/N103</f>
        <v/>
      </c>
      <c r="J103" s="112">
        <f>((C103+F103)*100)/B103</f>
        <v/>
      </c>
      <c r="K103" s="112">
        <f>((D103+G103)*100)/B103</f>
        <v/>
      </c>
      <c r="L103" s="112">
        <f>((E103+H103)*100)/B103</f>
        <v/>
      </c>
      <c r="M103" s="114">
        <f>N103-B102</f>
        <v/>
      </c>
      <c r="N103" s="109">
        <f>O103+P103+Q103+R103+S103+T103</f>
        <v/>
      </c>
      <c r="O103" s="110" t="n">
        <v>967.255867774443</v>
      </c>
      <c r="P103" s="110" t="n">
        <v>639.678547221498</v>
      </c>
      <c r="Q103" s="110" t="n">
        <v>260.514247053916</v>
      </c>
      <c r="R103" s="110" t="n">
        <v>0</v>
      </c>
      <c r="S103" s="110" t="n">
        <v>0</v>
      </c>
      <c r="T103" s="110" t="n">
        <v>0</v>
      </c>
      <c r="U103" s="50" t="n">
        <v>98</v>
      </c>
      <c r="V103" s="112">
        <f>((O103+R103)*100)/N103</f>
        <v/>
      </c>
      <c r="W103" s="112">
        <f>((P103+S103)*100)/N103</f>
        <v/>
      </c>
      <c r="X103" s="112">
        <f>((Q103+T103)*100)/N103</f>
        <v/>
      </c>
    </row>
    <row r="104" ht="22.5" customHeight="1" s="150">
      <c r="A104" s="34" t="n">
        <v>102</v>
      </c>
      <c r="B104" s="109">
        <f>C104+D104+E104+F104+G104+H104</f>
        <v/>
      </c>
      <c r="C104" s="110" t="n">
        <v>0</v>
      </c>
      <c r="D104" s="110" t="n">
        <v>0</v>
      </c>
      <c r="E104" s="110" t="n">
        <v>0</v>
      </c>
      <c r="F104" s="110" t="n">
        <v>0</v>
      </c>
      <c r="G104" s="110" t="n">
        <v>0</v>
      </c>
      <c r="H104" s="110" t="n">
        <v>0</v>
      </c>
      <c r="I104" s="111">
        <f>(100*B104)/N104</f>
        <v/>
      </c>
      <c r="J104" s="112">
        <f>((C104+F104)*100)/B104</f>
        <v/>
      </c>
      <c r="K104" s="112">
        <f>((D104+G104)*100)/B104</f>
        <v/>
      </c>
      <c r="L104" s="112">
        <f>((E104+H104)*100)/B104</f>
        <v/>
      </c>
      <c r="M104" s="114">
        <f>N104-B103</f>
        <v/>
      </c>
      <c r="N104" s="109">
        <f>O104+P104+Q104+R104+S104+T104</f>
        <v/>
      </c>
      <c r="O104" s="110" t="n">
        <v>1008.52545146615</v>
      </c>
      <c r="P104" s="110" t="n">
        <v>655.154641105889</v>
      </c>
      <c r="Q104" s="110" t="n">
        <v>270.831642976844</v>
      </c>
      <c r="R104" s="110" t="n">
        <v>33.531536749514</v>
      </c>
      <c r="S104" s="110" t="n">
        <v>7.73804694219555</v>
      </c>
      <c r="T104" s="110" t="n">
        <v>10.3173959229274</v>
      </c>
      <c r="U104" s="50" t="n">
        <v>101</v>
      </c>
      <c r="V104" s="112">
        <f>((O104+R104)*100)/N104</f>
        <v/>
      </c>
      <c r="W104" s="112">
        <f>((P104+S104)*100)/N104</f>
        <v/>
      </c>
      <c r="X104" s="112">
        <f>((Q104+T104)*100)/N104</f>
        <v/>
      </c>
    </row>
    <row r="105" ht="22.5" customHeight="1" s="150">
      <c r="A105" s="34" t="n">
        <v>103</v>
      </c>
      <c r="B105" s="109">
        <f>C105+D105+E105+F105+G105+H105</f>
        <v/>
      </c>
      <c r="C105" s="110" t="n">
        <v>0</v>
      </c>
      <c r="D105" s="110" t="n">
        <v>0</v>
      </c>
      <c r="E105" s="110" t="n">
        <v>0</v>
      </c>
      <c r="F105" s="110" t="n">
        <v>0</v>
      </c>
      <c r="G105" s="110" t="n">
        <v>0</v>
      </c>
      <c r="H105" s="110" t="n">
        <v>0</v>
      </c>
      <c r="I105" s="111">
        <f>(100*B105)/N105</f>
        <v/>
      </c>
      <c r="J105" s="112">
        <f>((C105+F105)*100)/B105</f>
        <v/>
      </c>
      <c r="K105" s="112">
        <f>((D105+G105)*100)/B105</f>
        <v/>
      </c>
      <c r="L105" s="112">
        <f>((E105+H105)*100)/B105</f>
        <v/>
      </c>
      <c r="M105" s="114">
        <f>N105-B104</f>
        <v/>
      </c>
      <c r="N105" s="109">
        <f>O105+P105+Q105+R105+S105+T105</f>
        <v/>
      </c>
      <c r="O105" s="110" t="n">
        <v>1008.52545146615</v>
      </c>
      <c r="P105" s="110" t="n">
        <v>655.154641105889</v>
      </c>
      <c r="Q105" s="110" t="n">
        <v>270.831642976844</v>
      </c>
      <c r="R105" s="110" t="n">
        <v>0</v>
      </c>
      <c r="S105" s="110" t="n">
        <v>0</v>
      </c>
      <c r="T105" s="110" t="n">
        <v>0</v>
      </c>
      <c r="U105" s="50" t="n">
        <v>108</v>
      </c>
      <c r="V105" s="112">
        <f>((O105+R105)*100)/N105</f>
        <v/>
      </c>
      <c r="W105" s="112">
        <f>((P105+S105)*100)/N105</f>
        <v/>
      </c>
      <c r="X105" s="112">
        <f>((Q105+T105)*100)/N105</f>
        <v/>
      </c>
    </row>
    <row r="106" ht="22.5" customHeight="1" s="150">
      <c r="A106" s="34" t="n">
        <v>104</v>
      </c>
      <c r="B106" s="109">
        <f>C106+D106+E106+F106+G106+H106</f>
        <v/>
      </c>
      <c r="C106" s="110" t="n">
        <v>118.650053113665</v>
      </c>
      <c r="D106" s="110" t="n">
        <v>7.73804694219555</v>
      </c>
      <c r="E106" s="110" t="n">
        <v>18.0554428651229</v>
      </c>
      <c r="F106" s="110" t="n">
        <v>36.1108857302459</v>
      </c>
      <c r="G106" s="110" t="n">
        <v>2.57934898073185</v>
      </c>
      <c r="H106" s="110" t="n">
        <v>20.6347918458548</v>
      </c>
      <c r="I106" s="111">
        <f>(100*B106)/N106</f>
        <v/>
      </c>
      <c r="J106" s="112">
        <f>((C106+F106)*100)/B106</f>
        <v/>
      </c>
      <c r="K106" s="112">
        <f>((D106+G106)*100)/B106</f>
        <v/>
      </c>
      <c r="L106" s="112">
        <f>((E106+H106)*100)/B106</f>
        <v/>
      </c>
      <c r="M106" s="114">
        <f>N106-B105</f>
        <v/>
      </c>
      <c r="N106" s="109">
        <f>O106+P106+Q106+R106+S106+T106</f>
        <v/>
      </c>
      <c r="O106" s="110" t="n">
        <v>946.621075928588</v>
      </c>
      <c r="P106" s="110" t="n">
        <v>660.313339067353</v>
      </c>
      <c r="Q106" s="110" t="n">
        <v>260.514247053916</v>
      </c>
      <c r="R106" s="110" t="n">
        <v>515.86979614637</v>
      </c>
      <c r="S106" s="110" t="n">
        <v>286.307736861235</v>
      </c>
      <c r="T106" s="110" t="n">
        <v>245.038153169525</v>
      </c>
      <c r="U106" s="50" t="n">
        <v>134</v>
      </c>
      <c r="V106" s="112">
        <f>((O106+R106)*100)/N106</f>
        <v/>
      </c>
      <c r="W106" s="112">
        <f>((P106+S106)*100)/N106</f>
        <v/>
      </c>
      <c r="X106" s="112">
        <f>((Q106+T106)*100)/N106</f>
        <v/>
      </c>
    </row>
    <row r="107" ht="22.5" customHeight="1" s="150">
      <c r="A107" s="34" t="n">
        <v>105</v>
      </c>
      <c r="B107" s="109">
        <f>C107+D107+E107+F107+G107+H107</f>
        <v/>
      </c>
      <c r="C107" s="110" t="n">
        <v>147.022891901715</v>
      </c>
      <c r="D107" s="110" t="n">
        <v>23.2141408265866</v>
      </c>
      <c r="E107" s="110" t="n">
        <v>7.73804694219555</v>
      </c>
      <c r="F107" s="110" t="n">
        <v>33.531536749514</v>
      </c>
      <c r="G107" s="110" t="n">
        <v>15.4760938843911</v>
      </c>
      <c r="H107" s="110" t="n">
        <v>7.73804694219555</v>
      </c>
      <c r="I107" s="111">
        <f>(100*B107)/N107</f>
        <v/>
      </c>
      <c r="J107" s="112">
        <f>((C107+F107)*100)/B107</f>
        <v/>
      </c>
      <c r="K107" s="112">
        <f>((D107+G107)*100)/B107</f>
        <v/>
      </c>
      <c r="L107" s="112">
        <f>((E107+H107)*100)/B107</f>
        <v/>
      </c>
      <c r="M107" s="114">
        <f>N107-B106</f>
        <v/>
      </c>
      <c r="N107" s="109">
        <f>O107+P107+Q107+R107+S107+T107</f>
        <v/>
      </c>
      <c r="O107" s="110" t="n">
        <v>869.240606506633</v>
      </c>
      <c r="P107" s="110" t="n">
        <v>639.678547221498</v>
      </c>
      <c r="Q107" s="110" t="n">
        <v>275.990340938307</v>
      </c>
      <c r="R107" s="110" t="n">
        <v>570.036124741738</v>
      </c>
      <c r="S107" s="110" t="n">
        <v>381.743649148313</v>
      </c>
      <c r="T107" s="110" t="n">
        <v>177.975079670497</v>
      </c>
      <c r="U107" s="50" t="n">
        <v>168</v>
      </c>
      <c r="V107" s="112">
        <f>((O107+R107)*100)/N107</f>
        <v/>
      </c>
      <c r="W107" s="112">
        <f>((P107+S107)*100)/N107</f>
        <v/>
      </c>
      <c r="X107" s="112">
        <f>((Q107+T107)*100)/N107</f>
        <v/>
      </c>
    </row>
    <row r="108" ht="22.5" customHeight="1" s="150">
      <c r="A108" s="34" t="n">
        <v>106</v>
      </c>
      <c r="B108" s="109">
        <f>C108+D108+E108+F108+G108+H108</f>
        <v/>
      </c>
      <c r="C108" s="110" t="n">
        <v>90.27721432561469</v>
      </c>
      <c r="D108" s="110" t="n">
        <v>12.8967449036592</v>
      </c>
      <c r="E108" s="110" t="n">
        <v>20.6347918458548</v>
      </c>
      <c r="F108" s="110" t="n">
        <v>20.6347918458548</v>
      </c>
      <c r="G108" s="110" t="n">
        <v>2.57934898073185</v>
      </c>
      <c r="H108" s="110" t="n">
        <v>2.57934898073185</v>
      </c>
      <c r="I108" s="111">
        <f>(100*B108)/N108</f>
        <v/>
      </c>
      <c r="J108" s="112">
        <f>((C108+F108)*100)/B108</f>
        <v/>
      </c>
      <c r="K108" s="112">
        <f>((D108+G108)*100)/B108</f>
        <v/>
      </c>
      <c r="L108" s="112">
        <f>((E108+H108)*100)/B108</f>
        <v/>
      </c>
      <c r="M108" s="114">
        <f>N108-B107</f>
        <v/>
      </c>
      <c r="N108" s="109">
        <f>O108+P108+Q108+R108+S108+T108</f>
        <v/>
      </c>
      <c r="O108" s="110" t="n">
        <v>869.240606506633</v>
      </c>
      <c r="P108" s="110" t="n">
        <v>634.519849260035</v>
      </c>
      <c r="Q108" s="110" t="n">
        <v>257.934898073185</v>
      </c>
      <c r="R108" s="110" t="n">
        <v>533.925239011492</v>
      </c>
      <c r="S108" s="110" t="n">
        <v>392.061045071241</v>
      </c>
      <c r="T108" s="110" t="n">
        <v>234.720757246598</v>
      </c>
      <c r="U108" s="50" t="n">
        <v>155</v>
      </c>
      <c r="V108" s="112">
        <f>((O108+R108)*100)/N108</f>
        <v/>
      </c>
      <c r="W108" s="112">
        <f>((P108+S108)*100)/N108</f>
        <v/>
      </c>
      <c r="X108" s="112">
        <f>((Q108+T108)*100)/N108</f>
        <v/>
      </c>
    </row>
    <row r="109" ht="22.5" customHeight="1" s="150">
      <c r="A109" s="34" t="n">
        <v>107</v>
      </c>
      <c r="B109" s="109">
        <f>C109+D109+E109+F109+G109+H109</f>
        <v/>
      </c>
      <c r="C109" s="110" t="n">
        <v>229.562059285134</v>
      </c>
      <c r="D109" s="110" t="n">
        <v>7.73804694219555</v>
      </c>
      <c r="E109" s="110" t="n">
        <v>54.1663285953688</v>
      </c>
      <c r="F109" s="110" t="n">
        <v>172.816381709033</v>
      </c>
      <c r="G109" s="110" t="n">
        <v>18.0554428651229</v>
      </c>
      <c r="H109" s="110" t="n">
        <v>7.73804694219555</v>
      </c>
      <c r="I109" s="111">
        <f>(100*B109)/N109</f>
        <v/>
      </c>
      <c r="J109" s="112">
        <f>((C109+F109)*100)/B109</f>
        <v/>
      </c>
      <c r="K109" s="112">
        <f>((D109+G109)*100)/B109</f>
        <v/>
      </c>
      <c r="L109" s="112">
        <f>((E109+H109)*100)/B109</f>
        <v/>
      </c>
      <c r="M109" s="114">
        <f>N109-B108</f>
        <v/>
      </c>
      <c r="N109" s="109">
        <f>O109+P109+Q109+R109+S109+T109</f>
        <v/>
      </c>
      <c r="O109" s="110" t="n">
        <v>807.336230969069</v>
      </c>
      <c r="P109" s="110" t="n">
        <v>600.988312510521</v>
      </c>
      <c r="Q109" s="110" t="n">
        <v>211.506616420011</v>
      </c>
      <c r="R109" s="110" t="n">
        <v>536.5045879922239</v>
      </c>
      <c r="S109" s="110" t="n">
        <v>412.695836917095</v>
      </c>
      <c r="T109" s="110" t="n">
        <v>154.760938843911</v>
      </c>
      <c r="U109" s="50" t="n">
        <v>191</v>
      </c>
      <c r="V109" s="112">
        <f>((O109+R109)*100)/N109</f>
        <v/>
      </c>
      <c r="W109" s="112">
        <f>((P109+S109)*100)/N109</f>
        <v/>
      </c>
      <c r="X109" s="112">
        <f>((Q109+T109)*100)/N109</f>
        <v/>
      </c>
    </row>
    <row r="110" ht="22.5" customHeight="1" s="150">
      <c r="A110" s="34" t="n">
        <v>108</v>
      </c>
      <c r="B110" s="109">
        <f>C110+D110+E110+F110+G110+H110</f>
        <v/>
      </c>
      <c r="C110" s="110" t="n">
        <v>123.808751075128</v>
      </c>
      <c r="D110" s="110" t="n">
        <v>7.73804694219555</v>
      </c>
      <c r="E110" s="110" t="n">
        <v>18.0554428651229</v>
      </c>
      <c r="F110" s="110" t="n">
        <v>43.8489326724414</v>
      </c>
      <c r="G110" s="110" t="n">
        <v>7.73804694219555</v>
      </c>
      <c r="H110" s="110" t="n">
        <v>2.57934898073185</v>
      </c>
      <c r="I110" s="111">
        <f>(100*B110)/N110</f>
        <v/>
      </c>
      <c r="J110" s="112">
        <f>((C110+F110)*100)/B110</f>
        <v/>
      </c>
      <c r="K110" s="112">
        <f>((D110+G110)*100)/B110</f>
        <v/>
      </c>
      <c r="L110" s="112">
        <f>((E110+H110)*100)/B110</f>
        <v/>
      </c>
      <c r="M110" s="114">
        <f>N110-B109</f>
        <v/>
      </c>
      <c r="N110" s="109">
        <f>O110+P110+Q110+R110+S110+T110</f>
        <v/>
      </c>
      <c r="O110" s="110" t="n">
        <v>719.638365624186</v>
      </c>
      <c r="P110" s="110" t="n">
        <v>577.774171683934</v>
      </c>
      <c r="Q110" s="110" t="n">
        <v>190.871824574156</v>
      </c>
      <c r="R110" s="110" t="n">
        <v>474.60021245466</v>
      </c>
      <c r="S110" s="110" t="n">
        <v>314.680575649285</v>
      </c>
      <c r="T110" s="110" t="n">
        <v>136.705495978788</v>
      </c>
      <c r="U110" s="50" t="n">
        <v>162</v>
      </c>
      <c r="V110" s="112">
        <f>((O110+R110)*100)/N110</f>
        <v/>
      </c>
      <c r="W110" s="112">
        <f>((P110+S110)*100)/N110</f>
        <v/>
      </c>
      <c r="X110" s="112">
        <f>((Q110+T110)*100)/N110</f>
        <v/>
      </c>
    </row>
    <row r="111" ht="22.5" customHeight="1" s="150">
      <c r="A111" s="34" t="n">
        <v>109</v>
      </c>
      <c r="B111" s="109">
        <f>C111+D111+E111+F111+G111+H111</f>
        <v/>
      </c>
      <c r="C111" s="110" t="n">
        <v>0</v>
      </c>
      <c r="D111" s="110" t="n">
        <v>2.57934898073185</v>
      </c>
      <c r="E111" s="110" t="n">
        <v>0</v>
      </c>
      <c r="F111" s="110" t="n">
        <v>0</v>
      </c>
      <c r="G111" s="110" t="n">
        <v>0</v>
      </c>
      <c r="H111" s="110" t="n">
        <v>0</v>
      </c>
      <c r="I111" s="111">
        <f>(100*B111)/N111</f>
        <v/>
      </c>
      <c r="J111" s="112">
        <f>((C111+F111)*100)/B111</f>
        <v/>
      </c>
      <c r="K111" s="112">
        <f>((D111+G111)*100)/B111</f>
        <v/>
      </c>
      <c r="L111" s="112">
        <f>((E111+H111)*100)/B111</f>
        <v/>
      </c>
      <c r="M111" s="114">
        <f>N111-B110</f>
        <v/>
      </c>
      <c r="N111" s="109">
        <f>O111+P111+Q111+R111+S111+T111</f>
        <v/>
      </c>
      <c r="O111" s="110" t="n">
        <v>768.645996258091</v>
      </c>
      <c r="P111" s="110" t="n">
        <v>593.2502655683249</v>
      </c>
      <c r="Q111" s="110" t="n">
        <v>201.189220497084</v>
      </c>
      <c r="R111" s="110" t="n">
        <v>85.11851636415101</v>
      </c>
      <c r="S111" s="110" t="n">
        <v>67.06307349902811</v>
      </c>
      <c r="T111" s="110" t="n">
        <v>15.4760938843911</v>
      </c>
      <c r="U111" s="50" t="n">
        <v>111</v>
      </c>
      <c r="V111" s="112">
        <f>((O111+R111)*100)/N111</f>
        <v/>
      </c>
      <c r="W111" s="112">
        <f>((P111+S111)*100)/N111</f>
        <v/>
      </c>
      <c r="X111" s="112">
        <f>((Q111+T111)*100)/N111</f>
        <v/>
      </c>
    </row>
    <row r="112" ht="22.5" customHeight="1" s="150">
      <c r="A112" s="34" t="n">
        <v>110</v>
      </c>
      <c r="B112" s="109">
        <f>C112+D112+E112+F112+G112+H112</f>
        <v/>
      </c>
      <c r="C112" s="110" t="n">
        <v>54.1663285953688</v>
      </c>
      <c r="D112" s="110" t="n">
        <v>10.3173959229274</v>
      </c>
      <c r="E112" s="110" t="n">
        <v>5.1586979614637</v>
      </c>
      <c r="F112" s="110" t="n">
        <v>2.57934898073185</v>
      </c>
      <c r="G112" s="110" t="n">
        <v>2.57934898073185</v>
      </c>
      <c r="H112" s="110" t="n">
        <v>0</v>
      </c>
      <c r="I112" s="111">
        <f>(100*B112)/N112</f>
        <v/>
      </c>
      <c r="J112" s="112">
        <f>((C112+F112)*100)/B112</f>
        <v/>
      </c>
      <c r="K112" s="112">
        <f>((D112+G112)*100)/B112</f>
        <v/>
      </c>
      <c r="L112" s="112">
        <f>((E112+H112)*100)/B112</f>
        <v/>
      </c>
      <c r="M112" s="114">
        <f>N112-B111</f>
        <v/>
      </c>
      <c r="N112" s="109">
        <f>O112+P112+Q112+R112+S112+T112</f>
        <v/>
      </c>
      <c r="O112" s="110" t="n">
        <v>763.487298296627</v>
      </c>
      <c r="P112" s="110" t="n">
        <v>598.408963529789</v>
      </c>
      <c r="Q112" s="110" t="n">
        <v>203.768569477816</v>
      </c>
      <c r="R112" s="110" t="n">
        <v>309.521877687822</v>
      </c>
      <c r="S112" s="110" t="n">
        <v>216.665314381475</v>
      </c>
      <c r="T112" s="110" t="n">
        <v>100.594610248542</v>
      </c>
      <c r="U112" s="50" t="n">
        <v>134</v>
      </c>
      <c r="V112" s="112">
        <f>((O112+R112)*100)/N112</f>
        <v/>
      </c>
      <c r="W112" s="112">
        <f>((P112+S112)*100)/N112</f>
        <v/>
      </c>
      <c r="X112" s="112">
        <f>((Q112+T112)*100)/N112</f>
        <v/>
      </c>
    </row>
    <row r="113" ht="22.5" customHeight="1" s="150">
      <c r="A113" s="34" t="n">
        <v>111</v>
      </c>
      <c r="B113" s="109">
        <f>C113+D113+E113+F113+G113+H113</f>
        <v/>
      </c>
      <c r="C113" s="110" t="n">
        <v>157.340287824642</v>
      </c>
      <c r="D113" s="110" t="n">
        <v>12.8967449036592</v>
      </c>
      <c r="E113" s="110" t="n">
        <v>5.1586979614637</v>
      </c>
      <c r="F113" s="110" t="n">
        <v>41.2695836917096</v>
      </c>
      <c r="G113" s="110" t="n">
        <v>2.57934898073185</v>
      </c>
      <c r="H113" s="110" t="n">
        <v>5.1586979614637</v>
      </c>
      <c r="I113" s="111">
        <f>(100*B113)/N113</f>
        <v/>
      </c>
      <c r="J113" s="112">
        <f>((C113+F113)*100)/B113</f>
        <v/>
      </c>
      <c r="K113" s="112">
        <f>((D113+G113)*100)/B113</f>
        <v/>
      </c>
      <c r="L113" s="112">
        <f>((E113+H113)*100)/B113</f>
        <v/>
      </c>
      <c r="M113" s="114">
        <f>N113-B112</f>
        <v/>
      </c>
      <c r="N113" s="109">
        <f>O113+P113+Q113+R113+S113+T113</f>
        <v/>
      </c>
      <c r="O113" s="110" t="n">
        <v>748.011204412236</v>
      </c>
      <c r="P113" s="110" t="n">
        <v>608.726359452716</v>
      </c>
      <c r="Q113" s="110" t="n">
        <v>201.189220497084</v>
      </c>
      <c r="R113" s="110" t="n">
        <v>281.149038899771</v>
      </c>
      <c r="S113" s="110" t="n">
        <v>203.768569477816</v>
      </c>
      <c r="T113" s="110" t="n">
        <v>64.4837245182962</v>
      </c>
      <c r="U113" s="50" t="n">
        <v>160</v>
      </c>
      <c r="V113" s="112">
        <f>((O113+R113)*100)/N113</f>
        <v/>
      </c>
      <c r="W113" s="112">
        <f>((P113+S113)*100)/N113</f>
        <v/>
      </c>
      <c r="X113" s="112">
        <f>((Q113+T113)*100)/N113</f>
        <v/>
      </c>
    </row>
    <row r="114" ht="22.5" customHeight="1" s="150">
      <c r="A114" s="34" t="n">
        <v>112</v>
      </c>
      <c r="B114" s="109">
        <f>C114+D114+E114+F114+G114+H114</f>
        <v/>
      </c>
      <c r="C114" s="110" t="n">
        <v>242.458804188793</v>
      </c>
      <c r="D114" s="110" t="n">
        <v>5.1586979614637</v>
      </c>
      <c r="E114" s="110" t="n">
        <v>20.6347918458548</v>
      </c>
      <c r="F114" s="110" t="n">
        <v>90.27721432561469</v>
      </c>
      <c r="G114" s="110" t="n">
        <v>2.57934898073185</v>
      </c>
      <c r="H114" s="110" t="n">
        <v>15.4760938843911</v>
      </c>
      <c r="I114" s="111">
        <f>(100*B114)/N114</f>
        <v/>
      </c>
      <c r="J114" s="112">
        <f>((C114+F114)*100)/B114</f>
        <v/>
      </c>
      <c r="K114" s="112">
        <f>((D114+G114)*100)/B114</f>
        <v/>
      </c>
      <c r="L114" s="112">
        <f>((E114+H114)*100)/B114</f>
        <v/>
      </c>
      <c r="M114" s="114">
        <f>N114-B113</f>
        <v/>
      </c>
      <c r="N114" s="109">
        <f>O114+P114+Q114+R114+S114+T114</f>
        <v/>
      </c>
      <c r="O114" s="110" t="n">
        <v>662.892688048085</v>
      </c>
      <c r="P114" s="110" t="n">
        <v>611.305708433448</v>
      </c>
      <c r="Q114" s="110" t="n">
        <v>188.292475593425</v>
      </c>
      <c r="R114" s="110" t="n">
        <v>1080.74722292664</v>
      </c>
      <c r="S114" s="110" t="n">
        <v>714.479667662722</v>
      </c>
      <c r="T114" s="110" t="n">
        <v>270.831642976844</v>
      </c>
      <c r="U114" s="50" t="n">
        <v>196</v>
      </c>
      <c r="V114" s="112">
        <f>((O114+R114)*100)/N114</f>
        <v/>
      </c>
      <c r="W114" s="112">
        <f>((P114+S114)*100)/N114</f>
        <v/>
      </c>
      <c r="X114" s="112">
        <f>((Q114+T114)*100)/N114</f>
        <v/>
      </c>
    </row>
    <row r="115" ht="22.5" customHeight="1" s="150">
      <c r="A115" s="34" t="n">
        <v>113</v>
      </c>
      <c r="B115" s="109">
        <f>C115+D115+E115+F115+G115+H115</f>
        <v/>
      </c>
      <c r="C115" s="110" t="n">
        <v>2.57934898073185</v>
      </c>
      <c r="D115" s="110" t="n">
        <v>0</v>
      </c>
      <c r="E115" s="110" t="n">
        <v>0</v>
      </c>
      <c r="F115" s="110" t="n">
        <v>0</v>
      </c>
      <c r="G115" s="110" t="n">
        <v>0</v>
      </c>
      <c r="H115" s="110" t="n">
        <v>0</v>
      </c>
      <c r="I115" s="111">
        <f>(100*B115)/N115</f>
        <v/>
      </c>
      <c r="J115" s="112">
        <f>((C115+F115)*100)/B115</f>
        <v/>
      </c>
      <c r="K115" s="112">
        <f>((D115+G115)*100)/B115</f>
        <v/>
      </c>
      <c r="L115" s="112">
        <f>((E115+H115)*100)/B115</f>
        <v/>
      </c>
      <c r="M115" s="114">
        <f>N115-B114</f>
        <v/>
      </c>
      <c r="N115" s="109">
        <f>O115+P115+Q115+R115+S115+T115</f>
        <v/>
      </c>
      <c r="O115" s="110" t="n">
        <v>678.3687819324761</v>
      </c>
      <c r="P115" s="110" t="n">
        <v>626.781802317839</v>
      </c>
      <c r="Q115" s="110" t="n">
        <v>198.609871516352</v>
      </c>
      <c r="R115" s="110" t="n">
        <v>0</v>
      </c>
      <c r="S115" s="110" t="n">
        <v>10.3173959229274</v>
      </c>
      <c r="T115" s="110" t="n">
        <v>0</v>
      </c>
      <c r="U115" s="50" t="n">
        <v>124</v>
      </c>
      <c r="V115" s="112">
        <f>((O115+R115)*100)/N115</f>
        <v/>
      </c>
      <c r="W115" s="112">
        <f>((P115+S115)*100)/N115</f>
        <v/>
      </c>
      <c r="X115" s="112">
        <f>((Q115+T115)*100)/N115</f>
        <v/>
      </c>
    </row>
    <row r="116" ht="22.5" customHeight="1" s="150">
      <c r="A116" s="34" t="n">
        <v>114</v>
      </c>
      <c r="B116" s="109">
        <f>C116+D116+E116+F116+G116+H116</f>
        <v/>
      </c>
      <c r="C116" s="110" t="n">
        <v>28.3728387880503</v>
      </c>
      <c r="D116" s="110" t="n">
        <v>5.1586979614637</v>
      </c>
      <c r="E116" s="110" t="n">
        <v>0</v>
      </c>
      <c r="F116" s="110" t="n">
        <v>18.0554428651229</v>
      </c>
      <c r="G116" s="110" t="n">
        <v>2.57934898073185</v>
      </c>
      <c r="H116" s="110" t="n">
        <v>0</v>
      </c>
      <c r="I116" s="111">
        <f>(100*B116)/N116</f>
        <v/>
      </c>
      <c r="J116" s="112">
        <f>((C116+F116)*100)/B116</f>
        <v/>
      </c>
      <c r="K116" s="112">
        <f>((D116+G116)*100)/B116</f>
        <v/>
      </c>
      <c r="L116" s="112">
        <f>((E116+H116)*100)/B116</f>
        <v/>
      </c>
      <c r="M116" s="114">
        <f>N116-B115</f>
        <v/>
      </c>
      <c r="N116" s="109">
        <f>O116+P116+Q116+R116+S116+T116</f>
        <v/>
      </c>
      <c r="O116" s="110" t="n">
        <v>680.948130913208</v>
      </c>
      <c r="P116" s="110" t="n">
        <v>626.781802317839</v>
      </c>
      <c r="Q116" s="110" t="n">
        <v>206.347918458547</v>
      </c>
      <c r="R116" s="110" t="n">
        <v>126.38810005586</v>
      </c>
      <c r="S116" s="110" t="n">
        <v>139.284844959519</v>
      </c>
      <c r="T116" s="110" t="n">
        <v>56.7456775761007</v>
      </c>
      <c r="U116" s="50" t="n">
        <v>132</v>
      </c>
      <c r="V116" s="112">
        <f>((O116+R116)*100)/N116</f>
        <v/>
      </c>
      <c r="W116" s="112">
        <f>((P116+S116)*100)/N116</f>
        <v/>
      </c>
      <c r="X116" s="112">
        <f>((Q116+T116)*100)/N116</f>
        <v/>
      </c>
    </row>
    <row r="117" ht="22.5" customHeight="1" s="150">
      <c r="A117" s="34" t="n">
        <v>115</v>
      </c>
      <c r="B117" s="109">
        <f>C117+D117+E117+F117+G117+H117</f>
        <v/>
      </c>
      <c r="C117" s="110" t="n">
        <v>46.4282816531733</v>
      </c>
      <c r="D117" s="110" t="n">
        <v>95.43591228707839</v>
      </c>
      <c r="E117" s="110" t="n">
        <v>25.7934898073184</v>
      </c>
      <c r="F117" s="110" t="n">
        <v>72.22177146049179</v>
      </c>
      <c r="G117" s="110" t="n">
        <v>113.491355152201</v>
      </c>
      <c r="H117" s="110" t="n">
        <v>38.6902347109777</v>
      </c>
      <c r="I117" s="111">
        <f>(100*B117)/N117</f>
        <v/>
      </c>
      <c r="J117" s="112">
        <f>((C117+F117)*100)/B117</f>
        <v/>
      </c>
      <c r="K117" s="112">
        <f>((D117+G117)*100)/B117</f>
        <v/>
      </c>
      <c r="L117" s="112">
        <f>((E117+H117)*100)/B117</f>
        <v/>
      </c>
      <c r="M117" s="114">
        <f>N117-B116</f>
        <v/>
      </c>
      <c r="N117" s="109">
        <f>O117+P117+Q117+R117+S117+T117</f>
        <v/>
      </c>
      <c r="O117" s="110" t="n">
        <v>642.25789620223</v>
      </c>
      <c r="P117" s="110" t="n">
        <v>443.648024685878</v>
      </c>
      <c r="Q117" s="110" t="n">
        <v>157.340287824642</v>
      </c>
      <c r="R117" s="110" t="n">
        <v>1431.53868430617</v>
      </c>
      <c r="S117" s="110" t="n">
        <v>895.034096313952</v>
      </c>
      <c r="T117" s="110" t="n">
        <v>379.164300167581</v>
      </c>
      <c r="U117" s="50" t="n">
        <v>248</v>
      </c>
      <c r="V117" s="112">
        <f>((O117+R117)*100)/N117</f>
        <v/>
      </c>
      <c r="W117" s="112">
        <f>((P117+S117)*100)/N117</f>
        <v/>
      </c>
      <c r="X117" s="112">
        <f>((Q117+T117)*100)/N117</f>
        <v/>
      </c>
    </row>
    <row r="118" ht="22.5" customHeight="1" s="150">
      <c r="A118" s="34" t="n">
        <v>116</v>
      </c>
      <c r="B118" s="109">
        <f>C118+D118+E118+F118+G118+H118</f>
        <v/>
      </c>
      <c r="C118" s="110" t="n">
        <v>49.0076306339051</v>
      </c>
      <c r="D118" s="110" t="n">
        <v>0</v>
      </c>
      <c r="E118" s="110" t="n">
        <v>2.57934898073185</v>
      </c>
      <c r="F118" s="110" t="n">
        <v>2.57934898073185</v>
      </c>
      <c r="G118" s="110" t="n">
        <v>0</v>
      </c>
      <c r="H118" s="110" t="n">
        <v>0</v>
      </c>
      <c r="I118" s="111">
        <f>(100*B118)/N118</f>
        <v/>
      </c>
      <c r="J118" s="112">
        <f>((C118+F118)*100)/B118</f>
        <v/>
      </c>
      <c r="K118" s="112">
        <f>((D118+G118)*100)/B118</f>
        <v/>
      </c>
      <c r="L118" s="112">
        <f>((E118+H118)*100)/B118</f>
        <v/>
      </c>
      <c r="M118" s="114">
        <f>N118-B117</f>
        <v/>
      </c>
      <c r="N118" s="109">
        <f>O118+P118+Q118+R118+S118+T118</f>
        <v/>
      </c>
      <c r="O118" s="110" t="n">
        <v>655.154641105889</v>
      </c>
      <c r="P118" s="110" t="n">
        <v>461.703467551001</v>
      </c>
      <c r="Q118" s="110" t="n">
        <v>154.760938843911</v>
      </c>
      <c r="R118" s="110" t="n">
        <v>128.967449036592</v>
      </c>
      <c r="S118" s="110" t="n">
        <v>49.0076306339051</v>
      </c>
      <c r="T118" s="110" t="n">
        <v>25.7934898073184</v>
      </c>
      <c r="U118" s="50" t="n">
        <v>121</v>
      </c>
      <c r="V118" s="112">
        <f>((O118+R118)*100)/N118</f>
        <v/>
      </c>
      <c r="W118" s="112">
        <f>((P118+S118)*100)/N118</f>
        <v/>
      </c>
      <c r="X118" s="112">
        <f>((Q118+T118)*100)/N118</f>
        <v/>
      </c>
    </row>
    <row r="119" ht="22.5" customHeight="1" s="150">
      <c r="A119" s="34" t="n">
        <v>117</v>
      </c>
      <c r="B119" s="109">
        <f>C119+D119+E119+F119+G119+H119</f>
        <v/>
      </c>
      <c r="C119" s="110" t="n">
        <v>18.0554428651229</v>
      </c>
      <c r="D119" s="110" t="n">
        <v>74.8011204412236</v>
      </c>
      <c r="E119" s="110" t="n">
        <v>30.9521877687822</v>
      </c>
      <c r="F119" s="110" t="n">
        <v>2.57934898073185</v>
      </c>
      <c r="G119" s="110" t="n">
        <v>10.3173959229274</v>
      </c>
      <c r="H119" s="110" t="n">
        <v>2.57934898073185</v>
      </c>
      <c r="I119" s="111">
        <f>(100*B119)/N119</f>
        <v/>
      </c>
      <c r="J119" s="112">
        <f>((C119+F119)*100)/B119</f>
        <v/>
      </c>
      <c r="K119" s="112">
        <f>((D119+G119)*100)/B119</f>
        <v/>
      </c>
      <c r="L119" s="112">
        <f>((E119+H119)*100)/B119</f>
        <v/>
      </c>
      <c r="M119" s="114">
        <f>N119-B118</f>
        <v/>
      </c>
      <c r="N119" s="109">
        <f>O119+P119+Q119+R119+S119+T119</f>
        <v/>
      </c>
      <c r="O119" s="110" t="n">
        <v>655.154641105889</v>
      </c>
      <c r="P119" s="110" t="n">
        <v>399.799092013436</v>
      </c>
      <c r="Q119" s="110" t="n">
        <v>134.126146998056</v>
      </c>
      <c r="R119" s="110" t="n">
        <v>46.4282816531733</v>
      </c>
      <c r="S119" s="110" t="n">
        <v>36.1108857302459</v>
      </c>
      <c r="T119" s="110" t="n">
        <v>10.3173959229274</v>
      </c>
      <c r="U119" s="50" t="n">
        <v>111</v>
      </c>
      <c r="V119" s="112">
        <f>((O119+R119)*100)/N119</f>
        <v/>
      </c>
      <c r="W119" s="112">
        <f>((P119+S119)*100)/N119</f>
        <v/>
      </c>
      <c r="X119" s="112">
        <f>((Q119+T119)*100)/N119</f>
        <v/>
      </c>
    </row>
    <row r="120" ht="22.5" customHeight="1" s="150">
      <c r="A120" s="34" t="n">
        <v>118</v>
      </c>
      <c r="B120" s="109">
        <f>C120+D120+E120+F120+G120+H120</f>
        <v/>
      </c>
      <c r="C120" s="110" t="n">
        <v>247.617502150257</v>
      </c>
      <c r="D120" s="110" t="n">
        <v>20.6347918458548</v>
      </c>
      <c r="E120" s="110" t="n">
        <v>41.2695836917096</v>
      </c>
      <c r="F120" s="110" t="n">
        <v>28.3728387880503</v>
      </c>
      <c r="G120" s="110" t="n">
        <v>7.73804694219555</v>
      </c>
      <c r="H120" s="110" t="n">
        <v>0</v>
      </c>
      <c r="I120" s="111">
        <f>(100*B120)/N120</f>
        <v/>
      </c>
      <c r="J120" s="112">
        <f>((C120+F120)*100)/B120</f>
        <v/>
      </c>
      <c r="K120" s="112">
        <f>((D120+G120)*100)/B120</f>
        <v/>
      </c>
      <c r="L120" s="112">
        <f>((E120+H120)*100)/B120</f>
        <v/>
      </c>
      <c r="M120" s="114">
        <f>N120-B119</f>
        <v/>
      </c>
      <c r="N120" s="109">
        <f>O120+P120+Q120+R120+S120+T120</f>
        <v/>
      </c>
      <c r="O120" s="110" t="n">
        <v>603.567661491252</v>
      </c>
      <c r="P120" s="110" t="n">
        <v>407.537138955632</v>
      </c>
      <c r="Q120" s="110" t="n">
        <v>116.070704132933</v>
      </c>
      <c r="R120" s="110" t="n">
        <v>190.871824574156</v>
      </c>
      <c r="S120" s="110" t="n">
        <v>131.546798017324</v>
      </c>
      <c r="T120" s="110" t="n">
        <v>54.1663285953688</v>
      </c>
      <c r="U120" s="50" t="n">
        <v>160</v>
      </c>
      <c r="V120" s="112">
        <f>((O120+R120)*100)/N120</f>
        <v/>
      </c>
      <c r="W120" s="112">
        <f>((P120+S120)*100)/N120</f>
        <v/>
      </c>
      <c r="X120" s="112">
        <f>((Q120+T120)*100)/N120</f>
        <v/>
      </c>
    </row>
    <row r="121" ht="22.5" customHeight="1" s="150">
      <c r="A121" s="34" t="n">
        <v>119</v>
      </c>
      <c r="B121" s="109">
        <f>C121+D121+E121+F121+G121+H121</f>
        <v/>
      </c>
      <c r="C121" s="110" t="n">
        <v>12.8967449036592</v>
      </c>
      <c r="D121" s="110" t="n">
        <v>7.73804694219555</v>
      </c>
      <c r="E121" s="110" t="n">
        <v>0</v>
      </c>
      <c r="F121" s="110" t="n">
        <v>15.4760938843911</v>
      </c>
      <c r="G121" s="110" t="n">
        <v>5.1586979614637</v>
      </c>
      <c r="H121" s="110" t="n">
        <v>0</v>
      </c>
      <c r="I121" s="111">
        <f>(100*B121)/N121</f>
        <v/>
      </c>
      <c r="J121" s="112">
        <f>((C121+F121)*100)/B121</f>
        <v/>
      </c>
      <c r="K121" s="112">
        <f>((D121+G121)*100)/B121</f>
        <v/>
      </c>
      <c r="L121" s="112">
        <f>((E121+H121)*100)/B121</f>
        <v/>
      </c>
      <c r="M121" s="114">
        <f>N121-B120</f>
        <v/>
      </c>
      <c r="N121" s="109">
        <f>O121+P121+Q121+R121+S121+T121</f>
        <v/>
      </c>
      <c r="O121" s="110" t="n">
        <v>631.940500279303</v>
      </c>
      <c r="P121" s="110" t="n">
        <v>415.275185897827</v>
      </c>
      <c r="Q121" s="110" t="n">
        <v>116.070704132933</v>
      </c>
      <c r="R121" s="110" t="n">
        <v>441.068675705146</v>
      </c>
      <c r="S121" s="110" t="n">
        <v>180.554428651229</v>
      </c>
      <c r="T121" s="110" t="n">
        <v>105.753308210005</v>
      </c>
      <c r="U121" s="50" t="n">
        <v>157</v>
      </c>
      <c r="V121" s="112">
        <f>((O121+R121)*100)/N121</f>
        <v/>
      </c>
      <c r="W121" s="112">
        <f>((P121+S121)*100)/N121</f>
        <v/>
      </c>
      <c r="X121" s="112">
        <f>((Q121+T121)*100)/N121</f>
        <v/>
      </c>
    </row>
    <row r="122" ht="22.5" customHeight="1" s="150">
      <c r="A122" s="34" t="n">
        <v>120</v>
      </c>
      <c r="B122" s="109">
        <f>C122+D122+E122+F122+G122+H122</f>
        <v/>
      </c>
      <c r="C122" s="110" t="n">
        <v>250.196851130989</v>
      </c>
      <c r="D122" s="110" t="n">
        <v>49.0076306339051</v>
      </c>
      <c r="E122" s="110" t="n">
        <v>41.2695836917096</v>
      </c>
      <c r="F122" s="110" t="n">
        <v>428.171930801487</v>
      </c>
      <c r="G122" s="110" t="n">
        <v>43.8489326724414</v>
      </c>
      <c r="H122" s="110" t="n">
        <v>33.531536749514</v>
      </c>
      <c r="I122" s="111">
        <f>(100*B122)/N122</f>
        <v/>
      </c>
      <c r="J122" s="112">
        <f>((C122+F122)*100)/B122</f>
        <v/>
      </c>
      <c r="K122" s="112">
        <f>((D122+G122)*100)/B122</f>
        <v/>
      </c>
      <c r="L122" s="112">
        <f>((E122+H122)*100)/B122</f>
        <v/>
      </c>
      <c r="M122" s="114">
        <f>N122-B121</f>
        <v/>
      </c>
      <c r="N122" s="109">
        <f>O122+P122+Q122+R122+S122+T122</f>
        <v/>
      </c>
      <c r="O122" s="110" t="n">
        <v>575.194822703202</v>
      </c>
      <c r="P122" s="110" t="n">
        <v>366.267555263922</v>
      </c>
      <c r="Q122" s="110" t="n">
        <v>108.332657190737</v>
      </c>
      <c r="R122" s="110" t="n">
        <v>1470.22891901715</v>
      </c>
      <c r="S122" s="110" t="n">
        <v>1083.32657190737</v>
      </c>
      <c r="T122" s="110" t="n">
        <v>402.378440994168</v>
      </c>
      <c r="U122" s="50" t="n">
        <v>268</v>
      </c>
      <c r="V122" s="112">
        <f>((O122+R122)*100)/N122</f>
        <v/>
      </c>
      <c r="W122" s="112">
        <f>((P122+S122)*100)/N122</f>
        <v/>
      </c>
      <c r="X122" s="112">
        <f>((Q122+T122)*100)/N122</f>
        <v/>
      </c>
    </row>
    <row r="123" ht="22.5" customHeight="1" s="150">
      <c r="A123" s="34" t="n">
        <v>121</v>
      </c>
      <c r="B123" s="109">
        <f>C123+D123+E123+F123+G123+H123</f>
        <v/>
      </c>
      <c r="C123" s="110" t="n">
        <v>188.292475593425</v>
      </c>
      <c r="D123" s="110" t="n">
        <v>2.57934898073185</v>
      </c>
      <c r="E123" s="110" t="n">
        <v>5.1586979614637</v>
      </c>
      <c r="F123" s="110" t="n">
        <v>7.73804694219555</v>
      </c>
      <c r="G123" s="110" t="n">
        <v>2.57934898073185</v>
      </c>
      <c r="H123" s="110" t="n">
        <v>2.57934898073185</v>
      </c>
      <c r="I123" s="111">
        <f>(100*B123)/N123</f>
        <v/>
      </c>
      <c r="J123" s="112">
        <f>((C123+F123)*100)/B123</f>
        <v/>
      </c>
      <c r="K123" s="112">
        <f>((D123+G123)*100)/B123</f>
        <v/>
      </c>
      <c r="L123" s="112">
        <f>((E123+H123)*100)/B123</f>
        <v/>
      </c>
      <c r="M123" s="114">
        <f>N123-B122</f>
        <v/>
      </c>
      <c r="N123" s="109">
        <f>O123+P123+Q123+R123+S123+T123</f>
        <v/>
      </c>
      <c r="O123" s="110" t="n">
        <v>526.187192069297</v>
      </c>
      <c r="P123" s="110" t="n">
        <v>376.58495118685</v>
      </c>
      <c r="Q123" s="110" t="n">
        <v>100.594610248542</v>
      </c>
      <c r="R123" s="110" t="n">
        <v>379.164300167581</v>
      </c>
      <c r="S123" s="110" t="n">
        <v>275.990340938307</v>
      </c>
      <c r="T123" s="110" t="n">
        <v>105.753308210005</v>
      </c>
      <c r="U123" s="50" t="n">
        <v>175</v>
      </c>
      <c r="V123" s="112">
        <f>((O123+R123)*100)/N123</f>
        <v/>
      </c>
      <c r="W123" s="112">
        <f>((P123+S123)*100)/N123</f>
        <v/>
      </c>
      <c r="X123" s="112">
        <f>((Q123+T123)*100)/N123</f>
        <v/>
      </c>
    </row>
    <row r="124" ht="22.5" customHeight="1" s="150">
      <c r="A124" s="34" t="n">
        <v>122</v>
      </c>
      <c r="B124" s="109">
        <f>C124+D124+E124+F124+G124+H124</f>
        <v/>
      </c>
      <c r="C124" s="110" t="n">
        <v>7.73804694219555</v>
      </c>
      <c r="D124" s="110" t="n">
        <v>2.57934898073185</v>
      </c>
      <c r="E124" s="110" t="n">
        <v>0</v>
      </c>
      <c r="F124" s="110" t="n">
        <v>0</v>
      </c>
      <c r="G124" s="110" t="n">
        <v>0</v>
      </c>
      <c r="H124" s="110" t="n">
        <v>0</v>
      </c>
      <c r="I124" s="111">
        <f>(100*B124)/N124</f>
        <v/>
      </c>
      <c r="J124" s="112">
        <f>((C124+F124)*100)/B124</f>
        <v/>
      </c>
      <c r="K124" s="112">
        <f>((D124+G124)*100)/B124</f>
        <v/>
      </c>
      <c r="L124" s="112">
        <f>((E124+H124)*100)/B124</f>
        <v/>
      </c>
      <c r="M124" s="114">
        <f>N124-B123</f>
        <v/>
      </c>
      <c r="N124" s="109">
        <f>O124+P124+Q124+R124+S124+T124</f>
        <v/>
      </c>
      <c r="O124" s="110" t="n">
        <v>544.24263493442</v>
      </c>
      <c r="P124" s="110" t="n">
        <v>399.799092013436</v>
      </c>
      <c r="Q124" s="110" t="n">
        <v>103.173959229273</v>
      </c>
      <c r="R124" s="110" t="n">
        <v>7.73804694219555</v>
      </c>
      <c r="S124" s="110" t="n">
        <v>7.73804694219555</v>
      </c>
      <c r="T124" s="110" t="n">
        <v>2.57934898073185</v>
      </c>
      <c r="U124" s="50" t="n">
        <v>108</v>
      </c>
      <c r="V124" s="112">
        <f>((O124+R124)*100)/N124</f>
        <v/>
      </c>
      <c r="W124" s="112">
        <f>((P124+S124)*100)/N124</f>
        <v/>
      </c>
      <c r="X124" s="112">
        <f>((Q124+T124)*100)/N124</f>
        <v/>
      </c>
    </row>
    <row r="125" ht="22.5" customHeight="1" s="150">
      <c r="A125" s="34" t="n">
        <v>123</v>
      </c>
      <c r="B125" s="109">
        <f>C125+D125+E125+F125+G125+H125</f>
        <v/>
      </c>
      <c r="C125" s="110" t="n">
        <v>0</v>
      </c>
      <c r="D125" s="110" t="n">
        <v>0</v>
      </c>
      <c r="E125" s="110" t="n">
        <v>0</v>
      </c>
      <c r="F125" s="110" t="n">
        <v>0</v>
      </c>
      <c r="G125" s="110" t="n">
        <v>0</v>
      </c>
      <c r="H125" s="110" t="n">
        <v>0</v>
      </c>
      <c r="I125" s="111">
        <f>(100*B125)/N125</f>
        <v/>
      </c>
      <c r="J125" s="112">
        <f>((C125+F125)*100)/B125</f>
        <v/>
      </c>
      <c r="K125" s="112">
        <f>((D125+G125)*100)/B125</f>
        <v/>
      </c>
      <c r="L125" s="112">
        <f>((E125+H125)*100)/B125</f>
        <v/>
      </c>
      <c r="M125" s="114">
        <f>N125-B124</f>
        <v/>
      </c>
      <c r="N125" s="109">
        <f>O125+P125+Q125+R125+S125+T125</f>
        <v/>
      </c>
      <c r="O125" s="110" t="n">
        <v>572.61547372247</v>
      </c>
      <c r="P125" s="110" t="n">
        <v>397.219743032704</v>
      </c>
      <c r="Q125" s="110" t="n">
        <v>103.173959229273</v>
      </c>
      <c r="R125" s="110" t="n">
        <v>18.0554428651229</v>
      </c>
      <c r="S125" s="110" t="n">
        <v>20.6347918458548</v>
      </c>
      <c r="T125" s="110" t="n">
        <v>12.8967449036592</v>
      </c>
      <c r="U125" s="50" t="n">
        <v>103</v>
      </c>
      <c r="V125" s="112">
        <f>((O125+R125)*100)/N125</f>
        <v/>
      </c>
      <c r="W125" s="112">
        <f>((P125+S125)*100)/N125</f>
        <v/>
      </c>
      <c r="X125" s="112">
        <f>((Q125+T125)*100)/N125</f>
        <v/>
      </c>
    </row>
    <row r="126" ht="22.5" customHeight="1" s="150">
      <c r="A126" s="34" t="n">
        <v>124</v>
      </c>
      <c r="B126" s="109">
        <f>C126+D126+E126+F126+G126+H126</f>
        <v/>
      </c>
      <c r="C126" s="110" t="n">
        <v>263.093596034648</v>
      </c>
      <c r="D126" s="110" t="n">
        <v>28.3728387880503</v>
      </c>
      <c r="E126" s="110" t="n">
        <v>0</v>
      </c>
      <c r="F126" s="110" t="n">
        <v>389.481696090509</v>
      </c>
      <c r="G126" s="110" t="n">
        <v>41.2695836917096</v>
      </c>
      <c r="H126" s="110" t="n">
        <v>144.443542920983</v>
      </c>
      <c r="I126" s="111">
        <f>(100*B126)/N126</f>
        <v/>
      </c>
      <c r="J126" s="112">
        <f>((C126+F126)*100)/B126</f>
        <v/>
      </c>
      <c r="K126" s="112">
        <f>((D126+G126)*100)/B126</f>
        <v/>
      </c>
      <c r="L126" s="112">
        <f>((E126+H126)*100)/B126</f>
        <v/>
      </c>
      <c r="M126" s="114">
        <f>N126-B125</f>
        <v/>
      </c>
      <c r="N126" s="109">
        <f>O126+P126+Q126+R126+S126+T126</f>
        <v/>
      </c>
      <c r="O126" s="110" t="n">
        <v>441.068675705146</v>
      </c>
      <c r="P126" s="110" t="n">
        <v>355.950159340995</v>
      </c>
      <c r="Q126" s="110" t="n">
        <v>90.27721432561469</v>
      </c>
      <c r="R126" s="110" t="n">
        <v>879.55800242956</v>
      </c>
      <c r="S126" s="110" t="n">
        <v>619.043755375644</v>
      </c>
      <c r="T126" s="110" t="n">
        <v>193.451173554888</v>
      </c>
      <c r="U126" s="50" t="n">
        <v>245</v>
      </c>
      <c r="V126" s="112">
        <f>((O126+R126)*100)/N126</f>
        <v/>
      </c>
      <c r="W126" s="112">
        <f>((P126+S126)*100)/N126</f>
        <v/>
      </c>
      <c r="X126" s="112">
        <f>((Q126+T126)*100)/N126</f>
        <v/>
      </c>
    </row>
    <row r="127" ht="22.5" customHeight="1" s="150">
      <c r="A127" s="34" t="n">
        <v>125</v>
      </c>
      <c r="B127" s="109">
        <f>C127+D127+E127+F127+G127+H127</f>
        <v/>
      </c>
      <c r="C127" s="110" t="n">
        <v>0</v>
      </c>
      <c r="D127" s="110" t="n">
        <v>0</v>
      </c>
      <c r="E127" s="110" t="n">
        <v>0</v>
      </c>
      <c r="F127" s="110" t="n">
        <v>0</v>
      </c>
      <c r="G127" s="110" t="n">
        <v>0</v>
      </c>
      <c r="H127" s="110" t="n">
        <v>0</v>
      </c>
      <c r="I127" s="111">
        <f>(100*B127)/N127</f>
        <v/>
      </c>
      <c r="J127" s="112">
        <f>((C127+F127)*100)/B127</f>
        <v/>
      </c>
      <c r="K127" s="112">
        <f>((D127+G127)*100)/B127</f>
        <v/>
      </c>
      <c r="L127" s="112">
        <f>((E127+H127)*100)/B127</f>
        <v/>
      </c>
      <c r="M127" s="114">
        <f>N127-B126</f>
        <v/>
      </c>
      <c r="N127" s="109">
        <f>O127+P127+Q127+R127+S127+T127</f>
        <v/>
      </c>
      <c r="O127" s="110" t="n">
        <v>459.124118570269</v>
      </c>
      <c r="P127" s="110" t="n">
        <v>358.529508321727</v>
      </c>
      <c r="Q127" s="110" t="n">
        <v>90.27721432561469</v>
      </c>
      <c r="R127" s="110" t="n">
        <v>5.1586979614637</v>
      </c>
      <c r="S127" s="110" t="n">
        <v>0</v>
      </c>
      <c r="T127" s="110" t="n">
        <v>0</v>
      </c>
      <c r="U127" s="50" t="n">
        <v>116</v>
      </c>
      <c r="V127" s="112">
        <f>((O127+R127)*100)/N127</f>
        <v/>
      </c>
      <c r="W127" s="112">
        <f>((P127+S127)*100)/N127</f>
        <v/>
      </c>
      <c r="X127" s="112">
        <f>((Q127+T127)*100)/N127</f>
        <v/>
      </c>
    </row>
    <row r="128" ht="22.5" customHeight="1" s="150">
      <c r="A128" s="34" t="n">
        <v>126</v>
      </c>
      <c r="B128" s="109">
        <f>C128+D128+E128+F128+G128+H128</f>
        <v/>
      </c>
      <c r="C128" s="110" t="n">
        <v>2.57934898073185</v>
      </c>
      <c r="D128" s="110" t="n">
        <v>0</v>
      </c>
      <c r="E128" s="110" t="n">
        <v>0</v>
      </c>
      <c r="F128" s="110" t="n">
        <v>0</v>
      </c>
      <c r="G128" s="110" t="n">
        <v>0</v>
      </c>
      <c r="H128" s="110" t="n">
        <v>0</v>
      </c>
      <c r="I128" s="111">
        <f>(100*B128)/N128</f>
        <v/>
      </c>
      <c r="J128" s="112">
        <f>((C128+F128)*100)/B128</f>
        <v/>
      </c>
      <c r="K128" s="112">
        <f>((D128+G128)*100)/B128</f>
        <v/>
      </c>
      <c r="L128" s="112">
        <f>((E128+H128)*100)/B128</f>
        <v/>
      </c>
      <c r="M128" s="114">
        <f>N128-B127</f>
        <v/>
      </c>
      <c r="N128" s="109">
        <f>O128+P128+Q128+R128+S128+T128</f>
        <v/>
      </c>
      <c r="O128" s="110" t="n">
        <v>456.544769589537</v>
      </c>
      <c r="P128" s="110" t="n">
        <v>350.791461379531</v>
      </c>
      <c r="Q128" s="110" t="n">
        <v>100.594610248542</v>
      </c>
      <c r="R128" s="110" t="n">
        <v>0</v>
      </c>
      <c r="S128" s="110" t="n">
        <v>0</v>
      </c>
      <c r="T128" s="110" t="n">
        <v>0</v>
      </c>
      <c r="U128" s="50" t="n">
        <v>116</v>
      </c>
      <c r="V128" s="112">
        <f>((O128+R128)*100)/N128</f>
        <v/>
      </c>
      <c r="W128" s="112">
        <f>((P128+S128)*100)/N128</f>
        <v/>
      </c>
      <c r="X128" s="112">
        <f>((Q128+T128)*100)/N128</f>
        <v/>
      </c>
    </row>
    <row r="129" ht="22.5" customHeight="1" s="150">
      <c r="A129" s="34" t="n">
        <v>127</v>
      </c>
      <c r="B129" s="109">
        <f>C129+D129+E129+F129+G129+H129</f>
        <v/>
      </c>
      <c r="C129" s="110" t="n">
        <v>30.9521877687822</v>
      </c>
      <c r="D129" s="110" t="n">
        <v>0</v>
      </c>
      <c r="E129" s="110" t="n">
        <v>12.8967449036592</v>
      </c>
      <c r="F129" s="110" t="n">
        <v>2.57934898073185</v>
      </c>
      <c r="G129" s="110" t="n">
        <v>0</v>
      </c>
      <c r="H129" s="110" t="n">
        <v>0</v>
      </c>
      <c r="I129" s="111">
        <f>(100*B129)/N129</f>
        <v/>
      </c>
      <c r="J129" s="112">
        <f>((C129+F129)*100)/B129</f>
        <v/>
      </c>
      <c r="K129" s="112">
        <f>((D129+G129)*100)/B129</f>
        <v/>
      </c>
      <c r="L129" s="112">
        <f>((E129+H129)*100)/B129</f>
        <v/>
      </c>
      <c r="M129" s="114">
        <f>N129-B128</f>
        <v/>
      </c>
      <c r="N129" s="109">
        <f>O129+P129+Q129+R129+S129+T129</f>
        <v/>
      </c>
      <c r="O129" s="110" t="n">
        <v>446.22737366661</v>
      </c>
      <c r="P129" s="110" t="n">
        <v>366.267555263922</v>
      </c>
      <c r="Q129" s="110" t="n">
        <v>113.491355152201</v>
      </c>
      <c r="R129" s="110" t="n">
        <v>33.531536749514</v>
      </c>
      <c r="S129" s="110" t="n">
        <v>23.2141408265866</v>
      </c>
      <c r="T129" s="110" t="n">
        <v>41.2695836917096</v>
      </c>
      <c r="U129" s="50" t="n">
        <v>116</v>
      </c>
      <c r="V129" s="112">
        <f>((O129+R129)*100)/N129</f>
        <v/>
      </c>
      <c r="W129" s="112">
        <f>((P129+S129)*100)/N129</f>
        <v/>
      </c>
      <c r="X129" s="112">
        <f>((Q129+T129)*100)/N129</f>
        <v/>
      </c>
    </row>
    <row r="130" ht="22.5" customHeight="1" s="150">
      <c r="A130" s="34" t="n">
        <v>128</v>
      </c>
      <c r="B130" s="109">
        <f>C130+D130+E130+F130+G130+H130</f>
        <v/>
      </c>
      <c r="C130" s="110" t="n">
        <v>90.27721432561469</v>
      </c>
      <c r="D130" s="110" t="n">
        <v>2.57934898073185</v>
      </c>
      <c r="E130" s="110" t="n">
        <v>7.73804694219555</v>
      </c>
      <c r="F130" s="110" t="n">
        <v>25.7934898073184</v>
      </c>
      <c r="G130" s="110" t="n">
        <v>10.3173959229274</v>
      </c>
      <c r="H130" s="110" t="n">
        <v>10.3173959229274</v>
      </c>
      <c r="I130" s="111">
        <f>(100*B130)/N130</f>
        <v/>
      </c>
      <c r="J130" s="112">
        <f>((C130+F130)*100)/B130</f>
        <v/>
      </c>
      <c r="K130" s="112">
        <f>((D130+G130)*100)/B130</f>
        <v/>
      </c>
      <c r="L130" s="112">
        <f>((E130+H130)*100)/B130</f>
        <v/>
      </c>
      <c r="M130" s="114">
        <f>N130-B129</f>
        <v/>
      </c>
      <c r="N130" s="109">
        <f>O130+P130+Q130+R130+S130+T130</f>
        <v/>
      </c>
      <c r="O130" s="110" t="n">
        <v>459.124118570269</v>
      </c>
      <c r="P130" s="110" t="n">
        <v>368.846904244654</v>
      </c>
      <c r="Q130" s="110" t="n">
        <v>103.173959229273</v>
      </c>
      <c r="R130" s="110" t="n">
        <v>541.663285953688</v>
      </c>
      <c r="S130" s="110" t="n">
        <v>531.345890030761</v>
      </c>
      <c r="T130" s="110" t="n">
        <v>185.713126612693</v>
      </c>
      <c r="U130" s="50" t="n">
        <v>191</v>
      </c>
      <c r="V130" s="112">
        <f>((O130+R130)*100)/N130</f>
        <v/>
      </c>
      <c r="W130" s="112">
        <f>((P130+S130)*100)/N130</f>
        <v/>
      </c>
      <c r="X130" s="112">
        <f>((Q130+T130)*100)/N130</f>
        <v/>
      </c>
    </row>
    <row r="131" ht="22.5" customHeight="1" s="150">
      <c r="A131" s="34" t="n">
        <v>129</v>
      </c>
      <c r="B131" s="109">
        <f>C131+D131+E131+F131+G131+H131</f>
        <v/>
      </c>
      <c r="C131" s="110" t="n">
        <v>54.1663285953688</v>
      </c>
      <c r="D131" s="110" t="n">
        <v>5.1586979614637</v>
      </c>
      <c r="E131" s="110" t="n">
        <v>0</v>
      </c>
      <c r="F131" s="110" t="n">
        <v>12.8967449036592</v>
      </c>
      <c r="G131" s="110" t="n">
        <v>0</v>
      </c>
      <c r="H131" s="110" t="n">
        <v>0</v>
      </c>
      <c r="I131" s="111">
        <f>(100*B131)/N131</f>
        <v/>
      </c>
      <c r="J131" s="112">
        <f>((C131+F131)*100)/B131</f>
        <v/>
      </c>
      <c r="K131" s="112">
        <f>((D131+G131)*100)/B131</f>
        <v/>
      </c>
      <c r="L131" s="112">
        <f>((E131+H131)*100)/B131</f>
        <v/>
      </c>
      <c r="M131" s="114">
        <f>N131-B130</f>
        <v/>
      </c>
      <c r="N131" s="109">
        <f>O131+P131+Q131+R131+S131+T131</f>
        <v/>
      </c>
      <c r="O131" s="110" t="n">
        <v>451.386071628073</v>
      </c>
      <c r="P131" s="110" t="n">
        <v>366.267555263922</v>
      </c>
      <c r="Q131" s="110" t="n">
        <v>105.753308210005</v>
      </c>
      <c r="R131" s="110" t="n">
        <v>247.617502150257</v>
      </c>
      <c r="S131" s="110" t="n">
        <v>147.022891901715</v>
      </c>
      <c r="T131" s="110" t="n">
        <v>36.1108857302459</v>
      </c>
      <c r="U131" s="50" t="n">
        <v>132</v>
      </c>
      <c r="V131" s="112">
        <f>((O131+R131)*100)/N131</f>
        <v/>
      </c>
      <c r="W131" s="112">
        <f>((P131+S131)*100)/N131</f>
        <v/>
      </c>
      <c r="X131" s="112">
        <f>((Q131+T131)*100)/N131</f>
        <v/>
      </c>
    </row>
    <row r="132" ht="22.5" customHeight="1" s="150">
      <c r="A132" s="34" t="n">
        <v>130</v>
      </c>
      <c r="B132" s="109">
        <f>C132+D132+E132+F132+G132+H132</f>
        <v/>
      </c>
      <c r="C132" s="110" t="n">
        <v>56.7456775761007</v>
      </c>
      <c r="D132" s="110" t="n">
        <v>12.8967449036592</v>
      </c>
      <c r="E132" s="110" t="n">
        <v>2.57934898073185</v>
      </c>
      <c r="F132" s="110" t="n">
        <v>5.1586979614637</v>
      </c>
      <c r="G132" s="110" t="n">
        <v>2.57934898073185</v>
      </c>
      <c r="H132" s="110" t="n">
        <v>0</v>
      </c>
      <c r="I132" s="111">
        <f>(100*B132)/N132</f>
        <v/>
      </c>
      <c r="J132" s="112">
        <f>((C132+F132)*100)/B132</f>
        <v/>
      </c>
      <c r="K132" s="112">
        <f>((D132+G132)*100)/B132</f>
        <v/>
      </c>
      <c r="L132" s="112">
        <f>((E132+H132)*100)/B132</f>
        <v/>
      </c>
      <c r="M132" s="114">
        <f>N132-B131</f>
        <v/>
      </c>
      <c r="N132" s="109">
        <f>O132+P132+Q132+R132+S132+T132</f>
        <v/>
      </c>
      <c r="O132" s="110" t="n">
        <v>451.386071628073</v>
      </c>
      <c r="P132" s="110" t="n">
        <v>376.58495118685</v>
      </c>
      <c r="Q132" s="110" t="n">
        <v>108.332657190737</v>
      </c>
      <c r="R132" s="110" t="n">
        <v>196.03052253562</v>
      </c>
      <c r="S132" s="110" t="n">
        <v>74.8011204412236</v>
      </c>
      <c r="T132" s="110" t="n">
        <v>18.0554428651229</v>
      </c>
      <c r="U132" s="50" t="n">
        <v>155</v>
      </c>
      <c r="V132" s="112">
        <f>((O132+R132)*100)/N132</f>
        <v/>
      </c>
      <c r="W132" s="112">
        <f>((P132+S132)*100)/N132</f>
        <v/>
      </c>
      <c r="X132" s="112">
        <f>((Q132+T132)*100)/N132</f>
        <v/>
      </c>
    </row>
    <row r="133" ht="22.5" customHeight="1" s="150">
      <c r="A133" s="34" t="n">
        <v>131</v>
      </c>
      <c r="B133" s="109">
        <f>C133+D133+E133+F133+G133+H133</f>
        <v/>
      </c>
      <c r="C133" s="110" t="n">
        <v>28.3728387880503</v>
      </c>
      <c r="D133" s="110" t="n">
        <v>7.73804694219555</v>
      </c>
      <c r="E133" s="110" t="n">
        <v>0</v>
      </c>
      <c r="F133" s="110" t="n">
        <v>2.57934898073185</v>
      </c>
      <c r="G133" s="110" t="n">
        <v>0</v>
      </c>
      <c r="H133" s="110" t="n">
        <v>0</v>
      </c>
      <c r="I133" s="111">
        <f>(100*B133)/N133</f>
        <v/>
      </c>
      <c r="J133" s="112">
        <f>((C133+F133)*100)/B133</f>
        <v/>
      </c>
      <c r="K133" s="112">
        <f>((D133+G133)*100)/B133</f>
        <v/>
      </c>
      <c r="L133" s="112">
        <f>((E133+H133)*100)/B133</f>
        <v/>
      </c>
      <c r="M133" s="114">
        <f>N133-B132</f>
        <v/>
      </c>
      <c r="N133" s="109">
        <f>O133+P133+Q133+R133+S133+T133</f>
        <v/>
      </c>
      <c r="O133" s="110" t="n">
        <v>453.965420608805</v>
      </c>
      <c r="P133" s="110" t="n">
        <v>368.846904244654</v>
      </c>
      <c r="Q133" s="110" t="n">
        <v>108.332657190737</v>
      </c>
      <c r="R133" s="110" t="n">
        <v>51.5869796146369</v>
      </c>
      <c r="S133" s="110" t="n">
        <v>20.6347918458548</v>
      </c>
      <c r="T133" s="110" t="n">
        <v>2.57934898073185</v>
      </c>
      <c r="U133" s="50" t="n">
        <v>95</v>
      </c>
      <c r="V133" s="112">
        <f>((O133+R133)*100)/N133</f>
        <v/>
      </c>
      <c r="W133" s="112">
        <f>((P133+S133)*100)/N133</f>
        <v/>
      </c>
      <c r="X133" s="112">
        <f>((Q133+T133)*100)/N133</f>
        <v/>
      </c>
    </row>
    <row r="134" ht="22.5" customHeight="1" s="150">
      <c r="A134" s="34" t="n">
        <v>132</v>
      </c>
      <c r="B134" s="109">
        <f>C134+D134+E134+F134+G134+H134</f>
        <v/>
      </c>
      <c r="C134" s="110" t="n">
        <v>49.0076306339051</v>
      </c>
      <c r="D134" s="110" t="n">
        <v>20.6347918458548</v>
      </c>
      <c r="E134" s="110" t="n">
        <v>7.73804694219555</v>
      </c>
      <c r="F134" s="110" t="n">
        <v>7.73804694219555</v>
      </c>
      <c r="G134" s="110" t="n">
        <v>30.9521877687822</v>
      </c>
      <c r="H134" s="110" t="n">
        <v>10.3173959229274</v>
      </c>
      <c r="I134" s="111">
        <f>(100*B134)/N134</f>
        <v/>
      </c>
      <c r="J134" s="112">
        <f>((C134+F134)*100)/B134</f>
        <v/>
      </c>
      <c r="K134" s="112">
        <f>((D134+G134)*100)/B134</f>
        <v/>
      </c>
      <c r="L134" s="112">
        <f>((E134+H134)*100)/B134</f>
        <v/>
      </c>
      <c r="M134" s="114">
        <f>N134-B133</f>
        <v/>
      </c>
      <c r="N134" s="109">
        <f>O134+P134+Q134+R134+S134+T134</f>
        <v/>
      </c>
      <c r="O134" s="110" t="n">
        <v>448.806722647341</v>
      </c>
      <c r="P134" s="110" t="n">
        <v>353.370810360263</v>
      </c>
      <c r="Q134" s="110" t="n">
        <v>103.173959229273</v>
      </c>
      <c r="R134" s="110" t="n">
        <v>348.212112398799</v>
      </c>
      <c r="S134" s="110" t="n">
        <v>232.141408265866</v>
      </c>
      <c r="T134" s="110" t="n">
        <v>41.2695836917096</v>
      </c>
      <c r="U134" s="50" t="n">
        <v>152</v>
      </c>
      <c r="V134" s="112">
        <f>((O134+R134)*100)/N134</f>
        <v/>
      </c>
      <c r="W134" s="112">
        <f>((P134+S134)*100)/N134</f>
        <v/>
      </c>
      <c r="X134" s="112">
        <f>((Q134+T134)*100)/N134</f>
        <v/>
      </c>
    </row>
    <row r="135" ht="22.5" customHeight="1" s="150">
      <c r="A135" s="34" t="n">
        <v>133</v>
      </c>
      <c r="B135" s="109">
        <f>C135+D135+E135+F135+G135+H135</f>
        <v/>
      </c>
      <c r="C135" s="110" t="n">
        <v>314.680575649285</v>
      </c>
      <c r="D135" s="110" t="n">
        <v>5.1586979614637</v>
      </c>
      <c r="E135" s="110" t="n">
        <v>41.2695836917096</v>
      </c>
      <c r="F135" s="110" t="n">
        <v>82.5391673834192</v>
      </c>
      <c r="G135" s="110" t="n">
        <v>10.3173959229274</v>
      </c>
      <c r="H135" s="110" t="n">
        <v>18.0554428651229</v>
      </c>
      <c r="I135" s="111">
        <f>(100*B135)/N135</f>
        <v/>
      </c>
      <c r="J135" s="112">
        <f>((C135+F135)*100)/B135</f>
        <v/>
      </c>
      <c r="K135" s="112">
        <f>((D135+G135)*100)/B135</f>
        <v/>
      </c>
      <c r="L135" s="112">
        <f>((E135+H135)*100)/B135</f>
        <v/>
      </c>
      <c r="M135" s="114">
        <f>N135-B134</f>
        <v/>
      </c>
      <c r="N135" s="109">
        <f>O135+P135+Q135+R135+S135+T135</f>
        <v/>
      </c>
      <c r="O135" s="110" t="n">
        <v>469.441514493196</v>
      </c>
      <c r="P135" s="110" t="n">
        <v>361.108857302459</v>
      </c>
      <c r="Q135" s="110" t="n">
        <v>87.6978653448828</v>
      </c>
      <c r="R135" s="110" t="n">
        <v>613.88505741418</v>
      </c>
      <c r="S135" s="110" t="n">
        <v>448.806722647341</v>
      </c>
      <c r="T135" s="110" t="n">
        <v>185.713126612693</v>
      </c>
      <c r="U135" s="50" t="n">
        <v>193</v>
      </c>
      <c r="V135" s="112">
        <f>((O135+R135)*100)/N135</f>
        <v/>
      </c>
      <c r="W135" s="112">
        <f>((P135+S135)*100)/N135</f>
        <v/>
      </c>
      <c r="X135" s="112">
        <f>((Q135+T135)*100)/N135</f>
        <v/>
      </c>
    </row>
    <row r="136" ht="22.5" customHeight="1" s="150">
      <c r="A136" s="34" t="n">
        <v>134</v>
      </c>
      <c r="B136" s="109">
        <f>C136+D136+E136+F136+G136+H136</f>
        <v/>
      </c>
      <c r="C136" s="110" t="n">
        <v>5.1586979614637</v>
      </c>
      <c r="D136" s="110" t="n">
        <v>0</v>
      </c>
      <c r="E136" s="110" t="n">
        <v>0</v>
      </c>
      <c r="F136" s="110" t="n">
        <v>0</v>
      </c>
      <c r="G136" s="110" t="n">
        <v>0</v>
      </c>
      <c r="H136" s="110" t="n">
        <v>0</v>
      </c>
      <c r="I136" s="111">
        <f>(100*B136)/N136</f>
        <v/>
      </c>
      <c r="J136" s="112">
        <f>((C136+F136)*100)/B136</f>
        <v/>
      </c>
      <c r="K136" s="112">
        <f>((D136+G136)*100)/B136</f>
        <v/>
      </c>
      <c r="L136" s="112">
        <f>((E136+H136)*100)/B136</f>
        <v/>
      </c>
      <c r="M136" s="114">
        <f>N136-B135</f>
        <v/>
      </c>
      <c r="N136" s="109">
        <f>O136+P136+Q136+R136+S136+T136</f>
        <v/>
      </c>
      <c r="O136" s="110" t="n">
        <v>487.496957358319</v>
      </c>
      <c r="P136" s="110" t="n">
        <v>361.108857302459</v>
      </c>
      <c r="Q136" s="110" t="n">
        <v>90.27721432561469</v>
      </c>
      <c r="R136" s="110" t="n">
        <v>10.3173959229274</v>
      </c>
      <c r="S136" s="110" t="n">
        <v>2.57934898073185</v>
      </c>
      <c r="T136" s="110" t="n">
        <v>0</v>
      </c>
      <c r="U136" s="50" t="n">
        <v>88</v>
      </c>
      <c r="V136" s="112">
        <f>((O136+R136)*100)/N136</f>
        <v/>
      </c>
      <c r="W136" s="112">
        <f>((P136+S136)*100)/N136</f>
        <v/>
      </c>
      <c r="X136" s="112">
        <f>((Q136+T136)*100)/N136</f>
        <v/>
      </c>
    </row>
    <row r="137" ht="22.5" customHeight="1" s="150">
      <c r="A137" s="34" t="n">
        <v>135</v>
      </c>
      <c r="B137" s="109">
        <f>C137+D137+E137+F137+G137+H137</f>
        <v/>
      </c>
      <c r="C137" s="110" t="n">
        <v>116.070704132933</v>
      </c>
      <c r="D137" s="110" t="n">
        <v>23.2141408265866</v>
      </c>
      <c r="E137" s="110" t="n">
        <v>10.3173959229274</v>
      </c>
      <c r="F137" s="110" t="n">
        <v>33.531536749514</v>
      </c>
      <c r="G137" s="110" t="n">
        <v>5.1586979614637</v>
      </c>
      <c r="H137" s="110" t="n">
        <v>0</v>
      </c>
      <c r="I137" s="111">
        <f>(100*B137)/N137</f>
        <v/>
      </c>
      <c r="J137" s="112">
        <f>((C137+F137)*100)/B137</f>
        <v/>
      </c>
      <c r="K137" s="112">
        <f>((D137+G137)*100)/B137</f>
        <v/>
      </c>
      <c r="L137" s="112">
        <f>((E137+H137)*100)/B137</f>
        <v/>
      </c>
      <c r="M137" s="114">
        <f>N137-B136</f>
        <v/>
      </c>
      <c r="N137" s="109">
        <f>O137+P137+Q137+R137+S137+T137</f>
        <v/>
      </c>
      <c r="O137" s="110" t="n">
        <v>404.9577899749</v>
      </c>
      <c r="P137" s="110" t="n">
        <v>324.997971572213</v>
      </c>
      <c r="Q137" s="110" t="n">
        <v>90.27721432561469</v>
      </c>
      <c r="R137" s="110" t="n">
        <v>673.210083971012</v>
      </c>
      <c r="S137" s="110" t="n">
        <v>404.9577899749</v>
      </c>
      <c r="T137" s="110" t="n">
        <v>134.126146998056</v>
      </c>
      <c r="U137" s="50" t="n">
        <v>165</v>
      </c>
      <c r="V137" s="112">
        <f>((O137+R137)*100)/N137</f>
        <v/>
      </c>
      <c r="W137" s="112">
        <f>((P137+S137)*100)/N137</f>
        <v/>
      </c>
      <c r="X137" s="112">
        <f>((Q137+T137)*100)/N137</f>
        <v/>
      </c>
    </row>
    <row r="138" ht="22.5" customHeight="1" s="150">
      <c r="A138" s="34" t="n">
        <v>136</v>
      </c>
      <c r="B138" s="109">
        <f>C138+D138+E138+F138+G138+H138</f>
        <v/>
      </c>
      <c r="C138" s="110" t="n">
        <v>198.609871516352</v>
      </c>
      <c r="D138" s="110" t="n">
        <v>7.73804694219555</v>
      </c>
      <c r="E138" s="110" t="n">
        <v>28.3728387880503</v>
      </c>
      <c r="F138" s="110" t="n">
        <v>203.768569477816</v>
      </c>
      <c r="G138" s="110" t="n">
        <v>15.4760938843911</v>
      </c>
      <c r="H138" s="110" t="n">
        <v>38.6902347109777</v>
      </c>
      <c r="I138" s="111">
        <f>(100*B138)/N138</f>
        <v/>
      </c>
      <c r="J138" s="112">
        <f>((C138+F138)*100)/B138</f>
        <v/>
      </c>
      <c r="K138" s="112">
        <f>((D138+G138)*100)/B138</f>
        <v/>
      </c>
      <c r="L138" s="112">
        <f>((E138+H138)*100)/B138</f>
        <v/>
      </c>
      <c r="M138" s="114">
        <f>N138-B137</f>
        <v/>
      </c>
      <c r="N138" s="109">
        <f>O138+P138+Q138+R138+S138+T138</f>
        <v/>
      </c>
      <c r="O138" s="110" t="n">
        <v>394.640394051973</v>
      </c>
      <c r="P138" s="110" t="n">
        <v>394.640394051973</v>
      </c>
      <c r="Q138" s="110" t="n">
        <v>100.594610248542</v>
      </c>
      <c r="R138" s="110" t="n">
        <v>869.240606506633</v>
      </c>
      <c r="S138" s="110" t="n">
        <v>1207.1353229825</v>
      </c>
      <c r="T138" s="110" t="n">
        <v>399.799092013436</v>
      </c>
      <c r="U138" s="50" t="n">
        <v>188</v>
      </c>
      <c r="V138" s="112">
        <f>((O138+R138)*100)/N138</f>
        <v/>
      </c>
      <c r="W138" s="112">
        <f>((P138+S138)*100)/N138</f>
        <v/>
      </c>
      <c r="X138" s="112">
        <f>((Q138+T138)*100)/N138</f>
        <v/>
      </c>
    </row>
    <row r="139" ht="22.5" customHeight="1" s="150">
      <c r="A139" s="34" t="n">
        <v>137</v>
      </c>
      <c r="B139" s="109">
        <f>C139+D139+E139+F139+G139+H139</f>
        <v/>
      </c>
      <c r="C139" s="110" t="n">
        <v>208.927267439279</v>
      </c>
      <c r="D139" s="110" t="n">
        <v>38.6902347109777</v>
      </c>
      <c r="E139" s="110" t="n">
        <v>69.6424224797599</v>
      </c>
      <c r="F139" s="110" t="n">
        <v>242.458804188793</v>
      </c>
      <c r="G139" s="110" t="n">
        <v>33.531536749514</v>
      </c>
      <c r="H139" s="110" t="n">
        <v>25.7934898073184</v>
      </c>
      <c r="I139" s="111">
        <f>(100*B139)/N139</f>
        <v/>
      </c>
      <c r="J139" s="112">
        <f>((C139+F139)*100)/B139</f>
        <v/>
      </c>
      <c r="K139" s="112">
        <f>((D139+G139)*100)/B139</f>
        <v/>
      </c>
      <c r="L139" s="112">
        <f>((E139+H139)*100)/B139</f>
        <v/>
      </c>
      <c r="M139" s="114">
        <f>N139-B138</f>
        <v/>
      </c>
      <c r="N139" s="109">
        <f>O139+P139+Q139+R139+S139+T139</f>
        <v/>
      </c>
      <c r="O139" s="110" t="n">
        <v>420.433883859291</v>
      </c>
      <c r="P139" s="110" t="n">
        <v>374.005602206118</v>
      </c>
      <c r="Q139" s="110" t="n">
        <v>77.3804694219555</v>
      </c>
      <c r="R139" s="110" t="n">
        <v>851.18516364151</v>
      </c>
      <c r="S139" s="110" t="n">
        <v>735.1144595085771</v>
      </c>
      <c r="T139" s="110" t="n">
        <v>180.554428651229</v>
      </c>
      <c r="U139" s="50" t="n">
        <v>199</v>
      </c>
      <c r="V139" s="112">
        <f>((O139+R139)*100)/N139</f>
        <v/>
      </c>
      <c r="W139" s="112">
        <f>((P139+S139)*100)/N139</f>
        <v/>
      </c>
      <c r="X139" s="112">
        <f>((Q139+T139)*100)/N139</f>
        <v/>
      </c>
    </row>
    <row r="140" ht="22.5" customHeight="1" s="150">
      <c r="A140" s="34" t="n">
        <v>138</v>
      </c>
      <c r="B140" s="109">
        <f>C140+D140+E140+F140+G140+H140</f>
        <v/>
      </c>
      <c r="C140" s="110" t="n">
        <v>5.1586979614637</v>
      </c>
      <c r="D140" s="110" t="n">
        <v>0</v>
      </c>
      <c r="E140" s="110" t="n">
        <v>0</v>
      </c>
      <c r="F140" s="110" t="n">
        <v>0</v>
      </c>
      <c r="G140" s="110" t="n">
        <v>0</v>
      </c>
      <c r="H140" s="110" t="n">
        <v>0</v>
      </c>
      <c r="I140" s="111">
        <f>(100*B140)/N140</f>
        <v/>
      </c>
      <c r="J140" s="112">
        <f>((C140+F140)*100)/B140</f>
        <v/>
      </c>
      <c r="K140" s="112">
        <f>((D140+G140)*100)/B140</f>
        <v/>
      </c>
      <c r="L140" s="112">
        <f>((E140+H140)*100)/B140</f>
        <v/>
      </c>
      <c r="M140" s="114">
        <f>N140-B139</f>
        <v/>
      </c>
      <c r="N140" s="109">
        <f>O140+P140+Q140+R140+S140+T140</f>
        <v/>
      </c>
      <c r="O140" s="110" t="n">
        <v>420.433883859291</v>
      </c>
      <c r="P140" s="110" t="n">
        <v>381.743649148313</v>
      </c>
      <c r="Q140" s="110" t="n">
        <v>79.9598184026873</v>
      </c>
      <c r="R140" s="110" t="n">
        <v>5.1586979614637</v>
      </c>
      <c r="S140" s="110" t="n">
        <v>5.1586979614637</v>
      </c>
      <c r="T140" s="110" t="n">
        <v>0</v>
      </c>
      <c r="U140" s="50" t="n">
        <v>83</v>
      </c>
      <c r="V140" s="112">
        <f>((O140+R140)*100)/N140</f>
        <v/>
      </c>
      <c r="W140" s="112">
        <f>((P140+S140)*100)/N140</f>
        <v/>
      </c>
      <c r="X140" s="112">
        <f>((Q140+T140)*100)/N140</f>
        <v/>
      </c>
    </row>
    <row r="141" ht="22.5" customHeight="1" s="150">
      <c r="A141" s="34" t="n">
        <v>139</v>
      </c>
      <c r="B141" s="109">
        <f>C141+D141+E141+F141+G141+H141</f>
        <v/>
      </c>
      <c r="C141" s="110" t="n">
        <v>69.6424224797599</v>
      </c>
      <c r="D141" s="110" t="n">
        <v>12.8967449036592</v>
      </c>
      <c r="E141" s="110" t="n">
        <v>7.73804694219555</v>
      </c>
      <c r="F141" s="110" t="n">
        <v>2.57934898073185</v>
      </c>
      <c r="G141" s="110" t="n">
        <v>28.3728387880503</v>
      </c>
      <c r="H141" s="110" t="n">
        <v>5.1586979614637</v>
      </c>
      <c r="I141" s="111">
        <f>(100*B141)/N141</f>
        <v/>
      </c>
      <c r="J141" s="112">
        <f>((C141+F141)*100)/B141</f>
        <v/>
      </c>
      <c r="K141" s="112">
        <f>((D141+G141)*100)/B141</f>
        <v/>
      </c>
      <c r="L141" s="112">
        <f>((E141+H141)*100)/B141</f>
        <v/>
      </c>
      <c r="M141" s="114">
        <f>N141-B140</f>
        <v/>
      </c>
      <c r="N141" s="109">
        <f>O141+P141+Q141+R141+S141+T141</f>
        <v/>
      </c>
      <c r="O141" s="110" t="n">
        <v>376.58495118685</v>
      </c>
      <c r="P141" s="110" t="n">
        <v>374.005602206118</v>
      </c>
      <c r="Q141" s="110" t="n">
        <v>77.3804694219555</v>
      </c>
      <c r="R141" s="110" t="n">
        <v>108.332657190737</v>
      </c>
      <c r="S141" s="110" t="n">
        <v>59.3250265568325</v>
      </c>
      <c r="T141" s="110" t="n">
        <v>23.2141408265866</v>
      </c>
      <c r="U141" s="50" t="n">
        <v>103</v>
      </c>
      <c r="V141" s="112">
        <f>((O141+R141)*100)/N141</f>
        <v/>
      </c>
      <c r="W141" s="112">
        <f>((P141+S141)*100)/N141</f>
        <v/>
      </c>
      <c r="X141" s="112">
        <f>((Q141+T141)*100)/N141</f>
        <v/>
      </c>
    </row>
    <row r="142" ht="22.5" customHeight="1" s="150">
      <c r="A142" s="34" t="n">
        <v>140</v>
      </c>
      <c r="B142" s="109">
        <f>C142+D142+E142+F142+G142+H142</f>
        <v/>
      </c>
      <c r="C142" s="110" t="n">
        <v>201.189220497084</v>
      </c>
      <c r="D142" s="110" t="n">
        <v>30.9521877687822</v>
      </c>
      <c r="E142" s="110" t="n">
        <v>38.6902347109777</v>
      </c>
      <c r="F142" s="110" t="n">
        <v>196.03052253562</v>
      </c>
      <c r="G142" s="110" t="n">
        <v>18.0554428651229</v>
      </c>
      <c r="H142" s="110" t="n">
        <v>7.73804694219555</v>
      </c>
      <c r="I142" s="111">
        <f>(100*B142)/N142</f>
        <v/>
      </c>
      <c r="J142" s="112">
        <f>((C142+F142)*100)/B142</f>
        <v/>
      </c>
      <c r="K142" s="112">
        <f>((D142+G142)*100)/B142</f>
        <v/>
      </c>
      <c r="L142" s="112">
        <f>((E142+H142)*100)/B142</f>
        <v/>
      </c>
      <c r="M142" s="114">
        <f>N142-B141</f>
        <v/>
      </c>
      <c r="N142" s="109">
        <f>O142+P142+Q142+R142+S142+T142</f>
        <v/>
      </c>
      <c r="O142" s="110" t="n">
        <v>296.625132784162</v>
      </c>
      <c r="P142" s="110" t="n">
        <v>345.632763418067</v>
      </c>
      <c r="Q142" s="110" t="n">
        <v>74.8011204412236</v>
      </c>
      <c r="R142" s="110" t="n">
        <v>967.255867774443</v>
      </c>
      <c r="S142" s="110" t="n">
        <v>936.303680005661</v>
      </c>
      <c r="T142" s="110" t="n">
        <v>221.824012342939</v>
      </c>
      <c r="U142" s="50" t="n">
        <v>181</v>
      </c>
      <c r="V142" s="112">
        <f>((O142+R142)*100)/N142</f>
        <v/>
      </c>
      <c r="W142" s="112">
        <f>((P142+S142)*100)/N142</f>
        <v/>
      </c>
      <c r="X142" s="112">
        <f>((Q142+T142)*100)/N142</f>
        <v/>
      </c>
    </row>
    <row r="143" ht="22.5" customHeight="1" s="150">
      <c r="A143" s="34" t="n">
        <v>141</v>
      </c>
      <c r="B143" s="109">
        <f>C143+D143+E143+F143+G143+H143</f>
        <v/>
      </c>
      <c r="C143" s="110" t="n">
        <v>41.2695836917096</v>
      </c>
      <c r="D143" s="110" t="n">
        <v>15.4760938843911</v>
      </c>
      <c r="E143" s="110" t="n">
        <v>0</v>
      </c>
      <c r="F143" s="110" t="n">
        <v>12.8967449036592</v>
      </c>
      <c r="G143" s="110" t="n">
        <v>5.1586979614637</v>
      </c>
      <c r="H143" s="110" t="n">
        <v>0</v>
      </c>
      <c r="I143" s="111">
        <f>(100*B143)/N143</f>
        <v/>
      </c>
      <c r="J143" s="112">
        <f>((C143+F143)*100)/B143</f>
        <v/>
      </c>
      <c r="K143" s="112">
        <f>((D143+G143)*100)/B143</f>
        <v/>
      </c>
      <c r="L143" s="112">
        <f>((E143+H143)*100)/B143</f>
        <v/>
      </c>
      <c r="M143" s="114">
        <f>N143-B142</f>
        <v/>
      </c>
      <c r="N143" s="109">
        <f>O143+P143+Q143+R143+S143+T143</f>
        <v/>
      </c>
      <c r="O143" s="110" t="n">
        <v>332.736018514408</v>
      </c>
      <c r="P143" s="110" t="n">
        <v>343.053414437336</v>
      </c>
      <c r="Q143" s="110" t="n">
        <v>95.43591228707839</v>
      </c>
      <c r="R143" s="110" t="n">
        <v>108.332657190737</v>
      </c>
      <c r="S143" s="110" t="n">
        <v>79.9598184026873</v>
      </c>
      <c r="T143" s="110" t="n">
        <v>23.2141408265866</v>
      </c>
      <c r="U143" s="50" t="n">
        <v>116</v>
      </c>
      <c r="V143" s="112">
        <f>((O143+R143)*100)/N143</f>
        <v/>
      </c>
      <c r="W143" s="112">
        <f>((P143+S143)*100)/N143</f>
        <v/>
      </c>
      <c r="X143" s="112">
        <f>((Q143+T143)*100)/N143</f>
        <v/>
      </c>
    </row>
    <row r="144" ht="22.5" customHeight="1" s="150">
      <c r="A144" s="34" t="n">
        <v>142</v>
      </c>
      <c r="B144" s="109">
        <f>C144+D144+E144+F144+G144+H144</f>
        <v/>
      </c>
      <c r="C144" s="110" t="n">
        <v>74.8011204412236</v>
      </c>
      <c r="D144" s="110" t="n">
        <v>5.1586979614637</v>
      </c>
      <c r="E144" s="110" t="n">
        <v>5.1586979614637</v>
      </c>
      <c r="F144" s="110" t="n">
        <v>10.3173959229274</v>
      </c>
      <c r="G144" s="110" t="n">
        <v>7.73804694219555</v>
      </c>
      <c r="H144" s="110" t="n">
        <v>0</v>
      </c>
      <c r="I144" s="111">
        <f>(100*B144)/N144</f>
        <v/>
      </c>
      <c r="J144" s="112">
        <f>((C144+F144)*100)/B144</f>
        <v/>
      </c>
      <c r="K144" s="112">
        <f>((D144+G144)*100)/B144</f>
        <v/>
      </c>
      <c r="L144" s="112">
        <f>((E144+H144)*100)/B144</f>
        <v/>
      </c>
      <c r="M144" s="114">
        <f>N144-B143</f>
        <v/>
      </c>
      <c r="N144" s="109">
        <f>O144+P144+Q144+R144+S144+T144</f>
        <v/>
      </c>
      <c r="O144" s="110" t="n">
        <v>337.894716475872</v>
      </c>
      <c r="P144" s="110" t="n">
        <v>361.108857302459</v>
      </c>
      <c r="Q144" s="110" t="n">
        <v>95.43591228707839</v>
      </c>
      <c r="R144" s="110" t="n">
        <v>201.189220497084</v>
      </c>
      <c r="S144" s="110" t="n">
        <v>167.65768374757</v>
      </c>
      <c r="T144" s="110" t="n">
        <v>54.1663285953688</v>
      </c>
      <c r="U144" s="50" t="n">
        <v>101</v>
      </c>
      <c r="V144" s="112">
        <f>((O144+R144)*100)/N144</f>
        <v/>
      </c>
      <c r="W144" s="112">
        <f>((P144+S144)*100)/N144</f>
        <v/>
      </c>
      <c r="X144" s="112">
        <f>((Q144+T144)*100)/N144</f>
        <v/>
      </c>
    </row>
    <row r="145" ht="22.5" customHeight="1" s="150">
      <c r="A145" s="34" t="n">
        <v>143</v>
      </c>
      <c r="B145" s="109">
        <f>C145+D145+E145+F145+G145+H145</f>
        <v/>
      </c>
      <c r="C145" s="110" t="n">
        <v>2.57934898073185</v>
      </c>
      <c r="D145" s="110" t="n">
        <v>25.7934898073184</v>
      </c>
      <c r="E145" s="110" t="n">
        <v>25.7934898073184</v>
      </c>
      <c r="F145" s="110" t="n">
        <v>2.57934898073185</v>
      </c>
      <c r="G145" s="110" t="n">
        <v>5.1586979614637</v>
      </c>
      <c r="H145" s="110" t="n">
        <v>0</v>
      </c>
      <c r="I145" s="111">
        <f>(100*B145)/N145</f>
        <v/>
      </c>
      <c r="J145" s="112">
        <f>((C145+F145)*100)/B145</f>
        <v/>
      </c>
      <c r="K145" s="112">
        <f>((D145+G145)*100)/B145</f>
        <v/>
      </c>
      <c r="L145" s="112">
        <f>((E145+H145)*100)/B145</f>
        <v/>
      </c>
      <c r="M145" s="114">
        <f>N145-B144</f>
        <v/>
      </c>
      <c r="N145" s="109">
        <f>O145+P145+Q145+R145+S145+T145</f>
        <v/>
      </c>
      <c r="O145" s="110" t="n">
        <v>366.267555263922</v>
      </c>
      <c r="P145" s="110" t="n">
        <v>355.950159340995</v>
      </c>
      <c r="Q145" s="110" t="n">
        <v>100.594610248542</v>
      </c>
      <c r="R145" s="110" t="n">
        <v>33.531536749514</v>
      </c>
      <c r="S145" s="110" t="n">
        <v>25.7934898073184</v>
      </c>
      <c r="T145" s="110" t="n">
        <v>0</v>
      </c>
      <c r="U145" s="50" t="n">
        <v>88</v>
      </c>
      <c r="V145" s="112">
        <f>((O145+R145)*100)/N145</f>
        <v/>
      </c>
      <c r="W145" s="112">
        <f>((P145+S145)*100)/N145</f>
        <v/>
      </c>
      <c r="X145" s="112">
        <f>((Q145+T145)*100)/N145</f>
        <v/>
      </c>
    </row>
    <row r="146" ht="22.5" customHeight="1" s="150">
      <c r="A146" s="34" t="n">
        <v>144</v>
      </c>
      <c r="B146" s="109">
        <f>C146+D146+E146+F146+G146+H146</f>
        <v/>
      </c>
      <c r="C146" s="110" t="n">
        <v>12.8967449036592</v>
      </c>
      <c r="D146" s="110" t="n">
        <v>0</v>
      </c>
      <c r="E146" s="110" t="n">
        <v>0</v>
      </c>
      <c r="F146" s="110" t="n">
        <v>0</v>
      </c>
      <c r="G146" s="110" t="n">
        <v>0</v>
      </c>
      <c r="H146" s="110" t="n">
        <v>0</v>
      </c>
      <c r="I146" s="111">
        <f>(100*B146)/N146</f>
        <v/>
      </c>
      <c r="J146" s="112">
        <f>((C146+F146)*100)/B146</f>
        <v/>
      </c>
      <c r="K146" s="112">
        <f>((D146+G146)*100)/B146</f>
        <v/>
      </c>
      <c r="L146" s="112">
        <f>((E146+H146)*100)/B146</f>
        <v/>
      </c>
      <c r="M146" s="114">
        <f>N146-B145</f>
        <v/>
      </c>
      <c r="N146" s="109">
        <f>O146+P146+Q146+R146+S146+T146</f>
        <v/>
      </c>
      <c r="O146" s="110" t="n">
        <v>358.529508321727</v>
      </c>
      <c r="P146" s="110" t="n">
        <v>366.267555263922</v>
      </c>
      <c r="Q146" s="110" t="n">
        <v>100.594610248542</v>
      </c>
      <c r="R146" s="110" t="n">
        <v>0</v>
      </c>
      <c r="S146" s="110" t="n">
        <v>0</v>
      </c>
      <c r="T146" s="110" t="n">
        <v>0</v>
      </c>
      <c r="U146" s="50" t="n">
        <v>75</v>
      </c>
      <c r="V146" s="112">
        <f>((O146+R146)*100)/N146</f>
        <v/>
      </c>
      <c r="W146" s="112">
        <f>((P146+S146)*100)/N146</f>
        <v/>
      </c>
      <c r="X146" s="112">
        <f>((Q146+T146)*100)/N146</f>
        <v/>
      </c>
    </row>
    <row r="147" ht="22.5" customHeight="1" s="150">
      <c r="A147" s="34" t="n">
        <v>145</v>
      </c>
      <c r="B147" s="109">
        <f>C147+D147+E147+F147+G147+H147</f>
        <v/>
      </c>
      <c r="C147" s="110" t="n">
        <v>79.9598184026873</v>
      </c>
      <c r="D147" s="110" t="n">
        <v>2.57934898073185</v>
      </c>
      <c r="E147" s="110" t="n">
        <v>2.57934898073185</v>
      </c>
      <c r="F147" s="110" t="n">
        <v>2.57934898073185</v>
      </c>
      <c r="G147" s="110" t="n">
        <v>0</v>
      </c>
      <c r="H147" s="110" t="n">
        <v>5.1586979614637</v>
      </c>
      <c r="I147" s="111">
        <f>(100*B147)/N147</f>
        <v/>
      </c>
      <c r="J147" s="112">
        <f>((C147+F147)*100)/B147</f>
        <v/>
      </c>
      <c r="K147" s="112">
        <f>((D147+G147)*100)/B147</f>
        <v/>
      </c>
      <c r="L147" s="112">
        <f>((E147+H147)*100)/B147</f>
        <v/>
      </c>
      <c r="M147" s="114">
        <f>N147-B146</f>
        <v/>
      </c>
      <c r="N147" s="109">
        <f>O147+P147+Q147+R147+S147+T147</f>
        <v/>
      </c>
      <c r="O147" s="110" t="n">
        <v>361.108857302459</v>
      </c>
      <c r="P147" s="110" t="n">
        <v>371.426253225386</v>
      </c>
      <c r="Q147" s="110" t="n">
        <v>95.43591228707839</v>
      </c>
      <c r="R147" s="110" t="n">
        <v>229.562059285134</v>
      </c>
      <c r="S147" s="110" t="n">
        <v>128.967449036592</v>
      </c>
      <c r="T147" s="110" t="n">
        <v>69.6424224797599</v>
      </c>
      <c r="U147" s="50" t="n">
        <v>111</v>
      </c>
      <c r="V147" s="112">
        <f>((O147+R147)*100)/N147</f>
        <v/>
      </c>
      <c r="W147" s="112">
        <f>((P147+S147)*100)/N147</f>
        <v/>
      </c>
      <c r="X147" s="112">
        <f>((Q147+T147)*100)/N147</f>
        <v/>
      </c>
    </row>
    <row r="148" ht="22.5" customHeight="1" s="150">
      <c r="A148" s="34" t="n">
        <v>146</v>
      </c>
      <c r="B148" s="109">
        <f>C148+D148+E148+F148+G148+H148</f>
        <v/>
      </c>
      <c r="C148" s="110" t="n">
        <v>25.7934898073184</v>
      </c>
      <c r="D148" s="110" t="n">
        <v>2.57934898073185</v>
      </c>
      <c r="E148" s="110" t="n">
        <v>0</v>
      </c>
      <c r="F148" s="110" t="n">
        <v>2.57934898073185</v>
      </c>
      <c r="G148" s="110" t="n">
        <v>5.1586979614637</v>
      </c>
      <c r="H148" s="110" t="n">
        <v>0</v>
      </c>
      <c r="I148" s="111">
        <f>(100*B148)/N148</f>
        <v/>
      </c>
      <c r="J148" s="112">
        <f>((C148+F148)*100)/B148</f>
        <v/>
      </c>
      <c r="K148" s="112">
        <f>((D148+G148)*100)/B148</f>
        <v/>
      </c>
      <c r="L148" s="112">
        <f>((E148+H148)*100)/B148</f>
        <v/>
      </c>
      <c r="M148" s="114">
        <f>N148-B147</f>
        <v/>
      </c>
      <c r="N148" s="109">
        <f>O148+P148+Q148+R148+S148+T148</f>
        <v/>
      </c>
      <c r="O148" s="110" t="n">
        <v>384.322998129045</v>
      </c>
      <c r="P148" s="110" t="n">
        <v>374.005602206118</v>
      </c>
      <c r="Q148" s="110" t="n">
        <v>92.8565633063466</v>
      </c>
      <c r="R148" s="110" t="n">
        <v>5.1586979614637</v>
      </c>
      <c r="S148" s="110" t="n">
        <v>10.3173959229274</v>
      </c>
      <c r="T148" s="110" t="n">
        <v>0</v>
      </c>
      <c r="U148" s="50" t="n">
        <v>85</v>
      </c>
      <c r="V148" s="112">
        <f>((O148+R148)*100)/N148</f>
        <v/>
      </c>
      <c r="W148" s="112">
        <f>((P148+S148)*100)/N148</f>
        <v/>
      </c>
      <c r="X148" s="112">
        <f>((Q148+T148)*100)/N148</f>
        <v/>
      </c>
    </row>
    <row r="149" ht="22.5" customHeight="1" s="150">
      <c r="A149" s="34" t="n">
        <v>147</v>
      </c>
      <c r="B149" s="109">
        <f>C149+D149+E149+F149+G149+H149</f>
        <v/>
      </c>
      <c r="C149" s="110" t="n">
        <v>51.5869796146369</v>
      </c>
      <c r="D149" s="110" t="n">
        <v>38.6902347109777</v>
      </c>
      <c r="E149" s="110" t="n">
        <v>30.9521877687822</v>
      </c>
      <c r="F149" s="110" t="n">
        <v>100.594610248542</v>
      </c>
      <c r="G149" s="110" t="n">
        <v>67.06307349902811</v>
      </c>
      <c r="H149" s="110" t="n">
        <v>38.6902347109777</v>
      </c>
      <c r="I149" s="111">
        <f>(100*B149)/N149</f>
        <v/>
      </c>
      <c r="J149" s="112">
        <f>((C149+F149)*100)/B149</f>
        <v/>
      </c>
      <c r="K149" s="112">
        <f>((D149+G149)*100)/B149</f>
        <v/>
      </c>
      <c r="L149" s="112">
        <f>((E149+H149)*100)/B149</f>
        <v/>
      </c>
      <c r="M149" s="114">
        <f>N149-B148</f>
        <v/>
      </c>
      <c r="N149" s="109">
        <f>O149+P149+Q149+R149+S149+T149</f>
        <v/>
      </c>
      <c r="O149" s="110" t="n">
        <v>402.378440994168</v>
      </c>
      <c r="P149" s="110" t="n">
        <v>317.259924630017</v>
      </c>
      <c r="Q149" s="110" t="n">
        <v>100.594610248542</v>
      </c>
      <c r="R149" s="110" t="n">
        <v>1284.51579240446</v>
      </c>
      <c r="S149" s="110" t="n">
        <v>1191.65922909811</v>
      </c>
      <c r="T149" s="110" t="n">
        <v>531.345890030761</v>
      </c>
      <c r="U149" s="50" t="n">
        <v>175</v>
      </c>
      <c r="V149" s="112">
        <f>((O149+R149)*100)/N149</f>
        <v/>
      </c>
      <c r="W149" s="112">
        <f>((P149+S149)*100)/N149</f>
        <v/>
      </c>
      <c r="X149" s="112">
        <f>((Q149+T149)*100)/N149</f>
        <v/>
      </c>
    </row>
    <row r="150" ht="22.5" customHeight="1" s="150">
      <c r="A150" s="34" t="n">
        <v>148</v>
      </c>
      <c r="B150" s="109">
        <f>C150+D150+E150+F150+G150+H150</f>
        <v/>
      </c>
      <c r="C150" s="110" t="n">
        <v>18.0554428651229</v>
      </c>
      <c r="D150" s="110" t="n">
        <v>0</v>
      </c>
      <c r="E150" s="110" t="n">
        <v>0</v>
      </c>
      <c r="F150" s="110" t="n">
        <v>0</v>
      </c>
      <c r="G150" s="110" t="n">
        <v>0</v>
      </c>
      <c r="H150" s="110" t="n">
        <v>0</v>
      </c>
      <c r="I150" s="111">
        <f>(100*B150)/N150</f>
        <v/>
      </c>
      <c r="J150" s="112">
        <f>((C150+F150)*100)/B150</f>
        <v/>
      </c>
      <c r="K150" s="112">
        <f>((D150+G150)*100)/B150</f>
        <v/>
      </c>
      <c r="L150" s="112">
        <f>((E150+H150)*100)/B150</f>
        <v/>
      </c>
      <c r="M150" s="114">
        <f>N150-B149</f>
        <v/>
      </c>
      <c r="N150" s="109">
        <f>O150+P150+Q150+R150+S150+T150</f>
        <v/>
      </c>
      <c r="O150" s="110" t="n">
        <v>392.061045071241</v>
      </c>
      <c r="P150" s="110" t="n">
        <v>324.997971572213</v>
      </c>
      <c r="Q150" s="110" t="n">
        <v>100.594610248542</v>
      </c>
      <c r="R150" s="110" t="n">
        <v>92.8565633063466</v>
      </c>
      <c r="S150" s="110" t="n">
        <v>41.2695836917096</v>
      </c>
      <c r="T150" s="110" t="n">
        <v>23.2141408265866</v>
      </c>
      <c r="U150" s="50" t="n">
        <v>85</v>
      </c>
      <c r="V150" s="112">
        <f>((O150+R150)*100)/N150</f>
        <v/>
      </c>
      <c r="W150" s="112">
        <f>((P150+S150)*100)/N150</f>
        <v/>
      </c>
      <c r="X150" s="112">
        <f>((Q150+T150)*100)/N150</f>
        <v/>
      </c>
    </row>
    <row r="151" ht="22.5" customHeight="1" s="150">
      <c r="A151" s="34" t="n">
        <v>149</v>
      </c>
      <c r="B151" s="109">
        <f>C151+D151+E151+F151+G151+H151</f>
        <v/>
      </c>
      <c r="C151" s="110" t="n">
        <v>56.7456775761007</v>
      </c>
      <c r="D151" s="110" t="n">
        <v>5.1586979614637</v>
      </c>
      <c r="E151" s="110" t="n">
        <v>15.4760938843911</v>
      </c>
      <c r="F151" s="110" t="n">
        <v>0</v>
      </c>
      <c r="G151" s="110" t="n">
        <v>0</v>
      </c>
      <c r="H151" s="110" t="n">
        <v>0</v>
      </c>
      <c r="I151" s="111">
        <f>(100*B151)/N151</f>
        <v/>
      </c>
      <c r="J151" s="112">
        <f>((C151+F151)*100)/B151</f>
        <v/>
      </c>
      <c r="K151" s="112">
        <f>((D151+G151)*100)/B151</f>
        <v/>
      </c>
      <c r="L151" s="112">
        <f>((E151+H151)*100)/B151</f>
        <v/>
      </c>
      <c r="M151" s="114">
        <f>N151-B150</f>
        <v/>
      </c>
      <c r="N151" s="109">
        <f>O151+P151+Q151+R151+S151+T151</f>
        <v/>
      </c>
      <c r="O151" s="110" t="n">
        <v>381.743649148313</v>
      </c>
      <c r="P151" s="110" t="n">
        <v>324.997971572213</v>
      </c>
      <c r="Q151" s="110" t="n">
        <v>105.753308210005</v>
      </c>
      <c r="R151" s="110" t="n">
        <v>38.6902347109777</v>
      </c>
      <c r="S151" s="110" t="n">
        <v>46.4282816531733</v>
      </c>
      <c r="T151" s="110" t="n">
        <v>10.3173959229274</v>
      </c>
      <c r="U151" s="50" t="n">
        <v>90</v>
      </c>
      <c r="V151" s="112">
        <f>((O151+R151)*100)/N151</f>
        <v/>
      </c>
      <c r="W151" s="112">
        <f>((P151+S151)*100)/N151</f>
        <v/>
      </c>
      <c r="X151" s="112">
        <f>((Q151+T151)*100)/N151</f>
        <v/>
      </c>
    </row>
    <row r="152" ht="22.5" customHeight="1" s="150">
      <c r="A152" s="34" t="n">
        <v>150</v>
      </c>
      <c r="B152" s="115">
        <f>C152+D152+E152+F152+G152+H152</f>
        <v/>
      </c>
      <c r="C152" s="50" t="n">
        <v>77.3804694219555</v>
      </c>
      <c r="D152" s="50" t="n">
        <v>2.57934898073185</v>
      </c>
      <c r="E152" s="50" t="n">
        <v>10.3173959229274</v>
      </c>
      <c r="F152" s="50" t="n">
        <v>18.0554428651229</v>
      </c>
      <c r="G152" s="50" t="n">
        <v>0</v>
      </c>
      <c r="H152" s="50" t="n">
        <v>0</v>
      </c>
      <c r="I152" s="111">
        <f>(100*B152)/N152</f>
        <v/>
      </c>
      <c r="J152" s="112">
        <f>((C152+F152)*100)/B152</f>
        <v/>
      </c>
      <c r="K152" s="112">
        <f>((D152+G152)*100)/B152</f>
        <v/>
      </c>
      <c r="L152" s="112">
        <f>((E152+H152)*100)/B152</f>
        <v/>
      </c>
      <c r="M152" s="114">
        <f>N152-B151</f>
        <v/>
      </c>
      <c r="N152" s="115">
        <f>O152+P152+Q152+R152+S152+T152</f>
        <v/>
      </c>
      <c r="O152" s="50" t="n">
        <v>361.108857302459</v>
      </c>
      <c r="P152" s="50" t="n">
        <v>330.156669533676</v>
      </c>
      <c r="Q152" s="50" t="n">
        <v>98.0152612678103</v>
      </c>
      <c r="R152" s="50" t="n">
        <v>224.40336132367</v>
      </c>
      <c r="S152" s="50" t="n">
        <v>237.30010622733</v>
      </c>
      <c r="T152" s="50" t="n">
        <v>43.8489326724414</v>
      </c>
      <c r="U152" s="50" t="n">
        <v>111</v>
      </c>
      <c r="V152" s="112">
        <f>((O152+R152)*100)/N152</f>
        <v/>
      </c>
      <c r="W152" s="112">
        <f>((P152+S152)*100)/N152</f>
        <v/>
      </c>
      <c r="X152" s="112">
        <f>((Q152+T152)*100)/N152</f>
        <v/>
      </c>
    </row>
    <row r="153" ht="22.5" customHeight="1" s="150">
      <c r="A153" s="34" t="n">
        <v>151</v>
      </c>
      <c r="B153" s="115">
        <f>C153+D153+E153+F153+G153+H153</f>
        <v/>
      </c>
      <c r="C153" s="50" t="n">
        <v>74.8011204412236</v>
      </c>
      <c r="D153" s="50" t="n">
        <v>15.4760938843911</v>
      </c>
      <c r="E153" s="50" t="n">
        <v>15.4760938843911</v>
      </c>
      <c r="F153" s="50" t="n">
        <v>30.9521877687822</v>
      </c>
      <c r="G153" s="50" t="n">
        <v>25.7934898073184</v>
      </c>
      <c r="H153" s="50" t="n">
        <v>5.1586979614637</v>
      </c>
      <c r="I153" s="111">
        <f>(100*B153)/N153</f>
        <v/>
      </c>
      <c r="J153" s="112">
        <f>((C153+F153)*100)/B153</f>
        <v/>
      </c>
      <c r="K153" s="112">
        <f>((D153+G153)*100)/B153</f>
        <v/>
      </c>
      <c r="L153" s="112">
        <f>((E153+H153)*100)/B153</f>
        <v/>
      </c>
      <c r="M153" s="113">
        <f>N153-B152</f>
        <v/>
      </c>
      <c r="N153" s="115">
        <f>O153+P153+Q153+R153+S153+T153</f>
        <v/>
      </c>
      <c r="O153" s="50" t="n">
        <v>337.894716475872</v>
      </c>
      <c r="P153" s="50" t="n">
        <v>309.521877687822</v>
      </c>
      <c r="Q153" s="50" t="n">
        <v>95.43591228707839</v>
      </c>
      <c r="R153" s="50" t="n">
        <v>404.9577899749</v>
      </c>
      <c r="S153" s="50" t="n">
        <v>283.728387880503</v>
      </c>
      <c r="T153" s="50" t="n">
        <v>61.9043755375644</v>
      </c>
      <c r="U153" s="50" t="n">
        <v>160</v>
      </c>
      <c r="V153" s="112">
        <f>((O153+R153)*100)/N153</f>
        <v/>
      </c>
      <c r="W153" s="112">
        <f>((P153+S153)*100)/N153</f>
        <v/>
      </c>
      <c r="X153" s="112">
        <f>((Q153+T153)*100)/N153</f>
        <v/>
      </c>
    </row>
    <row r="154" ht="22.5" customHeight="1" s="150">
      <c r="A154" s="34" t="n">
        <v>152</v>
      </c>
      <c r="B154" s="115">
        <f>C154+D154+E154+F154+G154+H154</f>
        <v/>
      </c>
      <c r="C154" s="50" t="n">
        <v>92.8565633063466</v>
      </c>
      <c r="D154" s="50" t="n">
        <v>0</v>
      </c>
      <c r="E154" s="50" t="n">
        <v>12.8967449036592</v>
      </c>
      <c r="F154" s="50" t="n">
        <v>2.57934898073185</v>
      </c>
      <c r="G154" s="50" t="n">
        <v>0</v>
      </c>
      <c r="H154" s="50" t="n">
        <v>0</v>
      </c>
      <c r="I154" s="111">
        <f>(100*B154)/N154</f>
        <v/>
      </c>
      <c r="J154" s="112">
        <f>((C154+F154)*100)/B154</f>
        <v/>
      </c>
      <c r="K154" s="112">
        <f>((D154+G154)*100)/B154</f>
        <v/>
      </c>
      <c r="L154" s="112">
        <f>((E154+H154)*100)/B154</f>
        <v/>
      </c>
      <c r="M154" s="113">
        <f>N154-B153</f>
        <v/>
      </c>
      <c r="N154" s="115">
        <f>O154+P154+Q154+R154+S154+T154</f>
        <v/>
      </c>
      <c r="O154" s="50" t="n">
        <v>304.363179726358</v>
      </c>
      <c r="P154" s="50" t="n">
        <v>317.259924630017</v>
      </c>
      <c r="Q154" s="50" t="n">
        <v>85.11851636415101</v>
      </c>
      <c r="R154" s="50" t="n">
        <v>54.1663285953688</v>
      </c>
      <c r="S154" s="50" t="n">
        <v>51.5869796146369</v>
      </c>
      <c r="T154" s="50" t="n">
        <v>12.8967449036592</v>
      </c>
      <c r="U154" s="50" t="n">
        <v>88</v>
      </c>
      <c r="V154" s="112">
        <f>((O154+R154)*100)/N154</f>
        <v/>
      </c>
      <c r="W154" s="112">
        <f>((P154+S154)*100)/N154</f>
        <v/>
      </c>
      <c r="X154" s="112">
        <f>((Q154+T154)*100)/N154</f>
        <v/>
      </c>
    </row>
    <row r="155" ht="22.5" customHeight="1" s="150">
      <c r="A155" s="34" t="n">
        <v>153</v>
      </c>
      <c r="B155" s="115">
        <f>C155+D155+E155+F155+G155+H155</f>
        <v/>
      </c>
      <c r="C155" s="50" t="n">
        <v>2.57934898073185</v>
      </c>
      <c r="D155" s="50" t="n">
        <v>0</v>
      </c>
      <c r="E155" s="50" t="n">
        <v>0</v>
      </c>
      <c r="F155" s="50" t="n">
        <v>0</v>
      </c>
      <c r="G155" s="50" t="n">
        <v>0</v>
      </c>
      <c r="H155" s="50" t="n">
        <v>0</v>
      </c>
      <c r="I155" s="111">
        <f>(100*B155)/N155</f>
        <v/>
      </c>
      <c r="J155" s="112">
        <f>((C155+F155)*100)/B155</f>
        <v/>
      </c>
      <c r="K155" s="112">
        <f>((D155+G155)*100)/B155</f>
        <v/>
      </c>
      <c r="L155" s="112">
        <f>((E155+H155)*100)/B155</f>
        <v/>
      </c>
      <c r="M155" s="113">
        <f>N155-B154</f>
        <v/>
      </c>
      <c r="N155" s="115">
        <f>O155+P155+Q155+R155+S155+T155</f>
        <v/>
      </c>
      <c r="O155" s="50" t="n">
        <v>312.101226668553</v>
      </c>
      <c r="P155" s="50" t="n">
        <v>319.839273610749</v>
      </c>
      <c r="Q155" s="50" t="n">
        <v>82.5391673834192</v>
      </c>
      <c r="R155" s="50" t="n">
        <v>30.9521877687822</v>
      </c>
      <c r="S155" s="50" t="n">
        <v>23.2141408265866</v>
      </c>
      <c r="T155" s="50" t="n">
        <v>5.1586979614637</v>
      </c>
      <c r="U155" s="50" t="n">
        <v>72</v>
      </c>
      <c r="V155" s="112">
        <f>((O155+R155)*100)/N155</f>
        <v/>
      </c>
      <c r="W155" s="112">
        <f>((P155+S155)*100)/N155</f>
        <v/>
      </c>
      <c r="X155" s="112">
        <f>((Q155+T155)*100)/N155</f>
        <v/>
      </c>
    </row>
    <row r="156" ht="22.5" customHeight="1" s="150">
      <c r="A156" s="34" t="n">
        <v>154</v>
      </c>
      <c r="B156" s="115">
        <f>C156+D156+E156+F156+G156+H156</f>
        <v/>
      </c>
      <c r="C156" s="50" t="n">
        <v>121.229402094396</v>
      </c>
      <c r="D156" s="50" t="n">
        <v>10.3173959229274</v>
      </c>
      <c r="E156" s="50" t="n">
        <v>7.73804694219555</v>
      </c>
      <c r="F156" s="50" t="n">
        <v>18.0554428651229</v>
      </c>
      <c r="G156" s="50" t="n">
        <v>7.73804694219555</v>
      </c>
      <c r="H156" s="50" t="n">
        <v>0</v>
      </c>
      <c r="I156" s="111">
        <f>(100*B156)/N156</f>
        <v/>
      </c>
      <c r="J156" s="112">
        <f>((C156+F156)*100)/B156</f>
        <v/>
      </c>
      <c r="K156" s="112">
        <f>((D156+G156)*100)/B156</f>
        <v/>
      </c>
      <c r="L156" s="112">
        <f>((E156+H156)*100)/B156</f>
        <v/>
      </c>
      <c r="M156" s="113">
        <f>N156-B155</f>
        <v/>
      </c>
      <c r="N156" s="115">
        <f>O156+P156+Q156+R156+S156+T156</f>
        <v/>
      </c>
      <c r="O156" s="50" t="n">
        <v>348.212112398799</v>
      </c>
      <c r="P156" s="50" t="n">
        <v>324.997971572213</v>
      </c>
      <c r="Q156" s="50" t="n">
        <v>95.43591228707839</v>
      </c>
      <c r="R156" s="50" t="n">
        <v>203.768569477816</v>
      </c>
      <c r="S156" s="50" t="n">
        <v>250.196851130989</v>
      </c>
      <c r="T156" s="50" t="n">
        <v>51.5869796146369</v>
      </c>
      <c r="U156" s="50" t="n">
        <v>124</v>
      </c>
      <c r="V156" s="112">
        <f>((O156+R156)*100)/N156</f>
        <v/>
      </c>
      <c r="W156" s="112">
        <f>((P156+S156)*100)/N156</f>
        <v/>
      </c>
      <c r="X156" s="112">
        <f>((Q156+T156)*100)/N156</f>
        <v/>
      </c>
    </row>
    <row r="157" ht="22.5" customHeight="1" s="150">
      <c r="A157" s="34" t="n">
        <v>155</v>
      </c>
      <c r="B157" s="115">
        <f>C157+D157+E157+F157+G157+H157</f>
        <v/>
      </c>
      <c r="C157" s="50" t="n">
        <v>0</v>
      </c>
      <c r="D157" s="50" t="n">
        <v>0</v>
      </c>
      <c r="E157" s="50" t="n">
        <v>0</v>
      </c>
      <c r="F157" s="50" t="n">
        <v>0</v>
      </c>
      <c r="G157" s="50" t="n">
        <v>0</v>
      </c>
      <c r="H157" s="50" t="n">
        <v>0</v>
      </c>
      <c r="I157" s="111">
        <f>(100*B157)/N157</f>
        <v/>
      </c>
      <c r="J157" s="112">
        <f>((C157+F157)*100)/B157</f>
        <v/>
      </c>
      <c r="K157" s="112">
        <f>((D157+G157)*100)/B157</f>
        <v/>
      </c>
      <c r="L157" s="112">
        <f>((E157+H157)*100)/B157</f>
        <v/>
      </c>
      <c r="M157" s="113">
        <f>N157-B156</f>
        <v/>
      </c>
      <c r="N157" s="115">
        <f>O157+P157+Q157+R157+S157+T157</f>
        <v/>
      </c>
      <c r="O157" s="50" t="n">
        <v>358.529508321727</v>
      </c>
      <c r="P157" s="50" t="n">
        <v>330.156669533676</v>
      </c>
      <c r="Q157" s="50" t="n">
        <v>95.43591228707839</v>
      </c>
      <c r="R157" s="50" t="n">
        <v>0</v>
      </c>
      <c r="S157" s="50" t="n">
        <v>7.73804694219555</v>
      </c>
      <c r="T157" s="50" t="n">
        <v>12.8967449036592</v>
      </c>
      <c r="U157" s="50" t="n">
        <v>77</v>
      </c>
      <c r="V157" s="112">
        <f>((O157+R157)*100)/N157</f>
        <v/>
      </c>
      <c r="W157" s="112">
        <f>((P157+S157)*100)/N157</f>
        <v/>
      </c>
      <c r="X157" s="112">
        <f>((Q157+T157)*100)/N157</f>
        <v/>
      </c>
    </row>
    <row r="158" ht="22.5" customHeight="1" s="150">
      <c r="A158" s="34" t="n">
        <v>156</v>
      </c>
      <c r="B158" s="115">
        <f>C158+D158+E158+F158+G158+H158</f>
        <v/>
      </c>
      <c r="C158" s="50" t="n">
        <v>56.7456775761007</v>
      </c>
      <c r="D158" s="50" t="n">
        <v>10.3173959229274</v>
      </c>
      <c r="E158" s="50" t="n">
        <v>12.8967449036592</v>
      </c>
      <c r="F158" s="50" t="n">
        <v>0</v>
      </c>
      <c r="G158" s="50" t="n">
        <v>2.57934898073185</v>
      </c>
      <c r="H158" s="50" t="n">
        <v>2.57934898073185</v>
      </c>
      <c r="I158" s="111">
        <f>(100*B158)/N158</f>
        <v/>
      </c>
      <c r="J158" s="112">
        <f>((C158+F158)*100)/B158</f>
        <v/>
      </c>
      <c r="K158" s="112">
        <f>((D158+G158)*100)/B158</f>
        <v/>
      </c>
      <c r="L158" s="112">
        <f>((E158+H158)*100)/B158</f>
        <v/>
      </c>
      <c r="M158" s="113">
        <f>N158-B157</f>
        <v/>
      </c>
      <c r="N158" s="115">
        <f>O158+P158+Q158+R158+S158+T158</f>
        <v/>
      </c>
      <c r="O158" s="50" t="n">
        <v>314.680575649285</v>
      </c>
      <c r="P158" s="50" t="n">
        <v>314.680575649285</v>
      </c>
      <c r="Q158" s="50" t="n">
        <v>90.27721432561469</v>
      </c>
      <c r="R158" s="50" t="n">
        <v>46.4282816531733</v>
      </c>
      <c r="S158" s="50" t="n">
        <v>30.9521877687822</v>
      </c>
      <c r="T158" s="50" t="n">
        <v>12.8967449036592</v>
      </c>
      <c r="U158" s="50" t="n">
        <v>77</v>
      </c>
      <c r="V158" s="112">
        <f>((O158+R158)*100)/N158</f>
        <v/>
      </c>
      <c r="W158" s="112">
        <f>((P158+S158)*100)/N158</f>
        <v/>
      </c>
      <c r="X158" s="112">
        <f>((Q158+T158)*100)/N158</f>
        <v/>
      </c>
    </row>
    <row r="159" ht="22.5" customHeight="1" s="150">
      <c r="A159" s="34" t="n">
        <v>157</v>
      </c>
      <c r="B159" s="115">
        <f>C159+D159+E159+F159+G159+H159</f>
        <v/>
      </c>
      <c r="C159" s="50" t="n">
        <v>7.73804694219555</v>
      </c>
      <c r="D159" s="50" t="n">
        <v>18.0554428651229</v>
      </c>
      <c r="E159" s="50" t="n">
        <v>18.0554428651229</v>
      </c>
      <c r="F159" s="50" t="n">
        <v>7.73804694219555</v>
      </c>
      <c r="G159" s="50" t="n">
        <v>12.8967449036592</v>
      </c>
      <c r="H159" s="50" t="n">
        <v>0</v>
      </c>
      <c r="I159" s="111">
        <f>(100*B159)/N159</f>
        <v/>
      </c>
      <c r="J159" s="112">
        <f>((C159+F159)*100)/B159</f>
        <v/>
      </c>
      <c r="K159" s="112">
        <f>((D159+G159)*100)/B159</f>
        <v/>
      </c>
      <c r="L159" s="112">
        <f>((E159+H159)*100)/B159</f>
        <v/>
      </c>
      <c r="M159" s="113">
        <f>N159-B158</f>
        <v/>
      </c>
      <c r="N159" s="115">
        <f>O159+P159+Q159+R159+S159+T159</f>
        <v/>
      </c>
      <c r="O159" s="50" t="n">
        <v>319.839273610749</v>
      </c>
      <c r="P159" s="50" t="n">
        <v>283.728387880503</v>
      </c>
      <c r="Q159" s="50" t="n">
        <v>85.11851636415101</v>
      </c>
      <c r="R159" s="50" t="n">
        <v>237.30010622733</v>
      </c>
      <c r="S159" s="50" t="n">
        <v>211.506616420011</v>
      </c>
      <c r="T159" s="50" t="n">
        <v>25.7934898073184</v>
      </c>
      <c r="U159" s="50" t="n">
        <v>103</v>
      </c>
      <c r="V159" s="112">
        <f>((O159+R159)*100)/N159</f>
        <v/>
      </c>
      <c r="W159" s="112">
        <f>((P159+S159)*100)/N159</f>
        <v/>
      </c>
      <c r="X159" s="112">
        <f>((Q159+T159)*100)/N159</f>
        <v/>
      </c>
    </row>
    <row r="160" ht="22.5" customHeight="1" s="150">
      <c r="A160" s="34" t="n">
        <v>158</v>
      </c>
      <c r="B160" s="115">
        <f>C160+D160+E160+F160+G160+H160</f>
        <v/>
      </c>
      <c r="C160" s="50" t="n">
        <v>30.9521877687822</v>
      </c>
      <c r="D160" s="50" t="n">
        <v>5.1586979614637</v>
      </c>
      <c r="E160" s="50" t="n">
        <v>0</v>
      </c>
      <c r="F160" s="50" t="n">
        <v>0</v>
      </c>
      <c r="G160" s="50" t="n">
        <v>0</v>
      </c>
      <c r="H160" s="50" t="n">
        <v>0</v>
      </c>
      <c r="I160" s="111">
        <f>(100*B160)/N160</f>
        <v/>
      </c>
      <c r="J160" s="112">
        <f>((C160+F160)*100)/B160</f>
        <v/>
      </c>
      <c r="K160" s="112">
        <f>((D160+G160)*100)/B160</f>
        <v/>
      </c>
      <c r="L160" s="112">
        <f>((E160+H160)*100)/B160</f>
        <v/>
      </c>
      <c r="M160" s="113">
        <f>N160-B159</f>
        <v/>
      </c>
      <c r="N160" s="115">
        <f>O160+P160+Q160+R160+S160+T160</f>
        <v/>
      </c>
      <c r="O160" s="50" t="n">
        <v>306.94252870709</v>
      </c>
      <c r="P160" s="50" t="n">
        <v>278.569689919039</v>
      </c>
      <c r="Q160" s="50" t="n">
        <v>85.11851636415101</v>
      </c>
      <c r="R160" s="50" t="n">
        <v>36.1108857302459</v>
      </c>
      <c r="S160" s="50" t="n">
        <v>36.1108857302459</v>
      </c>
      <c r="T160" s="50" t="n">
        <v>10.3173959229274</v>
      </c>
      <c r="U160" s="50" t="n">
        <v>90</v>
      </c>
      <c r="V160" s="112">
        <f>((O160+R160)*100)/N160</f>
        <v/>
      </c>
      <c r="W160" s="112">
        <f>((P160+S160)*100)/N160</f>
        <v/>
      </c>
      <c r="X160" s="112">
        <f>((Q160+T160)*100)/N160</f>
        <v/>
      </c>
    </row>
    <row r="161" ht="22.5" customHeight="1" s="150">
      <c r="A161" s="34" t="n">
        <v>159</v>
      </c>
      <c r="B161" s="115">
        <f>C161+D161+E161+F161+G161+H161</f>
        <v/>
      </c>
      <c r="C161" s="50" t="n">
        <v>15.4760938843911</v>
      </c>
      <c r="D161" s="50" t="n">
        <v>46.4282816531733</v>
      </c>
      <c r="E161" s="50" t="n">
        <v>56.7456775761007</v>
      </c>
      <c r="F161" s="50" t="n">
        <v>46.4282816531733</v>
      </c>
      <c r="G161" s="50" t="n">
        <v>95.43591228707839</v>
      </c>
      <c r="H161" s="50" t="n">
        <v>28.3728387880503</v>
      </c>
      <c r="I161" s="111">
        <f>(100*B161)/N161</f>
        <v/>
      </c>
      <c r="J161" s="112">
        <f>((C161+F161)*100)/B161</f>
        <v/>
      </c>
      <c r="K161" s="112">
        <f>((D161+G161)*100)/B161</f>
        <v/>
      </c>
      <c r="L161" s="112">
        <f>((E161+H161)*100)/B161</f>
        <v/>
      </c>
      <c r="M161" s="113">
        <f>N161-B160</f>
        <v/>
      </c>
      <c r="N161" s="115">
        <f>O161+P161+Q161+R161+S161+T161</f>
        <v/>
      </c>
      <c r="O161" s="50" t="n">
        <v>363.68820628319</v>
      </c>
      <c r="P161" s="50" t="n">
        <v>260.514247053916</v>
      </c>
      <c r="Q161" s="50" t="n">
        <v>103.173959229273</v>
      </c>
      <c r="R161" s="50" t="n">
        <v>913.089539179074</v>
      </c>
      <c r="S161" s="50" t="n">
        <v>711.90031868199</v>
      </c>
      <c r="T161" s="50" t="n">
        <v>288.887085841967</v>
      </c>
      <c r="U161" s="50" t="n">
        <v>162</v>
      </c>
      <c r="V161" s="112">
        <f>((O161+R161)*100)/N161</f>
        <v/>
      </c>
      <c r="W161" s="112">
        <f>((P161+S161)*100)/N161</f>
        <v/>
      </c>
      <c r="X161" s="112">
        <f>((Q161+T161)*100)/N161</f>
        <v/>
      </c>
    </row>
    <row r="162" ht="22.5" customHeight="1" s="150">
      <c r="A162" s="34" t="n">
        <v>160</v>
      </c>
      <c r="B162" s="115">
        <f>C162+D162+E162+F162+G162+H162</f>
        <v/>
      </c>
      <c r="C162" s="50" t="n">
        <v>23.2141408265866</v>
      </c>
      <c r="D162" s="50" t="n">
        <v>15.4760938843911</v>
      </c>
      <c r="E162" s="50" t="n">
        <v>0</v>
      </c>
      <c r="F162" s="50" t="n">
        <v>0</v>
      </c>
      <c r="G162" s="50" t="n">
        <v>5.1586979614637</v>
      </c>
      <c r="H162" s="50" t="n">
        <v>0</v>
      </c>
      <c r="I162" s="111">
        <f>(100*B162)/N162</f>
        <v/>
      </c>
      <c r="J162" s="112">
        <f>((C162+F162)*100)/B162</f>
        <v/>
      </c>
      <c r="K162" s="112">
        <f>((D162+G162)*100)/B162</f>
        <v/>
      </c>
      <c r="L162" s="112">
        <f>((E162+H162)*100)/B162</f>
        <v/>
      </c>
      <c r="M162" s="113">
        <f>N162-B161</f>
        <v/>
      </c>
      <c r="N162" s="115">
        <f>O162+P162+Q162+R162+S162+T162</f>
        <v/>
      </c>
      <c r="O162" s="50" t="n">
        <v>355.950159340995</v>
      </c>
      <c r="P162" s="50" t="n">
        <v>250.196851130989</v>
      </c>
      <c r="Q162" s="50" t="n">
        <v>108.332657190737</v>
      </c>
      <c r="R162" s="50" t="n">
        <v>113.491355152201</v>
      </c>
      <c r="S162" s="50" t="n">
        <v>72.22177146049179</v>
      </c>
      <c r="T162" s="50" t="n">
        <v>33.531536749514</v>
      </c>
      <c r="U162" s="50" t="n">
        <v>75</v>
      </c>
      <c r="V162" s="112">
        <f>((O162+R162)*100)/N162</f>
        <v/>
      </c>
      <c r="W162" s="112">
        <f>((P162+S162)*100)/N162</f>
        <v/>
      </c>
      <c r="X162" s="112">
        <f>((Q162+T162)*100)/N162</f>
        <v/>
      </c>
    </row>
    <row r="163" ht="22.5" customHeight="1" s="150">
      <c r="A163" s="34" t="n">
        <v>161</v>
      </c>
      <c r="B163" s="115">
        <f>C163+D163+E163+F163+G163+H163</f>
        <v/>
      </c>
      <c r="C163" s="50" t="n">
        <v>0</v>
      </c>
      <c r="D163" s="50" t="n">
        <v>0</v>
      </c>
      <c r="E163" s="50" t="n">
        <v>0</v>
      </c>
      <c r="F163" s="50" t="n">
        <v>0</v>
      </c>
      <c r="G163" s="50" t="n">
        <v>0</v>
      </c>
      <c r="H163" s="50" t="n">
        <v>0</v>
      </c>
      <c r="I163" s="111">
        <f>(100*B163)/N163</f>
        <v/>
      </c>
      <c r="J163" s="112">
        <f>((C163+F163)*100)/B163</f>
        <v/>
      </c>
      <c r="K163" s="112">
        <f>((D163+G163)*100)/B163</f>
        <v/>
      </c>
      <c r="L163" s="112">
        <f>((E163+H163)*100)/B163</f>
        <v/>
      </c>
      <c r="M163" s="113">
        <f>N163-B162</f>
        <v/>
      </c>
      <c r="N163" s="115">
        <f>O163+P163+Q163+R163+S163+T163</f>
        <v/>
      </c>
      <c r="O163" s="50" t="n">
        <v>361.108857302459</v>
      </c>
      <c r="P163" s="50" t="n">
        <v>252.776200111721</v>
      </c>
      <c r="Q163" s="50" t="n">
        <v>108.332657190737</v>
      </c>
      <c r="R163" s="50" t="n">
        <v>5.1586979614637</v>
      </c>
      <c r="S163" s="50" t="n">
        <v>0</v>
      </c>
      <c r="T163" s="50" t="n">
        <v>0</v>
      </c>
      <c r="U163" s="50" t="n">
        <v>54</v>
      </c>
      <c r="V163" s="112">
        <f>((O163+R163)*100)/N163</f>
        <v/>
      </c>
      <c r="W163" s="112">
        <f>((P163+S163)*100)/N163</f>
        <v/>
      </c>
      <c r="X163" s="112">
        <f>((Q163+T163)*100)/N163</f>
        <v/>
      </c>
    </row>
    <row r="164" ht="22.5" customHeight="1" s="150">
      <c r="A164" s="34" t="n">
        <v>162</v>
      </c>
      <c r="B164" s="115">
        <f>C164+D164+E164+F164+G164+H164</f>
        <v/>
      </c>
      <c r="C164" s="50" t="n">
        <v>0</v>
      </c>
      <c r="D164" s="50" t="n">
        <v>0</v>
      </c>
      <c r="E164" s="50" t="n">
        <v>0</v>
      </c>
      <c r="F164" s="50" t="n">
        <v>0</v>
      </c>
      <c r="G164" s="50" t="n">
        <v>0</v>
      </c>
      <c r="H164" s="50" t="n">
        <v>0</v>
      </c>
      <c r="I164" s="111">
        <f>(100*B164)/N164</f>
        <v/>
      </c>
      <c r="J164" s="112">
        <f>((C164+F164)*100)/B164</f>
        <v/>
      </c>
      <c r="K164" s="112">
        <f>((D164+G164)*100)/B164</f>
        <v/>
      </c>
      <c r="L164" s="112">
        <f>((E164+H164)*100)/B164</f>
        <v/>
      </c>
      <c r="M164" s="113">
        <f>N164-B163</f>
        <v/>
      </c>
      <c r="N164" s="115">
        <f>O164+P164+Q164+R164+S164+T164</f>
        <v/>
      </c>
      <c r="O164" s="50" t="n">
        <v>371.426253225386</v>
      </c>
      <c r="P164" s="50" t="n">
        <v>245.038153169525</v>
      </c>
      <c r="Q164" s="50" t="n">
        <v>105.753308210005</v>
      </c>
      <c r="R164" s="50" t="n">
        <v>0</v>
      </c>
      <c r="S164" s="50" t="n">
        <v>0</v>
      </c>
      <c r="T164" s="50" t="n">
        <v>0</v>
      </c>
      <c r="U164" s="50" t="n">
        <v>59</v>
      </c>
      <c r="V164" s="112">
        <f>((O164+R164)*100)/N164</f>
        <v/>
      </c>
      <c r="W164" s="112">
        <f>((P164+S164)*100)/N164</f>
        <v/>
      </c>
      <c r="X164" s="112">
        <f>((Q164+T164)*100)/N164</f>
        <v/>
      </c>
    </row>
    <row r="165" ht="22.5" customHeight="1" s="150">
      <c r="A165" s="34" t="n">
        <v>163</v>
      </c>
      <c r="B165" s="115">
        <f>C165+D165+E165+F165+G165+H165</f>
        <v/>
      </c>
      <c r="C165" s="50" t="n">
        <v>100.594610248542</v>
      </c>
      <c r="D165" s="50" t="n">
        <v>2.57934898073185</v>
      </c>
      <c r="E165" s="50" t="n">
        <v>5.1586979614637</v>
      </c>
      <c r="F165" s="50" t="n">
        <v>5.1586979614637</v>
      </c>
      <c r="G165" s="50" t="n">
        <v>7.73804694219555</v>
      </c>
      <c r="H165" s="50" t="n">
        <v>7.73804694219555</v>
      </c>
      <c r="I165" s="111">
        <f>(100*B165)/N165</f>
        <v/>
      </c>
      <c r="J165" s="112">
        <f>((C165+F165)*100)/B165</f>
        <v/>
      </c>
      <c r="K165" s="112">
        <f>((D165+G165)*100)/B165</f>
        <v/>
      </c>
      <c r="L165" s="112">
        <f>((E165+H165)*100)/B165</f>
        <v/>
      </c>
      <c r="M165" s="113">
        <f>N165-B164</f>
        <v/>
      </c>
      <c r="N165" s="115">
        <f>O165+P165+Q165+R165+S165+T165</f>
        <v/>
      </c>
      <c r="O165" s="50" t="n">
        <v>392.061045071241</v>
      </c>
      <c r="P165" s="50" t="n">
        <v>242.458804188793</v>
      </c>
      <c r="Q165" s="50" t="n">
        <v>105.753308210005</v>
      </c>
      <c r="R165" s="50" t="n">
        <v>154.760938843911</v>
      </c>
      <c r="S165" s="50" t="n">
        <v>82.5391673834192</v>
      </c>
      <c r="T165" s="50" t="n">
        <v>38.6902347109777</v>
      </c>
      <c r="U165" s="50" t="n">
        <v>98</v>
      </c>
      <c r="V165" s="112">
        <f>((O165+R165)*100)/N165</f>
        <v/>
      </c>
      <c r="W165" s="112">
        <f>((P165+S165)*100)/N165</f>
        <v/>
      </c>
      <c r="X165" s="112">
        <f>((Q165+T165)*100)/N165</f>
        <v/>
      </c>
    </row>
    <row r="166" ht="22.5" customHeight="1" s="150">
      <c r="A166" s="34" t="n">
        <v>164</v>
      </c>
      <c r="B166" s="115">
        <f>C166+D166+E166+F166+G166+H166</f>
        <v/>
      </c>
      <c r="C166" s="50" t="n">
        <v>43.8489326724414</v>
      </c>
      <c r="D166" s="50" t="n">
        <v>0</v>
      </c>
      <c r="E166" s="50" t="n">
        <v>5.1586979614637</v>
      </c>
      <c r="F166" s="50" t="n">
        <v>7.73804694219555</v>
      </c>
      <c r="G166" s="50" t="n">
        <v>0</v>
      </c>
      <c r="H166" s="50" t="n">
        <v>5.1586979614637</v>
      </c>
      <c r="I166" s="111">
        <f>(100*B166)/N166</f>
        <v/>
      </c>
      <c r="J166" s="112">
        <f>((C166+F166)*100)/B166</f>
        <v/>
      </c>
      <c r="K166" s="112">
        <f>((D166+G166)*100)/B166</f>
        <v/>
      </c>
      <c r="L166" s="112">
        <f>((E166+H166)*100)/B166</f>
        <v/>
      </c>
      <c r="M166" s="113">
        <f>N166-B165</f>
        <v/>
      </c>
      <c r="N166" s="115">
        <f>O166+P166+Q166+R166+S166+T166</f>
        <v/>
      </c>
      <c r="O166" s="50" t="n">
        <v>394.640394051973</v>
      </c>
      <c r="P166" s="50" t="n">
        <v>252.776200111721</v>
      </c>
      <c r="Q166" s="50" t="n">
        <v>103.173959229273</v>
      </c>
      <c r="R166" s="50" t="n">
        <v>288.887085841967</v>
      </c>
      <c r="S166" s="50" t="n">
        <v>139.284844959519</v>
      </c>
      <c r="T166" s="50" t="n">
        <v>38.6902347109777</v>
      </c>
      <c r="U166" s="50" t="n">
        <v>80</v>
      </c>
      <c r="V166" s="112">
        <f>((O166+R166)*100)/N166</f>
        <v/>
      </c>
      <c r="W166" s="112">
        <f>((P166+S166)*100)/N166</f>
        <v/>
      </c>
      <c r="X166" s="112">
        <f>((Q166+T166)*100)/N166</f>
        <v/>
      </c>
    </row>
    <row r="167" ht="22.5" customHeight="1" s="150">
      <c r="A167" s="34" t="n">
        <v>165</v>
      </c>
      <c r="B167" s="115">
        <f>C167+D167+E167+F167+G167+H167</f>
        <v/>
      </c>
      <c r="C167" s="50" t="n">
        <v>98.0152612678103</v>
      </c>
      <c r="D167" s="50" t="n">
        <v>10.3173959229274</v>
      </c>
      <c r="E167" s="50" t="n">
        <v>18.0554428651229</v>
      </c>
      <c r="F167" s="50" t="n">
        <v>18.0554428651229</v>
      </c>
      <c r="G167" s="50" t="n">
        <v>5.1586979614637</v>
      </c>
      <c r="H167" s="50" t="n">
        <v>15.4760938843911</v>
      </c>
      <c r="I167" s="111">
        <f>(100*B167)/N167</f>
        <v/>
      </c>
      <c r="J167" s="112">
        <f>((C167+F167)*100)/B167</f>
        <v/>
      </c>
      <c r="K167" s="112">
        <f>((D167+G167)*100)/B167</f>
        <v/>
      </c>
      <c r="L167" s="112">
        <f>((E167+H167)*100)/B167</f>
        <v/>
      </c>
      <c r="M167" s="113">
        <f>N167-B166</f>
        <v/>
      </c>
      <c r="N167" s="115">
        <f>O167+P167+Q167+R167+S167+T167</f>
        <v/>
      </c>
      <c r="O167" s="50" t="n">
        <v>404.9577899749</v>
      </c>
      <c r="P167" s="50" t="n">
        <v>275.990340938307</v>
      </c>
      <c r="Q167" s="50" t="n">
        <v>103.173959229273</v>
      </c>
      <c r="R167" s="50" t="n">
        <v>340.474065456604</v>
      </c>
      <c r="S167" s="50" t="n">
        <v>201.189220497084</v>
      </c>
      <c r="T167" s="50" t="n">
        <v>69.6424224797599</v>
      </c>
      <c r="U167" s="50" t="n">
        <v>83</v>
      </c>
      <c r="V167" s="112">
        <f>((O167+R167)*100)/N167</f>
        <v/>
      </c>
      <c r="W167" s="112">
        <f>((P167+S167)*100)/N167</f>
        <v/>
      </c>
      <c r="X167" s="112">
        <f>((Q167+T167)*100)/N167</f>
        <v/>
      </c>
    </row>
    <row r="168" ht="22.5" customHeight="1" s="150">
      <c r="A168" s="34" t="n">
        <v>166</v>
      </c>
      <c r="B168" s="115">
        <f>C168+D168+E168+F168+G168+H168</f>
        <v/>
      </c>
      <c r="C168" s="50" t="n">
        <v>10.3173959229274</v>
      </c>
      <c r="D168" s="50" t="n">
        <v>15.4760938843911</v>
      </c>
      <c r="E168" s="50" t="n">
        <v>7.73804694219555</v>
      </c>
      <c r="F168" s="50" t="n">
        <v>5.1586979614637</v>
      </c>
      <c r="G168" s="50" t="n">
        <v>7.73804694219555</v>
      </c>
      <c r="H168" s="50" t="n">
        <v>0</v>
      </c>
      <c r="I168" s="111">
        <f>(100*B168)/N168</f>
        <v/>
      </c>
      <c r="J168" s="112">
        <f>((C168+F168)*100)/B168</f>
        <v/>
      </c>
      <c r="K168" s="112">
        <f>((D168+G168)*100)/B168</f>
        <v/>
      </c>
      <c r="L168" s="112">
        <f>((E168+H168)*100)/B168</f>
        <v/>
      </c>
      <c r="M168" s="113">
        <f>N168-B167</f>
        <v/>
      </c>
      <c r="N168" s="115">
        <f>O168+P168+Q168+R168+S168+T168</f>
        <v/>
      </c>
      <c r="O168" s="50" t="n">
        <v>348.212112398799</v>
      </c>
      <c r="P168" s="50" t="n">
        <v>242.458804188793</v>
      </c>
      <c r="Q168" s="50" t="n">
        <v>79.9598184026873</v>
      </c>
      <c r="R168" s="50" t="n">
        <v>268.252293996112</v>
      </c>
      <c r="S168" s="50" t="n">
        <v>136.705495978788</v>
      </c>
      <c r="T168" s="50" t="n">
        <v>49.0076306339051</v>
      </c>
      <c r="U168" s="50" t="n">
        <v>111</v>
      </c>
      <c r="V168" s="112">
        <f>((O168+R168)*100)/N168</f>
        <v/>
      </c>
      <c r="W168" s="112">
        <f>((P168+S168)*100)/N168</f>
        <v/>
      </c>
      <c r="X168" s="112">
        <f>((Q168+T168)*100)/N168</f>
        <v/>
      </c>
    </row>
    <row r="169" ht="22.5" customHeight="1" s="150">
      <c r="A169" s="34" t="n">
        <v>167</v>
      </c>
      <c r="B169" s="115">
        <f>C169+D169+E169+F169+G169+H169</f>
        <v/>
      </c>
      <c r="C169" s="50" t="n">
        <v>5.1586979614637</v>
      </c>
      <c r="D169" s="50" t="n">
        <v>5.1586979614637</v>
      </c>
      <c r="E169" s="50" t="n">
        <v>12.8967449036592</v>
      </c>
      <c r="F169" s="50" t="n">
        <v>7.73804694219555</v>
      </c>
      <c r="G169" s="50" t="n">
        <v>7.73804694219555</v>
      </c>
      <c r="H169" s="50" t="n">
        <v>2.57934898073185</v>
      </c>
      <c r="I169" s="111">
        <f>(100*B169)/N169</f>
        <v/>
      </c>
      <c r="J169" s="112">
        <f>((C169+F169)*100)/B169</f>
        <v/>
      </c>
      <c r="K169" s="112">
        <f>((D169+G169)*100)/B169</f>
        <v/>
      </c>
      <c r="L169" s="112">
        <f>((E169+H169)*100)/B169</f>
        <v/>
      </c>
      <c r="M169" s="113">
        <f>N169-B168</f>
        <v/>
      </c>
      <c r="N169" s="115">
        <f>O169+P169+Q169+R169+S169+T169</f>
        <v/>
      </c>
      <c r="O169" s="50" t="n">
        <v>381.743649148313</v>
      </c>
      <c r="P169" s="50" t="n">
        <v>232.141408265866</v>
      </c>
      <c r="Q169" s="50" t="n">
        <v>79.9598184026873</v>
      </c>
      <c r="R169" s="50" t="n">
        <v>497.814353281247</v>
      </c>
      <c r="S169" s="50" t="n">
        <v>283.728387880503</v>
      </c>
      <c r="T169" s="50" t="n">
        <v>100.594610248542</v>
      </c>
      <c r="U169" s="50" t="n">
        <v>121</v>
      </c>
      <c r="V169" s="112">
        <f>((O169+R169)*100)/N169</f>
        <v/>
      </c>
      <c r="W169" s="112">
        <f>((P169+S169)*100)/N169</f>
        <v/>
      </c>
      <c r="X169" s="112">
        <f>((Q169+T169)*100)/N169</f>
        <v/>
      </c>
    </row>
    <row r="170" ht="22.5" customHeight="1" s="150">
      <c r="A170" s="34" t="n">
        <v>168</v>
      </c>
      <c r="B170" s="115">
        <f>C170+D170+E170+F170+G170+H170</f>
        <v/>
      </c>
      <c r="C170" s="50" t="n">
        <v>28.3728387880503</v>
      </c>
      <c r="D170" s="50" t="n">
        <v>7.73804694219555</v>
      </c>
      <c r="E170" s="50" t="n">
        <v>0</v>
      </c>
      <c r="F170" s="50" t="n">
        <v>7.73804694219555</v>
      </c>
      <c r="G170" s="50" t="n">
        <v>2.57934898073185</v>
      </c>
      <c r="H170" s="50" t="n">
        <v>0</v>
      </c>
      <c r="I170" s="111">
        <f>(100*B170)/N170</f>
        <v/>
      </c>
      <c r="J170" s="112">
        <f>((C170+F170)*100)/B170</f>
        <v/>
      </c>
      <c r="K170" s="112">
        <f>((D170+G170)*100)/B170</f>
        <v/>
      </c>
      <c r="L170" s="112">
        <f>((E170+H170)*100)/B170</f>
        <v/>
      </c>
      <c r="M170" s="113">
        <f>N170-B169</f>
        <v/>
      </c>
      <c r="N170" s="115">
        <f>O170+P170+Q170+R170+S170+T170</f>
        <v/>
      </c>
      <c r="O170" s="50" t="n">
        <v>350.791461379531</v>
      </c>
      <c r="P170" s="50" t="n">
        <v>219.244663362207</v>
      </c>
      <c r="Q170" s="50" t="n">
        <v>79.9598184026873</v>
      </c>
      <c r="R170" s="50" t="n">
        <v>149.602240882447</v>
      </c>
      <c r="S170" s="50" t="n">
        <v>59.3250265568325</v>
      </c>
      <c r="T170" s="50" t="n">
        <v>30.9521877687822</v>
      </c>
      <c r="U170" s="50" t="n">
        <v>85</v>
      </c>
      <c r="V170" s="112">
        <f>((O170+R170)*100)/N170</f>
        <v/>
      </c>
      <c r="W170" s="112">
        <f>((P170+S170)*100)/N170</f>
        <v/>
      </c>
      <c r="X170" s="112">
        <f>((Q170+T170)*100)/N170</f>
        <v/>
      </c>
    </row>
    <row r="171" ht="22.5" customHeight="1" s="150">
      <c r="A171" s="34" t="n">
        <v>169</v>
      </c>
      <c r="B171" s="115">
        <f>C171+D171+E171+F171+G171+H171</f>
        <v/>
      </c>
      <c r="C171" s="50" t="n">
        <v>85.11851636415101</v>
      </c>
      <c r="D171" s="50" t="n">
        <v>10.3173959229274</v>
      </c>
      <c r="E171" s="50" t="n">
        <v>23.2141408265866</v>
      </c>
      <c r="F171" s="50" t="n">
        <v>59.3250265568325</v>
      </c>
      <c r="G171" s="50" t="n">
        <v>0</v>
      </c>
      <c r="H171" s="50" t="n">
        <v>15.4760938843911</v>
      </c>
      <c r="I171" s="111">
        <f>(100*B171)/N171</f>
        <v/>
      </c>
      <c r="J171" s="112">
        <f>((C171+F171)*100)/B171</f>
        <v/>
      </c>
      <c r="K171" s="112">
        <f>((D171+G171)*100)/B171</f>
        <v/>
      </c>
      <c r="L171" s="112">
        <f>((E171+H171)*100)/B171</f>
        <v/>
      </c>
      <c r="M171" s="113">
        <f>N171-B170</f>
        <v/>
      </c>
      <c r="N171" s="115">
        <f>O171+P171+Q171+R171+S171+T171</f>
        <v/>
      </c>
      <c r="O171" s="50" t="n">
        <v>353.370810360263</v>
      </c>
      <c r="P171" s="50" t="n">
        <v>226.982710304402</v>
      </c>
      <c r="Q171" s="50" t="n">
        <v>77.3804694219555</v>
      </c>
      <c r="R171" s="50" t="n">
        <v>1490.863710863</v>
      </c>
      <c r="S171" s="50" t="n">
        <v>696.424224797599</v>
      </c>
      <c r="T171" s="50" t="n">
        <v>278.569689919039</v>
      </c>
      <c r="U171" s="50" t="n">
        <v>134</v>
      </c>
      <c r="V171" s="112">
        <f>((O171+R171)*100)/N171</f>
        <v/>
      </c>
      <c r="W171" s="112">
        <f>((P171+S171)*100)/N171</f>
        <v/>
      </c>
      <c r="X171" s="112">
        <f>((Q171+T171)*100)/N171</f>
        <v/>
      </c>
    </row>
    <row r="172" ht="22.5" customHeight="1" s="150">
      <c r="A172" s="34" t="n">
        <v>170</v>
      </c>
      <c r="B172" s="115">
        <f>C172+D172+E172+F172+G172+H172</f>
        <v/>
      </c>
      <c r="C172" s="50" t="n">
        <v>82.5391673834192</v>
      </c>
      <c r="D172" s="50" t="n">
        <v>0</v>
      </c>
      <c r="E172" s="50" t="n">
        <v>2.57934898073185</v>
      </c>
      <c r="F172" s="50" t="n">
        <v>15.4760938843911</v>
      </c>
      <c r="G172" s="50" t="n">
        <v>0</v>
      </c>
      <c r="H172" s="50" t="n">
        <v>0</v>
      </c>
      <c r="I172" s="111">
        <f>(100*B172)/N172</f>
        <v/>
      </c>
      <c r="J172" s="112">
        <f>((C172+F172)*100)/B172</f>
        <v/>
      </c>
      <c r="K172" s="112">
        <f>((D172+G172)*100)/B172</f>
        <v/>
      </c>
      <c r="L172" s="112">
        <f>((E172+H172)*100)/B172</f>
        <v/>
      </c>
      <c r="M172" s="113">
        <f>N172-B171</f>
        <v/>
      </c>
      <c r="N172" s="115">
        <f>O172+P172+Q172+R172+S172+T172</f>
        <v/>
      </c>
      <c r="O172" s="50" t="n">
        <v>319.839273610749</v>
      </c>
      <c r="P172" s="50" t="n">
        <v>239.879455208062</v>
      </c>
      <c r="Q172" s="50" t="n">
        <v>87.6978653448828</v>
      </c>
      <c r="R172" s="50" t="n">
        <v>118.650053113665</v>
      </c>
      <c r="S172" s="50" t="n">
        <v>64.4837245182962</v>
      </c>
      <c r="T172" s="50" t="n">
        <v>28.3728387880503</v>
      </c>
      <c r="U172" s="50" t="n">
        <v>80</v>
      </c>
      <c r="V172" s="112">
        <f>((O172+R172)*100)/N172</f>
        <v/>
      </c>
      <c r="W172" s="112">
        <f>((P172+S172)*100)/N172</f>
        <v/>
      </c>
      <c r="X172" s="112">
        <f>((Q172+T172)*100)/N172</f>
        <v/>
      </c>
    </row>
    <row r="173" ht="22.5" customHeight="1" s="150">
      <c r="A173" s="34" t="n">
        <v>171</v>
      </c>
      <c r="B173" s="115">
        <f>C173+D173+E173+F173+G173+H173</f>
        <v/>
      </c>
      <c r="C173" s="50" t="n">
        <v>15.4760938843911</v>
      </c>
      <c r="D173" s="50" t="n">
        <v>2.57934898073185</v>
      </c>
      <c r="E173" s="50" t="n">
        <v>5.1586979614637</v>
      </c>
      <c r="F173" s="50" t="n">
        <v>2.57934898073185</v>
      </c>
      <c r="G173" s="50" t="n">
        <v>0</v>
      </c>
      <c r="H173" s="50" t="n">
        <v>5.1586979614637</v>
      </c>
      <c r="I173" s="111">
        <f>(100*B173)/N173</f>
        <v/>
      </c>
      <c r="J173" s="112">
        <f>((C173+F173)*100)/B173</f>
        <v/>
      </c>
      <c r="K173" s="112">
        <f>((D173+G173)*100)/B173</f>
        <v/>
      </c>
      <c r="L173" s="112">
        <f>((E173+H173)*100)/B173</f>
        <v/>
      </c>
      <c r="M173" s="113">
        <f>N173-B172</f>
        <v/>
      </c>
      <c r="N173" s="115">
        <f>O173+P173+Q173+R173+S173+T173</f>
        <v/>
      </c>
      <c r="O173" s="50" t="n">
        <v>345.632763418067</v>
      </c>
      <c r="P173" s="50" t="n">
        <v>252.776200111721</v>
      </c>
      <c r="Q173" s="50" t="n">
        <v>92.8565633063466</v>
      </c>
      <c r="R173" s="50" t="n">
        <v>624.202453337107</v>
      </c>
      <c r="S173" s="50" t="n">
        <v>340.474065456604</v>
      </c>
      <c r="T173" s="50" t="n">
        <v>180.554428651229</v>
      </c>
      <c r="U173" s="50" t="n">
        <v>101</v>
      </c>
      <c r="V173" s="112">
        <f>((O173+R173)*100)/N173</f>
        <v/>
      </c>
      <c r="W173" s="112">
        <f>((P173+S173)*100)/N173</f>
        <v/>
      </c>
      <c r="X173" s="112">
        <f>((Q173+T173)*100)/N173</f>
        <v/>
      </c>
    </row>
    <row r="174" ht="22.5" customHeight="1" s="150">
      <c r="A174" s="34" t="n">
        <v>172</v>
      </c>
      <c r="B174" s="115">
        <f>C174+D174+E174+F174+G174+H174</f>
        <v/>
      </c>
      <c r="C174" s="50" t="n">
        <v>5.1586979614637</v>
      </c>
      <c r="D174" s="50" t="n">
        <v>28.3728387880503</v>
      </c>
      <c r="E174" s="50" t="n">
        <v>51.5869796146369</v>
      </c>
      <c r="F174" s="50" t="n">
        <v>5.1586979614637</v>
      </c>
      <c r="G174" s="50" t="n">
        <v>20.6347918458548</v>
      </c>
      <c r="H174" s="50" t="n">
        <v>41.2695836917096</v>
      </c>
      <c r="I174" s="111">
        <f>(100*B174)/N174</f>
        <v/>
      </c>
      <c r="J174" s="112">
        <f>((C174+F174)*100)/B174</f>
        <v/>
      </c>
      <c r="K174" s="112">
        <f>((D174+G174)*100)/B174</f>
        <v/>
      </c>
      <c r="L174" s="112">
        <f>((E174+H174)*100)/B174</f>
        <v/>
      </c>
      <c r="M174" s="113">
        <f>N174-B173</f>
        <v/>
      </c>
      <c r="N174" s="115">
        <f>O174+P174+Q174+R174+S174+T174</f>
        <v/>
      </c>
      <c r="O174" s="50" t="n">
        <v>361.108857302459</v>
      </c>
      <c r="P174" s="50" t="n">
        <v>219.244663362207</v>
      </c>
      <c r="Q174" s="50" t="n">
        <v>69.6424224797599</v>
      </c>
      <c r="R174" s="50" t="n">
        <v>595.8296145490571</v>
      </c>
      <c r="S174" s="50" t="n">
        <v>363.68820628319</v>
      </c>
      <c r="T174" s="50" t="n">
        <v>270.831642976844</v>
      </c>
      <c r="U174" s="50" t="n">
        <v>142</v>
      </c>
      <c r="V174" s="112">
        <f>((O174+R174)*100)/N174</f>
        <v/>
      </c>
      <c r="W174" s="112">
        <f>((P174+S174)*100)/N174</f>
        <v/>
      </c>
      <c r="X174" s="112">
        <f>((Q174+T174)*100)/N174</f>
        <v/>
      </c>
    </row>
    <row r="175" ht="22.5" customHeight="1" s="150">
      <c r="A175" s="34" t="n">
        <v>173</v>
      </c>
      <c r="B175" s="115">
        <f>C175+D175+E175+F175+G175+H175</f>
        <v/>
      </c>
      <c r="C175" s="50" t="n">
        <v>116.070704132933</v>
      </c>
      <c r="D175" s="50" t="n">
        <v>0</v>
      </c>
      <c r="E175" s="50" t="n">
        <v>2.57934898073185</v>
      </c>
      <c r="F175" s="50" t="n">
        <v>20.6347918458548</v>
      </c>
      <c r="G175" s="50" t="n">
        <v>0</v>
      </c>
      <c r="H175" s="50" t="n">
        <v>0</v>
      </c>
      <c r="I175" s="111">
        <f>(100*B175)/N175</f>
        <v/>
      </c>
      <c r="J175" s="112">
        <f>((C175+F175)*100)/B175</f>
        <v/>
      </c>
      <c r="K175" s="112">
        <f>((D175+G175)*100)/B175</f>
        <v/>
      </c>
      <c r="L175" s="112">
        <f>((E175+H175)*100)/B175</f>
        <v/>
      </c>
      <c r="M175" s="113">
        <f>N175-B174</f>
        <v/>
      </c>
      <c r="N175" s="115">
        <f>O175+P175+Q175+R175+S175+T175</f>
        <v/>
      </c>
      <c r="O175" s="50" t="n">
        <v>348.212112398799</v>
      </c>
      <c r="P175" s="50" t="n">
        <v>226.982710304402</v>
      </c>
      <c r="Q175" s="50" t="n">
        <v>67.06307349902811</v>
      </c>
      <c r="R175" s="50" t="n">
        <v>464.282816531733</v>
      </c>
      <c r="S175" s="50" t="n">
        <v>226.982710304402</v>
      </c>
      <c r="T175" s="50" t="n">
        <v>67.06307349902811</v>
      </c>
      <c r="U175" s="50" t="n">
        <v>121</v>
      </c>
      <c r="V175" s="112">
        <f>((O175+R175)*100)/N175</f>
        <v/>
      </c>
      <c r="W175" s="112">
        <f>((P175+S175)*100)/N175</f>
        <v/>
      </c>
      <c r="X175" s="112">
        <f>((Q175+T175)*100)/N175</f>
        <v/>
      </c>
    </row>
    <row r="176" ht="22.5" customHeight="1" s="150">
      <c r="A176" s="34" t="n">
        <v>174</v>
      </c>
      <c r="B176" s="115">
        <f>C176+D176+E176+F176+G176+H176</f>
        <v/>
      </c>
      <c r="C176" s="50" t="n">
        <v>46.4282816531733</v>
      </c>
      <c r="D176" s="50" t="n">
        <v>0</v>
      </c>
      <c r="E176" s="50" t="n">
        <v>0</v>
      </c>
      <c r="F176" s="50" t="n">
        <v>5.1586979614637</v>
      </c>
      <c r="G176" s="50" t="n">
        <v>0</v>
      </c>
      <c r="H176" s="50" t="n">
        <v>0</v>
      </c>
      <c r="I176" s="111">
        <f>(100*B176)/N176</f>
        <v/>
      </c>
      <c r="J176" s="112">
        <f>((C176+F176)*100)/B176</f>
        <v/>
      </c>
      <c r="K176" s="112">
        <f>((D176+G176)*100)/B176</f>
        <v/>
      </c>
      <c r="L176" s="112">
        <f>((E176+H176)*100)/B176</f>
        <v/>
      </c>
      <c r="M176" s="113">
        <f>N176-B175</f>
        <v/>
      </c>
      <c r="N176" s="115">
        <f>O176+P176+Q176+R176+S176+T176</f>
        <v/>
      </c>
      <c r="O176" s="50" t="n">
        <v>335.31536749514</v>
      </c>
      <c r="P176" s="50" t="n">
        <v>234.720757246598</v>
      </c>
      <c r="Q176" s="50" t="n">
        <v>74.8011204412236</v>
      </c>
      <c r="R176" s="50" t="n">
        <v>214.085965400743</v>
      </c>
      <c r="S176" s="50" t="n">
        <v>98.0152612678103</v>
      </c>
      <c r="T176" s="50" t="n">
        <v>41.2695836917096</v>
      </c>
      <c r="U176" s="50" t="n">
        <v>75</v>
      </c>
      <c r="V176" s="112">
        <f>((O176+R176)*100)/N176</f>
        <v/>
      </c>
      <c r="W176" s="112">
        <f>((P176+S176)*100)/N176</f>
        <v/>
      </c>
      <c r="X176" s="112">
        <f>((Q176+T176)*100)/N176</f>
        <v/>
      </c>
    </row>
    <row r="177" ht="22.5" customHeight="1" s="150">
      <c r="A177" s="34" t="n">
        <v>175</v>
      </c>
      <c r="B177" s="115">
        <f>C177+D177+E177+F177+G177+H177</f>
        <v/>
      </c>
      <c r="C177" s="50" t="n">
        <v>136.705495978788</v>
      </c>
      <c r="D177" s="50" t="n">
        <v>15.4760938843911</v>
      </c>
      <c r="E177" s="50" t="n">
        <v>28.3728387880503</v>
      </c>
      <c r="F177" s="50" t="n">
        <v>98.0152612678103</v>
      </c>
      <c r="G177" s="50" t="n">
        <v>18.0554428651229</v>
      </c>
      <c r="H177" s="50" t="n">
        <v>18.0554428651229</v>
      </c>
      <c r="I177" s="111">
        <f>(100*B177)/N177</f>
        <v/>
      </c>
      <c r="J177" s="112">
        <f>((C177+F177)*100)/B177</f>
        <v/>
      </c>
      <c r="K177" s="112">
        <f>((D177+G177)*100)/B177</f>
        <v/>
      </c>
      <c r="L177" s="112">
        <f>((E177+H177)*100)/B177</f>
        <v/>
      </c>
      <c r="M177" s="113">
        <f>N177-B176</f>
        <v/>
      </c>
      <c r="N177" s="115">
        <f>O177+P177+Q177+R177+S177+T177</f>
        <v/>
      </c>
      <c r="O177" s="50" t="n">
        <v>371.426253225386</v>
      </c>
      <c r="P177" s="50" t="n">
        <v>226.982710304402</v>
      </c>
      <c r="Q177" s="50" t="n">
        <v>56.7456775761007</v>
      </c>
      <c r="R177" s="50" t="n">
        <v>907.930841217611</v>
      </c>
      <c r="S177" s="50" t="n">
        <v>446.22737366661</v>
      </c>
      <c r="T177" s="50" t="n">
        <v>157.340287824642</v>
      </c>
      <c r="U177" s="50" t="n">
        <v>150</v>
      </c>
      <c r="V177" s="112">
        <f>((O177+R177)*100)/N177</f>
        <v/>
      </c>
      <c r="W177" s="112">
        <f>((P177+S177)*100)/N177</f>
        <v/>
      </c>
      <c r="X177" s="112">
        <f>((Q177+T177)*100)/N177</f>
        <v/>
      </c>
    </row>
    <row r="178" ht="22.5" customHeight="1" s="150">
      <c r="A178" s="34" t="n">
        <v>176</v>
      </c>
      <c r="B178" s="115">
        <f>C178+D178+E178+F178+G178+H178</f>
        <v/>
      </c>
      <c r="C178" s="50" t="n">
        <v>157.340287824642</v>
      </c>
      <c r="D178" s="50" t="n">
        <v>0</v>
      </c>
      <c r="E178" s="50" t="n">
        <v>33.531536749514</v>
      </c>
      <c r="F178" s="50" t="n">
        <v>79.9598184026873</v>
      </c>
      <c r="G178" s="50" t="n">
        <v>5.1586979614637</v>
      </c>
      <c r="H178" s="50" t="n">
        <v>12.8967449036592</v>
      </c>
      <c r="I178" s="111">
        <f>(100*B178)/N178</f>
        <v/>
      </c>
      <c r="J178" s="112">
        <f>((C178+F178)*100)/B178</f>
        <v/>
      </c>
      <c r="K178" s="112">
        <f>((D178+G178)*100)/B178</f>
        <v/>
      </c>
      <c r="L178" s="112">
        <f>((E178+H178)*100)/B178</f>
        <v/>
      </c>
      <c r="M178" s="113">
        <f>N178-B177</f>
        <v/>
      </c>
      <c r="N178" s="115">
        <f>O178+P178+Q178+R178+S178+T178</f>
        <v/>
      </c>
      <c r="O178" s="50" t="n">
        <v>281.149038899771</v>
      </c>
      <c r="P178" s="50" t="n">
        <v>216.665314381475</v>
      </c>
      <c r="Q178" s="50" t="n">
        <v>36.1108857302459</v>
      </c>
      <c r="R178" s="50" t="n">
        <v>1194.23857807884</v>
      </c>
      <c r="S178" s="50" t="n">
        <v>482.338259396855</v>
      </c>
      <c r="T178" s="50" t="n">
        <v>203.768569477816</v>
      </c>
      <c r="U178" s="50" t="n">
        <v>129</v>
      </c>
      <c r="V178" s="112">
        <f>((O178+R178)*100)/N178</f>
        <v/>
      </c>
      <c r="W178" s="112">
        <f>((P178+S178)*100)/N178</f>
        <v/>
      </c>
      <c r="X178" s="112">
        <f>((Q178+T178)*100)/N178</f>
        <v/>
      </c>
    </row>
    <row r="179" ht="22.5" customHeight="1" s="150">
      <c r="A179" s="34" t="n">
        <v>177</v>
      </c>
      <c r="B179" s="115">
        <f>C179+D179+E179+F179+G179+H179</f>
        <v/>
      </c>
      <c r="C179" s="50" t="n">
        <v>49.0076306339051</v>
      </c>
      <c r="D179" s="50" t="n">
        <v>38.6902347109777</v>
      </c>
      <c r="E179" s="50" t="n">
        <v>7.73804694219555</v>
      </c>
      <c r="F179" s="50" t="n">
        <v>92.8565633063466</v>
      </c>
      <c r="G179" s="50" t="n">
        <v>69.6424224797599</v>
      </c>
      <c r="H179" s="50" t="n">
        <v>15.4760938843911</v>
      </c>
      <c r="I179" s="111">
        <f>(100*B179)/N179</f>
        <v/>
      </c>
      <c r="J179" s="112">
        <f>((C179+F179)*100)/B179</f>
        <v/>
      </c>
      <c r="K179" s="112">
        <f>((D179+G179)*100)/B179</f>
        <v/>
      </c>
      <c r="L179" s="112">
        <f>((E179+H179)*100)/B179</f>
        <v/>
      </c>
      <c r="M179" s="113">
        <f>N179-B178</f>
        <v/>
      </c>
      <c r="N179" s="115">
        <f>O179+P179+Q179+R179+S179+T179</f>
        <v/>
      </c>
      <c r="O179" s="50" t="n">
        <v>265.67294501538</v>
      </c>
      <c r="P179" s="50" t="n">
        <v>224.40336132367</v>
      </c>
      <c r="Q179" s="50" t="n">
        <v>49.0076306339051</v>
      </c>
      <c r="R179" s="50" t="n">
        <v>982.7319616588341</v>
      </c>
      <c r="S179" s="50" t="n">
        <v>879.55800242956</v>
      </c>
      <c r="T179" s="50" t="n">
        <v>183.133777631961</v>
      </c>
      <c r="U179" s="50" t="n">
        <v>137</v>
      </c>
      <c r="V179" s="112">
        <f>((O179+R179)*100)/N179</f>
        <v/>
      </c>
      <c r="W179" s="112">
        <f>((P179+S179)*100)/N179</f>
        <v/>
      </c>
      <c r="X179" s="112">
        <f>((Q179+T179)*100)/N179</f>
        <v/>
      </c>
    </row>
    <row r="180" ht="22.5" customHeight="1" s="150">
      <c r="A180" s="34" t="n">
        <v>178</v>
      </c>
      <c r="B180" s="115">
        <f>C180+D180+E180+F180+G180+H180</f>
        <v/>
      </c>
      <c r="C180" s="50" t="n">
        <v>59.3250265568325</v>
      </c>
      <c r="D180" s="50" t="n">
        <v>25.7934898073184</v>
      </c>
      <c r="E180" s="50" t="n">
        <v>12.8967449036592</v>
      </c>
      <c r="F180" s="50" t="n">
        <v>30.9521877687822</v>
      </c>
      <c r="G180" s="50" t="n">
        <v>28.3728387880503</v>
      </c>
      <c r="H180" s="50" t="n">
        <v>25.7934898073184</v>
      </c>
      <c r="I180" s="111">
        <f>(100*B180)/N180</f>
        <v/>
      </c>
      <c r="J180" s="112">
        <f>((C180+F180)*100)/B180</f>
        <v/>
      </c>
      <c r="K180" s="112">
        <f>((D180+G180)*100)/B180</f>
        <v/>
      </c>
      <c r="L180" s="112">
        <f>((E180+H180)*100)/B180</f>
        <v/>
      </c>
      <c r="M180" s="113">
        <f>N180-B179</f>
        <v/>
      </c>
      <c r="N180" s="115">
        <f>O180+P180+Q180+R180+S180+T180</f>
        <v/>
      </c>
      <c r="O180" s="50" t="n">
        <v>255.355549092453</v>
      </c>
      <c r="P180" s="50" t="n">
        <v>206.347918458547</v>
      </c>
      <c r="Q180" s="50" t="n">
        <v>46.4282816531733</v>
      </c>
      <c r="R180" s="50" t="n">
        <v>211.506616420011</v>
      </c>
      <c r="S180" s="50" t="n">
        <v>208.927267439279</v>
      </c>
      <c r="T180" s="50" t="n">
        <v>46.4282816531733</v>
      </c>
      <c r="U180" s="50" t="n">
        <v>98</v>
      </c>
      <c r="V180" s="112">
        <f>((O180+R180)*100)/N180</f>
        <v/>
      </c>
      <c r="W180" s="112">
        <f>((P180+S180)*100)/N180</f>
        <v/>
      </c>
      <c r="X180" s="112">
        <f>((Q180+T180)*100)/N180</f>
        <v/>
      </c>
    </row>
    <row r="181" ht="22.5" customHeight="1" s="150">
      <c r="A181" s="34" t="n">
        <v>179</v>
      </c>
      <c r="B181" s="115">
        <f>C181+D181+E181+F181+G181+H181</f>
        <v/>
      </c>
      <c r="C181" s="50" t="n">
        <v>23.2141408265866</v>
      </c>
      <c r="D181" s="50" t="n">
        <v>41.2695836917096</v>
      </c>
      <c r="E181" s="50" t="n">
        <v>20.6347918458548</v>
      </c>
      <c r="F181" s="50" t="n">
        <v>30.9521877687822</v>
      </c>
      <c r="G181" s="50" t="n">
        <v>28.3728387880503</v>
      </c>
      <c r="H181" s="50" t="n">
        <v>7.73804694219555</v>
      </c>
      <c r="I181" s="111">
        <f>(100*B181)/N181</f>
        <v/>
      </c>
      <c r="J181" s="112">
        <f>((C181+F181)*100)/B181</f>
        <v/>
      </c>
      <c r="K181" s="112">
        <f>((D181+G181)*100)/B181</f>
        <v/>
      </c>
      <c r="L181" s="112">
        <f>((E181+H181)*100)/B181</f>
        <v/>
      </c>
      <c r="M181" s="113">
        <f>N181-B180</f>
        <v/>
      </c>
      <c r="N181" s="115">
        <f>O181+P181+Q181+R181+S181+T181</f>
        <v/>
      </c>
      <c r="O181" s="50" t="n">
        <v>257.934898073185</v>
      </c>
      <c r="P181" s="50" t="n">
        <v>172.816381709033</v>
      </c>
      <c r="Q181" s="50" t="n">
        <v>43.8489326724414</v>
      </c>
      <c r="R181" s="50" t="n">
        <v>840.867767718583</v>
      </c>
      <c r="S181" s="50" t="n">
        <v>505.552400223442</v>
      </c>
      <c r="T181" s="50" t="n">
        <v>118.650053113665</v>
      </c>
      <c r="U181" s="50" t="n">
        <v>113</v>
      </c>
      <c r="V181" s="112">
        <f>((O181+R181)*100)/N181</f>
        <v/>
      </c>
      <c r="W181" s="112">
        <f>((P181+S181)*100)/N181</f>
        <v/>
      </c>
      <c r="X181" s="112">
        <f>((Q181+T181)*100)/N181</f>
        <v/>
      </c>
    </row>
    <row r="182" ht="22.5" customHeight="1" s="150">
      <c r="A182" s="34" t="n">
        <v>180</v>
      </c>
      <c r="B182" s="115">
        <f>C182+D182+E182+F182+G182+H182</f>
        <v/>
      </c>
      <c r="C182" s="50" t="n">
        <v>15.4760938843911</v>
      </c>
      <c r="D182" s="50" t="n">
        <v>15.4760938843911</v>
      </c>
      <c r="E182" s="50" t="n">
        <v>5.1586979614637</v>
      </c>
      <c r="F182" s="50" t="n">
        <v>15.4760938843911</v>
      </c>
      <c r="G182" s="50" t="n">
        <v>5.1586979614637</v>
      </c>
      <c r="H182" s="50" t="n">
        <v>2.57934898073185</v>
      </c>
      <c r="I182" s="111">
        <f>(100*B182)/N182</f>
        <v/>
      </c>
      <c r="J182" s="112">
        <f>((C182+F182)*100)/B182</f>
        <v/>
      </c>
      <c r="K182" s="112">
        <f>((D182+G182)*100)/B182</f>
        <v/>
      </c>
      <c r="L182" s="112">
        <f>((E182+H182)*100)/B182</f>
        <v/>
      </c>
      <c r="M182" s="113">
        <f>N182-B181</f>
        <v/>
      </c>
      <c r="N182" s="115">
        <f>O182+P182+Q182+R182+S182+T182</f>
        <v/>
      </c>
      <c r="O182" s="50" t="n">
        <v>257.934898073185</v>
      </c>
      <c r="P182" s="50" t="n">
        <v>157.340287824642</v>
      </c>
      <c r="Q182" s="50" t="n">
        <v>41.2695836917096</v>
      </c>
      <c r="R182" s="50" t="n">
        <v>49.0076306339051</v>
      </c>
      <c r="S182" s="50" t="n">
        <v>25.7934898073184</v>
      </c>
      <c r="T182" s="50" t="n">
        <v>2.57934898073185</v>
      </c>
      <c r="U182" s="50" t="n">
        <v>83</v>
      </c>
      <c r="V182" s="112">
        <f>((O182+R182)*100)/N182</f>
        <v/>
      </c>
      <c r="W182" s="112">
        <f>((P182+S182)*100)/N182</f>
        <v/>
      </c>
      <c r="X182" s="112">
        <f>((Q182+T182)*100)/N182</f>
        <v/>
      </c>
    </row>
    <row r="183" ht="22.5" customHeight="1" s="150">
      <c r="A183" s="34" t="n">
        <v>181</v>
      </c>
      <c r="B183" s="115">
        <f>C183+D183+E183+F183+G183+H183</f>
        <v/>
      </c>
      <c r="C183" s="50" t="n">
        <v>67.06307349902811</v>
      </c>
      <c r="D183" s="50" t="n">
        <v>18.0554428651229</v>
      </c>
      <c r="E183" s="50" t="n">
        <v>2.57934898073185</v>
      </c>
      <c r="F183" s="50" t="n">
        <v>49.0076306339051</v>
      </c>
      <c r="G183" s="50" t="n">
        <v>10.3173959229274</v>
      </c>
      <c r="H183" s="50" t="n">
        <v>5.1586979614637</v>
      </c>
      <c r="I183" s="111">
        <f>(100*B183)/N183</f>
        <v/>
      </c>
      <c r="J183" s="112">
        <f>((C183+F183)*100)/B183</f>
        <v/>
      </c>
      <c r="K183" s="112">
        <f>((D183+G183)*100)/B183</f>
        <v/>
      </c>
      <c r="L183" s="112">
        <f>((E183+H183)*100)/B183</f>
        <v/>
      </c>
      <c r="M183" s="113">
        <f>N183-B182</f>
        <v/>
      </c>
      <c r="N183" s="115">
        <f>O183+P183+Q183+R183+S183+T183</f>
        <v/>
      </c>
      <c r="O183" s="50" t="n">
        <v>221.824012342939</v>
      </c>
      <c r="P183" s="50" t="n">
        <v>147.022891901715</v>
      </c>
      <c r="Q183" s="50" t="n">
        <v>41.2695836917096</v>
      </c>
      <c r="R183" s="50" t="n">
        <v>363.68820628319</v>
      </c>
      <c r="S183" s="50" t="n">
        <v>306.94252870709</v>
      </c>
      <c r="T183" s="50" t="n">
        <v>74.8011204412236</v>
      </c>
      <c r="U183" s="50" t="n">
        <v>111</v>
      </c>
      <c r="V183" s="112">
        <f>((O183+R183)*100)/N183</f>
        <v/>
      </c>
      <c r="W183" s="112">
        <f>((P183+S183)*100)/N183</f>
        <v/>
      </c>
      <c r="X183" s="112">
        <f>((Q183+T183)*100)/N183</f>
        <v/>
      </c>
    </row>
    <row r="184" ht="22.5" customHeight="1" s="150">
      <c r="A184" s="34" t="n">
        <v>182</v>
      </c>
      <c r="B184" s="115">
        <f>C184+D184+E184+F184+G184+H184</f>
        <v/>
      </c>
      <c r="C184" s="50" t="n">
        <v>116.070704132933</v>
      </c>
      <c r="D184" s="50" t="n">
        <v>10.3173959229274</v>
      </c>
      <c r="E184" s="50" t="n">
        <v>12.8967449036592</v>
      </c>
      <c r="F184" s="50" t="n">
        <v>69.6424224797599</v>
      </c>
      <c r="G184" s="50" t="n">
        <v>10.3173959229274</v>
      </c>
      <c r="H184" s="50" t="n">
        <v>20.6347918458548</v>
      </c>
      <c r="I184" s="111">
        <f>(100*B184)/N184</f>
        <v/>
      </c>
      <c r="J184" s="112">
        <f>((C184+F184)*100)/B184</f>
        <v/>
      </c>
      <c r="K184" s="112">
        <f>((D184+G184)*100)/B184</f>
        <v/>
      </c>
      <c r="L184" s="112">
        <f>((E184+H184)*100)/B184</f>
        <v/>
      </c>
      <c r="M184" s="113">
        <f>N184-B183</f>
        <v/>
      </c>
      <c r="N184" s="115">
        <f>O184+P184+Q184+R184+S184+T184</f>
        <v/>
      </c>
      <c r="O184" s="50" t="n">
        <v>239.879455208062</v>
      </c>
      <c r="P184" s="50" t="n">
        <v>147.022891901715</v>
      </c>
      <c r="Q184" s="50" t="n">
        <v>46.4282816531733</v>
      </c>
      <c r="R184" s="50" t="n">
        <v>299.204481764894</v>
      </c>
      <c r="S184" s="50" t="n">
        <v>273.410991957576</v>
      </c>
      <c r="T184" s="50" t="n">
        <v>87.6978653448828</v>
      </c>
      <c r="U184" s="50" t="n">
        <v>113</v>
      </c>
      <c r="V184" s="112">
        <f>((O184+R184)*100)/N184</f>
        <v/>
      </c>
      <c r="W184" s="112">
        <f>((P184+S184)*100)/N184</f>
        <v/>
      </c>
      <c r="X184" s="112">
        <f>((Q184+T184)*100)/N184</f>
        <v/>
      </c>
    </row>
    <row r="185" ht="22.5" customHeight="1" s="150">
      <c r="A185" s="34" t="n">
        <v>183</v>
      </c>
      <c r="B185" s="115">
        <f>C185+D185+E185+F185+G185+H185</f>
        <v/>
      </c>
      <c r="C185" s="50" t="n">
        <v>67.06307349902811</v>
      </c>
      <c r="D185" s="50" t="n">
        <v>0</v>
      </c>
      <c r="E185" s="50" t="n">
        <v>0</v>
      </c>
      <c r="F185" s="50" t="n">
        <v>7.73804694219555</v>
      </c>
      <c r="G185" s="50" t="n">
        <v>0</v>
      </c>
      <c r="H185" s="50" t="n">
        <v>0</v>
      </c>
      <c r="I185" s="111">
        <f>(100*B185)/N185</f>
        <v/>
      </c>
      <c r="J185" s="112">
        <f>((C185+F185)*100)/B185</f>
        <v/>
      </c>
      <c r="K185" s="112">
        <f>((D185+G185)*100)/B185</f>
        <v/>
      </c>
      <c r="L185" s="112">
        <f>((E185+H185)*100)/B185</f>
        <v/>
      </c>
      <c r="M185" s="113">
        <f>N185-B184</f>
        <v/>
      </c>
      <c r="N185" s="115">
        <f>O185+P185+Q185+R185+S185+T185</f>
        <v/>
      </c>
      <c r="O185" s="50" t="n">
        <v>232.141408265866</v>
      </c>
      <c r="P185" s="50" t="n">
        <v>157.340287824642</v>
      </c>
      <c r="Q185" s="50" t="n">
        <v>46.4282816531733</v>
      </c>
      <c r="R185" s="50" t="n">
        <v>144.443542920983</v>
      </c>
      <c r="S185" s="50" t="n">
        <v>54.1663285953688</v>
      </c>
      <c r="T185" s="50" t="n">
        <v>18.0554428651229</v>
      </c>
      <c r="U185" s="50" t="n">
        <v>72</v>
      </c>
      <c r="V185" s="112">
        <f>((O185+R185)*100)/N185</f>
        <v/>
      </c>
      <c r="W185" s="112">
        <f>((P185+S185)*100)/N185</f>
        <v/>
      </c>
      <c r="X185" s="112">
        <f>((Q185+T185)*100)/N185</f>
        <v/>
      </c>
    </row>
    <row r="186" ht="22.5" customHeight="1" s="150">
      <c r="A186" s="34" t="n">
        <v>184</v>
      </c>
      <c r="B186" s="115">
        <f>C186+D186+E186+F186+G186+H186</f>
        <v/>
      </c>
      <c r="C186" s="50" t="n">
        <v>25.7934898073184</v>
      </c>
      <c r="D186" s="50" t="n">
        <v>0</v>
      </c>
      <c r="E186" s="50" t="n">
        <v>0</v>
      </c>
      <c r="F186" s="50" t="n">
        <v>0</v>
      </c>
      <c r="G186" s="50" t="n">
        <v>0</v>
      </c>
      <c r="H186" s="50" t="n">
        <v>0</v>
      </c>
      <c r="I186" s="111">
        <f>(100*B186)/N186</f>
        <v/>
      </c>
      <c r="J186" s="112">
        <f>((C186+F186)*100)/B186</f>
        <v/>
      </c>
      <c r="K186" s="112">
        <f>((D186+G186)*100)/B186</f>
        <v/>
      </c>
      <c r="L186" s="112">
        <f>((E186+H186)*100)/B186</f>
        <v/>
      </c>
      <c r="M186" s="113">
        <f>N186-B185</f>
        <v/>
      </c>
      <c r="N186" s="115">
        <f>O186+P186+Q186+R186+S186+T186</f>
        <v/>
      </c>
      <c r="O186" s="50" t="n">
        <v>224.40336132367</v>
      </c>
      <c r="P186" s="50" t="n">
        <v>159.919636805374</v>
      </c>
      <c r="Q186" s="50" t="n">
        <v>46.4282816531733</v>
      </c>
      <c r="R186" s="50" t="n">
        <v>7.73804694219555</v>
      </c>
      <c r="S186" s="50" t="n">
        <v>10.3173959229274</v>
      </c>
      <c r="T186" s="50" t="n">
        <v>2.57934898073185</v>
      </c>
      <c r="U186" s="50" t="n">
        <v>57</v>
      </c>
      <c r="V186" s="112">
        <f>((O186+R186)*100)/N186</f>
        <v/>
      </c>
      <c r="W186" s="112">
        <f>((P186+S186)*100)/N186</f>
        <v/>
      </c>
      <c r="X186" s="112">
        <f>((Q186+T186)*100)/N186</f>
        <v/>
      </c>
    </row>
    <row r="187" ht="22.5" customHeight="1" s="150">
      <c r="A187" s="34" t="n">
        <v>185</v>
      </c>
      <c r="B187" s="115">
        <f>C187+D187+E187+F187+G187+H187</f>
        <v/>
      </c>
      <c r="C187" s="50" t="n">
        <v>72.22177146049179</v>
      </c>
      <c r="D187" s="50" t="n">
        <v>2.57934898073185</v>
      </c>
      <c r="E187" s="50" t="n">
        <v>10.3173959229274</v>
      </c>
      <c r="F187" s="50" t="n">
        <v>5.1586979614637</v>
      </c>
      <c r="G187" s="50" t="n">
        <v>2.57934898073185</v>
      </c>
      <c r="H187" s="50" t="n">
        <v>0</v>
      </c>
      <c r="I187" s="111">
        <f>(100*B187)/N187</f>
        <v/>
      </c>
      <c r="J187" s="112">
        <f>((C187+F187)*100)/B187</f>
        <v/>
      </c>
      <c r="K187" s="112">
        <f>((D187+G187)*100)/B187</f>
        <v/>
      </c>
      <c r="L187" s="112">
        <f>((E187+H187)*100)/B187</f>
        <v/>
      </c>
      <c r="M187" s="113">
        <f>N187-B186</f>
        <v/>
      </c>
      <c r="N187" s="115">
        <f>O187+P187+Q187+R187+S187+T187</f>
        <v/>
      </c>
      <c r="O187" s="50" t="n">
        <v>247.617502150257</v>
      </c>
      <c r="P187" s="50" t="n">
        <v>144.443542920983</v>
      </c>
      <c r="Q187" s="50" t="n">
        <v>38.6902347109777</v>
      </c>
      <c r="R187" s="50" t="n">
        <v>175.395730689765</v>
      </c>
      <c r="S187" s="50" t="n">
        <v>90.27721432561469</v>
      </c>
      <c r="T187" s="50" t="n">
        <v>12.8967449036592</v>
      </c>
      <c r="U187" s="50" t="n">
        <v>83</v>
      </c>
      <c r="V187" s="112">
        <f>((O187+R187)*100)/N187</f>
        <v/>
      </c>
      <c r="W187" s="112">
        <f>((P187+S187)*100)/N187</f>
        <v/>
      </c>
      <c r="X187" s="112">
        <f>((Q187+T187)*100)/N187</f>
        <v/>
      </c>
    </row>
    <row r="188" ht="22.5" customHeight="1" s="150">
      <c r="A188" s="34" t="n">
        <v>186</v>
      </c>
      <c r="B188" s="115">
        <f>C188+D188+E188+F188+G188+H188</f>
        <v/>
      </c>
      <c r="C188" s="50" t="n">
        <v>92.8565633063466</v>
      </c>
      <c r="D188" s="50" t="n">
        <v>2.57934898073185</v>
      </c>
      <c r="E188" s="50" t="n">
        <v>12.8967449036592</v>
      </c>
      <c r="F188" s="50" t="n">
        <v>36.1108857302459</v>
      </c>
      <c r="G188" s="50" t="n">
        <v>0</v>
      </c>
      <c r="H188" s="50" t="n">
        <v>5.1586979614637</v>
      </c>
      <c r="I188" s="111">
        <f>(100*B188)/N188</f>
        <v/>
      </c>
      <c r="J188" s="112">
        <f>((C188+F188)*100)/B188</f>
        <v/>
      </c>
      <c r="K188" s="112">
        <f>((D188+G188)*100)/B188</f>
        <v/>
      </c>
      <c r="L188" s="112">
        <f>((E188+H188)*100)/B188</f>
        <v/>
      </c>
      <c r="M188" s="113">
        <f>N188-B187</f>
        <v/>
      </c>
      <c r="N188" s="115">
        <f>O188+P188+Q188+R188+S188+T188</f>
        <v/>
      </c>
      <c r="O188" s="50" t="n">
        <v>247.617502150257</v>
      </c>
      <c r="P188" s="50" t="n">
        <v>162.498985786106</v>
      </c>
      <c r="Q188" s="50" t="n">
        <v>41.2695836917096</v>
      </c>
      <c r="R188" s="50" t="n">
        <v>348.212112398799</v>
      </c>
      <c r="S188" s="50" t="n">
        <v>162.498985786106</v>
      </c>
      <c r="T188" s="50" t="n">
        <v>69.6424224797599</v>
      </c>
      <c r="U188" s="50" t="n">
        <v>95</v>
      </c>
      <c r="V188" s="112">
        <f>((O188+R188)*100)/N188</f>
        <v/>
      </c>
      <c r="W188" s="112">
        <f>((P188+S188)*100)/N188</f>
        <v/>
      </c>
      <c r="X188" s="112">
        <f>((Q188+T188)*100)/N188</f>
        <v/>
      </c>
    </row>
    <row r="189" ht="22.5" customHeight="1" s="150">
      <c r="A189" s="34" t="n">
        <v>187</v>
      </c>
      <c r="B189" s="115">
        <f>C189+D189+E189+F189+G189+H189</f>
        <v/>
      </c>
      <c r="C189" s="50" t="n">
        <v>77.3804694219555</v>
      </c>
      <c r="D189" s="50" t="n">
        <v>7.73804694219555</v>
      </c>
      <c r="E189" s="50" t="n">
        <v>12.8967449036592</v>
      </c>
      <c r="F189" s="50" t="n">
        <v>87.6978653448828</v>
      </c>
      <c r="G189" s="50" t="n">
        <v>2.57934898073185</v>
      </c>
      <c r="H189" s="50" t="n">
        <v>7.73804694219555</v>
      </c>
      <c r="I189" s="111">
        <f>(100*B189)/N189</f>
        <v/>
      </c>
      <c r="J189" s="112">
        <f>((C189+F189)*100)/B189</f>
        <v/>
      </c>
      <c r="K189" s="112">
        <f>((D189+G189)*100)/B189</f>
        <v/>
      </c>
      <c r="L189" s="112">
        <f>((E189+H189)*100)/B189</f>
        <v/>
      </c>
      <c r="M189" s="113">
        <f>N189-B188</f>
        <v/>
      </c>
      <c r="N189" s="115">
        <f>O189+P189+Q189+R189+S189+T189</f>
        <v/>
      </c>
      <c r="O189" s="50" t="n">
        <v>203.768569477816</v>
      </c>
      <c r="P189" s="50" t="n">
        <v>162.498985786106</v>
      </c>
      <c r="Q189" s="50" t="n">
        <v>38.6902347109777</v>
      </c>
      <c r="R189" s="50" t="n">
        <v>608.726359452716</v>
      </c>
      <c r="S189" s="50" t="n">
        <v>309.521877687822</v>
      </c>
      <c r="T189" s="50" t="n">
        <v>108.332657190737</v>
      </c>
      <c r="U189" s="50" t="n">
        <v>106</v>
      </c>
      <c r="V189" s="112">
        <f>((O189+R189)*100)/N189</f>
        <v/>
      </c>
      <c r="W189" s="112">
        <f>((P189+S189)*100)/N189</f>
        <v/>
      </c>
      <c r="X189" s="112">
        <f>((Q189+T189)*100)/N189</f>
        <v/>
      </c>
    </row>
    <row r="190" ht="22.5" customHeight="1" s="150">
      <c r="A190" s="34" t="n">
        <v>188</v>
      </c>
      <c r="B190" s="115">
        <f>C190+D190+E190+F190+G190+H190</f>
        <v/>
      </c>
      <c r="C190" s="50" t="n">
        <v>7.73804694219555</v>
      </c>
      <c r="D190" s="50" t="n">
        <v>0</v>
      </c>
      <c r="E190" s="50" t="n">
        <v>0</v>
      </c>
      <c r="F190" s="50" t="n">
        <v>0</v>
      </c>
      <c r="G190" s="50" t="n">
        <v>0</v>
      </c>
      <c r="H190" s="50" t="n">
        <v>0</v>
      </c>
      <c r="I190" s="111">
        <f>(100*B190)/N190</f>
        <v/>
      </c>
      <c r="J190" s="112">
        <f>((C190+F190)*100)/B190</f>
        <v/>
      </c>
      <c r="K190" s="112">
        <f>((D190+G190)*100)/B190</f>
        <v/>
      </c>
      <c r="L190" s="112">
        <f>((E190+H190)*100)/B190</f>
        <v/>
      </c>
      <c r="M190" s="113">
        <f>N190-B189</f>
        <v/>
      </c>
      <c r="N190" s="115">
        <f>O190+P190+Q190+R190+S190+T190</f>
        <v/>
      </c>
      <c r="O190" s="50" t="n">
        <v>201.189220497084</v>
      </c>
      <c r="P190" s="50" t="n">
        <v>165.078334766838</v>
      </c>
      <c r="Q190" s="50" t="n">
        <v>38.6902347109777</v>
      </c>
      <c r="R190" s="50" t="n">
        <v>5.1586979614637</v>
      </c>
      <c r="S190" s="50" t="n">
        <v>7.73804694219555</v>
      </c>
      <c r="T190" s="50" t="n">
        <v>0</v>
      </c>
      <c r="U190" s="50" t="n">
        <v>57</v>
      </c>
      <c r="V190" s="112">
        <f>((O190+R190)*100)/N190</f>
        <v/>
      </c>
      <c r="W190" s="112">
        <f>((P190+S190)*100)/N190</f>
        <v/>
      </c>
      <c r="X190" s="112">
        <f>((Q190+T190)*100)/N190</f>
        <v/>
      </c>
    </row>
    <row r="191" ht="22.5" customHeight="1" s="150">
      <c r="A191" s="34" t="n">
        <v>189</v>
      </c>
      <c r="B191" s="115">
        <f>C191+D191+E191+F191+G191+H191</f>
        <v/>
      </c>
      <c r="C191" s="50" t="n">
        <v>126.38810005586</v>
      </c>
      <c r="D191" s="50" t="n">
        <v>38.6902347109777</v>
      </c>
      <c r="E191" s="50" t="n">
        <v>69.6424224797599</v>
      </c>
      <c r="F191" s="50" t="n">
        <v>180.554428651229</v>
      </c>
      <c r="G191" s="50" t="n">
        <v>10.3173959229274</v>
      </c>
      <c r="H191" s="50" t="n">
        <v>46.4282816531733</v>
      </c>
      <c r="I191" s="111">
        <f>(100*B191)/N191</f>
        <v/>
      </c>
      <c r="J191" s="112">
        <f>((C191+F191)*100)/B191</f>
        <v/>
      </c>
      <c r="K191" s="112">
        <f>((D191+G191)*100)/B191</f>
        <v/>
      </c>
      <c r="L191" s="112">
        <f>((E191+H191)*100)/B191</f>
        <v/>
      </c>
      <c r="M191" s="113">
        <f>N191-B190</f>
        <v/>
      </c>
      <c r="N191" s="115">
        <f>O191+P191+Q191+R191+S191+T191</f>
        <v/>
      </c>
      <c r="O191" s="50" t="n">
        <v>183.133777631961</v>
      </c>
      <c r="P191" s="50" t="n">
        <v>123.808751075128</v>
      </c>
      <c r="Q191" s="50" t="n">
        <v>15.4760938843911</v>
      </c>
      <c r="R191" s="50" t="n">
        <v>647.416594163694</v>
      </c>
      <c r="S191" s="50" t="n">
        <v>474.60021245466</v>
      </c>
      <c r="T191" s="50" t="n">
        <v>105.753308210005</v>
      </c>
      <c r="U191" s="50" t="n">
        <v>119</v>
      </c>
      <c r="V191" s="112">
        <f>((O191+R191)*100)/N191</f>
        <v/>
      </c>
      <c r="W191" s="112">
        <f>((P191+S191)*100)/N191</f>
        <v/>
      </c>
      <c r="X191" s="112">
        <f>((Q191+T191)*100)/N191</f>
        <v/>
      </c>
    </row>
    <row r="192" ht="22.5" customHeight="1" s="150">
      <c r="A192" s="34" t="n">
        <v>190</v>
      </c>
      <c r="B192" s="115">
        <f>C192+D192+E192+F192+G192+H192</f>
        <v/>
      </c>
      <c r="C192" s="50" t="n">
        <v>36.1108857302459</v>
      </c>
      <c r="D192" s="50" t="n">
        <v>12.8967449036592</v>
      </c>
      <c r="E192" s="50" t="n">
        <v>5.1586979614637</v>
      </c>
      <c r="F192" s="50" t="n">
        <v>12.8967449036592</v>
      </c>
      <c r="G192" s="50" t="n">
        <v>5.1586979614637</v>
      </c>
      <c r="H192" s="50" t="n">
        <v>0</v>
      </c>
      <c r="I192" s="111">
        <f>(100*B192)/N192</f>
        <v/>
      </c>
      <c r="J192" s="112">
        <f>((C192+F192)*100)/B192</f>
        <v/>
      </c>
      <c r="K192" s="112">
        <f>((D192+G192)*100)/B192</f>
        <v/>
      </c>
      <c r="L192" s="112">
        <f>((E192+H192)*100)/B192</f>
        <v/>
      </c>
      <c r="M192" s="113">
        <f>N192-B191</f>
        <v/>
      </c>
      <c r="N192" s="115">
        <f>O192+P192+Q192+R192+S192+T192</f>
        <v/>
      </c>
      <c r="O192" s="50" t="n">
        <v>165.078334766838</v>
      </c>
      <c r="P192" s="50" t="n">
        <v>121.229402094396</v>
      </c>
      <c r="Q192" s="50" t="n">
        <v>12.8967449036592</v>
      </c>
      <c r="R192" s="50" t="n">
        <v>113.491355152201</v>
      </c>
      <c r="S192" s="50" t="n">
        <v>87.6978653448828</v>
      </c>
      <c r="T192" s="50" t="n">
        <v>10.3173959229274</v>
      </c>
      <c r="U192" s="50" t="n">
        <v>80</v>
      </c>
      <c r="V192" s="112">
        <f>((O192+R192)*100)/N192</f>
        <v/>
      </c>
      <c r="W192" s="112">
        <f>((P192+S192)*100)/N192</f>
        <v/>
      </c>
      <c r="X192" s="112">
        <f>((Q192+T192)*100)/N192</f>
        <v/>
      </c>
    </row>
    <row r="193" ht="22.5" customHeight="1" s="150">
      <c r="A193" s="34" t="n">
        <v>191</v>
      </c>
      <c r="B193" s="115">
        <f>C193+D193+E193+F193+G193+H193</f>
        <v/>
      </c>
      <c r="C193" s="50" t="n">
        <v>43.8489326724414</v>
      </c>
      <c r="D193" s="50" t="n">
        <v>0</v>
      </c>
      <c r="E193" s="50" t="n">
        <v>0</v>
      </c>
      <c r="F193" s="50" t="n">
        <v>0</v>
      </c>
      <c r="G193" s="50" t="n">
        <v>0</v>
      </c>
      <c r="H193" s="50" t="n">
        <v>0</v>
      </c>
      <c r="I193" s="111">
        <f>(100*B193)/N193</f>
        <v/>
      </c>
      <c r="J193" s="112">
        <f>((C193+F193)*100)/B193</f>
        <v/>
      </c>
      <c r="K193" s="112">
        <f>((D193+G193)*100)/B193</f>
        <v/>
      </c>
      <c r="L193" s="112">
        <f>((E193+H193)*100)/B193</f>
        <v/>
      </c>
      <c r="M193" s="113">
        <f>N193-B192</f>
        <v/>
      </c>
      <c r="N193" s="115">
        <f>O193+P193+Q193+R193+S193+T193</f>
        <v/>
      </c>
      <c r="O193" s="50" t="n">
        <v>149.602240882447</v>
      </c>
      <c r="P193" s="50" t="n">
        <v>136.705495978788</v>
      </c>
      <c r="Q193" s="50" t="n">
        <v>15.4760938843911</v>
      </c>
      <c r="R193" s="50" t="n">
        <v>41.2695836917096</v>
      </c>
      <c r="S193" s="50" t="n">
        <v>12.8967449036592</v>
      </c>
      <c r="T193" s="50" t="n">
        <v>0</v>
      </c>
      <c r="U193" s="50" t="n">
        <v>49</v>
      </c>
      <c r="V193" s="112">
        <f>((O193+R193)*100)/N193</f>
        <v/>
      </c>
      <c r="W193" s="112">
        <f>((P193+S193)*100)/N193</f>
        <v/>
      </c>
      <c r="X193" s="112">
        <f>((Q193+T193)*100)/N193</f>
        <v/>
      </c>
    </row>
    <row r="194" ht="22.5" customHeight="1" s="150">
      <c r="A194" s="34" t="n">
        <v>192</v>
      </c>
      <c r="B194" s="115">
        <f>C194+D194+E194+F194+G194+H194</f>
        <v/>
      </c>
      <c r="C194" s="50" t="n">
        <v>54.1663285953688</v>
      </c>
      <c r="D194" s="50" t="n">
        <v>0</v>
      </c>
      <c r="E194" s="50" t="n">
        <v>2.57934898073185</v>
      </c>
      <c r="F194" s="50" t="n">
        <v>7.73804694219555</v>
      </c>
      <c r="G194" s="50" t="n">
        <v>0</v>
      </c>
      <c r="H194" s="50" t="n">
        <v>0</v>
      </c>
      <c r="I194" s="111">
        <f>(100*B194)/N194</f>
        <v/>
      </c>
      <c r="J194" s="112">
        <f>((C194+F194)*100)/B194</f>
        <v/>
      </c>
      <c r="K194" s="112">
        <f>((D194+G194)*100)/B194</f>
        <v/>
      </c>
      <c r="L194" s="112">
        <f>((E194+H194)*100)/B194</f>
        <v/>
      </c>
      <c r="M194" s="113">
        <f>N194-B193</f>
        <v/>
      </c>
      <c r="N194" s="115">
        <f>O194+P194+Q194+R194+S194+T194</f>
        <v/>
      </c>
      <c r="O194" s="50" t="n">
        <v>180.554428651229</v>
      </c>
      <c r="P194" s="50" t="n">
        <v>147.022891901715</v>
      </c>
      <c r="Q194" s="50" t="n">
        <v>12.8967449036592</v>
      </c>
      <c r="R194" s="50" t="n">
        <v>49.0076306339051</v>
      </c>
      <c r="S194" s="50" t="n">
        <v>33.531536749514</v>
      </c>
      <c r="T194" s="50" t="n">
        <v>5.1586979614637</v>
      </c>
      <c r="U194" s="50" t="n">
        <v>64</v>
      </c>
      <c r="V194" s="112">
        <f>((O194+R194)*100)/N194</f>
        <v/>
      </c>
      <c r="W194" s="112">
        <f>((P194+S194)*100)/N194</f>
        <v/>
      </c>
      <c r="X194" s="112">
        <f>((Q194+T194)*100)/N194</f>
        <v/>
      </c>
    </row>
    <row r="195" ht="22.5" customHeight="1" s="150">
      <c r="A195" s="34" t="n">
        <v>193</v>
      </c>
      <c r="B195" s="115">
        <f>C195+D195+E195+F195+G195+H195</f>
        <v/>
      </c>
      <c r="C195" s="50" t="n">
        <v>43.8489326724414</v>
      </c>
      <c r="D195" s="50" t="n">
        <v>28.3728387880503</v>
      </c>
      <c r="E195" s="50" t="n">
        <v>12.8967449036592</v>
      </c>
      <c r="F195" s="50" t="n">
        <v>43.8489326724414</v>
      </c>
      <c r="G195" s="50" t="n">
        <v>30.9521877687822</v>
      </c>
      <c r="H195" s="50" t="n">
        <v>12.8967449036592</v>
      </c>
      <c r="I195" s="111">
        <f>(100*B195)/N195</f>
        <v/>
      </c>
      <c r="J195" s="112">
        <f>((C195+F195)*100)/B195</f>
        <v/>
      </c>
      <c r="K195" s="112">
        <f>((D195+G195)*100)/B195</f>
        <v/>
      </c>
      <c r="L195" s="112">
        <f>((E195+H195)*100)/B195</f>
        <v/>
      </c>
      <c r="M195" s="113">
        <f>N195-B194</f>
        <v/>
      </c>
      <c r="N195" s="115">
        <f>O195+P195+Q195+R195+S195+T195</f>
        <v/>
      </c>
      <c r="O195" s="50" t="n">
        <v>177.975079670497</v>
      </c>
      <c r="P195" s="50" t="n">
        <v>131.546798017324</v>
      </c>
      <c r="Q195" s="50" t="n">
        <v>33.531536749514</v>
      </c>
      <c r="R195" s="50" t="n">
        <v>255.355549092453</v>
      </c>
      <c r="S195" s="50" t="n">
        <v>157.340287824642</v>
      </c>
      <c r="T195" s="50" t="n">
        <v>10.3173959229274</v>
      </c>
      <c r="U195" s="50" t="n">
        <v>101</v>
      </c>
      <c r="V195" s="112">
        <f>((O195+R195)*100)/N195</f>
        <v/>
      </c>
      <c r="W195" s="112">
        <f>((P195+S195)*100)/N195</f>
        <v/>
      </c>
      <c r="X195" s="112">
        <f>((Q195+T195)*100)/N195</f>
        <v/>
      </c>
    </row>
    <row r="196" ht="22.5" customHeight="1" s="150">
      <c r="A196" s="34" t="n">
        <v>194</v>
      </c>
      <c r="B196" s="115">
        <f>C196+D196+E196+F196+G196+H196</f>
        <v/>
      </c>
      <c r="C196" s="50" t="n">
        <v>23.2141408265866</v>
      </c>
      <c r="D196" s="50" t="n">
        <v>10.3173959229274</v>
      </c>
      <c r="E196" s="50" t="n">
        <v>12.8967449036592</v>
      </c>
      <c r="F196" s="50" t="n">
        <v>20.6347918458548</v>
      </c>
      <c r="G196" s="50" t="n">
        <v>0</v>
      </c>
      <c r="H196" s="50" t="n">
        <v>0</v>
      </c>
      <c r="I196" s="111">
        <f>(100*B196)/N196</f>
        <v/>
      </c>
      <c r="J196" s="112">
        <f>((C196+F196)*100)/B196</f>
        <v/>
      </c>
      <c r="K196" s="112">
        <f>((D196+G196)*100)/B196</f>
        <v/>
      </c>
      <c r="L196" s="112">
        <f>((E196+H196)*100)/B196</f>
        <v/>
      </c>
      <c r="M196" s="113">
        <f>N196-B195</f>
        <v/>
      </c>
      <c r="N196" s="115">
        <f>O196+P196+Q196+R196+S196+T196</f>
        <v/>
      </c>
      <c r="O196" s="50" t="n">
        <v>190.871824574156</v>
      </c>
      <c r="P196" s="50" t="n">
        <v>136.705495978788</v>
      </c>
      <c r="Q196" s="50" t="n">
        <v>33.531536749514</v>
      </c>
      <c r="R196" s="50" t="n">
        <v>211.506616420011</v>
      </c>
      <c r="S196" s="50" t="n">
        <v>165.078334766838</v>
      </c>
      <c r="T196" s="50" t="n">
        <v>43.8489326724414</v>
      </c>
      <c r="U196" s="50" t="n">
        <v>80</v>
      </c>
      <c r="V196" s="112">
        <f>((O196+R196)*100)/N196</f>
        <v/>
      </c>
      <c r="W196" s="112">
        <f>((P196+S196)*100)/N196</f>
        <v/>
      </c>
      <c r="X196" s="112">
        <f>((Q196+T196)*100)/N196</f>
        <v/>
      </c>
    </row>
    <row r="197" ht="22.5" customHeight="1" s="150">
      <c r="A197" s="34" t="n">
        <v>195</v>
      </c>
      <c r="B197" s="115">
        <f>C197+D197+E197+F197+G197+H197</f>
        <v/>
      </c>
      <c r="C197" s="50" t="n">
        <v>72.22177146049179</v>
      </c>
      <c r="D197" s="50" t="n">
        <v>15.4760938843911</v>
      </c>
      <c r="E197" s="50" t="n">
        <v>20.6347918458548</v>
      </c>
      <c r="F197" s="50" t="n">
        <v>64.4837245182962</v>
      </c>
      <c r="G197" s="50" t="n">
        <v>28.3728387880503</v>
      </c>
      <c r="H197" s="50" t="n">
        <v>28.3728387880503</v>
      </c>
      <c r="I197" s="111">
        <f>(100*B197)/N197</f>
        <v/>
      </c>
      <c r="J197" s="112">
        <f>((C197+F197)*100)/B197</f>
        <v/>
      </c>
      <c r="K197" s="112">
        <f>((D197+G197)*100)/B197</f>
        <v/>
      </c>
      <c r="L197" s="112">
        <f>((E197+H197)*100)/B197</f>
        <v/>
      </c>
      <c r="M197" s="113">
        <f>N197-B196</f>
        <v/>
      </c>
      <c r="N197" s="115">
        <f>O197+P197+Q197+R197+S197+T197</f>
        <v/>
      </c>
      <c r="O197" s="50" t="n">
        <v>193.451173554888</v>
      </c>
      <c r="P197" s="50" t="n">
        <v>147.022891901715</v>
      </c>
      <c r="Q197" s="50" t="n">
        <v>43.8489326724414</v>
      </c>
      <c r="R197" s="50" t="n">
        <v>296.625132784162</v>
      </c>
      <c r="S197" s="50" t="n">
        <v>128.967449036592</v>
      </c>
      <c r="T197" s="50" t="n">
        <v>59.3250265568325</v>
      </c>
      <c r="U197" s="50" t="n">
        <v>101</v>
      </c>
      <c r="V197" s="112">
        <f>((O197+R197)*100)/N197</f>
        <v/>
      </c>
      <c r="W197" s="112">
        <f>((P197+S197)*100)/N197</f>
        <v/>
      </c>
      <c r="X197" s="112">
        <f>((Q197+T197)*100)/N197</f>
        <v/>
      </c>
    </row>
    <row r="198" ht="22.5" customHeight="1" s="150">
      <c r="A198" s="34" t="n">
        <v>196</v>
      </c>
      <c r="B198" s="115">
        <f>C198+D198+E198+F198+G198+H198</f>
        <v/>
      </c>
      <c r="C198" s="50" t="n">
        <v>67.06307349902811</v>
      </c>
      <c r="D198" s="50" t="n">
        <v>2.57934898073185</v>
      </c>
      <c r="E198" s="50" t="n">
        <v>2.57934898073185</v>
      </c>
      <c r="F198" s="50" t="n">
        <v>23.2141408265866</v>
      </c>
      <c r="G198" s="50" t="n">
        <v>0</v>
      </c>
      <c r="H198" s="50" t="n">
        <v>0</v>
      </c>
      <c r="I198" s="111">
        <f>(100*B198)/N198</f>
        <v/>
      </c>
      <c r="J198" s="112">
        <f>((C198+F198)*100)/B198</f>
        <v/>
      </c>
      <c r="K198" s="112">
        <f>((D198+G198)*100)/B198</f>
        <v/>
      </c>
      <c r="L198" s="112">
        <f>((E198+H198)*100)/B198</f>
        <v/>
      </c>
      <c r="M198" s="113">
        <f>N198-B197</f>
        <v/>
      </c>
      <c r="N198" s="115">
        <f>O198+P198+Q198+R198+S198+T198</f>
        <v/>
      </c>
      <c r="O198" s="50" t="n">
        <v>183.133777631961</v>
      </c>
      <c r="P198" s="50" t="n">
        <v>144.443542920983</v>
      </c>
      <c r="Q198" s="50" t="n">
        <v>43.8489326724414</v>
      </c>
      <c r="R198" s="50" t="n">
        <v>77.3804694219555</v>
      </c>
      <c r="S198" s="50" t="n">
        <v>103.173959229273</v>
      </c>
      <c r="T198" s="50" t="n">
        <v>33.531536749514</v>
      </c>
      <c r="U198" s="50" t="n">
        <v>67</v>
      </c>
      <c r="V198" s="112">
        <f>((O198+R198)*100)/N198</f>
        <v/>
      </c>
      <c r="W198" s="112">
        <f>((P198+S198)*100)/N198</f>
        <v/>
      </c>
      <c r="X198" s="112">
        <f>((Q198+T198)*100)/N198</f>
        <v/>
      </c>
    </row>
    <row r="199" ht="22.5" customHeight="1" s="150">
      <c r="A199" s="34" t="n">
        <v>197</v>
      </c>
      <c r="B199" s="115">
        <f>C199+D199+E199+F199+G199+H199</f>
        <v/>
      </c>
      <c r="C199" s="50" t="n">
        <v>77.3804694219555</v>
      </c>
      <c r="D199" s="50" t="n">
        <v>0</v>
      </c>
      <c r="E199" s="50" t="n">
        <v>5.1586979614637</v>
      </c>
      <c r="F199" s="50" t="n">
        <v>18.0554428651229</v>
      </c>
      <c r="G199" s="50" t="n">
        <v>0</v>
      </c>
      <c r="H199" s="50" t="n">
        <v>2.57934898073185</v>
      </c>
      <c r="I199" s="111">
        <f>(100*B199)/N199</f>
        <v/>
      </c>
      <c r="J199" s="112">
        <f>((C199+F199)*100)/B199</f>
        <v/>
      </c>
      <c r="K199" s="112">
        <f>((D199+G199)*100)/B199</f>
        <v/>
      </c>
      <c r="L199" s="112">
        <f>((E199+H199)*100)/B199</f>
        <v/>
      </c>
      <c r="M199" s="113">
        <f>N199-B198</f>
        <v/>
      </c>
      <c r="N199" s="115">
        <f>O199+P199+Q199+R199+S199+T199</f>
        <v/>
      </c>
      <c r="O199" s="50" t="n">
        <v>154.760938843911</v>
      </c>
      <c r="P199" s="50" t="n">
        <v>144.443542920983</v>
      </c>
      <c r="Q199" s="50" t="n">
        <v>46.4282816531733</v>
      </c>
      <c r="R199" s="50" t="n">
        <v>105.753308210005</v>
      </c>
      <c r="S199" s="50" t="n">
        <v>95.43591228707839</v>
      </c>
      <c r="T199" s="50" t="n">
        <v>38.6902347109777</v>
      </c>
      <c r="U199" s="50" t="n">
        <v>80</v>
      </c>
      <c r="V199" s="112">
        <f>((O199+R199)*100)/N199</f>
        <v/>
      </c>
      <c r="W199" s="112">
        <f>((P199+S199)*100)/N199</f>
        <v/>
      </c>
      <c r="X199" s="112">
        <f>((Q199+T199)*100)/N199</f>
        <v/>
      </c>
    </row>
    <row r="200" ht="22.5" customHeight="1" s="150">
      <c r="A200" s="34" t="n">
        <v>198</v>
      </c>
      <c r="B200" s="115">
        <f>C200+D200+E200+F200+G200+H200</f>
        <v/>
      </c>
      <c r="C200" s="50" t="n">
        <v>43.8489326724414</v>
      </c>
      <c r="D200" s="50" t="n">
        <v>5.1586979614637</v>
      </c>
      <c r="E200" s="50" t="n">
        <v>2.57934898073185</v>
      </c>
      <c r="F200" s="50" t="n">
        <v>12.8967449036592</v>
      </c>
      <c r="G200" s="50" t="n">
        <v>0</v>
      </c>
      <c r="H200" s="50" t="n">
        <v>0</v>
      </c>
      <c r="I200" s="111">
        <f>(100*B200)/N200</f>
        <v/>
      </c>
      <c r="J200" s="112">
        <f>((C200+F200)*100)/B200</f>
        <v/>
      </c>
      <c r="K200" s="112">
        <f>((D200+G200)*100)/B200</f>
        <v/>
      </c>
      <c r="L200" s="112">
        <f>((E200+H200)*100)/B200</f>
        <v/>
      </c>
      <c r="M200" s="113">
        <f>N200-B199</f>
        <v/>
      </c>
      <c r="N200" s="115">
        <f>O200+P200+Q200+R200+S200+T200</f>
        <v/>
      </c>
      <c r="O200" s="50" t="n">
        <v>167.65768374757</v>
      </c>
      <c r="P200" s="50" t="n">
        <v>141.864193940251</v>
      </c>
      <c r="Q200" s="50" t="n">
        <v>46.4282816531733</v>
      </c>
      <c r="R200" s="50" t="n">
        <v>110.912006171469</v>
      </c>
      <c r="S200" s="50" t="n">
        <v>79.9598184026873</v>
      </c>
      <c r="T200" s="50" t="n">
        <v>28.3728387880503</v>
      </c>
      <c r="U200" s="50" t="n">
        <v>72</v>
      </c>
      <c r="V200" s="112">
        <f>((O200+R200)*100)/N200</f>
        <v/>
      </c>
      <c r="W200" s="112">
        <f>((P200+S200)*100)/N200</f>
        <v/>
      </c>
      <c r="X200" s="112">
        <f>((Q200+T200)*100)/N200</f>
        <v/>
      </c>
    </row>
    <row r="201" ht="22.5" customHeight="1" s="150">
      <c r="A201" s="34" t="n">
        <v>199</v>
      </c>
      <c r="B201" s="115">
        <f>C201+D201+E201+F201+G201+H201</f>
        <v/>
      </c>
      <c r="C201" s="50" t="n">
        <v>54.1663285953688</v>
      </c>
      <c r="D201" s="50" t="n">
        <v>5.1586979614637</v>
      </c>
      <c r="E201" s="50" t="n">
        <v>2.57934898073185</v>
      </c>
      <c r="F201" s="50" t="n">
        <v>12.8967449036592</v>
      </c>
      <c r="G201" s="50" t="n">
        <v>5.1586979614637</v>
      </c>
      <c r="H201" s="50" t="n">
        <v>2.57934898073185</v>
      </c>
      <c r="I201" s="111">
        <f>(100*B201)/N201</f>
        <v/>
      </c>
      <c r="J201" s="112">
        <f>((C201+F201)*100)/B201</f>
        <v/>
      </c>
      <c r="K201" s="112">
        <f>((D201+G201)*100)/B201</f>
        <v/>
      </c>
      <c r="L201" s="112">
        <f>((E201+H201)*100)/B201</f>
        <v/>
      </c>
      <c r="M201" s="113">
        <f>N201-B200</f>
        <v/>
      </c>
      <c r="N201" s="115">
        <f>O201+P201+Q201+R201+S201+T201</f>
        <v/>
      </c>
      <c r="O201" s="50" t="n">
        <v>170.237032728302</v>
      </c>
      <c r="P201" s="50" t="n">
        <v>144.443542920983</v>
      </c>
      <c r="Q201" s="50" t="n">
        <v>43.8489326724414</v>
      </c>
      <c r="R201" s="50" t="n">
        <v>90.27721432561469</v>
      </c>
      <c r="S201" s="50" t="n">
        <v>69.6424224797599</v>
      </c>
      <c r="T201" s="50" t="n">
        <v>41.2695836917096</v>
      </c>
      <c r="U201" s="50" t="n">
        <v>62</v>
      </c>
      <c r="V201" s="112">
        <f>((O201+R201)*100)/N201</f>
        <v/>
      </c>
      <c r="W201" s="112">
        <f>((P201+S201)*100)/N201</f>
        <v/>
      </c>
      <c r="X201" s="112">
        <f>((Q201+T201)*100)/N201</f>
        <v/>
      </c>
    </row>
    <row r="202" ht="22.5" customHeight="1" s="150">
      <c r="A202" s="34" t="n">
        <v>200</v>
      </c>
      <c r="B202" s="115">
        <f>C202+D202+E202+F202+G202+H202</f>
        <v/>
      </c>
      <c r="C202" s="50" t="n">
        <v>61.9043755375644</v>
      </c>
      <c r="D202" s="50" t="n">
        <v>23.2141408265866</v>
      </c>
      <c r="E202" s="50" t="n">
        <v>25.7934898073184</v>
      </c>
      <c r="F202" s="50" t="n">
        <v>79.9598184026873</v>
      </c>
      <c r="G202" s="50" t="n">
        <v>64.4837245182962</v>
      </c>
      <c r="H202" s="50" t="n">
        <v>18.0554428651229</v>
      </c>
      <c r="I202" s="111">
        <f>(100*B202)/N202</f>
        <v/>
      </c>
      <c r="J202" s="112">
        <f>((C202+F202)*100)/B202</f>
        <v/>
      </c>
      <c r="K202" s="112">
        <f>((D202+G202)*100)/B202</f>
        <v/>
      </c>
      <c r="L202" s="112">
        <f>((E202+H202)*100)/B202</f>
        <v/>
      </c>
      <c r="M202" s="113">
        <f>N202-B201</f>
        <v/>
      </c>
      <c r="N202" s="115">
        <f>O202+P202+Q202+R202+S202+T202</f>
        <v/>
      </c>
      <c r="O202" s="50" t="n">
        <v>177.975079670497</v>
      </c>
      <c r="P202" s="50" t="n">
        <v>118.650053113665</v>
      </c>
      <c r="Q202" s="50" t="n">
        <v>38.6902347109777</v>
      </c>
      <c r="R202" s="50" t="n">
        <v>361.108857302459</v>
      </c>
      <c r="S202" s="50" t="n">
        <v>260.514247053916</v>
      </c>
      <c r="T202" s="50" t="n">
        <v>72.22177146049179</v>
      </c>
      <c r="U202" s="50" t="n">
        <v>103</v>
      </c>
      <c r="V202" s="112">
        <f>((O202+R202)*100)/N202</f>
        <v/>
      </c>
      <c r="W202" s="112">
        <f>((P202+S202)*100)/N202</f>
        <v/>
      </c>
      <c r="X202" s="112">
        <f>((Q202+T202)*100)/N202</f>
        <v/>
      </c>
    </row>
    <row r="203" ht="22.5" customHeight="1" s="150">
      <c r="A203" s="34" t="n">
        <v>201</v>
      </c>
      <c r="B203" s="115">
        <f>C203+D203+E203+F203+G203+H203</f>
        <v/>
      </c>
      <c r="C203" s="50" t="n">
        <v>0</v>
      </c>
      <c r="D203" s="50" t="n">
        <v>0</v>
      </c>
      <c r="E203" s="50" t="n">
        <v>0</v>
      </c>
      <c r="F203" s="50" t="n">
        <v>0</v>
      </c>
      <c r="G203" s="50" t="n">
        <v>0</v>
      </c>
      <c r="H203" s="50" t="n">
        <v>0</v>
      </c>
      <c r="I203" s="111">
        <f>(100*B203)/N203</f>
        <v/>
      </c>
      <c r="J203" s="112">
        <f>((C203+F203)*100)/B203</f>
        <v/>
      </c>
      <c r="K203" s="112">
        <f>((D203+G203)*100)/B203</f>
        <v/>
      </c>
      <c r="L203" s="112">
        <f>((E203+H203)*100)/B203</f>
        <v/>
      </c>
      <c r="M203" s="113">
        <f>N203-B202</f>
        <v/>
      </c>
      <c r="N203" s="115">
        <f>O203+P203+Q203+R203+S203+T203</f>
        <v/>
      </c>
      <c r="O203" s="50" t="n">
        <v>183.133777631961</v>
      </c>
      <c r="P203" s="50" t="n">
        <v>105.753308210005</v>
      </c>
      <c r="Q203" s="50" t="n">
        <v>36.1108857302459</v>
      </c>
      <c r="R203" s="50" t="n">
        <v>0</v>
      </c>
      <c r="S203" s="50" t="n">
        <v>0</v>
      </c>
      <c r="T203" s="50" t="n">
        <v>0</v>
      </c>
      <c r="U203" s="50" t="n">
        <v>41</v>
      </c>
      <c r="V203" s="112">
        <f>((O203+R203)*100)/N203</f>
        <v/>
      </c>
      <c r="W203" s="112">
        <f>((P203+S203)*100)/N203</f>
        <v/>
      </c>
      <c r="X203" s="112">
        <f>((Q203+T203)*100)/N203</f>
        <v/>
      </c>
    </row>
    <row r="204" ht="22.5" customHeight="1" s="150">
      <c r="A204" s="34" t="n">
        <v>202</v>
      </c>
      <c r="B204" s="115">
        <f>C204+D204+E204+F204+G204+H204</f>
        <v/>
      </c>
      <c r="C204" s="50" t="n">
        <v>0</v>
      </c>
      <c r="D204" s="50" t="n">
        <v>0</v>
      </c>
      <c r="E204" s="50" t="n">
        <v>0</v>
      </c>
      <c r="F204" s="50" t="n">
        <v>0</v>
      </c>
      <c r="G204" s="50" t="n">
        <v>0</v>
      </c>
      <c r="H204" s="50" t="n">
        <v>0</v>
      </c>
      <c r="I204" s="111">
        <f>(100*B204)/N204</f>
        <v/>
      </c>
      <c r="J204" s="112">
        <f>((C204+F204)*100)/B204</f>
        <v/>
      </c>
      <c r="K204" s="112">
        <f>((D204+G204)*100)/B204</f>
        <v/>
      </c>
      <c r="L204" s="112">
        <f>((E204+H204)*100)/B204</f>
        <v/>
      </c>
      <c r="M204" s="113">
        <f>N204-B203</f>
        <v/>
      </c>
      <c r="N204" s="115">
        <f>O204+P204+Q204+R204+S204+T204</f>
        <v/>
      </c>
      <c r="O204" s="50" t="n">
        <v>175.395730689765</v>
      </c>
      <c r="P204" s="50" t="n">
        <v>103.173959229273</v>
      </c>
      <c r="Q204" s="50" t="n">
        <v>36.1108857302459</v>
      </c>
      <c r="R204" s="50" t="n">
        <v>0</v>
      </c>
      <c r="S204" s="50" t="n">
        <v>0</v>
      </c>
      <c r="T204" s="50" t="n">
        <v>0</v>
      </c>
      <c r="U204" s="50" t="n">
        <v>41</v>
      </c>
      <c r="V204" s="112">
        <f>((O204+R204)*100)/N204</f>
        <v/>
      </c>
      <c r="W204" s="112">
        <f>((P204+S204)*100)/N204</f>
        <v/>
      </c>
      <c r="X204" s="112">
        <f>((Q204+T204)*100)/N204</f>
        <v/>
      </c>
    </row>
    <row r="205" ht="22.5" customHeight="1" s="150">
      <c r="A205" s="34" t="n">
        <v>203</v>
      </c>
      <c r="B205" s="115">
        <f>C205+D205+E205+F205+G205+H205</f>
        <v/>
      </c>
      <c r="C205" s="50" t="n">
        <v>64.4837245182962</v>
      </c>
      <c r="D205" s="50" t="n">
        <v>0</v>
      </c>
      <c r="E205" s="50" t="n">
        <v>7.73804694219555</v>
      </c>
      <c r="F205" s="50" t="n">
        <v>69.6424224797599</v>
      </c>
      <c r="G205" s="50" t="n">
        <v>0</v>
      </c>
      <c r="H205" s="50" t="n">
        <v>7.73804694219555</v>
      </c>
      <c r="I205" s="111">
        <f>(100*B205)/N205</f>
        <v/>
      </c>
      <c r="J205" s="112">
        <f>((C205+F205)*100)/B205</f>
        <v/>
      </c>
      <c r="K205" s="112">
        <f>((D205+G205)*100)/B205</f>
        <v/>
      </c>
      <c r="L205" s="112">
        <f>((E205+H205)*100)/B205</f>
        <v/>
      </c>
      <c r="M205" s="113">
        <f>N205-B204</f>
        <v/>
      </c>
      <c r="N205" s="115">
        <f>O205+P205+Q205+R205+S205+T205</f>
        <v/>
      </c>
      <c r="O205" s="50" t="n">
        <v>157.340287824642</v>
      </c>
      <c r="P205" s="50" t="n">
        <v>123.808751075128</v>
      </c>
      <c r="Q205" s="50" t="n">
        <v>43.8489326724414</v>
      </c>
      <c r="R205" s="50" t="n">
        <v>234.720757246598</v>
      </c>
      <c r="S205" s="50" t="n">
        <v>141.864193940251</v>
      </c>
      <c r="T205" s="50" t="n">
        <v>38.6902347109777</v>
      </c>
      <c r="U205" s="50" t="n">
        <v>77</v>
      </c>
      <c r="V205" s="112">
        <f>((O205+R205)*100)/N205</f>
        <v/>
      </c>
      <c r="W205" s="112">
        <f>((P205+S205)*100)/N205</f>
        <v/>
      </c>
      <c r="X205" s="112">
        <f>((Q205+T205)*100)/N205</f>
        <v/>
      </c>
    </row>
    <row r="206" ht="22.5" customHeight="1" s="150">
      <c r="A206" s="34" t="n">
        <v>204</v>
      </c>
      <c r="B206" s="115">
        <f>C206+D206+E206+F206+G206+H206</f>
        <v/>
      </c>
      <c r="C206" s="50" t="n">
        <v>67.06307349902811</v>
      </c>
      <c r="D206" s="50" t="n">
        <v>10.3173959229274</v>
      </c>
      <c r="E206" s="50" t="n">
        <v>5.1586979614637</v>
      </c>
      <c r="F206" s="50" t="n">
        <v>33.531536749514</v>
      </c>
      <c r="G206" s="50" t="n">
        <v>7.73804694219555</v>
      </c>
      <c r="H206" s="50" t="n">
        <v>7.73804694219555</v>
      </c>
      <c r="I206" s="111">
        <f>(100*B206)/N206</f>
        <v/>
      </c>
      <c r="J206" s="112">
        <f>((C206+F206)*100)/B206</f>
        <v/>
      </c>
      <c r="K206" s="112">
        <f>((D206+G206)*100)/B206</f>
        <v/>
      </c>
      <c r="L206" s="112">
        <f>((E206+H206)*100)/B206</f>
        <v/>
      </c>
      <c r="M206" s="113">
        <f>N206-B205</f>
        <v/>
      </c>
      <c r="N206" s="115">
        <f>O206+P206+Q206+R206+S206+T206</f>
        <v/>
      </c>
      <c r="O206" s="50" t="n">
        <v>172.816381709033</v>
      </c>
      <c r="P206" s="50" t="n">
        <v>108.332657190737</v>
      </c>
      <c r="Q206" s="50" t="n">
        <v>36.1108857302459</v>
      </c>
      <c r="R206" s="50" t="n">
        <v>170.237032728302</v>
      </c>
      <c r="S206" s="50" t="n">
        <v>126.38810005586</v>
      </c>
      <c r="T206" s="50" t="n">
        <v>28.3728387880503</v>
      </c>
      <c r="U206" s="50" t="n">
        <v>72</v>
      </c>
      <c r="V206" s="112">
        <f>((O206+R206)*100)/N206</f>
        <v/>
      </c>
      <c r="W206" s="112">
        <f>((P206+S206)*100)/N206</f>
        <v/>
      </c>
      <c r="X206" s="112">
        <f>((Q206+T206)*100)/N206</f>
        <v/>
      </c>
    </row>
    <row r="207" ht="22.5" customHeight="1" s="150">
      <c r="A207" s="34" t="n">
        <v>205</v>
      </c>
      <c r="B207" s="115">
        <f>C207+D207+E207+F207+G207+H207</f>
        <v/>
      </c>
      <c r="C207" s="50" t="n">
        <v>18.0554428651229</v>
      </c>
      <c r="D207" s="50" t="n">
        <v>2.57934898073185</v>
      </c>
      <c r="E207" s="50" t="n">
        <v>0</v>
      </c>
      <c r="F207" s="50" t="n">
        <v>0</v>
      </c>
      <c r="G207" s="50" t="n">
        <v>0</v>
      </c>
      <c r="H207" s="50" t="n">
        <v>0</v>
      </c>
      <c r="I207" s="111">
        <f>(100*B207)/N207</f>
        <v/>
      </c>
      <c r="J207" s="112">
        <f>((C207+F207)*100)/B207</f>
        <v/>
      </c>
      <c r="K207" s="112">
        <f>((D207+G207)*100)/B207</f>
        <v/>
      </c>
      <c r="L207" s="112">
        <f>((E207+H207)*100)/B207</f>
        <v/>
      </c>
      <c r="M207" s="113">
        <f>N207-B206</f>
        <v/>
      </c>
      <c r="N207" s="115">
        <f>O207+P207+Q207+R207+S207+T207</f>
        <v/>
      </c>
      <c r="O207" s="50" t="n">
        <v>185.713126612693</v>
      </c>
      <c r="P207" s="50" t="n">
        <v>110.912006171469</v>
      </c>
      <c r="Q207" s="50" t="n">
        <v>43.8489326724414</v>
      </c>
      <c r="R207" s="50" t="n">
        <v>30.9521877687822</v>
      </c>
      <c r="S207" s="50" t="n">
        <v>2.57934898073185</v>
      </c>
      <c r="T207" s="50" t="n">
        <v>0</v>
      </c>
      <c r="U207" s="50" t="n">
        <v>54</v>
      </c>
      <c r="V207" s="112">
        <f>((O207+R207)*100)/N207</f>
        <v/>
      </c>
      <c r="W207" s="112">
        <f>((P207+S207)*100)/N207</f>
        <v/>
      </c>
      <c r="X207" s="112">
        <f>((Q207+T207)*100)/N207</f>
        <v/>
      </c>
    </row>
    <row r="208" ht="22.5" customHeight="1" s="150">
      <c r="A208" s="34" t="n">
        <v>206</v>
      </c>
      <c r="B208" s="115">
        <f>C208+D208+E208+F208+G208+H208</f>
        <v/>
      </c>
      <c r="C208" s="50" t="n">
        <v>64.4837245182962</v>
      </c>
      <c r="D208" s="50" t="n">
        <v>2.57934898073185</v>
      </c>
      <c r="E208" s="50" t="n">
        <v>5.1586979614637</v>
      </c>
      <c r="F208" s="50" t="n">
        <v>2.57934898073185</v>
      </c>
      <c r="G208" s="50" t="n">
        <v>0</v>
      </c>
      <c r="H208" s="50" t="n">
        <v>0</v>
      </c>
      <c r="I208" s="111">
        <f>(100*B208)/N208</f>
        <v/>
      </c>
      <c r="J208" s="112">
        <f>((C208+F208)*100)/B208</f>
        <v/>
      </c>
      <c r="K208" s="112">
        <f>((D208+G208)*100)/B208</f>
        <v/>
      </c>
      <c r="L208" s="112">
        <f>((E208+H208)*100)/B208</f>
        <v/>
      </c>
      <c r="M208" s="113">
        <f>N208-B207</f>
        <v/>
      </c>
      <c r="N208" s="115">
        <f>O208+P208+Q208+R208+S208+T208</f>
        <v/>
      </c>
      <c r="O208" s="50" t="n">
        <v>175.395730689765</v>
      </c>
      <c r="P208" s="50" t="n">
        <v>128.967449036592</v>
      </c>
      <c r="Q208" s="50" t="n">
        <v>38.6902347109777</v>
      </c>
      <c r="R208" s="50" t="n">
        <v>54.1663285953688</v>
      </c>
      <c r="S208" s="50" t="n">
        <v>33.531536749514</v>
      </c>
      <c r="T208" s="50" t="n">
        <v>5.1586979614637</v>
      </c>
      <c r="U208" s="50" t="n">
        <v>62</v>
      </c>
      <c r="V208" s="112">
        <f>((O208+R208)*100)/N208</f>
        <v/>
      </c>
      <c r="W208" s="112">
        <f>((P208+S208)*100)/N208</f>
        <v/>
      </c>
      <c r="X208" s="112">
        <f>((Q208+T208)*100)/N208</f>
        <v/>
      </c>
    </row>
    <row r="209" ht="22.5" customHeight="1" s="150">
      <c r="A209" s="34" t="n">
        <v>207</v>
      </c>
      <c r="B209" s="115">
        <f>C209+D209+E209+F209+G209+H209</f>
        <v/>
      </c>
      <c r="C209" s="50" t="n">
        <v>49.0076306339051</v>
      </c>
      <c r="D209" s="50" t="n">
        <v>0</v>
      </c>
      <c r="E209" s="50" t="n">
        <v>2.57934898073185</v>
      </c>
      <c r="F209" s="50" t="n">
        <v>7.73804694219555</v>
      </c>
      <c r="G209" s="50" t="n">
        <v>0</v>
      </c>
      <c r="H209" s="50" t="n">
        <v>0</v>
      </c>
      <c r="I209" s="111">
        <f>(100*B209)/N209</f>
        <v/>
      </c>
      <c r="J209" s="112">
        <f>((C209+F209)*100)/B209</f>
        <v/>
      </c>
      <c r="K209" s="112">
        <f>((D209+G209)*100)/B209</f>
        <v/>
      </c>
      <c r="L209" s="112">
        <f>((E209+H209)*100)/B209</f>
        <v/>
      </c>
      <c r="M209" s="113">
        <f>N209-B208</f>
        <v/>
      </c>
      <c r="N209" s="115">
        <f>O209+P209+Q209+R209+S209+T209</f>
        <v/>
      </c>
      <c r="O209" s="50" t="n">
        <v>159.919636805374</v>
      </c>
      <c r="P209" s="50" t="n">
        <v>147.022891901715</v>
      </c>
      <c r="Q209" s="50" t="n">
        <v>49.0076306339051</v>
      </c>
      <c r="R209" s="50" t="n">
        <v>85.11851636415101</v>
      </c>
      <c r="S209" s="50" t="n">
        <v>69.6424224797599</v>
      </c>
      <c r="T209" s="50" t="n">
        <v>30.9521877687822</v>
      </c>
      <c r="U209" s="50" t="n">
        <v>67</v>
      </c>
      <c r="V209" s="112">
        <f>((O209+R209)*100)/N209</f>
        <v/>
      </c>
      <c r="W209" s="112">
        <f>((P209+S209)*100)/N209</f>
        <v/>
      </c>
      <c r="X209" s="112">
        <f>((Q209+T209)*100)/N209</f>
        <v/>
      </c>
    </row>
    <row r="210" ht="22.5" customHeight="1" s="150">
      <c r="A210" s="34" t="n">
        <v>208</v>
      </c>
      <c r="B210" s="115">
        <f>C210+D210+E210+F210+G210+H210</f>
        <v/>
      </c>
      <c r="C210" s="50" t="n">
        <v>90.27721432561469</v>
      </c>
      <c r="D210" s="50" t="n">
        <v>7.73804694219555</v>
      </c>
      <c r="E210" s="50" t="n">
        <v>2.57934898073185</v>
      </c>
      <c r="F210" s="50" t="n">
        <v>59.3250265568325</v>
      </c>
      <c r="G210" s="50" t="n">
        <v>5.1586979614637</v>
      </c>
      <c r="H210" s="50" t="n">
        <v>0</v>
      </c>
      <c r="I210" s="111">
        <f>(100*B210)/N210</f>
        <v/>
      </c>
      <c r="J210" s="112">
        <f>((C210+F210)*100)/B210</f>
        <v/>
      </c>
      <c r="K210" s="112">
        <f>((D210+G210)*100)/B210</f>
        <v/>
      </c>
      <c r="L210" s="112">
        <f>((E210+H210)*100)/B210</f>
        <v/>
      </c>
      <c r="M210" s="113">
        <f>N210-B209</f>
        <v/>
      </c>
      <c r="N210" s="115">
        <f>O210+P210+Q210+R210+S210+T210</f>
        <v/>
      </c>
      <c r="O210" s="50" t="n">
        <v>170.237032728302</v>
      </c>
      <c r="P210" s="50" t="n">
        <v>141.864193940251</v>
      </c>
      <c r="Q210" s="50" t="n">
        <v>51.5869796146369</v>
      </c>
      <c r="R210" s="50" t="n">
        <v>157.340287824642</v>
      </c>
      <c r="S210" s="50" t="n">
        <v>103.173959229273</v>
      </c>
      <c r="T210" s="50" t="n">
        <v>41.2695836917096</v>
      </c>
      <c r="U210" s="50" t="n">
        <v>67</v>
      </c>
      <c r="V210" s="112">
        <f>((O210+R210)*100)/N210</f>
        <v/>
      </c>
      <c r="W210" s="112">
        <f>((P210+S210)*100)/N210</f>
        <v/>
      </c>
      <c r="X210" s="112">
        <f>((Q210+T210)*100)/N210</f>
        <v/>
      </c>
    </row>
    <row r="211" ht="22.5" customHeight="1" s="150">
      <c r="A211" s="34" t="n">
        <v>209</v>
      </c>
      <c r="B211" s="115">
        <f>C211+D211+E211+F211+G211+H211</f>
        <v/>
      </c>
      <c r="C211" s="50" t="n">
        <v>41.2695836917096</v>
      </c>
      <c r="D211" s="50" t="n">
        <v>5.1586979614637</v>
      </c>
      <c r="E211" s="50" t="n">
        <v>5.1586979614637</v>
      </c>
      <c r="F211" s="50" t="n">
        <v>15.4760938843911</v>
      </c>
      <c r="G211" s="50" t="n">
        <v>7.73804694219555</v>
      </c>
      <c r="H211" s="50" t="n">
        <v>0</v>
      </c>
      <c r="I211" s="111">
        <f>(100*B211)/N211</f>
        <v/>
      </c>
      <c r="J211" s="112">
        <f>((C211+F211)*100)/B211</f>
        <v/>
      </c>
      <c r="K211" s="112">
        <f>((D211+G211)*100)/B211</f>
        <v/>
      </c>
      <c r="L211" s="112">
        <f>((E211+H211)*100)/B211</f>
        <v/>
      </c>
      <c r="M211" s="113">
        <f>N211-B210</f>
        <v/>
      </c>
      <c r="N211" s="115">
        <f>O211+P211+Q211+R211+S211+T211</f>
        <v/>
      </c>
      <c r="O211" s="50" t="n">
        <v>144.443542920983</v>
      </c>
      <c r="P211" s="50" t="n">
        <v>139.284844959519</v>
      </c>
      <c r="Q211" s="50" t="n">
        <v>56.7456775761007</v>
      </c>
      <c r="R211" s="50" t="n">
        <v>103.173959229273</v>
      </c>
      <c r="S211" s="50" t="n">
        <v>85.11851636415101</v>
      </c>
      <c r="T211" s="50" t="n">
        <v>20.6347918458548</v>
      </c>
      <c r="U211" s="50" t="n">
        <v>54</v>
      </c>
      <c r="V211" s="112">
        <f>((O211+R211)*100)/N211</f>
        <v/>
      </c>
      <c r="W211" s="112">
        <f>((P211+S211)*100)/N211</f>
        <v/>
      </c>
      <c r="X211" s="112">
        <f>((Q211+T211)*100)/N211</f>
        <v/>
      </c>
    </row>
    <row r="212" ht="22.5" customHeight="1" s="150">
      <c r="A212" s="34" t="n">
        <v>210</v>
      </c>
      <c r="B212" s="115">
        <f>C212+D212+E212+F212+G212+H212</f>
        <v/>
      </c>
      <c r="C212" s="50" t="n">
        <v>25.7934898073184</v>
      </c>
      <c r="D212" s="50" t="n">
        <v>20.6347918458548</v>
      </c>
      <c r="E212" s="50" t="n">
        <v>0</v>
      </c>
      <c r="F212" s="50" t="n">
        <v>18.0554428651229</v>
      </c>
      <c r="G212" s="50" t="n">
        <v>51.5869796146369</v>
      </c>
      <c r="H212" s="50" t="n">
        <v>33.531536749514</v>
      </c>
      <c r="I212" s="111">
        <f>(100*B212)/N212</f>
        <v/>
      </c>
      <c r="J212" s="112">
        <f>((C212+F212)*100)/B212</f>
        <v/>
      </c>
      <c r="K212" s="112">
        <f>((D212+G212)*100)/B212</f>
        <v/>
      </c>
      <c r="L212" s="112">
        <f>((E212+H212)*100)/B212</f>
        <v/>
      </c>
      <c r="M212" s="113">
        <f>N212-B211</f>
        <v/>
      </c>
      <c r="N212" s="115">
        <f>O212+P212+Q212+R212+S212+T212</f>
        <v/>
      </c>
      <c r="O212" s="50" t="n">
        <v>128.967449036592</v>
      </c>
      <c r="P212" s="50" t="n">
        <v>74.8011204412236</v>
      </c>
      <c r="Q212" s="50" t="n">
        <v>25.7934898073184</v>
      </c>
      <c r="R212" s="50" t="n">
        <v>149.602240882447</v>
      </c>
      <c r="S212" s="50" t="n">
        <v>56.7456775761007</v>
      </c>
      <c r="T212" s="50" t="n">
        <v>10.3173959229274</v>
      </c>
      <c r="U212" s="50" t="n">
        <v>46</v>
      </c>
      <c r="V212" s="112">
        <f>((O212+R212)*100)/N212</f>
        <v/>
      </c>
      <c r="W212" s="112">
        <f>((P212+S212)*100)/N212</f>
        <v/>
      </c>
      <c r="X212" s="112">
        <f>((Q212+T212)*100)/N212</f>
        <v/>
      </c>
    </row>
    <row r="213" ht="22.5" customHeight="1" s="150">
      <c r="A213" s="34" t="n">
        <v>211</v>
      </c>
      <c r="B213" s="115">
        <f>C213+D213+E213+F213+G213+H213</f>
        <v/>
      </c>
      <c r="C213" s="50" t="n">
        <v>56.7456775761007</v>
      </c>
      <c r="D213" s="50" t="n">
        <v>0</v>
      </c>
      <c r="E213" s="50" t="n">
        <v>5.1586979614637</v>
      </c>
      <c r="F213" s="50" t="n">
        <v>18.0554428651229</v>
      </c>
      <c r="G213" s="50" t="n">
        <v>0</v>
      </c>
      <c r="H213" s="50" t="n">
        <v>0</v>
      </c>
      <c r="I213" s="111">
        <f>(100*B213)/N213</f>
        <v/>
      </c>
      <c r="J213" s="112">
        <f>((C213+F213)*100)/B213</f>
        <v/>
      </c>
      <c r="K213" s="112">
        <f>((D213+G213)*100)/B213</f>
        <v/>
      </c>
      <c r="L213" s="112">
        <f>((E213+H213)*100)/B213</f>
        <v/>
      </c>
      <c r="M213" s="113">
        <f>N213-B212</f>
        <v/>
      </c>
      <c r="N213" s="115">
        <f>O213+P213+Q213+R213+S213+T213</f>
        <v/>
      </c>
      <c r="O213" s="50" t="n">
        <v>123.808751075128</v>
      </c>
      <c r="P213" s="50" t="n">
        <v>82.5391673834192</v>
      </c>
      <c r="Q213" s="50" t="n">
        <v>28.3728387880503</v>
      </c>
      <c r="R213" s="50" t="n">
        <v>41.2695836917096</v>
      </c>
      <c r="S213" s="50" t="n">
        <v>28.3728387880503</v>
      </c>
      <c r="T213" s="50" t="n">
        <v>18.0554428651229</v>
      </c>
      <c r="U213" s="50" t="n">
        <v>64</v>
      </c>
      <c r="V213" s="112">
        <f>((O213+R213)*100)/N213</f>
        <v/>
      </c>
      <c r="W213" s="112">
        <f>((P213+S213)*100)/N213</f>
        <v/>
      </c>
      <c r="X213" s="112">
        <f>((Q213+T213)*100)/N213</f>
        <v/>
      </c>
    </row>
    <row r="214" ht="22.5" customHeight="1" s="150">
      <c r="A214" s="34" t="n">
        <v>212</v>
      </c>
      <c r="B214" s="115">
        <f>C214+D214+E214+F214+G214+H214</f>
        <v/>
      </c>
      <c r="C214" s="50" t="n">
        <v>59.3250265568325</v>
      </c>
      <c r="D214" s="50" t="n">
        <v>15.4760938843911</v>
      </c>
      <c r="E214" s="50" t="n">
        <v>2.57934898073185</v>
      </c>
      <c r="F214" s="50" t="n">
        <v>0</v>
      </c>
      <c r="G214" s="50" t="n">
        <v>0</v>
      </c>
      <c r="H214" s="50" t="n">
        <v>0</v>
      </c>
      <c r="I214" s="111">
        <f>(100*B214)/N214</f>
        <v/>
      </c>
      <c r="J214" s="112">
        <f>((C214+F214)*100)/B214</f>
        <v/>
      </c>
      <c r="K214" s="112">
        <f>((D214+G214)*100)/B214</f>
        <v/>
      </c>
      <c r="L214" s="112">
        <f>((E214+H214)*100)/B214</f>
        <v/>
      </c>
      <c r="M214" s="113">
        <f>N214-B213</f>
        <v/>
      </c>
      <c r="N214" s="115">
        <f>O214+P214+Q214+R214+S214+T214</f>
        <v/>
      </c>
      <c r="O214" s="50" t="n">
        <v>116.070704132933</v>
      </c>
      <c r="P214" s="50" t="n">
        <v>74.8011204412236</v>
      </c>
      <c r="Q214" s="50" t="n">
        <v>25.7934898073184</v>
      </c>
      <c r="R214" s="50" t="n">
        <v>56.7456775761007</v>
      </c>
      <c r="S214" s="50" t="n">
        <v>25.7934898073184</v>
      </c>
      <c r="T214" s="50" t="n">
        <v>10.3173959229274</v>
      </c>
      <c r="U214" s="50" t="n">
        <v>54</v>
      </c>
      <c r="V214" s="112">
        <f>((O214+R214)*100)/N214</f>
        <v/>
      </c>
      <c r="W214" s="112">
        <f>((P214+S214)*100)/N214</f>
        <v/>
      </c>
      <c r="X214" s="112">
        <f>((Q214+T214)*100)/N214</f>
        <v/>
      </c>
    </row>
    <row r="215" ht="22.5" customHeight="1" s="150">
      <c r="A215" s="34" t="n">
        <v>213</v>
      </c>
      <c r="B215" s="115">
        <f>C215+D215+E215+F215+G215+H215</f>
        <v/>
      </c>
      <c r="C215" s="50" t="n">
        <v>95.43591228707839</v>
      </c>
      <c r="D215" s="50" t="n">
        <v>0</v>
      </c>
      <c r="E215" s="50" t="n">
        <v>5.1586979614637</v>
      </c>
      <c r="F215" s="50" t="n">
        <v>10.3173959229274</v>
      </c>
      <c r="G215" s="50" t="n">
        <v>0</v>
      </c>
      <c r="H215" s="50" t="n">
        <v>2.57934898073185</v>
      </c>
      <c r="I215" s="111">
        <f>(100*B215)/N215</f>
        <v/>
      </c>
      <c r="J215" s="112">
        <f>((C215+F215)*100)/B215</f>
        <v/>
      </c>
      <c r="K215" s="112">
        <f>((D215+G215)*100)/B215</f>
        <v/>
      </c>
      <c r="L215" s="112">
        <f>((E215+H215)*100)/B215</f>
        <v/>
      </c>
      <c r="M215" s="113">
        <f>N215-B214</f>
        <v/>
      </c>
      <c r="N215" s="115">
        <f>O215+P215+Q215+R215+S215+T215</f>
        <v/>
      </c>
      <c r="O215" s="50" t="n">
        <v>147.022891901715</v>
      </c>
      <c r="P215" s="50" t="n">
        <v>79.9598184026873</v>
      </c>
      <c r="Q215" s="50" t="n">
        <v>23.2141408265866</v>
      </c>
      <c r="R215" s="50" t="n">
        <v>118.650053113665</v>
      </c>
      <c r="S215" s="50" t="n">
        <v>95.43591228707839</v>
      </c>
      <c r="T215" s="50" t="n">
        <v>10.3173959229274</v>
      </c>
      <c r="U215" s="50" t="n">
        <v>52</v>
      </c>
      <c r="V215" s="112">
        <f>((O215+R215)*100)/N215</f>
        <v/>
      </c>
      <c r="W215" s="112">
        <f>((P215+S215)*100)/N215</f>
        <v/>
      </c>
      <c r="X215" s="112">
        <f>((Q215+T215)*100)/N215</f>
        <v/>
      </c>
    </row>
    <row r="216" ht="22.5" customHeight="1" s="150">
      <c r="A216" s="34" t="n">
        <v>214</v>
      </c>
      <c r="B216" s="115">
        <f>C216+D216+E216+F216+G216+H216</f>
        <v/>
      </c>
      <c r="C216" s="50" t="n">
        <v>59.3250265568325</v>
      </c>
      <c r="D216" s="50" t="n">
        <v>0</v>
      </c>
      <c r="E216" s="50" t="n">
        <v>2.57934898073185</v>
      </c>
      <c r="F216" s="50" t="n">
        <v>20.6347918458548</v>
      </c>
      <c r="G216" s="50" t="n">
        <v>0</v>
      </c>
      <c r="H216" s="50" t="n">
        <v>0</v>
      </c>
      <c r="I216" s="111">
        <f>(100*B216)/N216</f>
        <v/>
      </c>
      <c r="J216" s="112">
        <f>((C216+F216)*100)/B216</f>
        <v/>
      </c>
      <c r="K216" s="112">
        <f>((D216+G216)*100)/B216</f>
        <v/>
      </c>
      <c r="L216" s="112">
        <f>((E216+H216)*100)/B216</f>
        <v/>
      </c>
      <c r="M216" s="113">
        <f>N216-B215</f>
        <v/>
      </c>
      <c r="N216" s="115">
        <f>O216+P216+Q216+R216+S216+T216</f>
        <v/>
      </c>
      <c r="O216" s="50" t="n">
        <v>131.546798017324</v>
      </c>
      <c r="P216" s="50" t="n">
        <v>90.27721432561469</v>
      </c>
      <c r="Q216" s="50" t="n">
        <v>23.2141408265866</v>
      </c>
      <c r="R216" s="50" t="n">
        <v>190.871824574156</v>
      </c>
      <c r="S216" s="50" t="n">
        <v>30.9521877687822</v>
      </c>
      <c r="T216" s="50" t="n">
        <v>7.73804694219555</v>
      </c>
      <c r="U216" s="50" t="n">
        <v>62</v>
      </c>
      <c r="V216" s="112">
        <f>((O216+R216)*100)/N216</f>
        <v/>
      </c>
      <c r="W216" s="112">
        <f>((P216+S216)*100)/N216</f>
        <v/>
      </c>
      <c r="X216" s="112">
        <f>((Q216+T216)*100)/N216</f>
        <v/>
      </c>
    </row>
    <row r="217" ht="22.5" customHeight="1" s="150">
      <c r="A217" s="34" t="n">
        <v>215</v>
      </c>
      <c r="B217" s="115">
        <f>C217+D217+E217+F217+G217+H217</f>
        <v/>
      </c>
      <c r="C217" s="50" t="n">
        <v>41.2695836917096</v>
      </c>
      <c r="D217" s="50" t="n">
        <v>7.73804694219555</v>
      </c>
      <c r="E217" s="50" t="n">
        <v>15.4760938843911</v>
      </c>
      <c r="F217" s="50" t="n">
        <v>15.4760938843911</v>
      </c>
      <c r="G217" s="50" t="n">
        <v>5.1586979614637</v>
      </c>
      <c r="H217" s="50" t="n">
        <v>2.57934898073185</v>
      </c>
      <c r="I217" s="111">
        <f>(100*B217)/N217</f>
        <v/>
      </c>
      <c r="J217" s="112">
        <f>((C217+F217)*100)/B217</f>
        <v/>
      </c>
      <c r="K217" s="112">
        <f>((D217+G217)*100)/B217</f>
        <v/>
      </c>
      <c r="L217" s="112">
        <f>((E217+H217)*100)/B217</f>
        <v/>
      </c>
      <c r="M217" s="113">
        <f>N217-B216</f>
        <v/>
      </c>
      <c r="N217" s="115">
        <f>O217+P217+Q217+R217+S217+T217</f>
        <v/>
      </c>
      <c r="O217" s="50" t="n">
        <v>103.173959229273</v>
      </c>
      <c r="P217" s="50" t="n">
        <v>82.5391673834192</v>
      </c>
      <c r="Q217" s="50" t="n">
        <v>18.0554428651229</v>
      </c>
      <c r="R217" s="50" t="n">
        <v>118.650053113665</v>
      </c>
      <c r="S217" s="50" t="n">
        <v>72.22177146049179</v>
      </c>
      <c r="T217" s="50" t="n">
        <v>25.7934898073184</v>
      </c>
      <c r="U217" s="50" t="n">
        <v>59</v>
      </c>
      <c r="V217" s="112">
        <f>((O217+R217)*100)/N217</f>
        <v/>
      </c>
      <c r="W217" s="112">
        <f>((P217+S217)*100)/N217</f>
        <v/>
      </c>
      <c r="X217" s="112">
        <f>((Q217+T217)*100)/N217</f>
        <v/>
      </c>
    </row>
    <row r="218" ht="22.5" customHeight="1" s="150">
      <c r="A218" s="34" t="n">
        <v>216</v>
      </c>
      <c r="B218" s="115">
        <f>C218+D218+E218+F218+G218+H218</f>
        <v/>
      </c>
      <c r="C218" s="50" t="n">
        <v>10.3173959229274</v>
      </c>
      <c r="D218" s="50" t="n">
        <v>5.1586979614637</v>
      </c>
      <c r="E218" s="50" t="n">
        <v>0</v>
      </c>
      <c r="F218" s="50" t="n">
        <v>5.1586979614637</v>
      </c>
      <c r="G218" s="50" t="n">
        <v>5.1586979614637</v>
      </c>
      <c r="H218" s="50" t="n">
        <v>0</v>
      </c>
      <c r="I218" s="111">
        <f>(100*B218)/N218</f>
        <v/>
      </c>
      <c r="J218" s="112">
        <f>((C218+F218)*100)/B218</f>
        <v/>
      </c>
      <c r="K218" s="112">
        <f>((D218+G218)*100)/B218</f>
        <v/>
      </c>
      <c r="L218" s="112">
        <f>((E218+H218)*100)/B218</f>
        <v/>
      </c>
      <c r="M218" s="113">
        <f>N218-B217</f>
        <v/>
      </c>
      <c r="N218" s="115">
        <f>O218+P218+Q218+R218+S218+T218</f>
        <v/>
      </c>
      <c r="O218" s="50" t="n">
        <v>216.665314381475</v>
      </c>
      <c r="P218" s="50" t="n">
        <v>116.070704132933</v>
      </c>
      <c r="Q218" s="50" t="n">
        <v>54.1663285953688</v>
      </c>
      <c r="R218" s="50" t="n">
        <v>41.2695836917096</v>
      </c>
      <c r="S218" s="50" t="n">
        <v>12.8967449036592</v>
      </c>
      <c r="T218" s="50" t="n">
        <v>12.8967449036592</v>
      </c>
      <c r="U218" s="50" t="n">
        <v>41</v>
      </c>
      <c r="V218" s="112">
        <f>((O218+R218)*100)/N218</f>
        <v/>
      </c>
      <c r="W218" s="112">
        <f>((P218+S218)*100)/N218</f>
        <v/>
      </c>
      <c r="X218" s="112">
        <f>((Q218+T218)*100)/N218</f>
        <v/>
      </c>
    </row>
    <row r="219" ht="22.5" customHeight="1" s="150">
      <c r="A219" s="34" t="n">
        <v>217</v>
      </c>
      <c r="B219" s="115">
        <f>C219+D219+E219+F219+G219+H219</f>
        <v/>
      </c>
      <c r="C219" s="50" t="n">
        <v>61.9043755375644</v>
      </c>
      <c r="D219" s="50" t="n">
        <v>2.57934898073185</v>
      </c>
      <c r="E219" s="50" t="n">
        <v>2.57934898073185</v>
      </c>
      <c r="F219" s="50" t="n">
        <v>15.4760938843911</v>
      </c>
      <c r="G219" s="50" t="n">
        <v>5.1586979614637</v>
      </c>
      <c r="H219" s="50" t="n">
        <v>0</v>
      </c>
      <c r="I219" s="111">
        <f>(100*B219)/N219</f>
        <v/>
      </c>
      <c r="J219" s="112">
        <f>((C219+F219)*100)/B219</f>
        <v/>
      </c>
      <c r="K219" s="112">
        <f>((D219+G219)*100)/B219</f>
        <v/>
      </c>
      <c r="L219" s="112">
        <f>((E219+H219)*100)/B219</f>
        <v/>
      </c>
      <c r="M219" s="113">
        <f>N219-B218</f>
        <v/>
      </c>
      <c r="N219" s="115">
        <f>O219+P219+Q219+R219+S219+T219</f>
        <v/>
      </c>
      <c r="O219" s="50" t="n">
        <v>234.720757246598</v>
      </c>
      <c r="P219" s="50" t="n">
        <v>118.650053113665</v>
      </c>
      <c r="Q219" s="50" t="n">
        <v>54.1663285953688</v>
      </c>
      <c r="R219" s="50" t="n">
        <v>149.602240882447</v>
      </c>
      <c r="S219" s="50" t="n">
        <v>147.022891901715</v>
      </c>
      <c r="T219" s="50" t="n">
        <v>23.2141408265866</v>
      </c>
      <c r="U219" s="50" t="n">
        <v>67</v>
      </c>
      <c r="V219" s="112">
        <f>((O219+R219)*100)/N219</f>
        <v/>
      </c>
      <c r="W219" s="112">
        <f>((P219+S219)*100)/N219</f>
        <v/>
      </c>
      <c r="X219" s="112">
        <f>((Q219+T219)*100)/N219</f>
        <v/>
      </c>
    </row>
    <row r="220" ht="22.5" customHeight="1" s="150">
      <c r="A220" s="34" t="n">
        <v>218</v>
      </c>
      <c r="B220" s="115">
        <f>C220+D220+E220+F220+G220+H220</f>
        <v/>
      </c>
      <c r="C220" s="50" t="n">
        <v>67.06307349902811</v>
      </c>
      <c r="D220" s="50" t="n">
        <v>2.57934898073185</v>
      </c>
      <c r="E220" s="50" t="n">
        <v>12.8967449036592</v>
      </c>
      <c r="F220" s="50" t="n">
        <v>56.7456775761007</v>
      </c>
      <c r="G220" s="50" t="n">
        <v>0</v>
      </c>
      <c r="H220" s="50" t="n">
        <v>2.57934898073185</v>
      </c>
      <c r="I220" s="111">
        <f>(100*B220)/N220</f>
        <v/>
      </c>
      <c r="J220" s="112">
        <f>((C220+F220)*100)/B220</f>
        <v/>
      </c>
      <c r="K220" s="112">
        <f>((D220+G220)*100)/B220</f>
        <v/>
      </c>
      <c r="L220" s="112">
        <f>((E220+H220)*100)/B220</f>
        <v/>
      </c>
      <c r="M220" s="113">
        <f>N220-B219</f>
        <v/>
      </c>
      <c r="N220" s="115">
        <f>O220+P220+Q220+R220+S220+T220</f>
        <v/>
      </c>
      <c r="O220" s="50" t="n">
        <v>201.189220497084</v>
      </c>
      <c r="P220" s="50" t="n">
        <v>123.808751075128</v>
      </c>
      <c r="Q220" s="50" t="n">
        <v>43.8489326724414</v>
      </c>
      <c r="R220" s="50" t="n">
        <v>100.594610248542</v>
      </c>
      <c r="S220" s="50" t="n">
        <v>79.9598184026873</v>
      </c>
      <c r="T220" s="50" t="n">
        <v>43.8489326724414</v>
      </c>
      <c r="U220" s="50" t="n">
        <v>46</v>
      </c>
      <c r="V220" s="112">
        <f>((O220+R220)*100)/N220</f>
        <v/>
      </c>
      <c r="W220" s="112">
        <f>((P220+S220)*100)/N220</f>
        <v/>
      </c>
      <c r="X220" s="112">
        <f>((Q220+T220)*100)/N220</f>
        <v/>
      </c>
    </row>
    <row r="221" ht="22.5" customHeight="1" s="150">
      <c r="A221" s="34" t="n">
        <v>219</v>
      </c>
      <c r="B221" s="115">
        <f>C221+D221+E221+F221+G221+H221</f>
        <v/>
      </c>
      <c r="C221" s="50" t="n">
        <v>10.3173959229274</v>
      </c>
      <c r="D221" s="50" t="n">
        <v>5.1586979614637</v>
      </c>
      <c r="E221" s="50" t="n">
        <v>0</v>
      </c>
      <c r="F221" s="50" t="n">
        <v>0</v>
      </c>
      <c r="G221" s="50" t="n">
        <v>0</v>
      </c>
      <c r="H221" s="50" t="n">
        <v>0</v>
      </c>
      <c r="I221" s="111">
        <f>(100*B221)/N221</f>
        <v/>
      </c>
      <c r="J221" s="112">
        <f>((C221+F221)*100)/B221</f>
        <v/>
      </c>
      <c r="K221" s="112">
        <f>((D221+G221)*100)/B221</f>
        <v/>
      </c>
      <c r="L221" s="112">
        <f>((E221+H221)*100)/B221</f>
        <v/>
      </c>
      <c r="M221" s="113">
        <f>N221-B220</f>
        <v/>
      </c>
      <c r="N221" s="115">
        <f>O221+P221+Q221+R221+S221+T221</f>
        <v/>
      </c>
      <c r="O221" s="50" t="n">
        <v>190.871824574156</v>
      </c>
      <c r="P221" s="50" t="n">
        <v>121.229402094396</v>
      </c>
      <c r="Q221" s="50" t="n">
        <v>43.8489326724414</v>
      </c>
      <c r="R221" s="50" t="n">
        <v>0</v>
      </c>
      <c r="S221" s="50" t="n">
        <v>0</v>
      </c>
      <c r="T221" s="50" t="n">
        <v>0</v>
      </c>
      <c r="U221" s="50" t="n">
        <v>21</v>
      </c>
      <c r="V221" s="112">
        <f>((O221+R221)*100)/N221</f>
        <v/>
      </c>
      <c r="W221" s="112">
        <f>((P221+S221)*100)/N221</f>
        <v/>
      </c>
      <c r="X221" s="112">
        <f>((Q221+T221)*100)/N221</f>
        <v/>
      </c>
    </row>
    <row r="222" ht="22.5" customHeight="1" s="150">
      <c r="A222" s="34" t="n">
        <v>220</v>
      </c>
      <c r="B222" s="115">
        <f>C222+D222+E222+F222+G222+H222</f>
        <v/>
      </c>
      <c r="C222" s="50" t="n">
        <v>64.4837245182962</v>
      </c>
      <c r="D222" s="50" t="n">
        <v>0</v>
      </c>
      <c r="E222" s="50" t="n">
        <v>7.73804694219555</v>
      </c>
      <c r="F222" s="50" t="n">
        <v>20.6347918458548</v>
      </c>
      <c r="G222" s="50" t="n">
        <v>0</v>
      </c>
      <c r="H222" s="50" t="n">
        <v>0</v>
      </c>
      <c r="I222" s="111">
        <f>(100*B222)/N222</f>
        <v/>
      </c>
      <c r="J222" s="112">
        <f>((C222+F222)*100)/B222</f>
        <v/>
      </c>
      <c r="K222" s="112">
        <f>((D222+G222)*100)/B222</f>
        <v/>
      </c>
      <c r="L222" s="112">
        <f>((E222+H222)*100)/B222</f>
        <v/>
      </c>
      <c r="M222" s="113">
        <f>N222-B221</f>
        <v/>
      </c>
      <c r="N222" s="115">
        <f>O222+P222+Q222+R222+S222+T222</f>
        <v/>
      </c>
      <c r="O222" s="50" t="n">
        <v>211.506616420011</v>
      </c>
      <c r="P222" s="50" t="n">
        <v>123.808751075128</v>
      </c>
      <c r="Q222" s="50" t="n">
        <v>46.4282816531733</v>
      </c>
      <c r="R222" s="50" t="n">
        <v>38.6902347109777</v>
      </c>
      <c r="S222" s="50" t="n">
        <v>33.531536749514</v>
      </c>
      <c r="T222" s="50" t="n">
        <v>12.8967449036592</v>
      </c>
      <c r="U222" s="50" t="n">
        <v>44</v>
      </c>
      <c r="V222" s="112">
        <f>((O222+R222)*100)/N222</f>
        <v/>
      </c>
      <c r="W222" s="112">
        <f>((P222+S222)*100)/N222</f>
        <v/>
      </c>
      <c r="X222" s="112">
        <f>((Q222+T222)*100)/N222</f>
        <v/>
      </c>
    </row>
    <row r="223" ht="22.5" customHeight="1" s="150">
      <c r="A223" s="34" t="n">
        <v>221</v>
      </c>
      <c r="B223" s="115">
        <f>C223+D223+E223+F223+G223+H223</f>
        <v/>
      </c>
      <c r="C223" s="50" t="n">
        <v>43.8489326724414</v>
      </c>
      <c r="D223" s="50" t="n">
        <v>0</v>
      </c>
      <c r="E223" s="50" t="n">
        <v>0</v>
      </c>
      <c r="F223" s="50" t="n">
        <v>7.73804694219555</v>
      </c>
      <c r="G223" s="50" t="n">
        <v>0</v>
      </c>
      <c r="H223" s="50" t="n">
        <v>0</v>
      </c>
      <c r="I223" s="111">
        <f>(100*B223)/N223</f>
        <v/>
      </c>
      <c r="J223" s="112">
        <f>((C223+F223)*100)/B223</f>
        <v/>
      </c>
      <c r="K223" s="112">
        <f>((D223+G223)*100)/B223</f>
        <v/>
      </c>
      <c r="L223" s="112">
        <f>((E223+H223)*100)/B223</f>
        <v/>
      </c>
      <c r="M223" s="113">
        <f>N223-B222</f>
        <v/>
      </c>
      <c r="N223" s="115">
        <f>O223+P223+Q223+R223+S223+T223</f>
        <v/>
      </c>
      <c r="O223" s="50" t="n">
        <v>190.871824574156</v>
      </c>
      <c r="P223" s="50" t="n">
        <v>123.808751075128</v>
      </c>
      <c r="Q223" s="50" t="n">
        <v>46.4282816531733</v>
      </c>
      <c r="R223" s="50" t="n">
        <v>36.1108857302459</v>
      </c>
      <c r="S223" s="50" t="n">
        <v>33.531536749514</v>
      </c>
      <c r="T223" s="50" t="n">
        <v>7.73804694219555</v>
      </c>
      <c r="U223" s="50" t="n">
        <v>36</v>
      </c>
      <c r="V223" s="112">
        <f>((O223+R223)*100)/N223</f>
        <v/>
      </c>
      <c r="W223" s="112">
        <f>((P223+S223)*100)/N223</f>
        <v/>
      </c>
      <c r="X223" s="112">
        <f>((Q223+T223)*100)/N223</f>
        <v/>
      </c>
    </row>
    <row r="224" ht="22.5" customHeight="1" s="150">
      <c r="A224" s="34" t="n">
        <v>222</v>
      </c>
      <c r="B224" s="115">
        <f>C224+D224+E224+F224+G224+H224</f>
        <v/>
      </c>
      <c r="C224" s="50" t="n">
        <v>74.8011204412236</v>
      </c>
      <c r="D224" s="50" t="n">
        <v>2.57934898073185</v>
      </c>
      <c r="E224" s="50" t="n">
        <v>7.73804694219555</v>
      </c>
      <c r="F224" s="50" t="n">
        <v>33.531536749514</v>
      </c>
      <c r="G224" s="50" t="n">
        <v>5.1586979614637</v>
      </c>
      <c r="H224" s="50" t="n">
        <v>2.57934898073185</v>
      </c>
      <c r="I224" s="111">
        <f>(100*B224)/N224</f>
        <v/>
      </c>
      <c r="J224" s="112">
        <f>((C224+F224)*100)/B224</f>
        <v/>
      </c>
      <c r="K224" s="112">
        <f>((D224+G224)*100)/B224</f>
        <v/>
      </c>
      <c r="L224" s="112">
        <f>((E224+H224)*100)/B224</f>
        <v/>
      </c>
      <c r="M224" s="113">
        <f>N224-B223</f>
        <v/>
      </c>
      <c r="N224" s="115">
        <f>O224+P224+Q224+R224+S224+T224</f>
        <v/>
      </c>
      <c r="O224" s="50" t="n">
        <v>177.975079670497</v>
      </c>
      <c r="P224" s="50" t="n">
        <v>126.38810005586</v>
      </c>
      <c r="Q224" s="50" t="n">
        <v>43.8489326724414</v>
      </c>
      <c r="R224" s="50" t="n">
        <v>441.068675705146</v>
      </c>
      <c r="S224" s="50" t="n">
        <v>381.743649148313</v>
      </c>
      <c r="T224" s="50" t="n">
        <v>136.705495978788</v>
      </c>
      <c r="U224" s="50" t="n">
        <v>59</v>
      </c>
      <c r="V224" s="112">
        <f>((O224+R224)*100)/N224</f>
        <v/>
      </c>
      <c r="W224" s="112">
        <f>((P224+S224)*100)/N224</f>
        <v/>
      </c>
      <c r="X224" s="112">
        <f>((Q224+T224)*100)/N224</f>
        <v/>
      </c>
    </row>
    <row r="225" ht="22.5" customHeight="1" s="150">
      <c r="A225" s="34" t="n">
        <v>223</v>
      </c>
      <c r="B225" s="115">
        <f>C225+D225+E225+F225+G225+H225</f>
        <v/>
      </c>
      <c r="C225" s="50" t="n">
        <v>33.531536749514</v>
      </c>
      <c r="D225" s="50" t="n">
        <v>7.73804694219555</v>
      </c>
      <c r="E225" s="50" t="n">
        <v>2.57934898073185</v>
      </c>
      <c r="F225" s="50" t="n">
        <v>5.1586979614637</v>
      </c>
      <c r="G225" s="50" t="n">
        <v>2.57934898073185</v>
      </c>
      <c r="H225" s="50" t="n">
        <v>0</v>
      </c>
      <c r="I225" s="111">
        <f>(100*B225)/N225</f>
        <v/>
      </c>
      <c r="J225" s="112">
        <f>((C225+F225)*100)/B225</f>
        <v/>
      </c>
      <c r="K225" s="112">
        <f>((D225+G225)*100)/B225</f>
        <v/>
      </c>
      <c r="L225" s="112">
        <f>((E225+H225)*100)/B225</f>
        <v/>
      </c>
      <c r="M225" s="113">
        <f>N225-B224</f>
        <v/>
      </c>
      <c r="N225" s="115">
        <f>O225+P225+Q225+R225+S225+T225</f>
        <v/>
      </c>
      <c r="O225" s="50" t="n">
        <v>196.03052253562</v>
      </c>
      <c r="P225" s="50" t="n">
        <v>113.491355152201</v>
      </c>
      <c r="Q225" s="50" t="n">
        <v>41.2695836917096</v>
      </c>
      <c r="R225" s="50" t="n">
        <v>198.609871516352</v>
      </c>
      <c r="S225" s="50" t="n">
        <v>136.705495978788</v>
      </c>
      <c r="T225" s="50" t="n">
        <v>43.8489326724414</v>
      </c>
      <c r="U225" s="50" t="n">
        <v>54</v>
      </c>
      <c r="V225" s="112">
        <f>((O225+R225)*100)/N225</f>
        <v/>
      </c>
      <c r="W225" s="112">
        <f>((P225+S225)*100)/N225</f>
        <v/>
      </c>
      <c r="X225" s="112">
        <f>((Q225+T225)*100)/N225</f>
        <v/>
      </c>
    </row>
    <row r="226" ht="22.5" customHeight="1" s="150">
      <c r="A226" s="34" t="n">
        <v>224</v>
      </c>
      <c r="B226" s="115">
        <f>C226+D226+E226+F226+G226+H226</f>
        <v/>
      </c>
      <c r="C226" s="50" t="n">
        <v>69.6424224797599</v>
      </c>
      <c r="D226" s="50" t="n">
        <v>0</v>
      </c>
      <c r="E226" s="50" t="n">
        <v>15.4760938843911</v>
      </c>
      <c r="F226" s="50" t="n">
        <v>41.2695836917096</v>
      </c>
      <c r="G226" s="50" t="n">
        <v>0</v>
      </c>
      <c r="H226" s="50" t="n">
        <v>0</v>
      </c>
      <c r="I226" s="111">
        <f>(100*B226)/N226</f>
        <v/>
      </c>
      <c r="J226" s="112">
        <f>((C226+F226)*100)/B226</f>
        <v/>
      </c>
      <c r="K226" s="112">
        <f>((D226+G226)*100)/B226</f>
        <v/>
      </c>
      <c r="L226" s="112">
        <f>((E226+H226)*100)/B226</f>
        <v/>
      </c>
      <c r="M226" s="113">
        <f>N226-B225</f>
        <v/>
      </c>
      <c r="N226" s="115">
        <f>O226+P226+Q226+R226+S226+T226</f>
        <v/>
      </c>
      <c r="O226" s="50" t="n">
        <v>214.085965400743</v>
      </c>
      <c r="P226" s="50" t="n">
        <v>118.650053113665</v>
      </c>
      <c r="Q226" s="50" t="n">
        <v>46.4282816531733</v>
      </c>
      <c r="R226" s="50" t="n">
        <v>69.6424224797599</v>
      </c>
      <c r="S226" s="50" t="n">
        <v>33.531536749514</v>
      </c>
      <c r="T226" s="50" t="n">
        <v>20.6347918458548</v>
      </c>
      <c r="U226" s="50" t="n">
        <v>52</v>
      </c>
      <c r="V226" s="112">
        <f>((O226+R226)*100)/N226</f>
        <v/>
      </c>
      <c r="W226" s="112">
        <f>((P226+S226)*100)/N226</f>
        <v/>
      </c>
      <c r="X226" s="112">
        <f>((Q226+T226)*100)/N226</f>
        <v/>
      </c>
    </row>
    <row r="227" ht="22.5" customHeight="1" s="150">
      <c r="A227" s="34" t="n">
        <v>225</v>
      </c>
      <c r="B227" s="115">
        <f>C227+D227+E227+F227+G227+H227</f>
        <v/>
      </c>
      <c r="C227" s="50" t="n">
        <v>77.3804694219555</v>
      </c>
      <c r="D227" s="50" t="n">
        <v>0</v>
      </c>
      <c r="E227" s="50" t="n">
        <v>7.73804694219555</v>
      </c>
      <c r="F227" s="50" t="n">
        <v>100.594610248542</v>
      </c>
      <c r="G227" s="50" t="n">
        <v>0</v>
      </c>
      <c r="H227" s="50" t="n">
        <v>2.57934898073185</v>
      </c>
      <c r="I227" s="111">
        <f>(100*B227)/N227</f>
        <v/>
      </c>
      <c r="J227" s="112">
        <f>((C227+F227)*100)/B227</f>
        <v/>
      </c>
      <c r="K227" s="112">
        <f>((D227+G227)*100)/B227</f>
        <v/>
      </c>
      <c r="L227" s="112">
        <f>((E227+H227)*100)/B227</f>
        <v/>
      </c>
      <c r="M227" s="113">
        <f>N227-B226</f>
        <v/>
      </c>
      <c r="N227" s="115">
        <f>O227+P227+Q227+R227+S227+T227</f>
        <v/>
      </c>
      <c r="O227" s="50" t="n">
        <v>206.347918458547</v>
      </c>
      <c r="P227" s="50" t="n">
        <v>131.546798017324</v>
      </c>
      <c r="Q227" s="50" t="n">
        <v>46.4282816531733</v>
      </c>
      <c r="R227" s="50" t="n">
        <v>438.489326724414</v>
      </c>
      <c r="S227" s="50" t="n">
        <v>177.975079670497</v>
      </c>
      <c r="T227" s="50" t="n">
        <v>41.2695836917096</v>
      </c>
      <c r="U227" s="50" t="n">
        <v>70</v>
      </c>
      <c r="V227" s="112">
        <f>((O227+R227)*100)/N227</f>
        <v/>
      </c>
      <c r="W227" s="112">
        <f>((P227+S227)*100)/N227</f>
        <v/>
      </c>
      <c r="X227" s="112">
        <f>((Q227+T227)*100)/N227</f>
        <v/>
      </c>
    </row>
    <row r="228" ht="22.5" customHeight="1" s="150">
      <c r="A228" s="34" t="n">
        <v>226</v>
      </c>
      <c r="B228" s="115">
        <f>C228+D228+E228+F228+G228+H228</f>
        <v/>
      </c>
      <c r="C228" s="50" t="n">
        <v>54.1663285953688</v>
      </c>
      <c r="D228" s="50" t="n">
        <v>2.57934898073185</v>
      </c>
      <c r="E228" s="50" t="n">
        <v>2.57934898073185</v>
      </c>
      <c r="F228" s="50" t="n">
        <v>7.73804694219555</v>
      </c>
      <c r="G228" s="50" t="n">
        <v>0</v>
      </c>
      <c r="H228" s="50" t="n">
        <v>0</v>
      </c>
      <c r="I228" s="111">
        <f>(100*B228)/N228</f>
        <v/>
      </c>
      <c r="J228" s="112">
        <f>((C228+F228)*100)/B228</f>
        <v/>
      </c>
      <c r="K228" s="112">
        <f>((D228+G228)*100)/B228</f>
        <v/>
      </c>
      <c r="L228" s="112">
        <f>((E228+H228)*100)/B228</f>
        <v/>
      </c>
      <c r="M228" s="113">
        <f>N228-B227</f>
        <v/>
      </c>
      <c r="N228" s="115">
        <f>O228+P228+Q228+R228+S228+T228</f>
        <v/>
      </c>
      <c r="O228" s="50" t="n">
        <v>177.975079670497</v>
      </c>
      <c r="P228" s="50" t="n">
        <v>131.546798017324</v>
      </c>
      <c r="Q228" s="50" t="n">
        <v>49.0076306339051</v>
      </c>
      <c r="R228" s="50" t="n">
        <v>82.5391673834192</v>
      </c>
      <c r="S228" s="50" t="n">
        <v>33.531536749514</v>
      </c>
      <c r="T228" s="50" t="n">
        <v>15.4760938843911</v>
      </c>
      <c r="U228" s="50" t="n">
        <v>49</v>
      </c>
      <c r="V228" s="112">
        <f>((O228+R228)*100)/N228</f>
        <v/>
      </c>
      <c r="W228" s="112">
        <f>((P228+S228)*100)/N228</f>
        <v/>
      </c>
      <c r="X228" s="112">
        <f>((Q228+T228)*100)/N228</f>
        <v/>
      </c>
    </row>
    <row r="229" ht="22.5" customHeight="1" s="150">
      <c r="A229" s="34" t="n">
        <v>227</v>
      </c>
      <c r="B229" s="115">
        <f>C229+D229+E229+F229+G229+H229</f>
        <v/>
      </c>
      <c r="C229" s="50" t="n">
        <v>33.531536749514</v>
      </c>
      <c r="D229" s="50" t="n">
        <v>0</v>
      </c>
      <c r="E229" s="50" t="n">
        <v>2.57934898073185</v>
      </c>
      <c r="F229" s="50" t="n">
        <v>7.73804694219555</v>
      </c>
      <c r="G229" s="50" t="n">
        <v>0</v>
      </c>
      <c r="H229" s="50" t="n">
        <v>5.1586979614637</v>
      </c>
      <c r="I229" s="111">
        <f>(100*B229)/N229</f>
        <v/>
      </c>
      <c r="J229" s="112">
        <f>((C229+F229)*100)/B229</f>
        <v/>
      </c>
      <c r="K229" s="112">
        <f>((D229+G229)*100)/B229</f>
        <v/>
      </c>
      <c r="L229" s="112">
        <f>((E229+H229)*100)/B229</f>
        <v/>
      </c>
      <c r="M229" s="113">
        <f>N229-B228</f>
        <v/>
      </c>
      <c r="N229" s="115">
        <f>O229+P229+Q229+R229+S229+T229</f>
        <v/>
      </c>
      <c r="O229" s="50" t="n">
        <v>198.609871516352</v>
      </c>
      <c r="P229" s="50" t="n">
        <v>141.864193940251</v>
      </c>
      <c r="Q229" s="50" t="n">
        <v>49.0076306339051</v>
      </c>
      <c r="R229" s="50" t="n">
        <v>43.8489326724414</v>
      </c>
      <c r="S229" s="50" t="n">
        <v>69.6424224797599</v>
      </c>
      <c r="T229" s="50" t="n">
        <v>10.3173959229274</v>
      </c>
      <c r="U229" s="50" t="n">
        <v>34</v>
      </c>
      <c r="V229" s="112">
        <f>((O229+R229)*100)/N229</f>
        <v/>
      </c>
      <c r="W229" s="112">
        <f>((P229+S229)*100)/N229</f>
        <v/>
      </c>
      <c r="X229" s="112">
        <f>((Q229+T229)*100)/N229</f>
        <v/>
      </c>
    </row>
    <row r="230" ht="22.5" customHeight="1" s="150">
      <c r="A230" s="34" t="n">
        <v>228</v>
      </c>
      <c r="B230" s="115">
        <f>C230+D230+E230+F230+G230+H230</f>
        <v/>
      </c>
      <c r="C230" s="50" t="n">
        <v>0</v>
      </c>
      <c r="D230" s="50" t="n">
        <v>0</v>
      </c>
      <c r="E230" s="50" t="n">
        <v>0</v>
      </c>
      <c r="F230" s="50" t="n">
        <v>0</v>
      </c>
      <c r="G230" s="50" t="n">
        <v>0</v>
      </c>
      <c r="H230" s="50" t="n">
        <v>0</v>
      </c>
      <c r="I230" s="111">
        <f>(100*B230)/N230</f>
        <v/>
      </c>
      <c r="J230" s="112">
        <f>((C230+F230)*100)/B230</f>
        <v/>
      </c>
      <c r="K230" s="112">
        <f>((D230+G230)*100)/B230</f>
        <v/>
      </c>
      <c r="L230" s="112">
        <f>((E230+H230)*100)/B230</f>
        <v/>
      </c>
      <c r="M230" s="113">
        <f>N230-B229</f>
        <v/>
      </c>
      <c r="N230" s="115">
        <f>O230+P230+Q230+R230+S230+T230</f>
        <v/>
      </c>
      <c r="O230" s="50" t="n">
        <v>208.927267439279</v>
      </c>
      <c r="P230" s="50" t="n">
        <v>144.443542920983</v>
      </c>
      <c r="Q230" s="50" t="n">
        <v>51.5869796146369</v>
      </c>
      <c r="R230" s="50" t="n">
        <v>0</v>
      </c>
      <c r="S230" s="50" t="n">
        <v>0</v>
      </c>
      <c r="T230" s="50" t="n">
        <v>0</v>
      </c>
      <c r="U230" s="50" t="n">
        <v>18</v>
      </c>
      <c r="V230" s="112">
        <f>((O230+R230)*100)/N230</f>
        <v/>
      </c>
      <c r="W230" s="112">
        <f>((P230+S230)*100)/N230</f>
        <v/>
      </c>
      <c r="X230" s="112">
        <f>((Q230+T230)*100)/N230</f>
        <v/>
      </c>
    </row>
    <row r="231" ht="22.5" customHeight="1" s="150">
      <c r="A231" s="34" t="n">
        <v>229</v>
      </c>
      <c r="B231" s="115">
        <f>C231+D231+E231+F231+G231+H231</f>
        <v/>
      </c>
      <c r="C231" s="50" t="n">
        <v>54.1663285953688</v>
      </c>
      <c r="D231" s="50" t="n">
        <v>0</v>
      </c>
      <c r="E231" s="50" t="n">
        <v>0</v>
      </c>
      <c r="F231" s="50" t="n">
        <v>2.57934898073185</v>
      </c>
      <c r="G231" s="50" t="n">
        <v>0</v>
      </c>
      <c r="H231" s="50" t="n">
        <v>0</v>
      </c>
      <c r="I231" s="111">
        <f>(100*B231)/N231</f>
        <v/>
      </c>
      <c r="J231" s="112">
        <f>((C231+F231)*100)/B231</f>
        <v/>
      </c>
      <c r="K231" s="112">
        <f>((D231+G231)*100)/B231</f>
        <v/>
      </c>
      <c r="L231" s="112">
        <f>((E231+H231)*100)/B231</f>
        <v/>
      </c>
      <c r="M231" s="113">
        <f>N231-B230</f>
        <v/>
      </c>
      <c r="N231" s="115">
        <f>O231+P231+Q231+R231+S231+T231</f>
        <v/>
      </c>
      <c r="O231" s="50" t="n">
        <v>177.975079670497</v>
      </c>
      <c r="P231" s="50" t="n">
        <v>144.443542920983</v>
      </c>
      <c r="Q231" s="50" t="n">
        <v>54.1663285953688</v>
      </c>
      <c r="R231" s="50" t="n">
        <v>56.7456775761007</v>
      </c>
      <c r="S231" s="50" t="n">
        <v>46.4282816531733</v>
      </c>
      <c r="T231" s="50" t="n">
        <v>5.1586979614637</v>
      </c>
      <c r="U231" s="50" t="n">
        <v>39</v>
      </c>
      <c r="V231" s="112">
        <f>((O231+R231)*100)/N231</f>
        <v/>
      </c>
      <c r="W231" s="112">
        <f>((P231+S231)*100)/N231</f>
        <v/>
      </c>
      <c r="X231" s="112">
        <f>((Q231+T231)*100)/N231</f>
        <v/>
      </c>
    </row>
    <row r="232" ht="22.5" customHeight="1" s="150">
      <c r="A232" s="34" t="n">
        <v>230</v>
      </c>
      <c r="B232" s="115">
        <f>C232+D232+E232+F232+G232+H232</f>
        <v/>
      </c>
      <c r="C232" s="50" t="n">
        <v>38.6902347109777</v>
      </c>
      <c r="D232" s="50" t="n">
        <v>5.1586979614637</v>
      </c>
      <c r="E232" s="50" t="n">
        <v>7.73804694219555</v>
      </c>
      <c r="F232" s="50" t="n">
        <v>15.4760938843911</v>
      </c>
      <c r="G232" s="50" t="n">
        <v>2.57934898073185</v>
      </c>
      <c r="H232" s="50" t="n">
        <v>2.57934898073185</v>
      </c>
      <c r="I232" s="111">
        <f>(100*B232)/N232</f>
        <v/>
      </c>
      <c r="J232" s="112">
        <f>((C232+F232)*100)/B232</f>
        <v/>
      </c>
      <c r="K232" s="112">
        <f>((D232+G232)*100)/B232</f>
        <v/>
      </c>
      <c r="L232" s="112">
        <f>((E232+H232)*100)/B232</f>
        <v/>
      </c>
      <c r="M232" s="113">
        <f>N232-B231</f>
        <v/>
      </c>
      <c r="N232" s="115">
        <f>O232+P232+Q232+R232+S232+T232</f>
        <v/>
      </c>
      <c r="O232" s="50" t="n">
        <v>154.760938843911</v>
      </c>
      <c r="P232" s="50" t="n">
        <v>139.284844959519</v>
      </c>
      <c r="Q232" s="50" t="n">
        <v>49.0076306339051</v>
      </c>
      <c r="R232" s="50" t="n">
        <v>69.6424224797599</v>
      </c>
      <c r="S232" s="50" t="n">
        <v>144.443542920983</v>
      </c>
      <c r="T232" s="50" t="n">
        <v>41.2695836917096</v>
      </c>
      <c r="U232" s="50" t="n">
        <v>59</v>
      </c>
      <c r="V232" s="112">
        <f>((O232+R232)*100)/N232</f>
        <v/>
      </c>
      <c r="W232" s="112">
        <f>((P232+S232)*100)/N232</f>
        <v/>
      </c>
      <c r="X232" s="112">
        <f>((Q232+T232)*100)/N232</f>
        <v/>
      </c>
    </row>
    <row r="233" ht="22.5" customHeight="1" s="150">
      <c r="A233" s="34" t="n">
        <v>231</v>
      </c>
      <c r="B233" s="115">
        <f>C233+D233+E233+F233+G233+H233</f>
        <v/>
      </c>
      <c r="C233" s="50" t="n">
        <v>41.2695836917096</v>
      </c>
      <c r="D233" s="50" t="n">
        <v>7.73804694219555</v>
      </c>
      <c r="E233" s="50" t="n">
        <v>5.1586979614637</v>
      </c>
      <c r="F233" s="50" t="n">
        <v>7.73804694219555</v>
      </c>
      <c r="G233" s="50" t="n">
        <v>5.1586979614637</v>
      </c>
      <c r="H233" s="50" t="n">
        <v>0</v>
      </c>
      <c r="I233" s="111">
        <f>(100*B233)/N233</f>
        <v/>
      </c>
      <c r="J233" s="112">
        <f>((C233+F233)*100)/B233</f>
        <v/>
      </c>
      <c r="K233" s="112">
        <f>((D233+G233)*100)/B233</f>
        <v/>
      </c>
      <c r="L233" s="112">
        <f>((E233+H233)*100)/B233</f>
        <v/>
      </c>
      <c r="M233" s="113">
        <f>N233-B232</f>
        <v/>
      </c>
      <c r="N233" s="115">
        <f>O233+P233+Q233+R233+S233+T233</f>
        <v/>
      </c>
      <c r="O233" s="50" t="n">
        <v>152.181589863179</v>
      </c>
      <c r="P233" s="50" t="n">
        <v>136.705495978788</v>
      </c>
      <c r="Q233" s="50" t="n">
        <v>43.8489326724414</v>
      </c>
      <c r="R233" s="50" t="n">
        <v>74.8011204412236</v>
      </c>
      <c r="S233" s="50" t="n">
        <v>79.9598184026873</v>
      </c>
      <c r="T233" s="50" t="n">
        <v>33.531536749514</v>
      </c>
      <c r="U233" s="50" t="n">
        <v>67</v>
      </c>
      <c r="V233" s="112">
        <f>((O233+R233)*100)/N233</f>
        <v/>
      </c>
      <c r="W233" s="112">
        <f>((P233+S233)*100)/N233</f>
        <v/>
      </c>
      <c r="X233" s="112">
        <f>((Q233+T233)*100)/N233</f>
        <v/>
      </c>
    </row>
    <row r="234" ht="22.5" customHeight="1" s="150">
      <c r="A234" s="34" t="n">
        <v>232</v>
      </c>
      <c r="B234" s="115">
        <f>C234+D234+E234+F234+G234+H234</f>
        <v/>
      </c>
      <c r="C234" s="50" t="n">
        <v>36.1108857302459</v>
      </c>
      <c r="D234" s="50" t="n">
        <v>0</v>
      </c>
      <c r="E234" s="50" t="n">
        <v>2.57934898073185</v>
      </c>
      <c r="F234" s="50" t="n">
        <v>2.57934898073185</v>
      </c>
      <c r="G234" s="50" t="n">
        <v>0</v>
      </c>
      <c r="H234" s="50" t="n">
        <v>0</v>
      </c>
      <c r="I234" s="111">
        <f>(100*B234)/N234</f>
        <v/>
      </c>
      <c r="J234" s="112">
        <f>((C234+F234)*100)/B234</f>
        <v/>
      </c>
      <c r="K234" s="112">
        <f>((D234+G234)*100)/B234</f>
        <v/>
      </c>
      <c r="L234" s="112">
        <f>((E234+H234)*100)/B234</f>
        <v/>
      </c>
      <c r="M234" s="113">
        <f>N234-B233</f>
        <v/>
      </c>
      <c r="N234" s="115">
        <f>O234+P234+Q234+R234+S234+T234</f>
        <v/>
      </c>
      <c r="O234" s="50" t="n">
        <v>165.078334766838</v>
      </c>
      <c r="P234" s="50" t="n">
        <v>139.284844959519</v>
      </c>
      <c r="Q234" s="50" t="n">
        <v>41.2695836917096</v>
      </c>
      <c r="R234" s="50" t="n">
        <v>33.531536749514</v>
      </c>
      <c r="S234" s="50" t="n">
        <v>41.2695836917096</v>
      </c>
      <c r="T234" s="50" t="n">
        <v>18.0554428651229</v>
      </c>
      <c r="U234" s="50" t="n">
        <v>52</v>
      </c>
      <c r="V234" s="112">
        <f>((O234+R234)*100)/N234</f>
        <v/>
      </c>
      <c r="W234" s="112">
        <f>((P234+S234)*100)/N234</f>
        <v/>
      </c>
      <c r="X234" s="112">
        <f>((Q234+T234)*100)/N234</f>
        <v/>
      </c>
    </row>
    <row r="235" ht="22.5" customHeight="1" s="150">
      <c r="A235" s="34" t="n">
        <v>233</v>
      </c>
      <c r="B235" s="115">
        <f>C235+D235+E235+F235+G235+H235</f>
        <v/>
      </c>
      <c r="C235" s="50" t="n">
        <v>59.3250265568325</v>
      </c>
      <c r="D235" s="50" t="n">
        <v>10.3173959229274</v>
      </c>
      <c r="E235" s="50" t="n">
        <v>10.3173959229274</v>
      </c>
      <c r="F235" s="50" t="n">
        <v>28.3728387880503</v>
      </c>
      <c r="G235" s="50" t="n">
        <v>18.0554428651229</v>
      </c>
      <c r="H235" s="50" t="n">
        <v>12.8967449036592</v>
      </c>
      <c r="I235" s="111">
        <f>(100*B235)/N235</f>
        <v/>
      </c>
      <c r="J235" s="112">
        <f>((C235+F235)*100)/B235</f>
        <v/>
      </c>
      <c r="K235" s="112">
        <f>((D235+G235)*100)/B235</f>
        <v/>
      </c>
      <c r="L235" s="112">
        <f>((E235+H235)*100)/B235</f>
        <v/>
      </c>
      <c r="M235" s="113">
        <f>N235-B234</f>
        <v/>
      </c>
      <c r="N235" s="115">
        <f>O235+P235+Q235+R235+S235+T235</f>
        <v/>
      </c>
      <c r="O235" s="50" t="n">
        <v>152.181589863179</v>
      </c>
      <c r="P235" s="50" t="n">
        <v>131.546798017324</v>
      </c>
      <c r="Q235" s="50" t="n">
        <v>28.3728387880503</v>
      </c>
      <c r="R235" s="50" t="n">
        <v>123.808751075128</v>
      </c>
      <c r="S235" s="50" t="n">
        <v>105.753308210005</v>
      </c>
      <c r="T235" s="50" t="n">
        <v>41.2695836917096</v>
      </c>
      <c r="U235" s="50" t="n">
        <v>46</v>
      </c>
      <c r="V235" s="112">
        <f>((O235+R235)*100)/N235</f>
        <v/>
      </c>
      <c r="W235" s="112">
        <f>((P235+S235)*100)/N235</f>
        <v/>
      </c>
      <c r="X235" s="112">
        <f>((Q235+T235)*100)/N235</f>
        <v/>
      </c>
    </row>
    <row r="236" ht="22.5" customHeight="1" s="150">
      <c r="A236" s="34" t="n">
        <v>234</v>
      </c>
      <c r="B236" s="115">
        <f>C236+D236+E236+F236+G236+H236</f>
        <v/>
      </c>
      <c r="C236" s="50" t="n">
        <v>51.5869796146369</v>
      </c>
      <c r="D236" s="50" t="n">
        <v>0</v>
      </c>
      <c r="E236" s="50" t="n">
        <v>0</v>
      </c>
      <c r="F236" s="50" t="n">
        <v>0</v>
      </c>
      <c r="G236" s="50" t="n">
        <v>0</v>
      </c>
      <c r="H236" s="50" t="n">
        <v>0</v>
      </c>
      <c r="I236" s="111">
        <f>(100*B236)/N236</f>
        <v/>
      </c>
      <c r="J236" s="112">
        <f>((C236+F236)*100)/B236</f>
        <v/>
      </c>
      <c r="K236" s="112">
        <f>((D236+G236)*100)/B236</f>
        <v/>
      </c>
      <c r="L236" s="112">
        <f>((E236+H236)*100)/B236</f>
        <v/>
      </c>
      <c r="M236" s="113">
        <f>N236-B235</f>
        <v/>
      </c>
      <c r="N236" s="115">
        <f>O236+P236+Q236+R236+S236+T236</f>
        <v/>
      </c>
      <c r="O236" s="50" t="n">
        <v>126.38810005586</v>
      </c>
      <c r="P236" s="50" t="n">
        <v>136.705495978788</v>
      </c>
      <c r="Q236" s="50" t="n">
        <v>30.9521877687822</v>
      </c>
      <c r="R236" s="50" t="n">
        <v>10.3173959229274</v>
      </c>
      <c r="S236" s="50" t="n">
        <v>0</v>
      </c>
      <c r="T236" s="50" t="n">
        <v>0</v>
      </c>
      <c r="U236" s="50" t="n">
        <v>39</v>
      </c>
      <c r="V236" s="112">
        <f>((O236+R236)*100)/N236</f>
        <v/>
      </c>
      <c r="W236" s="112">
        <f>((P236+S236)*100)/N236</f>
        <v/>
      </c>
      <c r="X236" s="112">
        <f>((Q236+T236)*100)/N236</f>
        <v/>
      </c>
    </row>
    <row r="237" ht="22.5" customHeight="1" s="150">
      <c r="A237" s="34" t="n">
        <v>235</v>
      </c>
      <c r="B237" s="115">
        <f>C237+D237+E237+F237+G237+H237</f>
        <v/>
      </c>
      <c r="C237" s="50" t="n">
        <v>0</v>
      </c>
      <c r="D237" s="50" t="n">
        <v>2.57934898073185</v>
      </c>
      <c r="E237" s="50" t="n">
        <v>0</v>
      </c>
      <c r="F237" s="50" t="n">
        <v>0</v>
      </c>
      <c r="G237" s="50" t="n">
        <v>0</v>
      </c>
      <c r="H237" s="50" t="n">
        <v>0</v>
      </c>
      <c r="I237" s="111">
        <f>(100*B237)/N237</f>
        <v/>
      </c>
      <c r="J237" s="112">
        <f>((C237+F237)*100)/B237</f>
        <v/>
      </c>
      <c r="K237" s="112">
        <f>((D237+G237)*100)/B237</f>
        <v/>
      </c>
      <c r="L237" s="112">
        <f>((E237+H237)*100)/B237</f>
        <v/>
      </c>
      <c r="M237" s="113">
        <f>N237-B236</f>
        <v/>
      </c>
      <c r="N237" s="115">
        <f>O237+P237+Q237+R237+S237+T237</f>
        <v/>
      </c>
      <c r="O237" s="50" t="n">
        <v>136.705495978788</v>
      </c>
      <c r="P237" s="50" t="n">
        <v>134.126146998056</v>
      </c>
      <c r="Q237" s="50" t="n">
        <v>30.9521877687822</v>
      </c>
      <c r="R237" s="50" t="n">
        <v>2.57934898073185</v>
      </c>
      <c r="S237" s="50" t="n">
        <v>7.73804694219555</v>
      </c>
      <c r="T237" s="50" t="n">
        <v>10.3173959229274</v>
      </c>
      <c r="U237" s="50" t="n">
        <v>26</v>
      </c>
      <c r="V237" s="112">
        <f>((O237+R237)*100)/N237</f>
        <v/>
      </c>
      <c r="W237" s="112">
        <f>((P237+S237)*100)/N237</f>
        <v/>
      </c>
      <c r="X237" s="112">
        <f>((Q237+T237)*100)/N237</f>
        <v/>
      </c>
    </row>
    <row r="238" ht="22.5" customHeight="1" s="150">
      <c r="A238" s="34" t="n">
        <v>236</v>
      </c>
      <c r="B238" s="115">
        <f>C238+D238+E238+F238+G238+H238</f>
        <v/>
      </c>
      <c r="C238" s="50" t="n">
        <v>56.7456775761007</v>
      </c>
      <c r="D238" s="50" t="n">
        <v>7.73804694219555</v>
      </c>
      <c r="E238" s="50" t="n">
        <v>5.1586979614637</v>
      </c>
      <c r="F238" s="50" t="n">
        <v>28.3728387880503</v>
      </c>
      <c r="G238" s="50" t="n">
        <v>20.6347918458548</v>
      </c>
      <c r="H238" s="50" t="n">
        <v>5.1586979614637</v>
      </c>
      <c r="I238" s="111">
        <f>(100*B238)/N238</f>
        <v/>
      </c>
      <c r="J238" s="112">
        <f>((C238+F238)*100)/B238</f>
        <v/>
      </c>
      <c r="K238" s="112">
        <f>((D238+G238)*100)/B238</f>
        <v/>
      </c>
      <c r="L238" s="112">
        <f>((E238+H238)*100)/B238</f>
        <v/>
      </c>
      <c r="M238" s="113">
        <f>N238-B237</f>
        <v/>
      </c>
      <c r="N238" s="115">
        <f>O238+P238+Q238+R238+S238+T238</f>
        <v/>
      </c>
      <c r="O238" s="50" t="n">
        <v>139.284844959519</v>
      </c>
      <c r="P238" s="50" t="n">
        <v>136.705495978788</v>
      </c>
      <c r="Q238" s="50" t="n">
        <v>33.531536749514</v>
      </c>
      <c r="R238" s="50" t="n">
        <v>306.94252870709</v>
      </c>
      <c r="S238" s="50" t="n">
        <v>376.58495118685</v>
      </c>
      <c r="T238" s="50" t="n">
        <v>72.22177146049179</v>
      </c>
      <c r="U238" s="50" t="n">
        <v>72</v>
      </c>
      <c r="V238" s="112">
        <f>((O238+R238)*100)/N238</f>
        <v/>
      </c>
      <c r="W238" s="112">
        <f>((P238+S238)*100)/N238</f>
        <v/>
      </c>
      <c r="X238" s="112">
        <f>((Q238+T238)*100)/N238</f>
        <v/>
      </c>
    </row>
    <row r="239" ht="22.5" customHeight="1" s="150">
      <c r="A239" s="34" t="n">
        <v>237</v>
      </c>
      <c r="B239" s="115">
        <f>C239+D239+E239+F239+G239+H239</f>
        <v/>
      </c>
      <c r="C239" s="50" t="n">
        <v>36.1108857302459</v>
      </c>
      <c r="D239" s="50" t="n">
        <v>20.6347918458548</v>
      </c>
      <c r="E239" s="50" t="n">
        <v>7.73804694219555</v>
      </c>
      <c r="F239" s="50" t="n">
        <v>5.1586979614637</v>
      </c>
      <c r="G239" s="50" t="n">
        <v>18.0554428651229</v>
      </c>
      <c r="H239" s="50" t="n">
        <v>2.57934898073185</v>
      </c>
      <c r="I239" s="111">
        <f>(100*B239)/N239</f>
        <v/>
      </c>
      <c r="J239" s="112">
        <f>((C239+F239)*100)/B239</f>
        <v/>
      </c>
      <c r="K239" s="112">
        <f>((D239+G239)*100)/B239</f>
        <v/>
      </c>
      <c r="L239" s="112">
        <f>((E239+H239)*100)/B239</f>
        <v/>
      </c>
      <c r="M239" s="113">
        <f>N239-B238</f>
        <v/>
      </c>
      <c r="N239" s="115">
        <f>O239+P239+Q239+R239+S239+T239</f>
        <v/>
      </c>
      <c r="O239" s="50" t="n">
        <v>144.443542920983</v>
      </c>
      <c r="P239" s="50" t="n">
        <v>105.753308210005</v>
      </c>
      <c r="Q239" s="50" t="n">
        <v>20.6347918458548</v>
      </c>
      <c r="R239" s="50" t="n">
        <v>64.4837245182962</v>
      </c>
      <c r="S239" s="50" t="n">
        <v>33.531536749514</v>
      </c>
      <c r="T239" s="50" t="n">
        <v>12.8967449036592</v>
      </c>
      <c r="U239" s="50" t="n">
        <v>59</v>
      </c>
      <c r="V239" s="112">
        <f>((O239+R239)*100)/N239</f>
        <v/>
      </c>
      <c r="W239" s="112">
        <f>((P239+S239)*100)/N239</f>
        <v/>
      </c>
      <c r="X239" s="112">
        <f>((Q239+T239)*100)/N239</f>
        <v/>
      </c>
    </row>
    <row r="240" ht="22.5" customHeight="1" s="150">
      <c r="A240" s="34" t="n">
        <v>238</v>
      </c>
      <c r="B240" s="115">
        <f>C240+D240+E240+F240+G240+H240</f>
        <v/>
      </c>
      <c r="C240" s="50" t="n">
        <v>69.6424224797599</v>
      </c>
      <c r="D240" s="50" t="n">
        <v>2.57934898073185</v>
      </c>
      <c r="E240" s="50" t="n">
        <v>7.73804694219555</v>
      </c>
      <c r="F240" s="50" t="n">
        <v>43.8489326724414</v>
      </c>
      <c r="G240" s="50" t="n">
        <v>5.1586979614637</v>
      </c>
      <c r="H240" s="50" t="n">
        <v>0</v>
      </c>
      <c r="I240" s="111">
        <f>(100*B240)/N240</f>
        <v/>
      </c>
      <c r="J240" s="112">
        <f>((C240+F240)*100)/B240</f>
        <v/>
      </c>
      <c r="K240" s="112">
        <f>((D240+G240)*100)/B240</f>
        <v/>
      </c>
      <c r="L240" s="112">
        <f>((E240+H240)*100)/B240</f>
        <v/>
      </c>
      <c r="M240" s="113">
        <f>N240-B239</f>
        <v/>
      </c>
      <c r="N240" s="115">
        <f>O240+P240+Q240+R240+S240+T240</f>
        <v/>
      </c>
      <c r="O240" s="50" t="n">
        <v>154.760938843911</v>
      </c>
      <c r="P240" s="50" t="n">
        <v>90.27721432561469</v>
      </c>
      <c r="Q240" s="50" t="n">
        <v>20.6347918458548</v>
      </c>
      <c r="R240" s="50" t="n">
        <v>214.085965400743</v>
      </c>
      <c r="S240" s="50" t="n">
        <v>113.491355152201</v>
      </c>
      <c r="T240" s="50" t="n">
        <v>10.3173959229274</v>
      </c>
      <c r="U240" s="50" t="n">
        <v>59</v>
      </c>
      <c r="V240" s="112">
        <f>((O240+R240)*100)/N240</f>
        <v/>
      </c>
      <c r="W240" s="112">
        <f>((P240+S240)*100)/N240</f>
        <v/>
      </c>
      <c r="X240" s="112">
        <f>((Q240+T240)*100)/N240</f>
        <v/>
      </c>
    </row>
    <row r="241" ht="22.5" customHeight="1" s="150">
      <c r="A241" s="34" t="n">
        <v>239</v>
      </c>
      <c r="B241" s="115">
        <f>C241+D241+E241+F241+G241+H241</f>
        <v/>
      </c>
      <c r="C241" s="50" t="n">
        <v>33.531536749514</v>
      </c>
      <c r="D241" s="50" t="n">
        <v>5.1586979614637</v>
      </c>
      <c r="E241" s="50" t="n">
        <v>5.1586979614637</v>
      </c>
      <c r="F241" s="50" t="n">
        <v>10.3173959229274</v>
      </c>
      <c r="G241" s="50" t="n">
        <v>2.57934898073185</v>
      </c>
      <c r="H241" s="50" t="n">
        <v>0</v>
      </c>
      <c r="I241" s="111">
        <f>(100*B241)/N241</f>
        <v/>
      </c>
      <c r="J241" s="112">
        <f>((C241+F241)*100)/B241</f>
        <v/>
      </c>
      <c r="K241" s="112">
        <f>((D241+G241)*100)/B241</f>
        <v/>
      </c>
      <c r="L241" s="112">
        <f>((E241+H241)*100)/B241</f>
        <v/>
      </c>
      <c r="M241" s="113">
        <f>N241-B240</f>
        <v/>
      </c>
      <c r="N241" s="115">
        <f>O241+P241+Q241+R241+S241+T241</f>
        <v/>
      </c>
      <c r="O241" s="50" t="n">
        <v>134.126146998056</v>
      </c>
      <c r="P241" s="50" t="n">
        <v>85.11851636415101</v>
      </c>
      <c r="Q241" s="50" t="n">
        <v>18.0554428651229</v>
      </c>
      <c r="R241" s="50" t="n">
        <v>74.8011204412236</v>
      </c>
      <c r="S241" s="50" t="n">
        <v>126.38810005586</v>
      </c>
      <c r="T241" s="50" t="n">
        <v>5.1586979614637</v>
      </c>
      <c r="U241" s="50" t="n">
        <v>54</v>
      </c>
      <c r="V241" s="112">
        <f>((O241+R241)*100)/N241</f>
        <v/>
      </c>
      <c r="W241" s="112">
        <f>((P241+S241)*100)/N241</f>
        <v/>
      </c>
      <c r="X241" s="112">
        <f>((Q241+T241)*100)/N241</f>
        <v/>
      </c>
    </row>
    <row r="242" ht="22.5" customHeight="1" s="150">
      <c r="A242" s="34" t="n">
        <v>240</v>
      </c>
      <c r="B242" s="115">
        <f>C242+D242+E242+F242+G242+H242</f>
        <v/>
      </c>
      <c r="C242" s="50" t="n">
        <v>61.9043755375644</v>
      </c>
      <c r="D242" s="50" t="n">
        <v>0</v>
      </c>
      <c r="E242" s="50" t="n">
        <v>0</v>
      </c>
      <c r="F242" s="50" t="n">
        <v>2.57934898073185</v>
      </c>
      <c r="G242" s="50" t="n">
        <v>0</v>
      </c>
      <c r="H242" s="50" t="n">
        <v>0</v>
      </c>
      <c r="I242" s="111">
        <f>(100*B242)/N242</f>
        <v/>
      </c>
      <c r="J242" s="112">
        <f>((C242+F242)*100)/B242</f>
        <v/>
      </c>
      <c r="K242" s="112">
        <f>((D242+G242)*100)/B242</f>
        <v/>
      </c>
      <c r="L242" s="112">
        <f>((E242+H242)*100)/B242</f>
        <v/>
      </c>
      <c r="M242" s="113">
        <f>N242-B241</f>
        <v/>
      </c>
      <c r="N242" s="115">
        <f>O242+P242+Q242+R242+S242+T242</f>
        <v/>
      </c>
      <c r="O242" s="50" t="n">
        <v>126.38810005586</v>
      </c>
      <c r="P242" s="50" t="n">
        <v>87.6978653448828</v>
      </c>
      <c r="Q242" s="50" t="n">
        <v>18.0554428651229</v>
      </c>
      <c r="R242" s="50" t="n">
        <v>82.5391673834192</v>
      </c>
      <c r="S242" s="50" t="n">
        <v>85.11851636415101</v>
      </c>
      <c r="T242" s="50" t="n">
        <v>36.1108857302459</v>
      </c>
      <c r="U242" s="50" t="n">
        <v>52</v>
      </c>
      <c r="V242" s="112">
        <f>((O242+R242)*100)/N242</f>
        <v/>
      </c>
      <c r="W242" s="112">
        <f>((P242+S242)*100)/N242</f>
        <v/>
      </c>
      <c r="X242" s="112">
        <f>((Q242+T242)*100)/N242</f>
        <v/>
      </c>
    </row>
    <row r="243" ht="22.5" customHeight="1" s="150">
      <c r="A243" s="34" t="n">
        <v>241</v>
      </c>
      <c r="B243" s="115">
        <f>C243+D243+E243+F243+G243+H243</f>
        <v/>
      </c>
      <c r="C243" s="50" t="n">
        <v>28.3728387880503</v>
      </c>
      <c r="D243" s="50" t="n">
        <v>0</v>
      </c>
      <c r="E243" s="50" t="n">
        <v>12.8967449036592</v>
      </c>
      <c r="F243" s="50" t="n">
        <v>20.6347918458548</v>
      </c>
      <c r="G243" s="50" t="n">
        <v>0</v>
      </c>
      <c r="H243" s="50" t="n">
        <v>7.73804694219555</v>
      </c>
      <c r="I243" s="111">
        <f>(100*B243)/N243</f>
        <v/>
      </c>
      <c r="J243" s="112">
        <f>((C243+F243)*100)/B243</f>
        <v/>
      </c>
      <c r="K243" s="112">
        <f>((D243+G243)*100)/B243</f>
        <v/>
      </c>
      <c r="L243" s="112">
        <f>((E243+H243)*100)/B243</f>
        <v/>
      </c>
      <c r="M243" s="113">
        <f>N243-B242</f>
        <v/>
      </c>
      <c r="N243" s="115">
        <f>O243+P243+Q243+R243+S243+T243</f>
        <v/>
      </c>
      <c r="O243" s="50" t="n">
        <v>139.284844959519</v>
      </c>
      <c r="P243" s="50" t="n">
        <v>87.6978653448828</v>
      </c>
      <c r="Q243" s="50" t="n">
        <v>20.6347918458548</v>
      </c>
      <c r="R243" s="50" t="n">
        <v>159.919636805374</v>
      </c>
      <c r="S243" s="50" t="n">
        <v>113.491355152201</v>
      </c>
      <c r="T243" s="50" t="n">
        <v>25.7934898073184</v>
      </c>
      <c r="U243" s="50" t="n">
        <v>64</v>
      </c>
      <c r="V243" s="112">
        <f>((O243+R243)*100)/N243</f>
        <v/>
      </c>
      <c r="W243" s="112">
        <f>((P243+S243)*100)/N243</f>
        <v/>
      </c>
      <c r="X243" s="112">
        <f>((Q243+T243)*100)/N243</f>
        <v/>
      </c>
    </row>
    <row r="244" ht="22.5" customHeight="1" s="150">
      <c r="A244" s="34" t="n">
        <v>242</v>
      </c>
      <c r="B244" s="115">
        <f>C244+D244+E244+F244+G244+H244</f>
        <v/>
      </c>
      <c r="C244" s="50" t="n">
        <v>61.9043755375644</v>
      </c>
      <c r="D244" s="50" t="n">
        <v>2.57934898073185</v>
      </c>
      <c r="E244" s="50" t="n">
        <v>2.57934898073185</v>
      </c>
      <c r="F244" s="50" t="n">
        <v>33.531536749514</v>
      </c>
      <c r="G244" s="50" t="n">
        <v>2.57934898073185</v>
      </c>
      <c r="H244" s="50" t="n">
        <v>0</v>
      </c>
      <c r="I244" s="111">
        <f>(100*B244)/N244</f>
        <v/>
      </c>
      <c r="J244" s="112">
        <f>((C244+F244)*100)/B244</f>
        <v/>
      </c>
      <c r="K244" s="112">
        <f>((D244+G244)*100)/B244</f>
        <v/>
      </c>
      <c r="L244" s="112">
        <f>((E244+H244)*100)/B244</f>
        <v/>
      </c>
      <c r="M244" s="113">
        <f>N244-B243</f>
        <v/>
      </c>
      <c r="N244" s="115">
        <f>O244+P244+Q244+R244+S244+T244</f>
        <v/>
      </c>
      <c r="O244" s="50" t="n">
        <v>136.705495978788</v>
      </c>
      <c r="P244" s="50" t="n">
        <v>87.6978653448828</v>
      </c>
      <c r="Q244" s="50" t="n">
        <v>18.0554428651229</v>
      </c>
      <c r="R244" s="50" t="n">
        <v>208.927267439279</v>
      </c>
      <c r="S244" s="50" t="n">
        <v>141.864193940251</v>
      </c>
      <c r="T244" s="50" t="n">
        <v>59.3250265568325</v>
      </c>
      <c r="U244" s="50" t="n">
        <v>52</v>
      </c>
      <c r="V244" s="112">
        <f>((O244+R244)*100)/N244</f>
        <v/>
      </c>
      <c r="W244" s="112">
        <f>((P244+S244)*100)/N244</f>
        <v/>
      </c>
      <c r="X244" s="112">
        <f>((Q244+T244)*100)/N244</f>
        <v/>
      </c>
    </row>
    <row r="245" ht="22.5" customHeight="1" s="150">
      <c r="A245" s="34" t="n">
        <v>243</v>
      </c>
      <c r="B245" s="115">
        <f>C245+D245+E245+F245+G245+H245</f>
        <v/>
      </c>
      <c r="C245" s="50" t="n">
        <v>90.27721432561469</v>
      </c>
      <c r="D245" s="50" t="n">
        <v>12.8967449036592</v>
      </c>
      <c r="E245" s="50" t="n">
        <v>38.6902347109777</v>
      </c>
      <c r="F245" s="50" t="n">
        <v>268.252293996112</v>
      </c>
      <c r="G245" s="50" t="n">
        <v>25.7934898073184</v>
      </c>
      <c r="H245" s="50" t="n">
        <v>33.531536749514</v>
      </c>
      <c r="I245" s="111">
        <f>(100*B245)/N245</f>
        <v/>
      </c>
      <c r="J245" s="112">
        <f>((C245+F245)*100)/B245</f>
        <v/>
      </c>
      <c r="K245" s="112">
        <f>((D245+G245)*100)/B245</f>
        <v/>
      </c>
      <c r="L245" s="112">
        <f>((E245+H245)*100)/B245</f>
        <v/>
      </c>
      <c r="M245" s="113">
        <f>N245-B244</f>
        <v/>
      </c>
      <c r="N245" s="115">
        <f>O245+P245+Q245+R245+S245+T245</f>
        <v/>
      </c>
      <c r="O245" s="50" t="n">
        <v>134.126146998056</v>
      </c>
      <c r="P245" s="50" t="n">
        <v>67.06307349902811</v>
      </c>
      <c r="Q245" s="50" t="n">
        <v>12.8967449036592</v>
      </c>
      <c r="R245" s="50" t="n">
        <v>531.345890030761</v>
      </c>
      <c r="S245" s="50" t="n">
        <v>304.363179726358</v>
      </c>
      <c r="T245" s="50" t="n">
        <v>15.4760938843911</v>
      </c>
      <c r="U245" s="50" t="n">
        <v>83</v>
      </c>
      <c r="V245" s="112">
        <f>((O245+R245)*100)/N245</f>
        <v/>
      </c>
      <c r="W245" s="112">
        <f>((P245+S245)*100)/N245</f>
        <v/>
      </c>
      <c r="X245" s="112">
        <f>((Q245+T245)*100)/N245</f>
        <v/>
      </c>
    </row>
    <row r="246" ht="22.5" customHeight="1" s="150">
      <c r="A246" s="34" t="n">
        <v>244</v>
      </c>
      <c r="B246" s="115">
        <f>C246+D246+E246+F246+G246+H246</f>
        <v/>
      </c>
      <c r="C246" s="50" t="n">
        <v>51.5869796146369</v>
      </c>
      <c r="D246" s="50" t="n">
        <v>5.1586979614637</v>
      </c>
      <c r="E246" s="50" t="n">
        <v>7.73804694219555</v>
      </c>
      <c r="F246" s="50" t="n">
        <v>18.0554428651229</v>
      </c>
      <c r="G246" s="50" t="n">
        <v>5.1586979614637</v>
      </c>
      <c r="H246" s="50" t="n">
        <v>0</v>
      </c>
      <c r="I246" s="111">
        <f>(100*B246)/N246</f>
        <v/>
      </c>
      <c r="J246" s="112">
        <f>((C246+F246)*100)/B246</f>
        <v/>
      </c>
      <c r="K246" s="112">
        <f>((D246+G246)*100)/B246</f>
        <v/>
      </c>
      <c r="L246" s="112">
        <f>((E246+H246)*100)/B246</f>
        <v/>
      </c>
      <c r="M246" s="113">
        <f>N246-B245</f>
        <v/>
      </c>
      <c r="N246" s="115">
        <f>O246+P246+Q246+R246+S246+T246</f>
        <v/>
      </c>
      <c r="O246" s="50" t="n">
        <v>134.126146998056</v>
      </c>
      <c r="P246" s="50" t="n">
        <v>67.06307349902811</v>
      </c>
      <c r="Q246" s="50" t="n">
        <v>12.8967449036592</v>
      </c>
      <c r="R246" s="50" t="n">
        <v>100.594610248542</v>
      </c>
      <c r="S246" s="50" t="n">
        <v>56.7456775761007</v>
      </c>
      <c r="T246" s="50" t="n">
        <v>7.73804694219555</v>
      </c>
      <c r="U246" s="50" t="n">
        <v>52</v>
      </c>
      <c r="V246" s="112">
        <f>((O246+R246)*100)/N246</f>
        <v/>
      </c>
      <c r="W246" s="112">
        <f>((P246+S246)*100)/N246</f>
        <v/>
      </c>
      <c r="X246" s="112">
        <f>((Q246+T246)*100)/N246</f>
        <v/>
      </c>
    </row>
    <row r="247" ht="22.5" customHeight="1" s="150">
      <c r="A247" s="34" t="n">
        <v>245</v>
      </c>
      <c r="B247" s="115">
        <f>C247+D247+E247+F247+G247+H247</f>
        <v/>
      </c>
      <c r="C247" s="50" t="n">
        <v>77.3804694219555</v>
      </c>
      <c r="D247" s="50" t="n">
        <v>0</v>
      </c>
      <c r="E247" s="50" t="n">
        <v>12.8967449036592</v>
      </c>
      <c r="F247" s="50" t="n">
        <v>33.531536749514</v>
      </c>
      <c r="G247" s="50" t="n">
        <v>2.57934898073185</v>
      </c>
      <c r="H247" s="50" t="n">
        <v>0</v>
      </c>
      <c r="I247" s="111">
        <f>(100*B247)/N247</f>
        <v/>
      </c>
      <c r="J247" s="112">
        <f>((C247+F247)*100)/B247</f>
        <v/>
      </c>
      <c r="K247" s="112">
        <f>((D247+G247)*100)/B247</f>
        <v/>
      </c>
      <c r="L247" s="112">
        <f>((E247+H247)*100)/B247</f>
        <v/>
      </c>
      <c r="M247" s="113">
        <f>N247-B246</f>
        <v/>
      </c>
      <c r="N247" s="115">
        <f>O247+P247+Q247+R247+S247+T247</f>
        <v/>
      </c>
      <c r="O247" s="50" t="n">
        <v>152.181589863179</v>
      </c>
      <c r="P247" s="50" t="n">
        <v>61.9043755375644</v>
      </c>
      <c r="Q247" s="50" t="n">
        <v>15.4760938843911</v>
      </c>
      <c r="R247" s="50" t="n">
        <v>92.8565633063466</v>
      </c>
      <c r="S247" s="50" t="n">
        <v>51.5869796146369</v>
      </c>
      <c r="T247" s="50" t="n">
        <v>5.1586979614637</v>
      </c>
      <c r="U247" s="50" t="n">
        <v>59</v>
      </c>
      <c r="V247" s="112">
        <f>((O247+R247)*100)/N247</f>
        <v/>
      </c>
      <c r="W247" s="112">
        <f>((P247+S247)*100)/N247</f>
        <v/>
      </c>
      <c r="X247" s="112">
        <f>((Q247+T247)*100)/N247</f>
        <v/>
      </c>
    </row>
    <row r="248" ht="22.5" customHeight="1" s="150">
      <c r="A248" s="34" t="n">
        <v>246</v>
      </c>
      <c r="B248" s="115">
        <f>C248+D248+E248+F248+G248+H248</f>
        <v/>
      </c>
      <c r="C248" s="50" t="n">
        <v>85.11851636415101</v>
      </c>
      <c r="D248" s="50" t="n">
        <v>0</v>
      </c>
      <c r="E248" s="50" t="n">
        <v>10.3173959229274</v>
      </c>
      <c r="F248" s="50" t="n">
        <v>18.0554428651229</v>
      </c>
      <c r="G248" s="50" t="n">
        <v>0</v>
      </c>
      <c r="H248" s="50" t="n">
        <v>0</v>
      </c>
      <c r="I248" s="111">
        <f>(100*B248)/N248</f>
        <v/>
      </c>
      <c r="J248" s="112">
        <f>((C248+F248)*100)/B248</f>
        <v/>
      </c>
      <c r="K248" s="112">
        <f>((D248+G248)*100)/B248</f>
        <v/>
      </c>
      <c r="L248" s="112">
        <f>((E248+H248)*100)/B248</f>
        <v/>
      </c>
      <c r="M248" s="113">
        <f>N248-B247</f>
        <v/>
      </c>
      <c r="N248" s="115">
        <f>O248+P248+Q248+R248+S248+T248</f>
        <v/>
      </c>
      <c r="O248" s="50" t="n">
        <v>123.808751075128</v>
      </c>
      <c r="P248" s="50" t="n">
        <v>72.22177146049179</v>
      </c>
      <c r="Q248" s="50" t="n">
        <v>7.73804694219555</v>
      </c>
      <c r="R248" s="50" t="n">
        <v>72.22177146049179</v>
      </c>
      <c r="S248" s="50" t="n">
        <v>49.0076306339051</v>
      </c>
      <c r="T248" s="50" t="n">
        <v>2.57934898073185</v>
      </c>
      <c r="U248" s="50" t="n">
        <v>54</v>
      </c>
      <c r="V248" s="112">
        <f>((O248+R248)*100)/N248</f>
        <v/>
      </c>
      <c r="W248" s="112">
        <f>((P248+S248)*100)/N248</f>
        <v/>
      </c>
      <c r="X248" s="112">
        <f>((Q248+T248)*100)/N248</f>
        <v/>
      </c>
    </row>
    <row r="249" ht="22.5" customHeight="1" s="150">
      <c r="A249" s="34" t="n">
        <v>247</v>
      </c>
      <c r="B249" s="115">
        <f>C249+D249+E249+F249+G249+H249</f>
        <v/>
      </c>
      <c r="C249" s="50" t="n">
        <v>2.57934898073185</v>
      </c>
      <c r="D249" s="50" t="n">
        <v>7.73804694219555</v>
      </c>
      <c r="E249" s="50" t="n">
        <v>5.1586979614637</v>
      </c>
      <c r="F249" s="50" t="n">
        <v>2.57934898073185</v>
      </c>
      <c r="G249" s="50" t="n">
        <v>10.3173959229274</v>
      </c>
      <c r="H249" s="50" t="n">
        <v>2.57934898073185</v>
      </c>
      <c r="I249" s="111">
        <f>(100*B249)/N249</f>
        <v/>
      </c>
      <c r="J249" s="112">
        <f>((C249+F249)*100)/B249</f>
        <v/>
      </c>
      <c r="K249" s="112">
        <f>((D249+G249)*100)/B249</f>
        <v/>
      </c>
      <c r="L249" s="112">
        <f>((E249+H249)*100)/B249</f>
        <v/>
      </c>
      <c r="M249" s="113">
        <f>N249-B248</f>
        <v/>
      </c>
      <c r="N249" s="115">
        <f>O249+P249+Q249+R249+S249+T249</f>
        <v/>
      </c>
      <c r="O249" s="50" t="n">
        <v>126.38810005586</v>
      </c>
      <c r="P249" s="50" t="n">
        <v>59.3250265568325</v>
      </c>
      <c r="Q249" s="50" t="n">
        <v>2.57934898073185</v>
      </c>
      <c r="R249" s="50" t="n">
        <v>41.2695836917096</v>
      </c>
      <c r="S249" s="50" t="n">
        <v>23.2141408265866</v>
      </c>
      <c r="T249" s="50" t="n">
        <v>10.3173959229274</v>
      </c>
      <c r="U249" s="50" t="n">
        <v>52</v>
      </c>
      <c r="V249" s="112">
        <f>((O249+R249)*100)/N249</f>
        <v/>
      </c>
      <c r="W249" s="112">
        <f>((P249+S249)*100)/N249</f>
        <v/>
      </c>
      <c r="X249" s="112">
        <f>((Q249+T249)*100)/N249</f>
        <v/>
      </c>
    </row>
    <row r="250" ht="22.5" customHeight="1" s="150">
      <c r="A250" s="34" t="n">
        <v>248</v>
      </c>
      <c r="B250" s="115">
        <f>C250+D250+E250+F250+G250+H250</f>
        <v/>
      </c>
      <c r="C250" s="50" t="n">
        <v>74.8011204412236</v>
      </c>
      <c r="D250" s="50" t="n">
        <v>0</v>
      </c>
      <c r="E250" s="50" t="n">
        <v>2.57934898073185</v>
      </c>
      <c r="F250" s="50" t="n">
        <v>20.6347918458548</v>
      </c>
      <c r="G250" s="50" t="n">
        <v>5.1586979614637</v>
      </c>
      <c r="H250" s="50" t="n">
        <v>0</v>
      </c>
      <c r="I250" s="111">
        <f>(100*B250)/N250</f>
        <v/>
      </c>
      <c r="J250" s="112">
        <f>((C250+F250)*100)/B250</f>
        <v/>
      </c>
      <c r="K250" s="112">
        <f>((D250+G250)*100)/B250</f>
        <v/>
      </c>
      <c r="L250" s="112">
        <f>((E250+H250)*100)/B250</f>
        <v/>
      </c>
      <c r="M250" s="113">
        <f>N250-B249</f>
        <v/>
      </c>
      <c r="N250" s="115">
        <f>O250+P250+Q250+R250+S250+T250</f>
        <v/>
      </c>
      <c r="O250" s="50" t="n">
        <v>116.070704132933</v>
      </c>
      <c r="P250" s="50" t="n">
        <v>64.4837245182962</v>
      </c>
      <c r="Q250" s="50" t="n">
        <v>2.57934898073185</v>
      </c>
      <c r="R250" s="50" t="n">
        <v>77.3804694219555</v>
      </c>
      <c r="S250" s="50" t="n">
        <v>36.1108857302459</v>
      </c>
      <c r="T250" s="50" t="n">
        <v>0</v>
      </c>
      <c r="U250" s="50" t="n">
        <v>57</v>
      </c>
      <c r="V250" s="112">
        <f>((O250+R250)*100)/N250</f>
        <v/>
      </c>
      <c r="W250" s="112">
        <f>((P250+S250)*100)/N250</f>
        <v/>
      </c>
      <c r="X250" s="112">
        <f>((Q250+T250)*100)/N250</f>
        <v/>
      </c>
    </row>
    <row r="251" ht="22.5" customHeight="1" s="150">
      <c r="A251" s="34" t="n">
        <v>249</v>
      </c>
      <c r="B251" s="115">
        <f>C251+D251+E251+F251+G251+H251</f>
        <v/>
      </c>
      <c r="C251" s="50" t="n">
        <v>46.4282816531733</v>
      </c>
      <c r="D251" s="50" t="n">
        <v>0</v>
      </c>
      <c r="E251" s="50" t="n">
        <v>0</v>
      </c>
      <c r="F251" s="50" t="n">
        <v>7.73804694219555</v>
      </c>
      <c r="G251" s="50" t="n">
        <v>2.57934898073185</v>
      </c>
      <c r="H251" s="50" t="n">
        <v>0</v>
      </c>
      <c r="I251" s="111">
        <f>(100*B251)/N251</f>
        <v/>
      </c>
      <c r="J251" s="112">
        <f>((C251+F251)*100)/B251</f>
        <v/>
      </c>
      <c r="K251" s="112">
        <f>((D251+G251)*100)/B251</f>
        <v/>
      </c>
      <c r="L251" s="112">
        <f>((E251+H251)*100)/B251</f>
        <v/>
      </c>
      <c r="M251" s="113">
        <f>N251-B250</f>
        <v/>
      </c>
      <c r="N251" s="115">
        <f>O251+P251+Q251+R251+S251+T251</f>
        <v/>
      </c>
      <c r="O251" s="50" t="n">
        <v>144.443542920983</v>
      </c>
      <c r="P251" s="50" t="n">
        <v>64.4837245182962</v>
      </c>
      <c r="Q251" s="50" t="n">
        <v>5.1586979614637</v>
      </c>
      <c r="R251" s="50" t="n">
        <v>64.4837245182962</v>
      </c>
      <c r="S251" s="50" t="n">
        <v>30.9521877687822</v>
      </c>
      <c r="T251" s="50" t="n">
        <v>0</v>
      </c>
      <c r="U251" s="50" t="n">
        <v>54</v>
      </c>
      <c r="V251" s="112">
        <f>((O251+R251)*100)/N251</f>
        <v/>
      </c>
      <c r="W251" s="112">
        <f>((P251+S251)*100)/N251</f>
        <v/>
      </c>
      <c r="X251" s="112">
        <f>((Q251+T251)*100)/N251</f>
        <v/>
      </c>
    </row>
    <row r="252" ht="22.5" customHeight="1" s="150">
      <c r="A252" s="34" t="n">
        <v>250</v>
      </c>
      <c r="B252" s="115">
        <f>C252+D252+E252+F252+G252+H252</f>
        <v/>
      </c>
      <c r="C252" s="50" t="n">
        <v>54.1663285953688</v>
      </c>
      <c r="D252" s="50" t="n">
        <v>0</v>
      </c>
      <c r="E252" s="50" t="n">
        <v>10.3173959229274</v>
      </c>
      <c r="F252" s="50" t="n">
        <v>18.0554428651229</v>
      </c>
      <c r="G252" s="50" t="n">
        <v>0</v>
      </c>
      <c r="H252" s="50" t="n">
        <v>0</v>
      </c>
      <c r="I252" s="111">
        <f>(100*B252)/N252</f>
        <v/>
      </c>
      <c r="J252" s="112">
        <f>((C252+F252)*100)/B252</f>
        <v/>
      </c>
      <c r="K252" s="112">
        <f>((D252+G252)*100)/B252</f>
        <v/>
      </c>
      <c r="L252" s="112">
        <f>((E252+H252)*100)/B252</f>
        <v/>
      </c>
      <c r="M252" s="113">
        <f>N252-B251</f>
        <v/>
      </c>
      <c r="N252" s="115">
        <f>O252+P252+Q252+R252+S252+T252</f>
        <v/>
      </c>
      <c r="O252" s="50" t="n">
        <v>149.602240882447</v>
      </c>
      <c r="P252" s="50" t="n">
        <v>61.9043755375644</v>
      </c>
      <c r="Q252" s="50" t="n">
        <v>2.57934898073185</v>
      </c>
      <c r="R252" s="50" t="n">
        <v>61.9043755375644</v>
      </c>
      <c r="S252" s="50" t="n">
        <v>41.2695836917096</v>
      </c>
      <c r="T252" s="50" t="n">
        <v>0</v>
      </c>
      <c r="U252" s="50" t="n">
        <v>46</v>
      </c>
      <c r="V252" s="112">
        <f>((O252+R252)*100)/N252</f>
        <v/>
      </c>
      <c r="W252" s="112">
        <f>((P252+S252)*100)/N252</f>
        <v/>
      </c>
      <c r="X252" s="112">
        <f>((Q252+T252)*100)/N252</f>
        <v/>
      </c>
    </row>
    <row r="253" ht="22.5" customHeight="1" s="150">
      <c r="A253" s="34" t="n">
        <v>251</v>
      </c>
      <c r="B253" s="115">
        <f>C253+D253+E253+F253+G253+H253</f>
        <v/>
      </c>
      <c r="C253" s="50" t="n">
        <v>0</v>
      </c>
      <c r="D253" s="50" t="n">
        <v>0</v>
      </c>
      <c r="E253" s="50" t="n">
        <v>0</v>
      </c>
      <c r="F253" s="50" t="n">
        <v>0</v>
      </c>
      <c r="G253" s="50" t="n">
        <v>0</v>
      </c>
      <c r="H253" s="50" t="n">
        <v>0</v>
      </c>
      <c r="I253" s="111">
        <f>(100*B253)/N253</f>
        <v/>
      </c>
      <c r="J253" s="112">
        <f>((C253+F253)*100)/B253</f>
        <v/>
      </c>
      <c r="K253" s="112">
        <f>((D253+G253)*100)/B253</f>
        <v/>
      </c>
      <c r="L253" s="112">
        <f>((E253+H253)*100)/B253</f>
        <v/>
      </c>
      <c r="M253" s="113">
        <f>N253-B252</f>
        <v/>
      </c>
      <c r="N253" s="115">
        <f>O253+P253+Q253+R253+S253+T253</f>
        <v/>
      </c>
      <c r="O253" s="50" t="n">
        <v>139.284844959519</v>
      </c>
      <c r="P253" s="50" t="n">
        <v>61.9043755375644</v>
      </c>
      <c r="Q253" s="50" t="n">
        <v>7.73804694219555</v>
      </c>
      <c r="R253" s="50" t="n">
        <v>0</v>
      </c>
      <c r="S253" s="50" t="n">
        <v>0</v>
      </c>
      <c r="T253" s="50" t="n">
        <v>0</v>
      </c>
      <c r="U253" s="50" t="n">
        <v>18</v>
      </c>
      <c r="V253" s="112">
        <f>((O253+R253)*100)/N253</f>
        <v/>
      </c>
      <c r="W253" s="112">
        <f>((P253+S253)*100)/N253</f>
        <v/>
      </c>
      <c r="X253" s="112">
        <f>((Q253+T253)*100)/N253</f>
        <v/>
      </c>
    </row>
    <row r="254" ht="22.5" customHeight="1" s="150">
      <c r="A254" s="34" t="n">
        <v>252</v>
      </c>
      <c r="B254" s="115">
        <f>C254+D254+E254+F254+G254+H254</f>
        <v/>
      </c>
      <c r="C254" s="50" t="n">
        <v>0</v>
      </c>
      <c r="D254" s="50" t="n">
        <v>0</v>
      </c>
      <c r="E254" s="50" t="n">
        <v>0</v>
      </c>
      <c r="F254" s="50" t="n">
        <v>0</v>
      </c>
      <c r="G254" s="50" t="n">
        <v>0</v>
      </c>
      <c r="H254" s="50" t="n">
        <v>0</v>
      </c>
      <c r="I254" s="111">
        <f>(100*B254)/N254</f>
        <v/>
      </c>
      <c r="J254" s="112">
        <f>((C254+F254)*100)/B254</f>
        <v/>
      </c>
      <c r="K254" s="112">
        <f>((D254+G254)*100)/B254</f>
        <v/>
      </c>
      <c r="L254" s="112">
        <f>((E254+H254)*100)/B254</f>
        <v/>
      </c>
      <c r="M254" s="113">
        <f>N254-B253</f>
        <v/>
      </c>
      <c r="N254" s="115">
        <f>O254+P254+Q254+R254+S254+T254</f>
        <v/>
      </c>
      <c r="O254" s="50" t="n">
        <v>144.443542920983</v>
      </c>
      <c r="P254" s="50" t="n">
        <v>69.6424224797599</v>
      </c>
      <c r="Q254" s="50" t="n">
        <v>12.8967449036592</v>
      </c>
      <c r="R254" s="50" t="n">
        <v>0</v>
      </c>
      <c r="S254" s="50" t="n">
        <v>0</v>
      </c>
      <c r="T254" s="50" t="n">
        <v>0</v>
      </c>
      <c r="U254" s="50" t="n">
        <v>18</v>
      </c>
      <c r="V254" s="112">
        <f>((O254+R254)*100)/N254</f>
        <v/>
      </c>
      <c r="W254" s="112">
        <f>((P254+S254)*100)/N254</f>
        <v/>
      </c>
      <c r="X254" s="112">
        <f>((Q254+T254)*100)/N254</f>
        <v/>
      </c>
    </row>
    <row r="255" ht="22.5" customHeight="1" s="150">
      <c r="A255" s="34" t="n">
        <v>253</v>
      </c>
      <c r="B255" s="115">
        <f>C255+D255+E255+F255+G255+H255</f>
        <v/>
      </c>
      <c r="C255" s="50" t="n">
        <v>51.5869796146369</v>
      </c>
      <c r="D255" s="50" t="n">
        <v>0</v>
      </c>
      <c r="E255" s="50" t="n">
        <v>0</v>
      </c>
      <c r="F255" s="50" t="n">
        <v>0</v>
      </c>
      <c r="G255" s="50" t="n">
        <v>0</v>
      </c>
      <c r="H255" s="50" t="n">
        <v>2.57934898073185</v>
      </c>
      <c r="I255" s="111">
        <f>(100*B255)/N255</f>
        <v/>
      </c>
      <c r="J255" s="112">
        <f>((C255+F255)*100)/B255</f>
        <v/>
      </c>
      <c r="K255" s="112">
        <f>((D255+G255)*100)/B255</f>
        <v/>
      </c>
      <c r="L255" s="112">
        <f>((E255+H255)*100)/B255</f>
        <v/>
      </c>
      <c r="M255" s="113">
        <f>N255-B254</f>
        <v/>
      </c>
      <c r="N255" s="115">
        <f>O255+P255+Q255+R255+S255+T255</f>
        <v/>
      </c>
      <c r="O255" s="50" t="n">
        <v>149.602240882447</v>
      </c>
      <c r="P255" s="50" t="n">
        <v>82.5391673834192</v>
      </c>
      <c r="Q255" s="50" t="n">
        <v>18.0554428651229</v>
      </c>
      <c r="R255" s="50" t="n">
        <v>43.8489326724414</v>
      </c>
      <c r="S255" s="50" t="n">
        <v>25.7934898073184</v>
      </c>
      <c r="T255" s="50" t="n">
        <v>5.1586979614637</v>
      </c>
      <c r="U255" s="50" t="n">
        <v>44</v>
      </c>
      <c r="V255" s="112">
        <f>((O255+R255)*100)/N255</f>
        <v/>
      </c>
      <c r="W255" s="112">
        <f>((P255+S255)*100)/N255</f>
        <v/>
      </c>
      <c r="X255" s="112">
        <f>((Q255+T255)*100)/N255</f>
        <v/>
      </c>
    </row>
    <row r="256" ht="22.5" customHeight="1" s="150">
      <c r="A256" s="34" t="n">
        <v>254</v>
      </c>
      <c r="B256" s="115">
        <f>C256+D256+E256+F256+G256+H256</f>
        <v/>
      </c>
      <c r="C256" s="50" t="n">
        <v>43.8489326724414</v>
      </c>
      <c r="D256" s="50" t="n">
        <v>0</v>
      </c>
      <c r="E256" s="50" t="n">
        <v>0</v>
      </c>
      <c r="F256" s="50" t="n">
        <v>5.1586979614637</v>
      </c>
      <c r="G256" s="50" t="n">
        <v>0</v>
      </c>
      <c r="H256" s="50" t="n">
        <v>0</v>
      </c>
      <c r="I256" s="111">
        <f>(100*B256)/N256</f>
        <v/>
      </c>
      <c r="J256" s="112">
        <f>((C256+F256)*100)/B256</f>
        <v/>
      </c>
      <c r="K256" s="112">
        <f>((D256+G256)*100)/B256</f>
        <v/>
      </c>
      <c r="L256" s="112">
        <f>((E256+H256)*100)/B256</f>
        <v/>
      </c>
      <c r="M256" s="113">
        <f>N256-B255</f>
        <v/>
      </c>
      <c r="N256" s="115">
        <f>O256+P256+Q256+R256+S256+T256</f>
        <v/>
      </c>
      <c r="O256" s="50" t="n">
        <v>152.181589863179</v>
      </c>
      <c r="P256" s="50" t="n">
        <v>85.11851636415101</v>
      </c>
      <c r="Q256" s="50" t="n">
        <v>20.6347918458548</v>
      </c>
      <c r="R256" s="50" t="n">
        <v>46.4282816531733</v>
      </c>
      <c r="S256" s="50" t="n">
        <v>25.7934898073184</v>
      </c>
      <c r="T256" s="50" t="n">
        <v>0</v>
      </c>
      <c r="U256" s="50" t="n">
        <v>39</v>
      </c>
      <c r="V256" s="112">
        <f>((O256+R256)*100)/N256</f>
        <v/>
      </c>
      <c r="W256" s="112">
        <f>((P256+S256)*100)/N256</f>
        <v/>
      </c>
      <c r="X256" s="112">
        <f>((Q256+T256)*100)/N256</f>
        <v/>
      </c>
    </row>
    <row r="257" ht="22.5" customHeight="1" s="150">
      <c r="A257" s="34" t="n">
        <v>255</v>
      </c>
      <c r="B257" s="115">
        <f>C257+D257+E257+F257+G257+H257</f>
        <v/>
      </c>
      <c r="C257" s="50" t="n">
        <v>54.1663285953688</v>
      </c>
      <c r="D257" s="50" t="n">
        <v>2.57934898073185</v>
      </c>
      <c r="E257" s="50" t="n">
        <v>5.1586979614637</v>
      </c>
      <c r="F257" s="50" t="n">
        <v>46.4282816531733</v>
      </c>
      <c r="G257" s="50" t="n">
        <v>0</v>
      </c>
      <c r="H257" s="50" t="n">
        <v>2.57934898073185</v>
      </c>
      <c r="I257" s="111">
        <f>(100*B257)/N257</f>
        <v/>
      </c>
      <c r="J257" s="112">
        <f>((C257+F257)*100)/B257</f>
        <v/>
      </c>
      <c r="K257" s="112">
        <f>((D257+G257)*100)/B257</f>
        <v/>
      </c>
      <c r="L257" s="112">
        <f>((E257+H257)*100)/B257</f>
        <v/>
      </c>
      <c r="M257" s="113">
        <f>N257-B256</f>
        <v/>
      </c>
      <c r="N257" s="115">
        <f>O257+P257+Q257+R257+S257+T257</f>
        <v/>
      </c>
      <c r="O257" s="50" t="n">
        <v>157.340287824642</v>
      </c>
      <c r="P257" s="50" t="n">
        <v>85.11851636415101</v>
      </c>
      <c r="Q257" s="50" t="n">
        <v>23.2141408265866</v>
      </c>
      <c r="R257" s="50" t="n">
        <v>136.705495978788</v>
      </c>
      <c r="S257" s="50" t="n">
        <v>54.1663285953688</v>
      </c>
      <c r="T257" s="50" t="n">
        <v>12.8967449036592</v>
      </c>
      <c r="U257" s="50" t="n">
        <v>46</v>
      </c>
      <c r="V257" s="112">
        <f>((O257+R257)*100)/N257</f>
        <v/>
      </c>
      <c r="W257" s="112">
        <f>((P257+S257)*100)/N257</f>
        <v/>
      </c>
      <c r="X257" s="112">
        <f>((Q257+T257)*100)/N257</f>
        <v/>
      </c>
    </row>
    <row r="258" ht="22.5" customHeight="1" s="150">
      <c r="A258" s="34" t="n">
        <v>256</v>
      </c>
      <c r="B258" s="115">
        <f>C258+D258+E258+F258+G258+H258</f>
        <v/>
      </c>
      <c r="C258" s="50" t="n">
        <v>25.7934898073184</v>
      </c>
      <c r="D258" s="50" t="n">
        <v>0</v>
      </c>
      <c r="E258" s="50" t="n">
        <v>0</v>
      </c>
      <c r="F258" s="50" t="n">
        <v>2.57934898073185</v>
      </c>
      <c r="G258" s="50" t="n">
        <v>0</v>
      </c>
      <c r="H258" s="50" t="n">
        <v>0</v>
      </c>
      <c r="I258" s="111">
        <f>(100*B258)/N258</f>
        <v/>
      </c>
      <c r="J258" s="112">
        <f>((C258+F258)*100)/B258</f>
        <v/>
      </c>
      <c r="K258" s="112">
        <f>((D258+G258)*100)/B258</f>
        <v/>
      </c>
      <c r="L258" s="112">
        <f>((E258+H258)*100)/B258</f>
        <v/>
      </c>
      <c r="M258" s="113">
        <f>N258-B257</f>
        <v/>
      </c>
      <c r="N258" s="115">
        <f>O258+P258+Q258+R258+S258+T258</f>
        <v/>
      </c>
      <c r="O258" s="50" t="n">
        <v>152.181589863179</v>
      </c>
      <c r="P258" s="50" t="n">
        <v>90.27721432561469</v>
      </c>
      <c r="Q258" s="50" t="n">
        <v>25.7934898073184</v>
      </c>
      <c r="R258" s="50" t="n">
        <v>51.5869796146369</v>
      </c>
      <c r="S258" s="50" t="n">
        <v>30.9521877687822</v>
      </c>
      <c r="T258" s="50" t="n">
        <v>2.57934898073185</v>
      </c>
      <c r="U258" s="50" t="n">
        <v>31</v>
      </c>
      <c r="V258" s="112">
        <f>((O258+R258)*100)/N258</f>
        <v/>
      </c>
      <c r="W258" s="112">
        <f>((P258+S258)*100)/N258</f>
        <v/>
      </c>
      <c r="X258" s="112">
        <f>((Q258+T258)*100)/N258</f>
        <v/>
      </c>
    </row>
    <row r="259" ht="22.5" customHeight="1" s="150">
      <c r="A259" s="34" t="n">
        <v>257</v>
      </c>
      <c r="B259" s="115">
        <f>C259+D259+E259+F259+G259+H259</f>
        <v/>
      </c>
      <c r="C259" s="50" t="n">
        <v>30.9521877687822</v>
      </c>
      <c r="D259" s="50" t="n">
        <v>0</v>
      </c>
      <c r="E259" s="50" t="n">
        <v>0</v>
      </c>
      <c r="F259" s="50" t="n">
        <v>10.3173959229274</v>
      </c>
      <c r="G259" s="50" t="n">
        <v>2.57934898073185</v>
      </c>
      <c r="H259" s="50" t="n">
        <v>5.1586979614637</v>
      </c>
      <c r="I259" s="111">
        <f>(100*B259)/N259</f>
        <v/>
      </c>
      <c r="J259" s="112">
        <f>((C259+F259)*100)/B259</f>
        <v/>
      </c>
      <c r="K259" s="112">
        <f>((D259+G259)*100)/B259</f>
        <v/>
      </c>
      <c r="L259" s="112">
        <f>((E259+H259)*100)/B259</f>
        <v/>
      </c>
      <c r="M259" s="113">
        <f>N259-B258</f>
        <v/>
      </c>
      <c r="N259" s="115">
        <f>O259+P259+Q259+R259+S259+T259</f>
        <v/>
      </c>
      <c r="O259" s="50" t="n">
        <v>185.713126612693</v>
      </c>
      <c r="P259" s="50" t="n">
        <v>105.753308210005</v>
      </c>
      <c r="Q259" s="50" t="n">
        <v>36.1108857302459</v>
      </c>
      <c r="R259" s="50" t="n">
        <v>211.506616420011</v>
      </c>
      <c r="S259" s="50" t="n">
        <v>98.0152612678103</v>
      </c>
      <c r="T259" s="50" t="n">
        <v>12.8967449036592</v>
      </c>
      <c r="U259" s="50" t="n">
        <v>57</v>
      </c>
      <c r="V259" s="112">
        <f>((O259+R259)*100)/N259</f>
        <v/>
      </c>
      <c r="W259" s="112">
        <f>((P259+S259)*100)/N259</f>
        <v/>
      </c>
      <c r="X259" s="112">
        <f>((Q259+T259)*100)/N259</f>
        <v/>
      </c>
    </row>
    <row r="260" ht="22.5" customHeight="1" s="150">
      <c r="A260" s="34" t="n">
        <v>258</v>
      </c>
      <c r="B260" s="115">
        <f>C260+D260+E260+F260+G260+H260</f>
        <v/>
      </c>
      <c r="C260" s="50" t="n">
        <v>74.8011204412236</v>
      </c>
      <c r="D260" s="50" t="n">
        <v>0</v>
      </c>
      <c r="E260" s="50" t="n">
        <v>0</v>
      </c>
      <c r="F260" s="50" t="n">
        <v>25.7934898073184</v>
      </c>
      <c r="G260" s="50" t="n">
        <v>0</v>
      </c>
      <c r="H260" s="50" t="n">
        <v>0</v>
      </c>
      <c r="I260" s="111">
        <f>(100*B260)/N260</f>
        <v/>
      </c>
      <c r="J260" s="112">
        <f>((C260+F260)*100)/B260</f>
        <v/>
      </c>
      <c r="K260" s="112">
        <f>((D260+G260)*100)/B260</f>
        <v/>
      </c>
      <c r="L260" s="112">
        <f>((E260+H260)*100)/B260</f>
        <v/>
      </c>
      <c r="M260" s="113">
        <f>N260-B259</f>
        <v/>
      </c>
      <c r="N260" s="115">
        <f>O260+P260+Q260+R260+S260+T260</f>
        <v/>
      </c>
      <c r="O260" s="50" t="n">
        <v>147.022891901715</v>
      </c>
      <c r="P260" s="50" t="n">
        <v>103.173959229273</v>
      </c>
      <c r="Q260" s="50" t="n">
        <v>36.1108857302459</v>
      </c>
      <c r="R260" s="50" t="n">
        <v>74.8011204412236</v>
      </c>
      <c r="S260" s="50" t="n">
        <v>51.5869796146369</v>
      </c>
      <c r="T260" s="50" t="n">
        <v>10.3173959229274</v>
      </c>
      <c r="U260" s="50" t="n">
        <v>36</v>
      </c>
      <c r="V260" s="112">
        <f>((O260+R260)*100)/N260</f>
        <v/>
      </c>
      <c r="W260" s="112">
        <f>((P260+S260)*100)/N260</f>
        <v/>
      </c>
      <c r="X260" s="112">
        <f>((Q260+T260)*100)/N260</f>
        <v/>
      </c>
    </row>
    <row r="261" ht="22.5" customHeight="1" s="150">
      <c r="A261" s="34" t="n">
        <v>259</v>
      </c>
      <c r="B261" s="115">
        <f>C261+D261+E261+F261+G261+H261</f>
        <v/>
      </c>
      <c r="C261" s="50" t="n">
        <v>18.0554428651229</v>
      </c>
      <c r="D261" s="50" t="n">
        <v>0</v>
      </c>
      <c r="E261" s="50" t="n">
        <v>0</v>
      </c>
      <c r="F261" s="50" t="n">
        <v>0</v>
      </c>
      <c r="G261" s="50" t="n">
        <v>0</v>
      </c>
      <c r="H261" s="50" t="n">
        <v>0</v>
      </c>
      <c r="I261" s="111">
        <f>(100*B261)/N261</f>
        <v/>
      </c>
      <c r="J261" s="112">
        <f>((C261+F261)*100)/B261</f>
        <v/>
      </c>
      <c r="K261" s="112">
        <f>((D261+G261)*100)/B261</f>
        <v/>
      </c>
      <c r="L261" s="112">
        <f>((E261+H261)*100)/B261</f>
        <v/>
      </c>
      <c r="M261" s="113">
        <f>N261-B260</f>
        <v/>
      </c>
      <c r="N261" s="115">
        <f>O261+P261+Q261+R261+S261+T261</f>
        <v/>
      </c>
      <c r="O261" s="50" t="n">
        <v>144.443542920983</v>
      </c>
      <c r="P261" s="50" t="n">
        <v>108.332657190737</v>
      </c>
      <c r="Q261" s="50" t="n">
        <v>41.2695836917096</v>
      </c>
      <c r="R261" s="50" t="n">
        <v>15.4760938843911</v>
      </c>
      <c r="S261" s="50" t="n">
        <v>10.3173959229274</v>
      </c>
      <c r="T261" s="50" t="n">
        <v>0</v>
      </c>
      <c r="U261" s="50" t="n">
        <v>23</v>
      </c>
      <c r="V261" s="112">
        <f>((O261+R261)*100)/N261</f>
        <v/>
      </c>
      <c r="W261" s="112">
        <f>((P261+S261)*100)/N261</f>
        <v/>
      </c>
      <c r="X261" s="112">
        <f>((Q261+T261)*100)/N261</f>
        <v/>
      </c>
    </row>
    <row r="262" ht="22.5" customHeight="1" s="150">
      <c r="A262" s="34" t="n">
        <v>260</v>
      </c>
      <c r="B262" s="115">
        <f>C262+D262+E262+F262+G262+H262</f>
        <v/>
      </c>
      <c r="C262" s="50" t="n">
        <v>2.57934898073185</v>
      </c>
      <c r="D262" s="50" t="n">
        <v>2.57934898073185</v>
      </c>
      <c r="E262" s="50" t="n">
        <v>10.3173959229274</v>
      </c>
      <c r="F262" s="50" t="n">
        <v>0</v>
      </c>
      <c r="G262" s="50" t="n">
        <v>0</v>
      </c>
      <c r="H262" s="50" t="n">
        <v>0</v>
      </c>
      <c r="I262" s="111">
        <f>(100*B262)/N262</f>
        <v/>
      </c>
      <c r="J262" s="112">
        <f>((C262+F262)*100)/B262</f>
        <v/>
      </c>
      <c r="K262" s="112">
        <f>((D262+G262)*100)/B262</f>
        <v/>
      </c>
      <c r="L262" s="112">
        <f>((E262+H262)*100)/B262</f>
        <v/>
      </c>
      <c r="M262" s="113">
        <f>N262-B261</f>
        <v/>
      </c>
      <c r="N262" s="115">
        <f>O262+P262+Q262+R262+S262+T262</f>
        <v/>
      </c>
      <c r="O262" s="50" t="n">
        <v>144.443542920983</v>
      </c>
      <c r="P262" s="50" t="n">
        <v>105.753308210005</v>
      </c>
      <c r="Q262" s="50" t="n">
        <v>30.9521877687822</v>
      </c>
      <c r="R262" s="50" t="n">
        <v>64.4837245182962</v>
      </c>
      <c r="S262" s="50" t="n">
        <v>43.8489326724414</v>
      </c>
      <c r="T262" s="50" t="n">
        <v>2.57934898073185</v>
      </c>
      <c r="U262" s="50" t="n">
        <v>36</v>
      </c>
      <c r="V262" s="112">
        <f>((O262+R262)*100)/N262</f>
        <v/>
      </c>
      <c r="W262" s="112">
        <f>((P262+S262)*100)/N262</f>
        <v/>
      </c>
      <c r="X262" s="112">
        <f>((Q262+T262)*100)/N262</f>
        <v/>
      </c>
    </row>
    <row r="263" ht="22.5" customHeight="1" s="150">
      <c r="A263" s="34" t="n">
        <v>261</v>
      </c>
      <c r="B263" s="115">
        <f>C263+D263+E263+F263+G263+H263</f>
        <v/>
      </c>
      <c r="C263" s="50" t="n">
        <v>28.3728387880503</v>
      </c>
      <c r="D263" s="50" t="n">
        <v>2.57934898073185</v>
      </c>
      <c r="E263" s="50" t="n">
        <v>7.73804694219555</v>
      </c>
      <c r="F263" s="50" t="n">
        <v>7.73804694219555</v>
      </c>
      <c r="G263" s="50" t="n">
        <v>0</v>
      </c>
      <c r="H263" s="50" t="n">
        <v>0</v>
      </c>
      <c r="I263" s="111">
        <f>(100*B263)/N263</f>
        <v/>
      </c>
      <c r="J263" s="112">
        <f>((C263+F263)*100)/B263</f>
        <v/>
      </c>
      <c r="K263" s="112">
        <f>((D263+G263)*100)/B263</f>
        <v/>
      </c>
      <c r="L263" s="112">
        <f>((E263+H263)*100)/B263</f>
        <v/>
      </c>
      <c r="M263" s="113">
        <f>N263-B262</f>
        <v/>
      </c>
      <c r="N263" s="115">
        <f>O263+P263+Q263+R263+S263+T263</f>
        <v/>
      </c>
      <c r="O263" s="50" t="n">
        <v>141.864193940251</v>
      </c>
      <c r="P263" s="50" t="n">
        <v>113.491355152201</v>
      </c>
      <c r="Q263" s="50" t="n">
        <v>28.3728387880503</v>
      </c>
      <c r="R263" s="50" t="n">
        <v>33.531536749514</v>
      </c>
      <c r="S263" s="50" t="n">
        <v>15.4760938843911</v>
      </c>
      <c r="T263" s="50" t="n">
        <v>10.3173959229274</v>
      </c>
      <c r="U263" s="50" t="n">
        <v>31</v>
      </c>
      <c r="V263" s="112">
        <f>((O263+R263)*100)/N263</f>
        <v/>
      </c>
      <c r="W263" s="112">
        <f>((P263+S263)*100)/N263</f>
        <v/>
      </c>
      <c r="X263" s="112">
        <f>((Q263+T263)*100)/N263</f>
        <v/>
      </c>
    </row>
    <row r="264" ht="22.5" customHeight="1" s="150">
      <c r="A264" s="34" t="n">
        <v>262</v>
      </c>
      <c r="B264" s="115">
        <f>C264+D264+E264+F264+G264+H264</f>
        <v/>
      </c>
      <c r="C264" s="50" t="n">
        <v>28.3728387880503</v>
      </c>
      <c r="D264" s="50" t="n">
        <v>2.57934898073185</v>
      </c>
      <c r="E264" s="50" t="n">
        <v>0</v>
      </c>
      <c r="F264" s="50" t="n">
        <v>15.4760938843911</v>
      </c>
      <c r="G264" s="50" t="n">
        <v>0</v>
      </c>
      <c r="H264" s="50" t="n">
        <v>0</v>
      </c>
      <c r="I264" s="111">
        <f>(100*B264)/N264</f>
        <v/>
      </c>
      <c r="J264" s="112">
        <f>((C264+F264)*100)/B264</f>
        <v/>
      </c>
      <c r="K264" s="112">
        <f>((D264+G264)*100)/B264</f>
        <v/>
      </c>
      <c r="L264" s="112">
        <f>((E264+H264)*100)/B264</f>
        <v/>
      </c>
      <c r="M264" s="113">
        <f>N264-B263</f>
        <v/>
      </c>
      <c r="N264" s="115">
        <f>O264+P264+Q264+R264+S264+T264</f>
        <v/>
      </c>
      <c r="O264" s="50" t="n">
        <v>123.808751075128</v>
      </c>
      <c r="P264" s="50" t="n">
        <v>110.912006171469</v>
      </c>
      <c r="Q264" s="50" t="n">
        <v>28.3728387880503</v>
      </c>
      <c r="R264" s="50" t="n">
        <v>67.06307349902811</v>
      </c>
      <c r="S264" s="50" t="n">
        <v>113.491355152201</v>
      </c>
      <c r="T264" s="50" t="n">
        <v>12.8967449036592</v>
      </c>
      <c r="U264" s="50" t="n">
        <v>28</v>
      </c>
      <c r="V264" s="112">
        <f>((O264+R264)*100)/N264</f>
        <v/>
      </c>
      <c r="W264" s="112">
        <f>((P264+S264)*100)/N264</f>
        <v/>
      </c>
      <c r="X264" s="112">
        <f>((Q264+T264)*100)/N264</f>
        <v/>
      </c>
    </row>
    <row r="265" ht="22.5" customHeight="1" s="150">
      <c r="A265" s="34" t="n">
        <v>263</v>
      </c>
      <c r="B265" s="115">
        <f>C265+D265+E265+F265+G265+H265</f>
        <v/>
      </c>
      <c r="C265" s="50" t="n">
        <v>30.9521877687822</v>
      </c>
      <c r="D265" s="50" t="n">
        <v>5.1586979614637</v>
      </c>
      <c r="E265" s="50" t="n">
        <v>5.1586979614637</v>
      </c>
      <c r="F265" s="50" t="n">
        <v>10.3173959229274</v>
      </c>
      <c r="G265" s="50" t="n">
        <v>0</v>
      </c>
      <c r="H265" s="50" t="n">
        <v>0</v>
      </c>
      <c r="I265" s="111">
        <f>(100*B265)/N265</f>
        <v/>
      </c>
      <c r="J265" s="112">
        <f>((C265+F265)*100)/B265</f>
        <v/>
      </c>
      <c r="K265" s="112">
        <f>((D265+G265)*100)/B265</f>
        <v/>
      </c>
      <c r="L265" s="112">
        <f>((E265+H265)*100)/B265</f>
        <v/>
      </c>
      <c r="M265" s="113">
        <f>N265-B264</f>
        <v/>
      </c>
      <c r="N265" s="115">
        <f>O265+P265+Q265+R265+S265+T265</f>
        <v/>
      </c>
      <c r="O265" s="50" t="n">
        <v>90.27721432561469</v>
      </c>
      <c r="P265" s="50" t="n">
        <v>105.753308210005</v>
      </c>
      <c r="Q265" s="50" t="n">
        <v>25.7934898073184</v>
      </c>
      <c r="R265" s="50" t="n">
        <v>23.2141408265866</v>
      </c>
      <c r="S265" s="50" t="n">
        <v>36.1108857302459</v>
      </c>
      <c r="T265" s="50" t="n">
        <v>0</v>
      </c>
      <c r="U265" s="50" t="n">
        <v>23</v>
      </c>
      <c r="V265" s="112">
        <f>((O265+R265)*100)/N265</f>
        <v/>
      </c>
      <c r="W265" s="112">
        <f>((P265+S265)*100)/N265</f>
        <v/>
      </c>
      <c r="X265" s="112">
        <f>((Q265+T265)*100)/N265</f>
        <v/>
      </c>
    </row>
    <row r="266" ht="22.5" customHeight="1" s="150">
      <c r="A266" s="34" t="n">
        <v>264</v>
      </c>
      <c r="B266" s="115">
        <f>C266+D266+E266+F266+G266+H266</f>
        <v/>
      </c>
      <c r="C266" s="50" t="n">
        <v>59.3250265568325</v>
      </c>
      <c r="D266" s="50" t="n">
        <v>2.57934898073185</v>
      </c>
      <c r="E266" s="50" t="n">
        <v>5.1586979614637</v>
      </c>
      <c r="F266" s="50" t="n">
        <v>18.0554428651229</v>
      </c>
      <c r="G266" s="50" t="n">
        <v>0</v>
      </c>
      <c r="H266" s="50" t="n">
        <v>0</v>
      </c>
      <c r="I266" s="111">
        <f>(100*B266)/N266</f>
        <v/>
      </c>
      <c r="J266" s="112">
        <f>((C266+F266)*100)/B266</f>
        <v/>
      </c>
      <c r="K266" s="112">
        <f>((D266+G266)*100)/B266</f>
        <v/>
      </c>
      <c r="L266" s="112">
        <f>((E266+H266)*100)/B266</f>
        <v/>
      </c>
      <c r="M266" s="113">
        <f>N266-B265</f>
        <v/>
      </c>
      <c r="N266" s="115">
        <f>O266+P266+Q266+R266+S266+T266</f>
        <v/>
      </c>
      <c r="O266" s="50" t="n">
        <v>118.650053113665</v>
      </c>
      <c r="P266" s="50" t="n">
        <v>100.594610248542</v>
      </c>
      <c r="Q266" s="50" t="n">
        <v>20.6347918458548</v>
      </c>
      <c r="R266" s="50" t="n">
        <v>59.3250265568325</v>
      </c>
      <c r="S266" s="50" t="n">
        <v>56.7456775761007</v>
      </c>
      <c r="T266" s="50" t="n">
        <v>5.1586979614637</v>
      </c>
      <c r="U266" s="50" t="n">
        <v>36</v>
      </c>
      <c r="V266" s="112">
        <f>((O266+R266)*100)/N266</f>
        <v/>
      </c>
      <c r="W266" s="112">
        <f>((P266+S266)*100)/N266</f>
        <v/>
      </c>
      <c r="X266" s="112">
        <f>((Q266+T266)*100)/N266</f>
        <v/>
      </c>
    </row>
    <row r="267" ht="22.5" customHeight="1" s="150">
      <c r="A267" s="34" t="n">
        <v>265</v>
      </c>
      <c r="B267" s="115">
        <f>C267+D267+E267+F267+G267+H267</f>
        <v/>
      </c>
      <c r="C267" s="50" t="n">
        <v>23.2141408265866</v>
      </c>
      <c r="D267" s="50" t="n">
        <v>7.73804694219555</v>
      </c>
      <c r="E267" s="50" t="n">
        <v>10.3173959229274</v>
      </c>
      <c r="F267" s="50" t="n">
        <v>12.8967449036592</v>
      </c>
      <c r="G267" s="50" t="n">
        <v>10.3173959229274</v>
      </c>
      <c r="H267" s="50" t="n">
        <v>2.57934898073185</v>
      </c>
      <c r="I267" s="111">
        <f>(100*B267)/N267</f>
        <v/>
      </c>
      <c r="J267" s="112">
        <f>((C267+F267)*100)/B267</f>
        <v/>
      </c>
      <c r="K267" s="112">
        <f>((D267+G267)*100)/B267</f>
        <v/>
      </c>
      <c r="L267" s="112">
        <f>((E267+H267)*100)/B267</f>
        <v/>
      </c>
      <c r="M267" s="113">
        <f>N267-B266</f>
        <v/>
      </c>
      <c r="N267" s="115">
        <f>O267+P267+Q267+R267+S267+T267</f>
        <v/>
      </c>
      <c r="O267" s="50" t="n">
        <v>128.967449036592</v>
      </c>
      <c r="P267" s="50" t="n">
        <v>95.43591228707839</v>
      </c>
      <c r="Q267" s="50" t="n">
        <v>18.0554428651229</v>
      </c>
      <c r="R267" s="50" t="n">
        <v>234.720757246598</v>
      </c>
      <c r="S267" s="50" t="n">
        <v>149.602240882447</v>
      </c>
      <c r="T267" s="50" t="n">
        <v>5.1586979614637</v>
      </c>
      <c r="U267" s="50" t="n">
        <v>44</v>
      </c>
      <c r="V267" s="112">
        <f>((O267+R267)*100)/N267</f>
        <v/>
      </c>
      <c r="W267" s="112">
        <f>((P267+S267)*100)/N267</f>
        <v/>
      </c>
      <c r="X267" s="112">
        <f>((Q267+T267)*100)/N267</f>
        <v/>
      </c>
    </row>
    <row r="268" ht="22.5" customHeight="1" s="150">
      <c r="A268" s="34" t="n">
        <v>266</v>
      </c>
      <c r="B268" s="115">
        <f>C268+D268+E268+F268+G268+H268</f>
        <v/>
      </c>
      <c r="C268" s="50" t="n">
        <v>12.8967449036592</v>
      </c>
      <c r="D268" s="50" t="n">
        <v>0</v>
      </c>
      <c r="E268" s="50" t="n">
        <v>0</v>
      </c>
      <c r="F268" s="50" t="n">
        <v>0</v>
      </c>
      <c r="G268" s="50" t="n">
        <v>0</v>
      </c>
      <c r="H268" s="50" t="n">
        <v>0</v>
      </c>
      <c r="I268" s="111">
        <f>(100*B268)/N268</f>
        <v/>
      </c>
      <c r="J268" s="112">
        <f>((C268+F268)*100)/B268</f>
        <v/>
      </c>
      <c r="K268" s="112">
        <f>((D268+G268)*100)/B268</f>
        <v/>
      </c>
      <c r="L268" s="112">
        <f>((E268+H268)*100)/B268</f>
        <v/>
      </c>
      <c r="M268" s="113">
        <f>N268-B267</f>
        <v/>
      </c>
      <c r="N268" s="115">
        <f>O268+P268+Q268+R268+S268+T268</f>
        <v/>
      </c>
      <c r="O268" s="50" t="n">
        <v>126.38810005586</v>
      </c>
      <c r="P268" s="50" t="n">
        <v>98.0152612678103</v>
      </c>
      <c r="Q268" s="50" t="n">
        <v>20.6347918458548</v>
      </c>
      <c r="R268" s="50" t="n">
        <v>30.9521877687822</v>
      </c>
      <c r="S268" s="50" t="n">
        <v>10.3173959229274</v>
      </c>
      <c r="T268" s="50" t="n">
        <v>2.57934898073185</v>
      </c>
      <c r="U268" s="50" t="n">
        <v>26</v>
      </c>
      <c r="V268" s="112">
        <f>((O268+R268)*100)/N268</f>
        <v/>
      </c>
      <c r="W268" s="112">
        <f>((P268+S268)*100)/N268</f>
        <v/>
      </c>
      <c r="X268" s="112">
        <f>((Q268+T268)*100)/N268</f>
        <v/>
      </c>
    </row>
    <row r="269" ht="22.5" customHeight="1" s="150">
      <c r="A269" s="34" t="n">
        <v>267</v>
      </c>
      <c r="B269" s="115">
        <f>C269+D269+E269+F269+G269+H269</f>
        <v/>
      </c>
      <c r="C269" s="50" t="n">
        <v>18.0554428651229</v>
      </c>
      <c r="D269" s="50" t="n">
        <v>15.4760938843911</v>
      </c>
      <c r="E269" s="50" t="n">
        <v>5.1586979614637</v>
      </c>
      <c r="F269" s="50" t="n">
        <v>15.4760938843911</v>
      </c>
      <c r="G269" s="50" t="n">
        <v>2.57934898073185</v>
      </c>
      <c r="H269" s="50" t="n">
        <v>2.57934898073185</v>
      </c>
      <c r="I269" s="111">
        <f>(100*B269)/N269</f>
        <v/>
      </c>
      <c r="J269" s="112">
        <f>((C269+F269)*100)/B269</f>
        <v/>
      </c>
      <c r="K269" s="112">
        <f>((D269+G269)*100)/B269</f>
        <v/>
      </c>
      <c r="L269" s="112">
        <f>((E269+H269)*100)/B269</f>
        <v/>
      </c>
      <c r="M269" s="113">
        <f>N269-B268</f>
        <v/>
      </c>
      <c r="N269" s="115">
        <f>O269+P269+Q269+R269+S269+T269</f>
        <v/>
      </c>
      <c r="O269" s="50" t="n">
        <v>116.070704132933</v>
      </c>
      <c r="P269" s="50" t="n">
        <v>82.5391673834192</v>
      </c>
      <c r="Q269" s="50" t="n">
        <v>20.6347918458548</v>
      </c>
      <c r="R269" s="50" t="n">
        <v>90.27721432561469</v>
      </c>
      <c r="S269" s="50" t="n">
        <v>108.332657190737</v>
      </c>
      <c r="T269" s="50" t="n">
        <v>5.1586979614637</v>
      </c>
      <c r="U269" s="50" t="n">
        <v>44</v>
      </c>
      <c r="V269" s="112">
        <f>((O269+R269)*100)/N269</f>
        <v/>
      </c>
      <c r="W269" s="112">
        <f>((P269+S269)*100)/N269</f>
        <v/>
      </c>
      <c r="X269" s="112">
        <f>((Q269+T269)*100)/N269</f>
        <v/>
      </c>
    </row>
    <row r="270" ht="22.5" customHeight="1" s="150">
      <c r="A270" s="34" t="n">
        <v>268</v>
      </c>
      <c r="B270" s="115">
        <f>C270+D270+E270+F270+G270+H270</f>
        <v/>
      </c>
      <c r="C270" s="50" t="n">
        <v>51.5869796146369</v>
      </c>
      <c r="D270" s="50" t="n">
        <v>2.57934898073185</v>
      </c>
      <c r="E270" s="50" t="n">
        <v>0</v>
      </c>
      <c r="F270" s="50" t="n">
        <v>7.73804694219555</v>
      </c>
      <c r="G270" s="50" t="n">
        <v>0</v>
      </c>
      <c r="H270" s="50" t="n">
        <v>0</v>
      </c>
      <c r="I270" s="111">
        <f>(100*B270)/N270</f>
        <v/>
      </c>
      <c r="J270" s="112">
        <f>((C270+F270)*100)/B270</f>
        <v/>
      </c>
      <c r="K270" s="112">
        <f>((D270+G270)*100)/B270</f>
        <v/>
      </c>
      <c r="L270" s="112">
        <f>((E270+H270)*100)/B270</f>
        <v/>
      </c>
      <c r="M270" s="113">
        <f>N270-B269</f>
        <v/>
      </c>
      <c r="N270" s="115">
        <f>O270+P270+Q270+R270+S270+T270</f>
        <v/>
      </c>
      <c r="O270" s="50" t="n">
        <v>110.912006171469</v>
      </c>
      <c r="P270" s="50" t="n">
        <v>79.9598184026873</v>
      </c>
      <c r="Q270" s="50" t="n">
        <v>20.6347918458548</v>
      </c>
      <c r="R270" s="50" t="n">
        <v>51.5869796146369</v>
      </c>
      <c r="S270" s="50" t="n">
        <v>25.7934898073184</v>
      </c>
      <c r="T270" s="50" t="n">
        <v>0</v>
      </c>
      <c r="U270" s="50" t="n">
        <v>31</v>
      </c>
      <c r="V270" s="112">
        <f>((O270+R270)*100)/N270</f>
        <v/>
      </c>
      <c r="W270" s="112">
        <f>((P270+S270)*100)/N270</f>
        <v/>
      </c>
      <c r="X270" s="112">
        <f>((Q270+T270)*100)/N270</f>
        <v/>
      </c>
    </row>
    <row r="271" ht="22.5" customHeight="1" s="150">
      <c r="A271" s="34" t="n">
        <v>269</v>
      </c>
      <c r="B271" s="115">
        <f>C271+D271+E271+F271+G271+H271</f>
        <v/>
      </c>
      <c r="C271" s="50" t="n">
        <v>59.3250265568325</v>
      </c>
      <c r="D271" s="50" t="n">
        <v>5.1586979614637</v>
      </c>
      <c r="E271" s="50" t="n">
        <v>7.73804694219555</v>
      </c>
      <c r="F271" s="50" t="n">
        <v>36.1108857302459</v>
      </c>
      <c r="G271" s="50" t="n">
        <v>0</v>
      </c>
      <c r="H271" s="50" t="n">
        <v>0</v>
      </c>
      <c r="I271" s="111">
        <f>(100*B271)/N271</f>
        <v/>
      </c>
      <c r="J271" s="112">
        <f>((C271+F271)*100)/B271</f>
        <v/>
      </c>
      <c r="K271" s="112">
        <f>((D271+G271)*100)/B271</f>
        <v/>
      </c>
      <c r="L271" s="112">
        <f>((E271+H271)*100)/B271</f>
        <v/>
      </c>
      <c r="M271" s="113">
        <f>N271-B270</f>
        <v/>
      </c>
      <c r="N271" s="115">
        <f>O271+P271+Q271+R271+S271+T271</f>
        <v/>
      </c>
      <c r="O271" s="50" t="n">
        <v>128.967449036592</v>
      </c>
      <c r="P271" s="50" t="n">
        <v>72.22177146049179</v>
      </c>
      <c r="Q271" s="50" t="n">
        <v>18.0554428651229</v>
      </c>
      <c r="R271" s="50" t="n">
        <v>121.229402094396</v>
      </c>
      <c r="S271" s="50" t="n">
        <v>100.594610248542</v>
      </c>
      <c r="T271" s="50" t="n">
        <v>2.57934898073185</v>
      </c>
      <c r="U271" s="50" t="n">
        <v>44</v>
      </c>
      <c r="V271" s="112">
        <f>((O271+R271)*100)/N271</f>
        <v/>
      </c>
      <c r="W271" s="112">
        <f>((P271+S271)*100)/N271</f>
        <v/>
      </c>
      <c r="X271" s="112">
        <f>((Q271+T271)*100)/N271</f>
        <v/>
      </c>
    </row>
    <row r="272" ht="22.5" customHeight="1" s="150">
      <c r="A272" s="34" t="n">
        <v>270</v>
      </c>
      <c r="B272" s="115">
        <f>C272+D272+E272+F272+G272+H272</f>
        <v/>
      </c>
      <c r="C272" s="50" t="n">
        <v>36.1108857302459</v>
      </c>
      <c r="D272" s="50" t="n">
        <v>0</v>
      </c>
      <c r="E272" s="50" t="n">
        <v>2.57934898073185</v>
      </c>
      <c r="F272" s="50" t="n">
        <v>0</v>
      </c>
      <c r="G272" s="50" t="n">
        <v>0</v>
      </c>
      <c r="H272" s="50" t="n">
        <v>0</v>
      </c>
      <c r="I272" s="111">
        <f>(100*B272)/N272</f>
        <v/>
      </c>
      <c r="J272" s="112">
        <f>((C272+F272)*100)/B272</f>
        <v/>
      </c>
      <c r="K272" s="112">
        <f>((D272+G272)*100)/B272</f>
        <v/>
      </c>
      <c r="L272" s="112">
        <f>((E272+H272)*100)/B272</f>
        <v/>
      </c>
      <c r="M272" s="113">
        <f>N272-B271</f>
        <v/>
      </c>
      <c r="N272" s="115">
        <f>O272+P272+Q272+R272+S272+T272</f>
        <v/>
      </c>
      <c r="O272" s="50" t="n">
        <v>103.173959229273</v>
      </c>
      <c r="P272" s="50" t="n">
        <v>72.22177146049179</v>
      </c>
      <c r="Q272" s="50" t="n">
        <v>20.6347918458548</v>
      </c>
      <c r="R272" s="50" t="n">
        <v>5.1586979614637</v>
      </c>
      <c r="S272" s="50" t="n">
        <v>0</v>
      </c>
      <c r="T272" s="50" t="n">
        <v>0</v>
      </c>
      <c r="U272" s="50" t="n">
        <v>21</v>
      </c>
      <c r="V272" s="112">
        <f>((O272+R272)*100)/N272</f>
        <v/>
      </c>
      <c r="W272" s="112">
        <f>((P272+S272)*100)/N272</f>
        <v/>
      </c>
      <c r="X272" s="112">
        <f>((Q272+T272)*100)/N272</f>
        <v/>
      </c>
    </row>
    <row r="273" ht="22.5" customHeight="1" s="150">
      <c r="A273" s="34" t="n">
        <v>271</v>
      </c>
      <c r="B273" s="115">
        <f>C273+D273+E273+F273+G273+H273</f>
        <v/>
      </c>
      <c r="C273" s="50" t="n">
        <v>25.7934898073184</v>
      </c>
      <c r="D273" s="50" t="n">
        <v>2.57934898073185</v>
      </c>
      <c r="E273" s="50" t="n">
        <v>5.1586979614637</v>
      </c>
      <c r="F273" s="50" t="n">
        <v>23.2141408265866</v>
      </c>
      <c r="G273" s="50" t="n">
        <v>5.1586979614637</v>
      </c>
      <c r="H273" s="50" t="n">
        <v>0</v>
      </c>
      <c r="I273" s="111">
        <f>(100*B273)/N273</f>
        <v/>
      </c>
      <c r="J273" s="112">
        <f>((C273+F273)*100)/B273</f>
        <v/>
      </c>
      <c r="K273" s="112">
        <f>((D273+G273)*100)/B273</f>
        <v/>
      </c>
      <c r="L273" s="112">
        <f>((E273+H273)*100)/B273</f>
        <v/>
      </c>
      <c r="M273" s="113">
        <f>N273-B272</f>
        <v/>
      </c>
      <c r="N273" s="115">
        <f>O273+P273+Q273+R273+S273+T273</f>
        <v/>
      </c>
      <c r="O273" s="50" t="n">
        <v>98.0152612678103</v>
      </c>
      <c r="P273" s="50" t="n">
        <v>82.5391673834192</v>
      </c>
      <c r="Q273" s="50" t="n">
        <v>20.6347918458548</v>
      </c>
      <c r="R273" s="50" t="n">
        <v>33.531536749514</v>
      </c>
      <c r="S273" s="50" t="n">
        <v>23.2141408265866</v>
      </c>
      <c r="T273" s="50" t="n">
        <v>7.73804694219555</v>
      </c>
      <c r="U273" s="50" t="n">
        <v>31</v>
      </c>
      <c r="V273" s="112">
        <f>((O273+R273)*100)/N273</f>
        <v/>
      </c>
      <c r="W273" s="112">
        <f>((P273+S273)*100)/N273</f>
        <v/>
      </c>
      <c r="X273" s="112">
        <f>((Q273+T273)*100)/N273</f>
        <v/>
      </c>
    </row>
    <row r="274" ht="22.5" customHeight="1" s="150">
      <c r="A274" s="34" t="n">
        <v>272</v>
      </c>
      <c r="B274" s="115">
        <f>C274+D274+E274+F274+G274+H274</f>
        <v/>
      </c>
      <c r="C274" s="50" t="n">
        <v>43.8489326724414</v>
      </c>
      <c r="D274" s="50" t="n">
        <v>7.73804694219555</v>
      </c>
      <c r="E274" s="50" t="n">
        <v>0</v>
      </c>
      <c r="F274" s="50" t="n">
        <v>0</v>
      </c>
      <c r="G274" s="50" t="n">
        <v>0</v>
      </c>
      <c r="H274" s="50" t="n">
        <v>0</v>
      </c>
      <c r="I274" s="111">
        <f>(100*B274)/N274</f>
        <v/>
      </c>
      <c r="J274" s="112">
        <f>((C274+F274)*100)/B274</f>
        <v/>
      </c>
      <c r="K274" s="112">
        <f>((D274+G274)*100)/B274</f>
        <v/>
      </c>
      <c r="L274" s="112">
        <f>((E274+H274)*100)/B274</f>
        <v/>
      </c>
      <c r="M274" s="113">
        <f>N274-B273</f>
        <v/>
      </c>
      <c r="N274" s="115">
        <f>O274+P274+Q274+R274+S274+T274</f>
        <v/>
      </c>
      <c r="O274" s="50" t="n">
        <v>108.332657190737</v>
      </c>
      <c r="P274" s="50" t="n">
        <v>79.9598184026873</v>
      </c>
      <c r="Q274" s="50" t="n">
        <v>20.6347918458548</v>
      </c>
      <c r="R274" s="50" t="n">
        <v>30.9521877687822</v>
      </c>
      <c r="S274" s="50" t="n">
        <v>18.0554428651229</v>
      </c>
      <c r="T274" s="50" t="n">
        <v>2.57934898073185</v>
      </c>
      <c r="U274" s="50" t="n">
        <v>34</v>
      </c>
      <c r="V274" s="112">
        <f>((O274+R274)*100)/N274</f>
        <v/>
      </c>
      <c r="W274" s="112">
        <f>((P274+S274)*100)/N274</f>
        <v/>
      </c>
      <c r="X274" s="112">
        <f>((Q274+T274)*100)/N274</f>
        <v/>
      </c>
    </row>
    <row r="275" ht="22.5" customHeight="1" s="150">
      <c r="A275" s="34" t="n">
        <v>273</v>
      </c>
      <c r="B275" s="115">
        <f>C275+D275+E275+F275+G275+H275</f>
        <v/>
      </c>
      <c r="C275" s="50" t="n">
        <v>49.0076306339051</v>
      </c>
      <c r="D275" s="50" t="n">
        <v>2.57934898073185</v>
      </c>
      <c r="E275" s="50" t="n">
        <v>7.73804694219555</v>
      </c>
      <c r="F275" s="50" t="n">
        <v>28.3728387880503</v>
      </c>
      <c r="G275" s="50" t="n">
        <v>0</v>
      </c>
      <c r="H275" s="50" t="n">
        <v>0</v>
      </c>
      <c r="I275" s="111">
        <f>(100*B275)/N275</f>
        <v/>
      </c>
      <c r="J275" s="112">
        <f>((C275+F275)*100)/B275</f>
        <v/>
      </c>
      <c r="K275" s="112">
        <f>((D275+G275)*100)/B275</f>
        <v/>
      </c>
      <c r="L275" s="112">
        <f>((E275+H275)*100)/B275</f>
        <v/>
      </c>
      <c r="M275" s="113">
        <f>N275-B274</f>
        <v/>
      </c>
      <c r="N275" s="115">
        <f>O275+P275+Q275+R275+S275+T275</f>
        <v/>
      </c>
      <c r="O275" s="50" t="n">
        <v>85.11851636415101</v>
      </c>
      <c r="P275" s="50" t="n">
        <v>79.9598184026873</v>
      </c>
      <c r="Q275" s="50" t="n">
        <v>18.0554428651229</v>
      </c>
      <c r="R275" s="50" t="n">
        <v>134.126146998056</v>
      </c>
      <c r="S275" s="50" t="n">
        <v>61.9043755375644</v>
      </c>
      <c r="T275" s="50" t="n">
        <v>5.1586979614637</v>
      </c>
      <c r="U275" s="50" t="n">
        <v>44</v>
      </c>
      <c r="V275" s="112">
        <f>((O275+R275)*100)/N275</f>
        <v/>
      </c>
      <c r="W275" s="112">
        <f>((P275+S275)*100)/N275</f>
        <v/>
      </c>
      <c r="X275" s="112">
        <f>((Q275+T275)*100)/N275</f>
        <v/>
      </c>
    </row>
    <row r="276" ht="22.5" customHeight="1" s="150">
      <c r="A276" s="34" t="n">
        <v>274</v>
      </c>
      <c r="B276" s="115">
        <f>C276+D276+E276+F276+G276+H276</f>
        <v/>
      </c>
      <c r="C276" s="50" t="n">
        <v>20.6347918458548</v>
      </c>
      <c r="D276" s="50" t="n">
        <v>12.8967449036592</v>
      </c>
      <c r="E276" s="50" t="n">
        <v>2.57934898073185</v>
      </c>
      <c r="F276" s="50" t="n">
        <v>12.8967449036592</v>
      </c>
      <c r="G276" s="50" t="n">
        <v>10.3173959229274</v>
      </c>
      <c r="H276" s="50" t="n">
        <v>0</v>
      </c>
      <c r="I276" s="111">
        <f>(100*B276)/N276</f>
        <v/>
      </c>
      <c r="J276" s="112">
        <f>((C276+F276)*100)/B276</f>
        <v/>
      </c>
      <c r="K276" s="112">
        <f>((D276+G276)*100)/B276</f>
        <v/>
      </c>
      <c r="L276" s="112">
        <f>((E276+H276)*100)/B276</f>
        <v/>
      </c>
      <c r="M276" s="113">
        <f>N276-B275</f>
        <v/>
      </c>
      <c r="N276" s="115">
        <f>O276+P276+Q276+R276+S276+T276</f>
        <v/>
      </c>
      <c r="O276" s="50" t="n">
        <v>82.5391673834192</v>
      </c>
      <c r="P276" s="50" t="n">
        <v>69.6424224797599</v>
      </c>
      <c r="Q276" s="50" t="n">
        <v>20.6347918458548</v>
      </c>
      <c r="R276" s="50" t="n">
        <v>41.2695836917096</v>
      </c>
      <c r="S276" s="50" t="n">
        <v>23.2141408265866</v>
      </c>
      <c r="T276" s="50" t="n">
        <v>2.57934898073185</v>
      </c>
      <c r="U276" s="50" t="n">
        <v>34</v>
      </c>
      <c r="V276" s="112">
        <f>((O276+R276)*100)/N276</f>
        <v/>
      </c>
      <c r="W276" s="112">
        <f>((P276+S276)*100)/N276</f>
        <v/>
      </c>
      <c r="X276" s="112">
        <f>((Q276+T276)*100)/N276</f>
        <v/>
      </c>
    </row>
    <row r="277" ht="22.5" customHeight="1" s="150">
      <c r="A277" s="34" t="n">
        <v>275</v>
      </c>
      <c r="B277" s="115">
        <f>C277+D277+E277+F277+G277+H277</f>
        <v/>
      </c>
      <c r="C277" s="50" t="n">
        <v>51.5869796146369</v>
      </c>
      <c r="D277" s="50" t="n">
        <v>5.1586979614637</v>
      </c>
      <c r="E277" s="50" t="n">
        <v>5.1586979614637</v>
      </c>
      <c r="F277" s="50" t="n">
        <v>64.4837245182962</v>
      </c>
      <c r="G277" s="50" t="n">
        <v>15.4760938843911</v>
      </c>
      <c r="H277" s="50" t="n">
        <v>20.6347918458548</v>
      </c>
      <c r="I277" s="111">
        <f>(100*B277)/N277</f>
        <v/>
      </c>
      <c r="J277" s="112">
        <f>((C277+F277)*100)/B277</f>
        <v/>
      </c>
      <c r="K277" s="112">
        <f>((D277+G277)*100)/B277</f>
        <v/>
      </c>
      <c r="L277" s="112">
        <f>((E277+H277)*100)/B277</f>
        <v/>
      </c>
      <c r="M277" s="113">
        <f>N277-B276</f>
        <v/>
      </c>
      <c r="N277" s="115">
        <f>O277+P277+Q277+R277+S277+T277</f>
        <v/>
      </c>
      <c r="O277" s="50" t="n">
        <v>105.753308210005</v>
      </c>
      <c r="P277" s="50" t="n">
        <v>61.9043755375644</v>
      </c>
      <c r="Q277" s="50" t="n">
        <v>28.3728387880503</v>
      </c>
      <c r="R277" s="50" t="n">
        <v>134.126146998056</v>
      </c>
      <c r="S277" s="50" t="n">
        <v>77.3804694219555</v>
      </c>
      <c r="T277" s="50" t="n">
        <v>56.7456775761007</v>
      </c>
      <c r="U277" s="50" t="n">
        <v>46</v>
      </c>
      <c r="V277" s="112">
        <f>((O277+R277)*100)/N277</f>
        <v/>
      </c>
      <c r="W277" s="112">
        <f>((P277+S277)*100)/N277</f>
        <v/>
      </c>
      <c r="X277" s="112">
        <f>((Q277+T277)*100)/N277</f>
        <v/>
      </c>
    </row>
    <row r="278" ht="22.5" customHeight="1" s="150">
      <c r="A278" s="34" t="n">
        <v>276</v>
      </c>
      <c r="B278" s="115">
        <f>C278+D278+E278+F278+G278+H278</f>
        <v/>
      </c>
      <c r="C278" s="50" t="n">
        <v>77.3804694219555</v>
      </c>
      <c r="D278" s="50" t="n">
        <v>0</v>
      </c>
      <c r="E278" s="50" t="n">
        <v>10.3173959229274</v>
      </c>
      <c r="F278" s="50" t="n">
        <v>41.2695836917096</v>
      </c>
      <c r="G278" s="50" t="n">
        <v>0</v>
      </c>
      <c r="H278" s="50" t="n">
        <v>2.57934898073185</v>
      </c>
      <c r="I278" s="111">
        <f>(100*B278)/N278</f>
        <v/>
      </c>
      <c r="J278" s="112">
        <f>((C278+F278)*100)/B278</f>
        <v/>
      </c>
      <c r="K278" s="112">
        <f>((D278+G278)*100)/B278</f>
        <v/>
      </c>
      <c r="L278" s="112">
        <f>((E278+H278)*100)/B278</f>
        <v/>
      </c>
      <c r="M278" s="113">
        <f>N278-B277</f>
        <v/>
      </c>
      <c r="N278" s="115">
        <f>O278+P278+Q278+R278+S278+T278</f>
        <v/>
      </c>
      <c r="O278" s="50" t="n">
        <v>100.594610248542</v>
      </c>
      <c r="P278" s="50" t="n">
        <v>67.06307349902811</v>
      </c>
      <c r="Q278" s="50" t="n">
        <v>30.9521877687822</v>
      </c>
      <c r="R278" s="50" t="n">
        <v>43.8489326724414</v>
      </c>
      <c r="S278" s="50" t="n">
        <v>30.9521877687822</v>
      </c>
      <c r="T278" s="50" t="n">
        <v>5.1586979614637</v>
      </c>
      <c r="U278" s="50" t="n">
        <v>34</v>
      </c>
      <c r="V278" s="112">
        <f>((O278+R278)*100)/N278</f>
        <v/>
      </c>
      <c r="W278" s="112">
        <f>((P278+S278)*100)/N278</f>
        <v/>
      </c>
      <c r="X278" s="112">
        <f>((Q278+T278)*100)/N278</f>
        <v/>
      </c>
    </row>
    <row r="279" ht="22.5" customHeight="1" s="150">
      <c r="A279" s="34" t="n">
        <v>277</v>
      </c>
      <c r="B279" s="115">
        <f>C279+D279+E279+F279+G279+H279</f>
        <v/>
      </c>
      <c r="C279" s="50" t="n">
        <v>54.1663285953688</v>
      </c>
      <c r="D279" s="50" t="n">
        <v>5.1586979614637</v>
      </c>
      <c r="E279" s="50" t="n">
        <v>10.3173959229274</v>
      </c>
      <c r="F279" s="50" t="n">
        <v>12.8967449036592</v>
      </c>
      <c r="G279" s="50" t="n">
        <v>0</v>
      </c>
      <c r="H279" s="50" t="n">
        <v>2.57934898073185</v>
      </c>
      <c r="I279" s="111">
        <f>(100*B279)/N279</f>
        <v/>
      </c>
      <c r="J279" s="112">
        <f>((C279+F279)*100)/B279</f>
        <v/>
      </c>
      <c r="K279" s="112">
        <f>((D279+G279)*100)/B279</f>
        <v/>
      </c>
      <c r="L279" s="112">
        <f>((E279+H279)*100)/B279</f>
        <v/>
      </c>
      <c r="M279" s="113">
        <f>N279-B278</f>
        <v/>
      </c>
      <c r="N279" s="115">
        <f>O279+P279+Q279+R279+S279+T279</f>
        <v/>
      </c>
      <c r="O279" s="50" t="n">
        <v>82.5391673834192</v>
      </c>
      <c r="P279" s="50" t="n">
        <v>56.7456775761007</v>
      </c>
      <c r="Q279" s="50" t="n">
        <v>18.0554428651229</v>
      </c>
      <c r="R279" s="50" t="n">
        <v>54.1663285953688</v>
      </c>
      <c r="S279" s="50" t="n">
        <v>18.0554428651229</v>
      </c>
      <c r="T279" s="50" t="n">
        <v>20.6347918458548</v>
      </c>
      <c r="U279" s="50" t="n">
        <v>34</v>
      </c>
      <c r="V279" s="112">
        <f>((O279+R279)*100)/N279</f>
        <v/>
      </c>
      <c r="W279" s="112">
        <f>((P279+S279)*100)/N279</f>
        <v/>
      </c>
      <c r="X279" s="112">
        <f>((Q279+T279)*100)/N279</f>
        <v/>
      </c>
    </row>
    <row r="280" ht="22.5" customHeight="1" s="150">
      <c r="A280" s="34" t="n">
        <v>278</v>
      </c>
      <c r="B280" s="115">
        <f>C280+D280+E280+F280+G280+H280</f>
        <v/>
      </c>
      <c r="C280" s="50" t="n">
        <v>15.4760938843911</v>
      </c>
      <c r="D280" s="50" t="n">
        <v>2.57934898073185</v>
      </c>
      <c r="E280" s="50" t="n">
        <v>0</v>
      </c>
      <c r="F280" s="50" t="n">
        <v>10.3173959229274</v>
      </c>
      <c r="G280" s="50" t="n">
        <v>0</v>
      </c>
      <c r="H280" s="50" t="n">
        <v>0</v>
      </c>
      <c r="I280" s="111">
        <f>(100*B280)/N280</f>
        <v/>
      </c>
      <c r="J280" s="112">
        <f>((C280+F280)*100)/B280</f>
        <v/>
      </c>
      <c r="K280" s="112">
        <f>((D280+G280)*100)/B280</f>
        <v/>
      </c>
      <c r="L280" s="112">
        <f>((E280+H280)*100)/B280</f>
        <v/>
      </c>
      <c r="M280" s="113">
        <f>N280-B279</f>
        <v/>
      </c>
      <c r="N280" s="115">
        <f>O280+P280+Q280+R280+S280+T280</f>
        <v/>
      </c>
      <c r="O280" s="50" t="n">
        <v>74.8011204412236</v>
      </c>
      <c r="P280" s="50" t="n">
        <v>54.1663285953688</v>
      </c>
      <c r="Q280" s="50" t="n">
        <v>20.6347918458548</v>
      </c>
      <c r="R280" s="50" t="n">
        <v>54.1663285953688</v>
      </c>
      <c r="S280" s="50" t="n">
        <v>33.531536749514</v>
      </c>
      <c r="T280" s="50" t="n">
        <v>7.73804694219555</v>
      </c>
      <c r="U280" s="50" t="n">
        <v>28</v>
      </c>
      <c r="V280" s="112">
        <f>((O280+R280)*100)/N280</f>
        <v/>
      </c>
      <c r="W280" s="112">
        <f>((P280+S280)*100)/N280</f>
        <v/>
      </c>
      <c r="X280" s="112">
        <f>((Q280+T280)*100)/N280</f>
        <v/>
      </c>
    </row>
    <row r="281" ht="22.5" customHeight="1" s="150">
      <c r="A281" s="34" t="n">
        <v>279</v>
      </c>
      <c r="B281" s="115">
        <f>C281+D281+E281+F281+G281+H281</f>
        <v/>
      </c>
      <c r="C281" s="50" t="n">
        <v>46.4282816531733</v>
      </c>
      <c r="D281" s="50" t="n">
        <v>5.1586979614637</v>
      </c>
      <c r="E281" s="50" t="n">
        <v>12.8967449036592</v>
      </c>
      <c r="F281" s="50" t="n">
        <v>85.11851636415101</v>
      </c>
      <c r="G281" s="50" t="n">
        <v>10.3173959229274</v>
      </c>
      <c r="H281" s="50" t="n">
        <v>0</v>
      </c>
      <c r="I281" s="111">
        <f>(100*B281)/N281</f>
        <v/>
      </c>
      <c r="J281" s="112">
        <f>((C281+F281)*100)/B281</f>
        <v/>
      </c>
      <c r="K281" s="112">
        <f>((D281+G281)*100)/B281</f>
        <v/>
      </c>
      <c r="L281" s="112">
        <f>((E281+H281)*100)/B281</f>
        <v/>
      </c>
      <c r="M281" s="113">
        <f>N281-B280</f>
        <v/>
      </c>
      <c r="N281" s="115">
        <f>O281+P281+Q281+R281+S281+T281</f>
        <v/>
      </c>
      <c r="O281" s="50" t="n">
        <v>72.22177146049179</v>
      </c>
      <c r="P281" s="50" t="n">
        <v>54.1663285953688</v>
      </c>
      <c r="Q281" s="50" t="n">
        <v>18.0554428651229</v>
      </c>
      <c r="R281" s="50" t="n">
        <v>157.340287824642</v>
      </c>
      <c r="S281" s="50" t="n">
        <v>113.491355152201</v>
      </c>
      <c r="T281" s="50" t="n">
        <v>25.7934898073184</v>
      </c>
      <c r="U281" s="50" t="n">
        <v>36</v>
      </c>
      <c r="V281" s="112">
        <f>((O281+R281)*100)/N281</f>
        <v/>
      </c>
      <c r="W281" s="112">
        <f>((P281+S281)*100)/N281</f>
        <v/>
      </c>
      <c r="X281" s="112">
        <f>((Q281+T281)*100)/N281</f>
        <v/>
      </c>
    </row>
    <row r="282" ht="22.5" customHeight="1" s="150">
      <c r="A282" s="34" t="n">
        <v>280</v>
      </c>
      <c r="B282" s="115">
        <f>C282+D282+E282+F282+G282+H282</f>
        <v/>
      </c>
      <c r="C282" s="50" t="n">
        <v>12.8967449036592</v>
      </c>
      <c r="D282" s="50" t="n">
        <v>0</v>
      </c>
      <c r="E282" s="50" t="n">
        <v>2.57934898073185</v>
      </c>
      <c r="F282" s="50" t="n">
        <v>0</v>
      </c>
      <c r="G282" s="50" t="n">
        <v>0</v>
      </c>
      <c r="H282" s="50" t="n">
        <v>0</v>
      </c>
      <c r="I282" s="111">
        <f>(100*B282)/N282</f>
        <v/>
      </c>
      <c r="J282" s="112">
        <f>((C282+F282)*100)/B282</f>
        <v/>
      </c>
      <c r="K282" s="112">
        <f>((D282+G282)*100)/B282</f>
        <v/>
      </c>
      <c r="L282" s="112">
        <f>((E282+H282)*100)/B282</f>
        <v/>
      </c>
      <c r="M282" s="113">
        <f>N282-B281</f>
        <v/>
      </c>
      <c r="N282" s="115">
        <f>O282+P282+Q282+R282+S282+T282</f>
        <v/>
      </c>
      <c r="O282" s="50" t="n">
        <v>69.6424224797599</v>
      </c>
      <c r="P282" s="50" t="n">
        <v>59.3250265568325</v>
      </c>
      <c r="Q282" s="50" t="n">
        <v>18.0554428651229</v>
      </c>
      <c r="R282" s="50" t="n">
        <v>69.6424224797599</v>
      </c>
      <c r="S282" s="50" t="n">
        <v>72.22177146049179</v>
      </c>
      <c r="T282" s="50" t="n">
        <v>23.2141408265866</v>
      </c>
      <c r="U282" s="50" t="n">
        <v>26</v>
      </c>
      <c r="V282" s="112">
        <f>((O282+R282)*100)/N282</f>
        <v/>
      </c>
      <c r="W282" s="112">
        <f>((P282+S282)*100)/N282</f>
        <v/>
      </c>
      <c r="X282" s="112">
        <f>((Q282+T282)*100)/N282</f>
        <v/>
      </c>
    </row>
    <row r="283" ht="22.5" customHeight="1" s="150">
      <c r="A283" s="34" t="n">
        <v>281</v>
      </c>
      <c r="B283" s="115">
        <f>C283+D283+E283+F283+G283+H283</f>
        <v/>
      </c>
      <c r="C283" s="50" t="n">
        <v>28.3728387880503</v>
      </c>
      <c r="D283" s="50" t="n">
        <v>0</v>
      </c>
      <c r="E283" s="50" t="n">
        <v>0</v>
      </c>
      <c r="F283" s="50" t="n">
        <v>12.8967449036592</v>
      </c>
      <c r="G283" s="50" t="n">
        <v>0</v>
      </c>
      <c r="H283" s="50" t="n">
        <v>0</v>
      </c>
      <c r="I283" s="111">
        <f>(100*B283)/N283</f>
        <v/>
      </c>
      <c r="J283" s="112">
        <f>((C283+F283)*100)/B283</f>
        <v/>
      </c>
      <c r="K283" s="112">
        <f>((D283+G283)*100)/B283</f>
        <v/>
      </c>
      <c r="L283" s="112">
        <f>((E283+H283)*100)/B283</f>
        <v/>
      </c>
      <c r="M283" s="113">
        <f>N283-B282</f>
        <v/>
      </c>
      <c r="N283" s="115">
        <f>O283+P283+Q283+R283+S283+T283</f>
        <v/>
      </c>
      <c r="O283" s="50" t="n">
        <v>61.9043755375644</v>
      </c>
      <c r="P283" s="50" t="n">
        <v>64.4837245182962</v>
      </c>
      <c r="Q283" s="50" t="n">
        <v>18.0554428651229</v>
      </c>
      <c r="R283" s="50" t="n">
        <v>98.0152612678103</v>
      </c>
      <c r="S283" s="50" t="n">
        <v>54.1663285953688</v>
      </c>
      <c r="T283" s="50" t="n">
        <v>18.0554428651229</v>
      </c>
      <c r="U283" s="50" t="n">
        <v>31</v>
      </c>
      <c r="V283" s="112">
        <f>((O283+R283)*100)/N283</f>
        <v/>
      </c>
      <c r="W283" s="112">
        <f>((P283+S283)*100)/N283</f>
        <v/>
      </c>
      <c r="X283" s="112">
        <f>((Q283+T283)*100)/N283</f>
        <v/>
      </c>
    </row>
    <row r="284" ht="22.5" customHeight="1" s="150">
      <c r="A284" s="34" t="n">
        <v>282</v>
      </c>
      <c r="B284" s="115">
        <f>C284+D284+E284+F284+G284+H284</f>
        <v/>
      </c>
      <c r="C284" s="50" t="n">
        <v>41.2695836917096</v>
      </c>
      <c r="D284" s="50" t="n">
        <v>0</v>
      </c>
      <c r="E284" s="50" t="n">
        <v>2.57934898073185</v>
      </c>
      <c r="F284" s="50" t="n">
        <v>10.3173959229274</v>
      </c>
      <c r="G284" s="50" t="n">
        <v>0</v>
      </c>
      <c r="H284" s="50" t="n">
        <v>0</v>
      </c>
      <c r="I284" s="111">
        <f>(100*B284)/N284</f>
        <v/>
      </c>
      <c r="J284" s="112">
        <f>((C284+F284)*100)/B284</f>
        <v/>
      </c>
      <c r="K284" s="112">
        <f>((D284+G284)*100)/B284</f>
        <v/>
      </c>
      <c r="L284" s="112">
        <f>((E284+H284)*100)/B284</f>
        <v/>
      </c>
      <c r="M284" s="113">
        <f>N284-B283</f>
        <v/>
      </c>
      <c r="N284" s="115">
        <f>O284+P284+Q284+R284+S284+T284</f>
        <v/>
      </c>
      <c r="O284" s="50" t="n">
        <v>64.4837245182962</v>
      </c>
      <c r="P284" s="50" t="n">
        <v>64.4837245182962</v>
      </c>
      <c r="Q284" s="50" t="n">
        <v>15.4760938843911</v>
      </c>
      <c r="R284" s="50" t="n">
        <v>36.1108857302459</v>
      </c>
      <c r="S284" s="50" t="n">
        <v>43.8489326724414</v>
      </c>
      <c r="T284" s="50" t="n">
        <v>10.3173959229274</v>
      </c>
      <c r="U284" s="50" t="n">
        <v>23</v>
      </c>
      <c r="V284" s="112">
        <f>((O284+R284)*100)/N284</f>
        <v/>
      </c>
      <c r="W284" s="112">
        <f>((P284+S284)*100)/N284</f>
        <v/>
      </c>
      <c r="X284" s="112">
        <f>((Q284+T284)*100)/N284</f>
        <v/>
      </c>
    </row>
    <row r="285" ht="22.5" customHeight="1" s="150">
      <c r="A285" s="34" t="n">
        <v>283</v>
      </c>
      <c r="B285" s="115">
        <f>C285+D285+E285+F285+G285+H285</f>
        <v/>
      </c>
      <c r="C285" s="50" t="n">
        <v>41.2695836917096</v>
      </c>
      <c r="D285" s="50" t="n">
        <v>2.57934898073185</v>
      </c>
      <c r="E285" s="50" t="n">
        <v>0</v>
      </c>
      <c r="F285" s="50" t="n">
        <v>5.1586979614637</v>
      </c>
      <c r="G285" s="50" t="n">
        <v>5.1586979614637</v>
      </c>
      <c r="H285" s="50" t="n">
        <v>0</v>
      </c>
      <c r="I285" s="111">
        <f>(100*B285)/N285</f>
        <v/>
      </c>
      <c r="J285" s="112">
        <f>((C285+F285)*100)/B285</f>
        <v/>
      </c>
      <c r="K285" s="112">
        <f>((D285+G285)*100)/B285</f>
        <v/>
      </c>
      <c r="L285" s="112">
        <f>((E285+H285)*100)/B285</f>
        <v/>
      </c>
      <c r="M285" s="113">
        <f>N285-B284</f>
        <v/>
      </c>
      <c r="N285" s="115">
        <f>O285+P285+Q285+R285+S285+T285</f>
        <v/>
      </c>
      <c r="O285" s="50" t="n">
        <v>69.6424224797599</v>
      </c>
      <c r="P285" s="50" t="n">
        <v>69.6424224797599</v>
      </c>
      <c r="Q285" s="50" t="n">
        <v>18.0554428651229</v>
      </c>
      <c r="R285" s="50" t="n">
        <v>20.6347918458548</v>
      </c>
      <c r="S285" s="50" t="n">
        <v>33.531536749514</v>
      </c>
      <c r="T285" s="50" t="n">
        <v>12.8967449036592</v>
      </c>
      <c r="U285" s="50" t="n">
        <v>28</v>
      </c>
      <c r="V285" s="112">
        <f>((O285+R285)*100)/N285</f>
        <v/>
      </c>
      <c r="W285" s="112">
        <f>((P285+S285)*100)/N285</f>
        <v/>
      </c>
      <c r="X285" s="112">
        <f>((Q285+T285)*100)/N285</f>
        <v/>
      </c>
    </row>
    <row r="286" ht="22.5" customHeight="1" s="150">
      <c r="A286" s="34" t="n">
        <v>284</v>
      </c>
      <c r="B286" s="115">
        <f>C286+D286+E286+F286+G286+H286</f>
        <v/>
      </c>
      <c r="C286" s="50" t="n">
        <v>15.4760938843911</v>
      </c>
      <c r="D286" s="50" t="n">
        <v>2.57934898073185</v>
      </c>
      <c r="E286" s="50" t="n">
        <v>0</v>
      </c>
      <c r="F286" s="50" t="n">
        <v>0</v>
      </c>
      <c r="G286" s="50" t="n">
        <v>0</v>
      </c>
      <c r="H286" s="50" t="n">
        <v>0</v>
      </c>
      <c r="I286" s="111">
        <f>(100*B286)/N286</f>
        <v/>
      </c>
      <c r="J286" s="112">
        <f>((C286+F286)*100)/B286</f>
        <v/>
      </c>
      <c r="K286" s="112">
        <f>((D286+G286)*100)/B286</f>
        <v/>
      </c>
      <c r="L286" s="112">
        <f>((E286+H286)*100)/B286</f>
        <v/>
      </c>
      <c r="M286" s="113">
        <f>N286-B285</f>
        <v/>
      </c>
      <c r="N286" s="115">
        <f>O286+P286+Q286+R286+S286+T286</f>
        <v/>
      </c>
      <c r="O286" s="50" t="n">
        <v>72.22177146049179</v>
      </c>
      <c r="P286" s="50" t="n">
        <v>67.06307349902811</v>
      </c>
      <c r="Q286" s="50" t="n">
        <v>18.0554428651229</v>
      </c>
      <c r="R286" s="50" t="n">
        <v>2.57934898073185</v>
      </c>
      <c r="S286" s="50" t="n">
        <v>0</v>
      </c>
      <c r="T286" s="50" t="n">
        <v>0</v>
      </c>
      <c r="U286" s="50" t="n">
        <v>13</v>
      </c>
      <c r="V286" s="112">
        <f>((O286+R286)*100)/N286</f>
        <v/>
      </c>
      <c r="W286" s="112">
        <f>((P286+S286)*100)/N286</f>
        <v/>
      </c>
      <c r="X286" s="112">
        <f>((Q286+T286)*100)/N286</f>
        <v/>
      </c>
    </row>
    <row r="287" ht="22.5" customHeight="1" s="150">
      <c r="A287" s="34" t="n">
        <v>285</v>
      </c>
      <c r="B287" s="115">
        <f>C287+D287+E287+F287+G287+H287</f>
        <v/>
      </c>
      <c r="C287" s="50" t="n">
        <v>23.2141408265866</v>
      </c>
      <c r="D287" s="50" t="n">
        <v>7.73804694219555</v>
      </c>
      <c r="E287" s="50" t="n">
        <v>0</v>
      </c>
      <c r="F287" s="50" t="n">
        <v>10.3173959229274</v>
      </c>
      <c r="G287" s="50" t="n">
        <v>10.3173959229274</v>
      </c>
      <c r="H287" s="50" t="n">
        <v>0</v>
      </c>
      <c r="I287" s="111">
        <f>(100*B287)/N287</f>
        <v/>
      </c>
      <c r="J287" s="112">
        <f>((C287+F287)*100)/B287</f>
        <v/>
      </c>
      <c r="K287" s="112">
        <f>((D287+G287)*100)/B287</f>
        <v/>
      </c>
      <c r="L287" s="112">
        <f>((E287+H287)*100)/B287</f>
        <v/>
      </c>
      <c r="M287" s="113">
        <f>N287-B286</f>
        <v/>
      </c>
      <c r="N287" s="115">
        <f>O287+P287+Q287+R287+S287+T287</f>
        <v/>
      </c>
      <c r="O287" s="50" t="n">
        <v>85.11851636415101</v>
      </c>
      <c r="P287" s="50" t="n">
        <v>67.06307349902811</v>
      </c>
      <c r="Q287" s="50" t="n">
        <v>36.1108857302459</v>
      </c>
      <c r="R287" s="50" t="n">
        <v>105.753308210005</v>
      </c>
      <c r="S287" s="50" t="n">
        <v>100.594610248542</v>
      </c>
      <c r="T287" s="50" t="n">
        <v>85.11851636415101</v>
      </c>
      <c r="U287" s="50" t="n">
        <v>28</v>
      </c>
      <c r="V287" s="112">
        <f>((O287+R287)*100)/N287</f>
        <v/>
      </c>
      <c r="W287" s="112">
        <f>((P287+S287)*100)/N287</f>
        <v/>
      </c>
      <c r="X287" s="112">
        <f>((Q287+T287)*100)/N287</f>
        <v/>
      </c>
    </row>
    <row r="288" ht="22.5" customHeight="1" s="150">
      <c r="A288" s="34" t="n">
        <v>286</v>
      </c>
      <c r="B288" s="115">
        <f>C288+D288+E288+F288+G288+H288</f>
        <v/>
      </c>
      <c r="C288" s="50" t="n">
        <v>33.531536749514</v>
      </c>
      <c r="D288" s="50" t="n">
        <v>0</v>
      </c>
      <c r="E288" s="50" t="n">
        <v>5.1586979614637</v>
      </c>
      <c r="F288" s="50" t="n">
        <v>18.0554428651229</v>
      </c>
      <c r="G288" s="50" t="n">
        <v>0</v>
      </c>
      <c r="H288" s="50" t="n">
        <v>2.57934898073185</v>
      </c>
      <c r="I288" s="111">
        <f>(100*B288)/N288</f>
        <v/>
      </c>
      <c r="J288" s="112">
        <f>((C288+F288)*100)/B288</f>
        <v/>
      </c>
      <c r="K288" s="112">
        <f>((D288+G288)*100)/B288</f>
        <v/>
      </c>
      <c r="L288" s="112">
        <f>((E288+H288)*100)/B288</f>
        <v/>
      </c>
      <c r="M288" s="113">
        <f>N288-B287</f>
        <v/>
      </c>
      <c r="N288" s="115">
        <f>O288+P288+Q288+R288+S288+T288</f>
        <v/>
      </c>
      <c r="O288" s="50" t="n">
        <v>92.8565633063466</v>
      </c>
      <c r="P288" s="50" t="n">
        <v>74.8011204412236</v>
      </c>
      <c r="Q288" s="50" t="n">
        <v>38.6902347109777</v>
      </c>
      <c r="R288" s="50" t="n">
        <v>41.2695836917096</v>
      </c>
      <c r="S288" s="50" t="n">
        <v>216.665314381475</v>
      </c>
      <c r="T288" s="50" t="n">
        <v>59.3250265568325</v>
      </c>
      <c r="U288" s="50" t="n">
        <v>36</v>
      </c>
      <c r="V288" s="112">
        <f>((O288+R288)*100)/N288</f>
        <v/>
      </c>
      <c r="W288" s="112">
        <f>((P288+S288)*100)/N288</f>
        <v/>
      </c>
      <c r="X288" s="112">
        <f>((Q288+T288)*100)/N288</f>
        <v/>
      </c>
    </row>
    <row r="289" ht="22.5" customHeight="1" s="150">
      <c r="A289" s="34" t="n">
        <v>287</v>
      </c>
      <c r="B289" s="115">
        <f>C289+D289+E289+F289+G289+H289</f>
        <v/>
      </c>
      <c r="C289" s="50" t="n">
        <v>10.3173959229274</v>
      </c>
      <c r="D289" s="50" t="n">
        <v>0</v>
      </c>
      <c r="E289" s="50" t="n">
        <v>7.73804694219555</v>
      </c>
      <c r="F289" s="50" t="n">
        <v>0</v>
      </c>
      <c r="G289" s="50" t="n">
        <v>0</v>
      </c>
      <c r="H289" s="50" t="n">
        <v>7.73804694219555</v>
      </c>
      <c r="I289" s="111">
        <f>(100*B289)/N289</f>
        <v/>
      </c>
      <c r="J289" s="112">
        <f>((C289+F289)*100)/B289</f>
        <v/>
      </c>
      <c r="K289" s="112">
        <f>((D289+G289)*100)/B289</f>
        <v/>
      </c>
      <c r="L289" s="112">
        <f>((E289+H289)*100)/B289</f>
        <v/>
      </c>
      <c r="M289" s="113">
        <f>N289-B288</f>
        <v/>
      </c>
      <c r="N289" s="115">
        <f>O289+P289+Q289+R289+S289+T289</f>
        <v/>
      </c>
      <c r="O289" s="50" t="n">
        <v>92.8565633063466</v>
      </c>
      <c r="P289" s="50" t="n">
        <v>77.3804694219555</v>
      </c>
      <c r="Q289" s="50" t="n">
        <v>28.3728387880503</v>
      </c>
      <c r="R289" s="50" t="n">
        <v>110.912006171469</v>
      </c>
      <c r="S289" s="50" t="n">
        <v>136.705495978788</v>
      </c>
      <c r="T289" s="50" t="n">
        <v>82.5391673834192</v>
      </c>
      <c r="U289" s="50" t="n">
        <v>28</v>
      </c>
      <c r="V289" s="112">
        <f>((O289+R289)*100)/N289</f>
        <v/>
      </c>
      <c r="W289" s="112">
        <f>((P289+S289)*100)/N289</f>
        <v/>
      </c>
      <c r="X289" s="112">
        <f>((Q289+T289)*100)/N289</f>
        <v/>
      </c>
    </row>
    <row r="290" ht="22.5" customHeight="1" s="150">
      <c r="A290" s="34" t="n">
        <v>288</v>
      </c>
      <c r="B290" s="115">
        <f>C290+D290+E290+F290+G290+H290</f>
        <v/>
      </c>
      <c r="C290" s="50" t="n">
        <v>28.3728387880503</v>
      </c>
      <c r="D290" s="50" t="n">
        <v>0</v>
      </c>
      <c r="E290" s="50" t="n">
        <v>7.73804694219555</v>
      </c>
      <c r="F290" s="50" t="n">
        <v>12.8967449036592</v>
      </c>
      <c r="G290" s="50" t="n">
        <v>5.1586979614637</v>
      </c>
      <c r="H290" s="50" t="n">
        <v>5.1586979614637</v>
      </c>
      <c r="I290" s="111">
        <f>(100*B290)/N290</f>
        <v/>
      </c>
      <c r="J290" s="112">
        <f>((C290+F290)*100)/B290</f>
        <v/>
      </c>
      <c r="K290" s="112">
        <f>((D290+G290)*100)/B290</f>
        <v/>
      </c>
      <c r="L290" s="112">
        <f>((E290+H290)*100)/B290</f>
        <v/>
      </c>
      <c r="M290" s="113">
        <f>N290-B289</f>
        <v/>
      </c>
      <c r="N290" s="115">
        <f>O290+P290+Q290+R290+S290+T290</f>
        <v/>
      </c>
      <c r="O290" s="50" t="n">
        <v>69.6424224797599</v>
      </c>
      <c r="P290" s="50" t="n">
        <v>72.22177146049179</v>
      </c>
      <c r="Q290" s="50" t="n">
        <v>20.6347918458548</v>
      </c>
      <c r="R290" s="50" t="n">
        <v>121.229402094396</v>
      </c>
      <c r="S290" s="50" t="n">
        <v>177.975079670497</v>
      </c>
      <c r="T290" s="50" t="n">
        <v>69.6424224797599</v>
      </c>
      <c r="U290" s="50" t="n">
        <v>36</v>
      </c>
      <c r="V290" s="112">
        <f>((O290+R290)*100)/N290</f>
        <v/>
      </c>
      <c r="W290" s="112">
        <f>((P290+S290)*100)/N290</f>
        <v/>
      </c>
      <c r="X290" s="112">
        <f>((Q290+T290)*100)/N290</f>
        <v/>
      </c>
    </row>
    <row r="291" ht="22.5" customHeight="1" s="150">
      <c r="A291" s="34" t="n">
        <v>289</v>
      </c>
      <c r="B291" s="115">
        <f>C291+D291+E291+F291+G291+H291</f>
        <v/>
      </c>
      <c r="C291" s="50" t="n">
        <v>46.4282816531733</v>
      </c>
      <c r="D291" s="50" t="n">
        <v>0</v>
      </c>
      <c r="E291" s="50" t="n">
        <v>0</v>
      </c>
      <c r="F291" s="50" t="n">
        <v>5.1586979614637</v>
      </c>
      <c r="G291" s="50" t="n">
        <v>0</v>
      </c>
      <c r="H291" s="50" t="n">
        <v>0</v>
      </c>
      <c r="I291" s="111">
        <f>(100*B291)/N291</f>
        <v/>
      </c>
      <c r="J291" s="112">
        <f>((C291+F291)*100)/B291</f>
        <v/>
      </c>
      <c r="K291" s="112">
        <f>((D291+G291)*100)/B291</f>
        <v/>
      </c>
      <c r="L291" s="112">
        <f>((E291+H291)*100)/B291</f>
        <v/>
      </c>
      <c r="M291" s="113">
        <f>N291-B290</f>
        <v/>
      </c>
      <c r="N291" s="115">
        <f>O291+P291+Q291+R291+S291+T291</f>
        <v/>
      </c>
      <c r="O291" s="50" t="n">
        <v>67.06307349902811</v>
      </c>
      <c r="P291" s="50" t="n">
        <v>77.3804694219555</v>
      </c>
      <c r="Q291" s="50" t="n">
        <v>23.2141408265866</v>
      </c>
      <c r="R291" s="50" t="n">
        <v>15.4760938843911</v>
      </c>
      <c r="S291" s="50" t="n">
        <v>54.1663285953688</v>
      </c>
      <c r="T291" s="50" t="n">
        <v>30.9521877687822</v>
      </c>
      <c r="U291" s="50" t="n">
        <v>28</v>
      </c>
      <c r="V291" s="112">
        <f>((O291+R291)*100)/N291</f>
        <v/>
      </c>
      <c r="W291" s="112">
        <f>((P291+S291)*100)/N291</f>
        <v/>
      </c>
      <c r="X291" s="112">
        <f>((Q291+T291)*100)/N291</f>
        <v/>
      </c>
    </row>
    <row r="292" ht="22.5" customHeight="1" s="150">
      <c r="A292" s="34" t="n">
        <v>290</v>
      </c>
      <c r="B292" s="115">
        <f>C292+D292+E292+F292+G292+H292</f>
        <v/>
      </c>
      <c r="C292" s="50" t="n">
        <v>30.9521877687822</v>
      </c>
      <c r="D292" s="50" t="n">
        <v>2.57934898073185</v>
      </c>
      <c r="E292" s="50" t="n">
        <v>18.0554428651229</v>
      </c>
      <c r="F292" s="50" t="n">
        <v>38.6902347109777</v>
      </c>
      <c r="G292" s="50" t="n">
        <v>18.0554428651229</v>
      </c>
      <c r="H292" s="50" t="n">
        <v>0</v>
      </c>
      <c r="I292" s="111">
        <f>(100*B292)/N292</f>
        <v/>
      </c>
      <c r="J292" s="112">
        <f>((C292+F292)*100)/B292</f>
        <v/>
      </c>
      <c r="K292" s="112">
        <f>((D292+G292)*100)/B292</f>
        <v/>
      </c>
      <c r="L292" s="112">
        <f>((E292+H292)*100)/B292</f>
        <v/>
      </c>
      <c r="M292" s="113">
        <f>N292-B291</f>
        <v/>
      </c>
      <c r="N292" s="115">
        <f>O292+P292+Q292+R292+S292+T292</f>
        <v/>
      </c>
      <c r="O292" s="50" t="n">
        <v>82.5391673834192</v>
      </c>
      <c r="P292" s="50" t="n">
        <v>74.8011204412236</v>
      </c>
      <c r="Q292" s="50" t="n">
        <v>20.6347918458548</v>
      </c>
      <c r="R292" s="50" t="n">
        <v>82.5391673834192</v>
      </c>
      <c r="S292" s="50" t="n">
        <v>131.546798017324</v>
      </c>
      <c r="T292" s="50" t="n">
        <v>51.5869796146369</v>
      </c>
      <c r="U292" s="50" t="n">
        <v>39</v>
      </c>
      <c r="V292" s="112">
        <f>((O292+R292)*100)/N292</f>
        <v/>
      </c>
      <c r="W292" s="112">
        <f>((P292+S292)*100)/N292</f>
        <v/>
      </c>
      <c r="X292" s="112">
        <f>((Q292+T292)*100)/N292</f>
        <v/>
      </c>
    </row>
    <row r="293" ht="22.5" customHeight="1" s="150">
      <c r="A293" s="34" t="n">
        <v>291</v>
      </c>
      <c r="B293" s="115">
        <f>C293+D293+E293+F293+G293+H293</f>
        <v/>
      </c>
      <c r="C293" s="50" t="n">
        <v>15.4760938843911</v>
      </c>
      <c r="D293" s="50" t="n">
        <v>0</v>
      </c>
      <c r="E293" s="50" t="n">
        <v>0</v>
      </c>
      <c r="F293" s="50" t="n">
        <v>0</v>
      </c>
      <c r="G293" s="50" t="n">
        <v>0</v>
      </c>
      <c r="H293" s="50" t="n">
        <v>0</v>
      </c>
      <c r="I293" s="111">
        <f>(100*B293)/N293</f>
        <v/>
      </c>
      <c r="J293" s="112">
        <f>((C293+F293)*100)/B293</f>
        <v/>
      </c>
      <c r="K293" s="112">
        <f>((D293+G293)*100)/B293</f>
        <v/>
      </c>
      <c r="L293" s="112">
        <f>((E293+H293)*100)/B293</f>
        <v/>
      </c>
      <c r="M293" s="113">
        <f>N293-B292</f>
        <v/>
      </c>
      <c r="N293" s="115">
        <f>O293+P293+Q293+R293+S293+T293</f>
        <v/>
      </c>
      <c r="O293" s="50" t="n">
        <v>77.3804694219555</v>
      </c>
      <c r="P293" s="50" t="n">
        <v>77.3804694219555</v>
      </c>
      <c r="Q293" s="50" t="n">
        <v>20.6347918458548</v>
      </c>
      <c r="R293" s="50" t="n">
        <v>7.73804694219555</v>
      </c>
      <c r="S293" s="50" t="n">
        <v>25.7934898073184</v>
      </c>
      <c r="T293" s="50" t="n">
        <v>7.73804694219555</v>
      </c>
      <c r="U293" s="50" t="n">
        <v>23</v>
      </c>
      <c r="V293" s="112">
        <f>((O293+R293)*100)/N293</f>
        <v/>
      </c>
      <c r="W293" s="112">
        <f>((P293+S293)*100)/N293</f>
        <v/>
      </c>
      <c r="X293" s="112">
        <f>((Q293+T293)*100)/N293</f>
        <v/>
      </c>
    </row>
    <row r="294" ht="22.5" customHeight="1" s="150">
      <c r="A294" s="34" t="n">
        <v>292</v>
      </c>
      <c r="B294" s="115">
        <f>C294+D294+E294+F294+G294+H294</f>
        <v/>
      </c>
      <c r="C294" s="50" t="n">
        <v>54.1663285953688</v>
      </c>
      <c r="D294" s="50" t="n">
        <v>2.57934898073185</v>
      </c>
      <c r="E294" s="50" t="n">
        <v>2.57934898073185</v>
      </c>
      <c r="F294" s="50" t="n">
        <v>38.6902347109777</v>
      </c>
      <c r="G294" s="50" t="n">
        <v>0</v>
      </c>
      <c r="H294" s="50" t="n">
        <v>2.57934898073185</v>
      </c>
      <c r="I294" s="111">
        <f>(100*B294)/N294</f>
        <v/>
      </c>
      <c r="J294" s="112">
        <f>((C294+F294)*100)/B294</f>
        <v/>
      </c>
      <c r="K294" s="112">
        <f>((D294+G294)*100)/B294</f>
        <v/>
      </c>
      <c r="L294" s="112">
        <f>((E294+H294)*100)/B294</f>
        <v/>
      </c>
      <c r="M294" s="113">
        <f>N294-B293</f>
        <v/>
      </c>
      <c r="N294" s="115">
        <f>O294+P294+Q294+R294+S294+T294</f>
        <v/>
      </c>
      <c r="O294" s="50" t="n">
        <v>69.6424224797599</v>
      </c>
      <c r="P294" s="50" t="n">
        <v>74.8011204412236</v>
      </c>
      <c r="Q294" s="50" t="n">
        <v>20.6347918458548</v>
      </c>
      <c r="R294" s="50" t="n">
        <v>82.5391673834192</v>
      </c>
      <c r="S294" s="50" t="n">
        <v>72.22177146049179</v>
      </c>
      <c r="T294" s="50" t="n">
        <v>25.7934898073184</v>
      </c>
      <c r="U294" s="50" t="n">
        <v>34</v>
      </c>
      <c r="V294" s="112">
        <f>((O294+R294)*100)/N294</f>
        <v/>
      </c>
      <c r="W294" s="112">
        <f>((P294+S294)*100)/N294</f>
        <v/>
      </c>
      <c r="X294" s="112">
        <f>((Q294+T294)*100)/N294</f>
        <v/>
      </c>
    </row>
    <row r="295" ht="22.5" customHeight="1" s="150">
      <c r="A295" s="34" t="n">
        <v>293</v>
      </c>
      <c r="B295" s="115">
        <f>C295+D295+E295+F295+G295+H295</f>
        <v/>
      </c>
      <c r="C295" s="50" t="n">
        <v>59.3250265568325</v>
      </c>
      <c r="D295" s="50" t="n">
        <v>10.3173959229274</v>
      </c>
      <c r="E295" s="50" t="n">
        <v>7.73804694219555</v>
      </c>
      <c r="F295" s="50" t="n">
        <v>43.8489326724414</v>
      </c>
      <c r="G295" s="50" t="n">
        <v>15.4760938843911</v>
      </c>
      <c r="H295" s="50" t="n">
        <v>5.1586979614637</v>
      </c>
      <c r="I295" s="111">
        <f>(100*B295)/N295</f>
        <v/>
      </c>
      <c r="J295" s="112">
        <f>((C295+F295)*100)/B295</f>
        <v/>
      </c>
      <c r="K295" s="112">
        <f>((D295+G295)*100)/B295</f>
        <v/>
      </c>
      <c r="L295" s="112">
        <f>((E295+H295)*100)/B295</f>
        <v/>
      </c>
      <c r="M295" s="113">
        <f>N295-B294</f>
        <v/>
      </c>
      <c r="N295" s="115">
        <f>O295+P295+Q295+R295+S295+T295</f>
        <v/>
      </c>
      <c r="O295" s="50" t="n">
        <v>54.1663285953688</v>
      </c>
      <c r="P295" s="50" t="n">
        <v>79.9598184026873</v>
      </c>
      <c r="Q295" s="50" t="n">
        <v>28.3728387880503</v>
      </c>
      <c r="R295" s="50" t="n">
        <v>43.8489326724414</v>
      </c>
      <c r="S295" s="50" t="n">
        <v>87.6978653448828</v>
      </c>
      <c r="T295" s="50" t="n">
        <v>33.531536749514</v>
      </c>
      <c r="U295" s="50" t="n">
        <v>34</v>
      </c>
      <c r="V295" s="112">
        <f>((O295+R295)*100)/N295</f>
        <v/>
      </c>
      <c r="W295" s="112">
        <f>((P295+S295)*100)/N295</f>
        <v/>
      </c>
      <c r="X295" s="112">
        <f>((Q295+T295)*100)/N295</f>
        <v/>
      </c>
    </row>
    <row r="296" ht="22.5" customHeight="1" s="150">
      <c r="A296" s="34" t="n">
        <v>294</v>
      </c>
      <c r="B296" s="115">
        <f>C296+D296+E296+F296+G296+H296</f>
        <v/>
      </c>
      <c r="C296" s="50" t="n">
        <v>51.5869796146369</v>
      </c>
      <c r="D296" s="50" t="n">
        <v>2.57934898073185</v>
      </c>
      <c r="E296" s="50" t="n">
        <v>2.57934898073185</v>
      </c>
      <c r="F296" s="50" t="n">
        <v>30.9521877687822</v>
      </c>
      <c r="G296" s="50" t="n">
        <v>0</v>
      </c>
      <c r="H296" s="50" t="n">
        <v>2.57934898073185</v>
      </c>
      <c r="I296" s="111">
        <f>(100*B296)/N296</f>
        <v/>
      </c>
      <c r="J296" s="112">
        <f>((C296+F296)*100)/B296</f>
        <v/>
      </c>
      <c r="K296" s="112">
        <f>((D296+G296)*100)/B296</f>
        <v/>
      </c>
      <c r="L296" s="112">
        <f>((E296+H296)*100)/B296</f>
        <v/>
      </c>
      <c r="M296" s="113">
        <f>N296-B295</f>
        <v/>
      </c>
      <c r="N296" s="115">
        <f>O296+P296+Q296+R296+S296+T296</f>
        <v/>
      </c>
      <c r="O296" s="50" t="n">
        <v>85.11851636415101</v>
      </c>
      <c r="P296" s="50" t="n">
        <v>82.5391673834192</v>
      </c>
      <c r="Q296" s="50" t="n">
        <v>28.3728387880503</v>
      </c>
      <c r="R296" s="50" t="n">
        <v>123.808751075128</v>
      </c>
      <c r="S296" s="50" t="n">
        <v>175.395730689765</v>
      </c>
      <c r="T296" s="50" t="n">
        <v>121.229402094396</v>
      </c>
      <c r="U296" s="50" t="n">
        <v>34</v>
      </c>
      <c r="V296" s="112">
        <f>((O296+R296)*100)/N296</f>
        <v/>
      </c>
      <c r="W296" s="112">
        <f>((P296+S296)*100)/N296</f>
        <v/>
      </c>
      <c r="X296" s="112">
        <f>((Q296+T296)*100)/N296</f>
        <v/>
      </c>
    </row>
    <row r="297" ht="22.5" customHeight="1" s="150">
      <c r="A297" s="34" t="n">
        <v>295</v>
      </c>
      <c r="B297" s="115">
        <f>C297+D297+E297+F297+G297+H297</f>
        <v/>
      </c>
      <c r="C297" s="50" t="n">
        <v>23.2141408265866</v>
      </c>
      <c r="D297" s="50" t="n">
        <v>0</v>
      </c>
      <c r="E297" s="50" t="n">
        <v>2.57934898073185</v>
      </c>
      <c r="F297" s="50" t="n">
        <v>5.1586979614637</v>
      </c>
      <c r="G297" s="50" t="n">
        <v>0</v>
      </c>
      <c r="H297" s="50" t="n">
        <v>0</v>
      </c>
      <c r="I297" s="111">
        <f>(100*B297)/N297</f>
        <v/>
      </c>
      <c r="J297" s="112">
        <f>((C297+F297)*100)/B297</f>
        <v/>
      </c>
      <c r="K297" s="112">
        <f>((D297+G297)*100)/B297</f>
        <v/>
      </c>
      <c r="L297" s="112">
        <f>((E297+H297)*100)/B297</f>
        <v/>
      </c>
      <c r="M297" s="113">
        <f>N297-B296</f>
        <v/>
      </c>
      <c r="N297" s="115">
        <f>O297+P297+Q297+R297+S297+T297</f>
        <v/>
      </c>
      <c r="O297" s="50" t="n">
        <v>82.5391673834192</v>
      </c>
      <c r="P297" s="50" t="n">
        <v>79.9598184026873</v>
      </c>
      <c r="Q297" s="50" t="n">
        <v>25.7934898073184</v>
      </c>
      <c r="R297" s="50" t="n">
        <v>69.6424224797599</v>
      </c>
      <c r="S297" s="50" t="n">
        <v>100.594610248542</v>
      </c>
      <c r="T297" s="50" t="n">
        <v>28.3728387880503</v>
      </c>
      <c r="U297" s="50" t="n">
        <v>31</v>
      </c>
      <c r="V297" s="112">
        <f>((O297+R297)*100)/N297</f>
        <v/>
      </c>
      <c r="W297" s="112">
        <f>((P297+S297)*100)/N297</f>
        <v/>
      </c>
      <c r="X297" s="112">
        <f>((Q297+T297)*100)/N297</f>
        <v/>
      </c>
    </row>
    <row r="298" ht="22.5" customHeight="1" s="150">
      <c r="A298" s="34" t="n">
        <v>296</v>
      </c>
      <c r="B298" s="115">
        <f>C298+D298+E298+F298+G298+H298</f>
        <v/>
      </c>
      <c r="C298" s="50" t="n">
        <v>15.4760938843911</v>
      </c>
      <c r="D298" s="50" t="n">
        <v>15.4760938843911</v>
      </c>
      <c r="E298" s="50" t="n">
        <v>0</v>
      </c>
      <c r="F298" s="50" t="n">
        <v>5.1586979614637</v>
      </c>
      <c r="G298" s="50" t="n">
        <v>10.3173959229274</v>
      </c>
      <c r="H298" s="50" t="n">
        <v>7.73804694219555</v>
      </c>
      <c r="I298" s="111">
        <f>(100*B298)/N298</f>
        <v/>
      </c>
      <c r="J298" s="112">
        <f>((C298+F298)*100)/B298</f>
        <v/>
      </c>
      <c r="K298" s="112">
        <f>((D298+G298)*100)/B298</f>
        <v/>
      </c>
      <c r="L298" s="112">
        <f>((E298+H298)*100)/B298</f>
        <v/>
      </c>
      <c r="M298" s="113">
        <f>N298-B297</f>
        <v/>
      </c>
      <c r="N298" s="115">
        <f>O298+P298+Q298+R298+S298+T298</f>
        <v/>
      </c>
      <c r="O298" s="50" t="n">
        <v>72.22177146049179</v>
      </c>
      <c r="P298" s="50" t="n">
        <v>56.7456775761007</v>
      </c>
      <c r="Q298" s="50" t="n">
        <v>23.2141408265866</v>
      </c>
      <c r="R298" s="50" t="n">
        <v>72.22177146049179</v>
      </c>
      <c r="S298" s="50" t="n">
        <v>77.3804694219555</v>
      </c>
      <c r="T298" s="50" t="n">
        <v>28.3728387880503</v>
      </c>
      <c r="U298" s="50" t="n">
        <v>28</v>
      </c>
      <c r="V298" s="112">
        <f>((O298+R298)*100)/N298</f>
        <v/>
      </c>
      <c r="W298" s="112">
        <f>((P298+S298)*100)/N298</f>
        <v/>
      </c>
      <c r="X298" s="112">
        <f>((Q298+T298)*100)/N298</f>
        <v/>
      </c>
    </row>
    <row r="299" ht="22.5" customHeight="1" s="150">
      <c r="A299" s="34" t="n">
        <v>297</v>
      </c>
      <c r="B299" s="115">
        <f>C299+D299+E299+F299+G299+H299</f>
        <v/>
      </c>
      <c r="C299" s="50" t="n">
        <v>49.0076306339051</v>
      </c>
      <c r="D299" s="50" t="n">
        <v>0</v>
      </c>
      <c r="E299" s="50" t="n">
        <v>0</v>
      </c>
      <c r="F299" s="50" t="n">
        <v>12.8967449036592</v>
      </c>
      <c r="G299" s="50" t="n">
        <v>0</v>
      </c>
      <c r="H299" s="50" t="n">
        <v>0</v>
      </c>
      <c r="I299" s="111">
        <f>(100*B299)/N299</f>
        <v/>
      </c>
      <c r="J299" s="112">
        <f>((C299+F299)*100)/B299</f>
        <v/>
      </c>
      <c r="K299" s="112">
        <f>((D299+G299)*100)/B299</f>
        <v/>
      </c>
      <c r="L299" s="112">
        <f>((E299+H299)*100)/B299</f>
        <v/>
      </c>
      <c r="M299" s="113">
        <f>N299-B298</f>
        <v/>
      </c>
      <c r="N299" s="115">
        <f>O299+P299+Q299+R299+S299+T299</f>
        <v/>
      </c>
      <c r="O299" s="50" t="n">
        <v>46.4282816531733</v>
      </c>
      <c r="P299" s="50" t="n">
        <v>59.3250265568325</v>
      </c>
      <c r="Q299" s="50" t="n">
        <v>23.2141408265866</v>
      </c>
      <c r="R299" s="50" t="n">
        <v>33.531536749514</v>
      </c>
      <c r="S299" s="50" t="n">
        <v>25.7934898073184</v>
      </c>
      <c r="T299" s="50" t="n">
        <v>12.8967449036592</v>
      </c>
      <c r="U299" s="50" t="n">
        <v>26</v>
      </c>
      <c r="V299" s="112">
        <f>((O299+R299)*100)/N299</f>
        <v/>
      </c>
      <c r="W299" s="112">
        <f>((P299+S299)*100)/N299</f>
        <v/>
      </c>
      <c r="X299" s="112">
        <f>((Q299+T299)*100)/N299</f>
        <v/>
      </c>
    </row>
    <row r="300" ht="22.5" customHeight="1" s="150">
      <c r="A300" s="34" t="n">
        <v>298</v>
      </c>
      <c r="B300" s="115">
        <f>C300+D300+E300+F300+G300+H300</f>
        <v/>
      </c>
      <c r="C300" s="50" t="n">
        <v>23.2141408265866</v>
      </c>
      <c r="D300" s="50" t="n">
        <v>10.3173959229274</v>
      </c>
      <c r="E300" s="50" t="n">
        <v>18.0554428651229</v>
      </c>
      <c r="F300" s="50" t="n">
        <v>20.6347918458548</v>
      </c>
      <c r="G300" s="50" t="n">
        <v>12.8967449036592</v>
      </c>
      <c r="H300" s="50" t="n">
        <v>12.8967449036592</v>
      </c>
      <c r="I300" s="111">
        <f>(100*B300)/N300</f>
        <v/>
      </c>
      <c r="J300" s="112">
        <f>((C300+F300)*100)/B300</f>
        <v/>
      </c>
      <c r="K300" s="112">
        <f>((D300+G300)*100)/B300</f>
        <v/>
      </c>
      <c r="L300" s="112">
        <f>((E300+H300)*100)/B300</f>
        <v/>
      </c>
      <c r="M300" s="113">
        <f>N300-B299</f>
        <v/>
      </c>
      <c r="N300" s="115">
        <f>O300+P300+Q300+R300+S300+T300</f>
        <v/>
      </c>
      <c r="O300" s="50" t="n">
        <v>64.4837245182962</v>
      </c>
      <c r="P300" s="50" t="n">
        <v>69.6424224797599</v>
      </c>
      <c r="Q300" s="50" t="n">
        <v>18.0554428651229</v>
      </c>
      <c r="R300" s="50" t="n">
        <v>128.967449036592</v>
      </c>
      <c r="S300" s="50" t="n">
        <v>128.967449036592</v>
      </c>
      <c r="T300" s="50" t="n">
        <v>82.5391673834192</v>
      </c>
      <c r="U300" s="50" t="n">
        <v>36</v>
      </c>
      <c r="V300" s="112">
        <f>((O300+R300)*100)/N300</f>
        <v/>
      </c>
      <c r="W300" s="112">
        <f>((P300+S300)*100)/N300</f>
        <v/>
      </c>
      <c r="X300" s="112">
        <f>((Q300+T300)*100)/N300</f>
        <v/>
      </c>
    </row>
    <row r="301" ht="22.5" customHeight="1" s="150">
      <c r="A301" s="34" t="n">
        <v>299</v>
      </c>
      <c r="B301" s="115">
        <f>C301+D301+E301+F301+G301+H301</f>
        <v/>
      </c>
      <c r="C301" s="50" t="n">
        <v>36.1108857302459</v>
      </c>
      <c r="D301" s="50" t="n">
        <v>15.4760938843911</v>
      </c>
      <c r="E301" s="50" t="n">
        <v>18.0554428651229</v>
      </c>
      <c r="F301" s="50" t="n">
        <v>59.3250265568325</v>
      </c>
      <c r="G301" s="50" t="n">
        <v>23.2141408265866</v>
      </c>
      <c r="H301" s="50" t="n">
        <v>7.73804694219555</v>
      </c>
      <c r="I301" s="111">
        <f>(100*B301)/N301</f>
        <v/>
      </c>
      <c r="J301" s="112">
        <f>((C301+F301)*100)/B301</f>
        <v/>
      </c>
      <c r="K301" s="112">
        <f>((D301+G301)*100)/B301</f>
        <v/>
      </c>
      <c r="L301" s="112">
        <f>((E301+H301)*100)/B301</f>
        <v/>
      </c>
      <c r="M301" s="113">
        <f>N301-B300</f>
        <v/>
      </c>
      <c r="N301" s="115">
        <f>O301+P301+Q301+R301+S301+T301</f>
        <v/>
      </c>
      <c r="O301" s="50" t="n">
        <v>67.06307349902811</v>
      </c>
      <c r="P301" s="50" t="n">
        <v>59.3250265568325</v>
      </c>
      <c r="Q301" s="50" t="n">
        <v>12.8967449036592</v>
      </c>
      <c r="R301" s="50" t="n">
        <v>185.713126612693</v>
      </c>
      <c r="S301" s="50" t="n">
        <v>226.982710304402</v>
      </c>
      <c r="T301" s="50" t="n">
        <v>90.27721432561469</v>
      </c>
      <c r="U301" s="50" t="n">
        <v>34</v>
      </c>
      <c r="V301" s="112">
        <f>((O301+R301)*100)/N301</f>
        <v/>
      </c>
      <c r="W301" s="112">
        <f>((P301+S301)*100)/N301</f>
        <v/>
      </c>
      <c r="X301" s="112">
        <f>((Q301+T301)*100)/N301</f>
        <v/>
      </c>
    </row>
    <row r="302" ht="22.5" customHeight="1" s="150">
      <c r="A302" s="34" t="n">
        <v>300</v>
      </c>
      <c r="B302" s="115">
        <f>C302+D302+E302+F302+G302+H302</f>
        <v/>
      </c>
      <c r="C302" s="50" t="n">
        <v>46.4282816531733</v>
      </c>
      <c r="D302" s="50" t="n">
        <v>0</v>
      </c>
      <c r="E302" s="50" t="n">
        <v>7.73804694219555</v>
      </c>
      <c r="F302" s="50" t="n">
        <v>23.2141408265866</v>
      </c>
      <c r="G302" s="50" t="n">
        <v>2.57934898073185</v>
      </c>
      <c r="H302" s="50" t="n">
        <v>5.1586979614637</v>
      </c>
      <c r="I302" s="111">
        <f>(100*B302)/N302</f>
        <v/>
      </c>
      <c r="J302" s="112">
        <f>((C302+F302)*100)/B302</f>
        <v/>
      </c>
      <c r="K302" s="112">
        <f>((D302+G302)*100)/B302</f>
        <v/>
      </c>
      <c r="L302" s="112">
        <f>((E302+H302)*100)/B302</f>
        <v/>
      </c>
      <c r="M302" s="113">
        <f>N302-B301</f>
        <v/>
      </c>
      <c r="N302" s="115">
        <f>O302+P302+Q302+R302+S302+T302</f>
        <v/>
      </c>
      <c r="O302" s="50" t="n">
        <v>69.6424224797599</v>
      </c>
      <c r="P302" s="50" t="n">
        <v>56.7456775761007</v>
      </c>
      <c r="Q302" s="50" t="n">
        <v>7.73804694219555</v>
      </c>
      <c r="R302" s="50" t="n">
        <v>41.2695836917096</v>
      </c>
      <c r="S302" s="50" t="n">
        <v>108.332657190737</v>
      </c>
      <c r="T302" s="50" t="n">
        <v>20.6347918458548</v>
      </c>
      <c r="U302" s="50" t="n">
        <v>26</v>
      </c>
      <c r="V302" s="112">
        <f>((O302+R302)*100)/N302</f>
        <v/>
      </c>
      <c r="W302" s="112">
        <f>((P302+S302)*100)/N302</f>
        <v/>
      </c>
      <c r="X302" s="112">
        <f>((Q302+T302)*100)/N302</f>
        <v/>
      </c>
    </row>
    <row r="303" ht="22.5" customHeight="1" s="150">
      <c r="A303" s="34" t="n">
        <v>301</v>
      </c>
      <c r="B303" s="115">
        <f>C303+D303+E303+F303+G303+H303</f>
        <v/>
      </c>
      <c r="C303" s="50" t="n"/>
      <c r="D303" s="50" t="n"/>
      <c r="E303" s="50" t="n"/>
      <c r="F303" s="50" t="n"/>
      <c r="G303" s="50" t="n"/>
      <c r="H303" s="50" t="n"/>
      <c r="I303" s="111">
        <f>(100*B303)/N303</f>
        <v/>
      </c>
      <c r="J303" s="112">
        <f>((C303+F303)*100)/B303</f>
        <v/>
      </c>
      <c r="K303" s="112">
        <f>((D303+G303)*100)/B303</f>
        <v/>
      </c>
      <c r="L303" s="112">
        <f>((E303+H303)*100)/B303</f>
        <v/>
      </c>
      <c r="M303" s="113">
        <f>N303-B302</f>
        <v/>
      </c>
      <c r="N303" s="115">
        <f>O303+P303+Q303+R303+S303+T303</f>
        <v/>
      </c>
      <c r="O303" s="50" t="n"/>
      <c r="P303" s="50" t="n"/>
      <c r="Q303" s="50" t="n"/>
      <c r="R303" s="50" t="n"/>
      <c r="S303" s="50" t="n"/>
      <c r="T303" s="50" t="n"/>
      <c r="U303" s="50" t="n"/>
      <c r="V303" s="112">
        <f>((O303+R303)*100)/N303</f>
        <v/>
      </c>
      <c r="W303" s="112">
        <f>((P303+S303)*100)/N303</f>
        <v/>
      </c>
      <c r="X303" s="112">
        <f>((Q303+T303)*100)/N303</f>
        <v/>
      </c>
    </row>
    <row r="304" ht="22.5" customHeight="1" s="150">
      <c r="A304" s="34" t="n">
        <v>302</v>
      </c>
      <c r="B304" s="115">
        <f>C304+D304+E304+F304+G304+H304</f>
        <v/>
      </c>
      <c r="C304" s="50" t="n"/>
      <c r="D304" s="50" t="n"/>
      <c r="E304" s="50" t="n"/>
      <c r="F304" s="50" t="n"/>
      <c r="G304" s="50" t="n"/>
      <c r="H304" s="50" t="n"/>
      <c r="I304" s="111">
        <f>(100*B304)/N304</f>
        <v/>
      </c>
      <c r="J304" s="112">
        <f>((C304+F304)*100)/B304</f>
        <v/>
      </c>
      <c r="K304" s="112">
        <f>((D304+G304)*100)/B304</f>
        <v/>
      </c>
      <c r="L304" s="112">
        <f>((E304+H304)*100)/B304</f>
        <v/>
      </c>
      <c r="M304" s="113">
        <f>N304-B303</f>
        <v/>
      </c>
      <c r="N304" s="115">
        <f>O304+P304+Q304+R304+S304+T304</f>
        <v/>
      </c>
      <c r="O304" s="50" t="n"/>
      <c r="P304" s="50" t="n"/>
      <c r="Q304" s="50" t="n"/>
      <c r="R304" s="50" t="n"/>
      <c r="S304" s="50" t="n"/>
      <c r="T304" s="50" t="n"/>
      <c r="U304" s="50" t="n"/>
      <c r="V304" s="112">
        <f>((O304+R304)*100)/N304</f>
        <v/>
      </c>
      <c r="W304" s="112">
        <f>((P304+S304)*100)/N304</f>
        <v/>
      </c>
      <c r="X304" s="112">
        <f>((Q304+T304)*100)/N304</f>
        <v/>
      </c>
    </row>
    <row r="305" ht="22.5" customHeight="1" s="150">
      <c r="A305" s="34" t="n">
        <v>303</v>
      </c>
      <c r="B305" s="115">
        <f>C305+D305+E305+F305+G305+H305</f>
        <v/>
      </c>
      <c r="C305" s="50" t="n"/>
      <c r="D305" s="50" t="n"/>
      <c r="E305" s="50" t="n"/>
      <c r="F305" s="50" t="n"/>
      <c r="G305" s="50" t="n"/>
      <c r="H305" s="50" t="n"/>
      <c r="I305" s="111">
        <f>(100*B305)/N305</f>
        <v/>
      </c>
      <c r="J305" s="112">
        <f>((C305+F305)*100)/B305</f>
        <v/>
      </c>
      <c r="K305" s="112">
        <f>((D305+G305)*100)/B305</f>
        <v/>
      </c>
      <c r="L305" s="112">
        <f>((E305+H305)*100)/B305</f>
        <v/>
      </c>
      <c r="M305" s="113">
        <f>N305-B304</f>
        <v/>
      </c>
      <c r="N305" s="115">
        <f>O305+P305+Q305+R305+S305+T305</f>
        <v/>
      </c>
      <c r="O305" s="50" t="n"/>
      <c r="P305" s="50" t="n"/>
      <c r="Q305" s="50" t="n"/>
      <c r="R305" s="50" t="n"/>
      <c r="S305" s="50" t="n"/>
      <c r="T305" s="50" t="n"/>
      <c r="U305" s="50" t="n"/>
      <c r="V305" s="112">
        <f>((O305+R305)*100)/N305</f>
        <v/>
      </c>
      <c r="W305" s="112">
        <f>((P305+S305)*100)/N305</f>
        <v/>
      </c>
      <c r="X305" s="112">
        <f>((Q305+T305)*100)/N305</f>
        <v/>
      </c>
    </row>
    <row r="306" ht="22.5" customHeight="1" s="150">
      <c r="A306" s="34" t="n">
        <v>304</v>
      </c>
      <c r="B306" s="115">
        <f>C306+D306+E306+F306+G306+H306</f>
        <v/>
      </c>
      <c r="C306" s="50" t="n"/>
      <c r="D306" s="50" t="n"/>
      <c r="E306" s="50" t="n"/>
      <c r="F306" s="50" t="n"/>
      <c r="G306" s="50" t="n"/>
      <c r="H306" s="50" t="n"/>
      <c r="I306" s="111">
        <f>(100*B306)/N306</f>
        <v/>
      </c>
      <c r="J306" s="112">
        <f>((C306+F306)*100)/B306</f>
        <v/>
      </c>
      <c r="K306" s="112">
        <f>((D306+G306)*100)/B306</f>
        <v/>
      </c>
      <c r="L306" s="112">
        <f>((E306+H306)*100)/B306</f>
        <v/>
      </c>
      <c r="M306" s="113">
        <f>N306-B305</f>
        <v/>
      </c>
      <c r="N306" s="115">
        <f>O306+P306+Q306+R306+S306+T306</f>
        <v/>
      </c>
      <c r="O306" s="50" t="n"/>
      <c r="P306" s="50" t="n"/>
      <c r="Q306" s="50" t="n"/>
      <c r="R306" s="50" t="n"/>
      <c r="S306" s="50" t="n"/>
      <c r="T306" s="50" t="n"/>
      <c r="U306" s="50" t="n"/>
      <c r="V306" s="112">
        <f>((O306+R306)*100)/N306</f>
        <v/>
      </c>
      <c r="W306" s="112">
        <f>((P306+S306)*100)/N306</f>
        <v/>
      </c>
      <c r="X306" s="112">
        <f>((Q306+T306)*100)/N306</f>
        <v/>
      </c>
    </row>
    <row r="307" ht="22.5" customHeight="1" s="150">
      <c r="A307" s="34" t="n">
        <v>305</v>
      </c>
      <c r="B307" s="115">
        <f>C307+D307+E307+F307+G307+H307</f>
        <v/>
      </c>
      <c r="C307" s="50" t="n"/>
      <c r="D307" s="50" t="n"/>
      <c r="E307" s="50" t="n"/>
      <c r="F307" s="50" t="n"/>
      <c r="G307" s="50" t="n"/>
      <c r="H307" s="50" t="n"/>
      <c r="I307" s="111">
        <f>(100*B307)/N307</f>
        <v/>
      </c>
      <c r="J307" s="112">
        <f>((C307+F307)*100)/B307</f>
        <v/>
      </c>
      <c r="K307" s="112">
        <f>((D307+G307)*100)/B307</f>
        <v/>
      </c>
      <c r="L307" s="112">
        <f>((E307+H307)*100)/B307</f>
        <v/>
      </c>
      <c r="M307" s="113">
        <f>N307-B306</f>
        <v/>
      </c>
      <c r="N307" s="115">
        <f>O307+P307+Q307+R307+S307+T307</f>
        <v/>
      </c>
      <c r="O307" s="50" t="n"/>
      <c r="P307" s="50" t="n"/>
      <c r="Q307" s="50" t="n"/>
      <c r="R307" s="50" t="n"/>
      <c r="S307" s="50" t="n"/>
      <c r="T307" s="50" t="n"/>
      <c r="U307" s="50" t="n"/>
      <c r="V307" s="112">
        <f>((O307+R307)*100)/N307</f>
        <v/>
      </c>
      <c r="W307" s="112">
        <f>((P307+S307)*100)/N307</f>
        <v/>
      </c>
      <c r="X307" s="112">
        <f>((Q307+T307)*100)/N307</f>
        <v/>
      </c>
    </row>
    <row r="308" ht="22.5" customHeight="1" s="150">
      <c r="A308" s="34" t="n">
        <v>306</v>
      </c>
      <c r="B308" s="115">
        <f>C308+D308+E308+F308+G308+H308</f>
        <v/>
      </c>
      <c r="C308" s="50" t="n"/>
      <c r="D308" s="50" t="n"/>
      <c r="E308" s="50" t="n"/>
      <c r="F308" s="50" t="n"/>
      <c r="G308" s="50" t="n"/>
      <c r="H308" s="50" t="n"/>
      <c r="I308" s="111">
        <f>(100*B308)/N308</f>
        <v/>
      </c>
      <c r="J308" s="112">
        <f>((C308+F308)*100)/B308</f>
        <v/>
      </c>
      <c r="K308" s="112">
        <f>((D308+G308)*100)/B308</f>
        <v/>
      </c>
      <c r="L308" s="112">
        <f>((E308+H308)*100)/B308</f>
        <v/>
      </c>
      <c r="M308" s="113">
        <f>N308-B307</f>
        <v/>
      </c>
      <c r="N308" s="115">
        <f>O308+P308+Q308+R308+S308+T308</f>
        <v/>
      </c>
      <c r="O308" s="50" t="n"/>
      <c r="P308" s="50" t="n"/>
      <c r="Q308" s="50" t="n"/>
      <c r="R308" s="50" t="n"/>
      <c r="S308" s="50" t="n"/>
      <c r="T308" s="50" t="n"/>
      <c r="U308" s="50" t="n"/>
      <c r="V308" s="112">
        <f>((O308+R308)*100)/N308</f>
        <v/>
      </c>
      <c r="W308" s="112">
        <f>((P308+S308)*100)/N308</f>
        <v/>
      </c>
      <c r="X308" s="112">
        <f>((Q308+T308)*100)/N308</f>
        <v/>
      </c>
    </row>
    <row r="309" ht="22.5" customHeight="1" s="150">
      <c r="A309" s="34" t="n">
        <v>307</v>
      </c>
      <c r="B309" s="115">
        <f>C309+D309+E309+F309+G309+H309</f>
        <v/>
      </c>
      <c r="C309" s="50" t="n"/>
      <c r="D309" s="50" t="n"/>
      <c r="E309" s="50" t="n"/>
      <c r="F309" s="50" t="n"/>
      <c r="G309" s="50" t="n"/>
      <c r="H309" s="50" t="n"/>
      <c r="I309" s="111">
        <f>(100*B309)/N309</f>
        <v/>
      </c>
      <c r="J309" s="112">
        <f>((C309+F309)*100)/B309</f>
        <v/>
      </c>
      <c r="K309" s="112">
        <f>((D309+G309)*100)/B309</f>
        <v/>
      </c>
      <c r="L309" s="112">
        <f>((E309+H309)*100)/B309</f>
        <v/>
      </c>
      <c r="M309" s="113">
        <f>N309-B308</f>
        <v/>
      </c>
      <c r="N309" s="115">
        <f>O309+P309+Q309+R309+S309+T309</f>
        <v/>
      </c>
      <c r="O309" s="50" t="n"/>
      <c r="P309" s="50" t="n"/>
      <c r="Q309" s="50" t="n"/>
      <c r="R309" s="50" t="n"/>
      <c r="S309" s="50" t="n"/>
      <c r="T309" s="50" t="n"/>
      <c r="U309" s="50" t="n"/>
      <c r="V309" s="112">
        <f>((O309+R309)*100)/N309</f>
        <v/>
      </c>
      <c r="W309" s="112">
        <f>((P309+S309)*100)/N309</f>
        <v/>
      </c>
      <c r="X309" s="112">
        <f>((Q309+T309)*100)/N309</f>
        <v/>
      </c>
    </row>
    <row r="310" ht="22.5" customHeight="1" s="150">
      <c r="A310" s="34" t="n">
        <v>308</v>
      </c>
      <c r="B310" s="115">
        <f>C310+D310+E310+F310+G310+H310</f>
        <v/>
      </c>
      <c r="C310" s="50" t="n"/>
      <c r="D310" s="50" t="n"/>
      <c r="E310" s="50" t="n"/>
      <c r="F310" s="50" t="n"/>
      <c r="G310" s="50" t="n"/>
      <c r="H310" s="50" t="n"/>
      <c r="I310" s="111">
        <f>(100*B310)/N310</f>
        <v/>
      </c>
      <c r="J310" s="112">
        <f>((C310+F310)*100)/B310</f>
        <v/>
      </c>
      <c r="K310" s="112">
        <f>((D310+G310)*100)/B310</f>
        <v/>
      </c>
      <c r="L310" s="112">
        <f>((E310+H310)*100)/B310</f>
        <v/>
      </c>
      <c r="M310" s="113">
        <f>N310-B309</f>
        <v/>
      </c>
      <c r="N310" s="115">
        <f>O310+P310+Q310+R310+S310+T310</f>
        <v/>
      </c>
      <c r="O310" s="50" t="n"/>
      <c r="P310" s="50" t="n"/>
      <c r="Q310" s="50" t="n"/>
      <c r="R310" s="50" t="n"/>
      <c r="S310" s="50" t="n"/>
      <c r="T310" s="50" t="n"/>
      <c r="U310" s="50" t="n"/>
      <c r="V310" s="112">
        <f>((O310+R310)*100)/N310</f>
        <v/>
      </c>
      <c r="W310" s="112">
        <f>((P310+S310)*100)/N310</f>
        <v/>
      </c>
      <c r="X310" s="112">
        <f>((Q310+T310)*100)/N310</f>
        <v/>
      </c>
    </row>
    <row r="311" ht="22.5" customHeight="1" s="150">
      <c r="A311" s="34" t="n">
        <v>309</v>
      </c>
      <c r="B311" s="115">
        <f>C311+D311+E311+F311+G311+H311</f>
        <v/>
      </c>
      <c r="C311" s="50" t="n"/>
      <c r="D311" s="50" t="n"/>
      <c r="E311" s="50" t="n"/>
      <c r="F311" s="50" t="n"/>
      <c r="G311" s="50" t="n"/>
      <c r="H311" s="50" t="n"/>
      <c r="I311" s="111">
        <f>(100*B311)/N311</f>
        <v/>
      </c>
      <c r="J311" s="112">
        <f>((C311+F311)*100)/B311</f>
        <v/>
      </c>
      <c r="K311" s="112">
        <f>((D311+G311)*100)/B311</f>
        <v/>
      </c>
      <c r="L311" s="112">
        <f>((E311+H311)*100)/B311</f>
        <v/>
      </c>
      <c r="M311" s="113">
        <f>N311-B310</f>
        <v/>
      </c>
      <c r="N311" s="115">
        <f>O311+P311+Q311+R311+S311+T311</f>
        <v/>
      </c>
      <c r="O311" s="50" t="n"/>
      <c r="P311" s="50" t="n"/>
      <c r="Q311" s="50" t="n"/>
      <c r="R311" s="50" t="n"/>
      <c r="S311" s="50" t="n"/>
      <c r="T311" s="50" t="n"/>
      <c r="U311" s="50" t="n"/>
      <c r="V311" s="112">
        <f>((O311+R311)*100)/N311</f>
        <v/>
      </c>
      <c r="W311" s="112">
        <f>((P311+S311)*100)/N311</f>
        <v/>
      </c>
      <c r="X311" s="112">
        <f>((Q311+T311)*100)/N311</f>
        <v/>
      </c>
    </row>
    <row r="312" ht="22.5" customHeight="1" s="150">
      <c r="A312" s="34" t="n">
        <v>310</v>
      </c>
      <c r="B312" s="115">
        <f>C312+D312+E312+F312+G312+H312</f>
        <v/>
      </c>
      <c r="C312" s="50" t="n"/>
      <c r="D312" s="50" t="n"/>
      <c r="E312" s="50" t="n"/>
      <c r="F312" s="50" t="n"/>
      <c r="G312" s="50" t="n"/>
      <c r="H312" s="50" t="n"/>
      <c r="I312" s="111">
        <f>(100*B312)/N312</f>
        <v/>
      </c>
      <c r="J312" s="112">
        <f>((C312+F312)*100)/B312</f>
        <v/>
      </c>
      <c r="K312" s="112">
        <f>((D312+G312)*100)/B312</f>
        <v/>
      </c>
      <c r="L312" s="112">
        <f>((E312+H312)*100)/B312</f>
        <v/>
      </c>
      <c r="M312" s="113">
        <f>N312-B311</f>
        <v/>
      </c>
      <c r="N312" s="115">
        <f>O312+P312+Q312+R312+S312+T312</f>
        <v/>
      </c>
      <c r="O312" s="50" t="n"/>
      <c r="P312" s="50" t="n"/>
      <c r="Q312" s="50" t="n"/>
      <c r="R312" s="50" t="n"/>
      <c r="S312" s="50" t="n"/>
      <c r="T312" s="50" t="n"/>
      <c r="U312" s="50" t="n"/>
      <c r="V312" s="112">
        <f>((O312+R312)*100)/N312</f>
        <v/>
      </c>
      <c r="W312" s="112">
        <f>((P312+S312)*100)/N312</f>
        <v/>
      </c>
      <c r="X312" s="112">
        <f>((Q312+T312)*100)/N312</f>
        <v/>
      </c>
    </row>
    <row r="313" ht="22.5" customHeight="1" s="150">
      <c r="A313" s="34" t="n">
        <v>311</v>
      </c>
      <c r="B313" s="115">
        <f>C313+D313+E313+F313+G313+H313</f>
        <v/>
      </c>
      <c r="C313" s="50" t="n"/>
      <c r="D313" s="50" t="n"/>
      <c r="E313" s="50" t="n"/>
      <c r="F313" s="50" t="n"/>
      <c r="G313" s="50" t="n"/>
      <c r="H313" s="50" t="n"/>
      <c r="I313" s="111">
        <f>(100*B313)/N313</f>
        <v/>
      </c>
      <c r="J313" s="112">
        <f>((C313+F313)*100)/B313</f>
        <v/>
      </c>
      <c r="K313" s="112">
        <f>((D313+G313)*100)/B313</f>
        <v/>
      </c>
      <c r="L313" s="112">
        <f>((E313+H313)*100)/B313</f>
        <v/>
      </c>
      <c r="M313" s="113">
        <f>N313-B312</f>
        <v/>
      </c>
      <c r="N313" s="115">
        <f>O313+P313+Q313+R313+S313+T313</f>
        <v/>
      </c>
      <c r="O313" s="50" t="n"/>
      <c r="P313" s="50" t="n"/>
      <c r="Q313" s="50" t="n"/>
      <c r="R313" s="50" t="n"/>
      <c r="S313" s="50" t="n"/>
      <c r="T313" s="50" t="n"/>
      <c r="U313" s="50" t="n"/>
      <c r="V313" s="112">
        <f>((O313+R313)*100)/N313</f>
        <v/>
      </c>
      <c r="W313" s="112">
        <f>((P313+S313)*100)/N313</f>
        <v/>
      </c>
      <c r="X313" s="112">
        <f>((Q313+T313)*100)/N313</f>
        <v/>
      </c>
    </row>
    <row r="314" ht="22.5" customHeight="1" s="150">
      <c r="A314" s="34" t="n">
        <v>312</v>
      </c>
      <c r="B314" s="115">
        <f>C314+D314+E314+F314+G314+H314</f>
        <v/>
      </c>
      <c r="C314" s="50" t="n"/>
      <c r="D314" s="50" t="n"/>
      <c r="E314" s="50" t="n"/>
      <c r="F314" s="50" t="n"/>
      <c r="G314" s="50" t="n"/>
      <c r="H314" s="50" t="n"/>
      <c r="I314" s="111">
        <f>(100*B314)/N314</f>
        <v/>
      </c>
      <c r="J314" s="112">
        <f>((C314+F314)*100)/B314</f>
        <v/>
      </c>
      <c r="K314" s="112">
        <f>((D314+G314)*100)/B314</f>
        <v/>
      </c>
      <c r="L314" s="112">
        <f>((E314+H314)*100)/B314</f>
        <v/>
      </c>
      <c r="M314" s="113">
        <f>N314-B313</f>
        <v/>
      </c>
      <c r="N314" s="115">
        <f>O314+P314+Q314+R314+S314+T314</f>
        <v/>
      </c>
      <c r="O314" s="50" t="n"/>
      <c r="P314" s="50" t="n"/>
      <c r="Q314" s="50" t="n"/>
      <c r="R314" s="50" t="n"/>
      <c r="S314" s="50" t="n"/>
      <c r="T314" s="50" t="n"/>
      <c r="U314" s="50" t="n"/>
      <c r="V314" s="112">
        <f>((O314+R314)*100)/N314</f>
        <v/>
      </c>
      <c r="W314" s="112">
        <f>((P314+S314)*100)/N314</f>
        <v/>
      </c>
      <c r="X314" s="112">
        <f>((Q314+T314)*100)/N314</f>
        <v/>
      </c>
    </row>
    <row r="315" ht="22.5" customHeight="1" s="150">
      <c r="A315" s="34" t="n">
        <v>313</v>
      </c>
      <c r="B315" s="115">
        <f>C315+D315+E315+F315+G315+H315</f>
        <v/>
      </c>
      <c r="C315" s="50" t="n"/>
      <c r="D315" s="50" t="n"/>
      <c r="E315" s="50" t="n"/>
      <c r="F315" s="50" t="n"/>
      <c r="G315" s="50" t="n"/>
      <c r="H315" s="50" t="n"/>
      <c r="I315" s="111">
        <f>(100*B315)/N315</f>
        <v/>
      </c>
      <c r="J315" s="112">
        <f>((C315+F315)*100)/B315</f>
        <v/>
      </c>
      <c r="K315" s="112">
        <f>((D315+G315)*100)/B315</f>
        <v/>
      </c>
      <c r="L315" s="112">
        <f>((E315+H315)*100)/B315</f>
        <v/>
      </c>
      <c r="M315" s="113">
        <f>N315-B314</f>
        <v/>
      </c>
      <c r="N315" s="115">
        <f>O315+P315+Q315+R315+S315+T315</f>
        <v/>
      </c>
      <c r="O315" s="50" t="n"/>
      <c r="P315" s="50" t="n"/>
      <c r="Q315" s="50" t="n"/>
      <c r="R315" s="50" t="n"/>
      <c r="S315" s="50" t="n"/>
      <c r="T315" s="50" t="n"/>
      <c r="U315" s="50" t="n"/>
      <c r="V315" s="112">
        <f>((O315+R315)*100)/N315</f>
        <v/>
      </c>
      <c r="W315" s="112">
        <f>((P315+S315)*100)/N315</f>
        <v/>
      </c>
      <c r="X315" s="112">
        <f>((Q315+T315)*100)/N315</f>
        <v/>
      </c>
    </row>
    <row r="316" ht="22.5" customHeight="1" s="150">
      <c r="A316" s="34" t="n">
        <v>314</v>
      </c>
      <c r="B316" s="115">
        <f>C316+D316+E316+F316+G316+H316</f>
        <v/>
      </c>
      <c r="C316" s="50" t="n"/>
      <c r="D316" s="50" t="n"/>
      <c r="E316" s="50" t="n"/>
      <c r="F316" s="50" t="n"/>
      <c r="G316" s="50" t="n"/>
      <c r="H316" s="50" t="n"/>
      <c r="I316" s="111">
        <f>(100*B316)/N316</f>
        <v/>
      </c>
      <c r="J316" s="112">
        <f>((C316+F316)*100)/B316</f>
        <v/>
      </c>
      <c r="K316" s="112">
        <f>((D316+G316)*100)/B316</f>
        <v/>
      </c>
      <c r="L316" s="112">
        <f>((E316+H316)*100)/B316</f>
        <v/>
      </c>
      <c r="M316" s="113">
        <f>N316-B315</f>
        <v/>
      </c>
      <c r="N316" s="115">
        <f>O316+P316+Q316+R316+S316+T316</f>
        <v/>
      </c>
      <c r="O316" s="50" t="n"/>
      <c r="P316" s="50" t="n"/>
      <c r="Q316" s="50" t="n"/>
      <c r="R316" s="50" t="n"/>
      <c r="S316" s="50" t="n"/>
      <c r="T316" s="50" t="n"/>
      <c r="U316" s="50" t="n"/>
      <c r="V316" s="112">
        <f>((O316+R316)*100)/N316</f>
        <v/>
      </c>
      <c r="W316" s="112">
        <f>((P316+S316)*100)/N316</f>
        <v/>
      </c>
      <c r="X316" s="112">
        <f>((Q316+T316)*100)/N316</f>
        <v/>
      </c>
    </row>
    <row r="317" ht="22.5" customHeight="1" s="150">
      <c r="A317" s="34" t="n">
        <v>315</v>
      </c>
      <c r="B317" s="115">
        <f>C317+D317+E317+F317+G317+H317</f>
        <v/>
      </c>
      <c r="C317" s="50" t="n"/>
      <c r="D317" s="50" t="n"/>
      <c r="E317" s="50" t="n"/>
      <c r="F317" s="50" t="n"/>
      <c r="G317" s="50" t="n"/>
      <c r="H317" s="50" t="n"/>
      <c r="I317" s="111">
        <f>(100*B317)/N317</f>
        <v/>
      </c>
      <c r="J317" s="112">
        <f>((C317+F317)*100)/B317</f>
        <v/>
      </c>
      <c r="K317" s="112">
        <f>((D317+G317)*100)/B317</f>
        <v/>
      </c>
      <c r="L317" s="112">
        <f>((E317+H317)*100)/B317</f>
        <v/>
      </c>
      <c r="M317" s="113">
        <f>N317-B316</f>
        <v/>
      </c>
      <c r="N317" s="115">
        <f>O317+P317+Q317+R317+S317+T317</f>
        <v/>
      </c>
      <c r="O317" s="50" t="n"/>
      <c r="P317" s="50" t="n"/>
      <c r="Q317" s="50" t="n"/>
      <c r="R317" s="50" t="n"/>
      <c r="S317" s="50" t="n"/>
      <c r="T317" s="50" t="n"/>
      <c r="U317" s="50" t="n"/>
      <c r="V317" s="112">
        <f>((O317+R317)*100)/N317</f>
        <v/>
      </c>
      <c r="W317" s="112">
        <f>((P317+S317)*100)/N317</f>
        <v/>
      </c>
      <c r="X317" s="112">
        <f>((Q317+T317)*100)/N317</f>
        <v/>
      </c>
    </row>
    <row r="318" ht="22.5" customHeight="1" s="150">
      <c r="A318" s="34" t="n">
        <v>316</v>
      </c>
      <c r="B318" s="115">
        <f>C318+D318+E318+F318+G318+H318</f>
        <v/>
      </c>
      <c r="C318" s="50" t="n"/>
      <c r="D318" s="50" t="n"/>
      <c r="E318" s="50" t="n"/>
      <c r="F318" s="50" t="n"/>
      <c r="G318" s="50" t="n"/>
      <c r="H318" s="50" t="n"/>
      <c r="I318" s="111">
        <f>(100*B318)/N318</f>
        <v/>
      </c>
      <c r="J318" s="112">
        <f>((C318+F318)*100)/B318</f>
        <v/>
      </c>
      <c r="K318" s="112">
        <f>((D318+G318)*100)/B318</f>
        <v/>
      </c>
      <c r="L318" s="112">
        <f>((E318+H318)*100)/B318</f>
        <v/>
      </c>
      <c r="M318" s="113">
        <f>N318-B317</f>
        <v/>
      </c>
      <c r="N318" s="115">
        <f>O318+P318+Q318+R318+S318+T318</f>
        <v/>
      </c>
      <c r="O318" s="50" t="n"/>
      <c r="P318" s="50" t="n"/>
      <c r="Q318" s="50" t="n"/>
      <c r="R318" s="50" t="n"/>
      <c r="S318" s="50" t="n"/>
      <c r="T318" s="50" t="n"/>
      <c r="U318" s="50" t="n"/>
      <c r="V318" s="112">
        <f>((O318+R318)*100)/N318</f>
        <v/>
      </c>
      <c r="W318" s="112">
        <f>((P318+S318)*100)/N318</f>
        <v/>
      </c>
      <c r="X318" s="112">
        <f>((Q318+T318)*100)/N318</f>
        <v/>
      </c>
    </row>
    <row r="319" ht="22.5" customHeight="1" s="150">
      <c r="A319" s="34" t="n">
        <v>317</v>
      </c>
      <c r="B319" s="115">
        <f>C319+D319+E319+F319+G319+H319</f>
        <v/>
      </c>
      <c r="C319" s="50" t="n"/>
      <c r="D319" s="50" t="n"/>
      <c r="E319" s="50" t="n"/>
      <c r="F319" s="50" t="n"/>
      <c r="G319" s="50" t="n"/>
      <c r="H319" s="50" t="n"/>
      <c r="I319" s="111">
        <f>(100*B319)/N319</f>
        <v/>
      </c>
      <c r="J319" s="112">
        <f>((C319+F319)*100)/B319</f>
        <v/>
      </c>
      <c r="K319" s="112">
        <f>((D319+G319)*100)/B319</f>
        <v/>
      </c>
      <c r="L319" s="112">
        <f>((E319+H319)*100)/B319</f>
        <v/>
      </c>
      <c r="M319" s="113">
        <f>N319-B318</f>
        <v/>
      </c>
      <c r="N319" s="115">
        <f>O319+P319+Q319+R319+S319+T319</f>
        <v/>
      </c>
      <c r="O319" s="50" t="n"/>
      <c r="P319" s="50" t="n"/>
      <c r="Q319" s="50" t="n"/>
      <c r="R319" s="50" t="n"/>
      <c r="S319" s="50" t="n"/>
      <c r="T319" s="50" t="n"/>
      <c r="U319" s="50" t="n"/>
      <c r="V319" s="112">
        <f>((O319+R319)*100)/N319</f>
        <v/>
      </c>
      <c r="W319" s="112">
        <f>((P319+S319)*100)/N319</f>
        <v/>
      </c>
      <c r="X319" s="112">
        <f>((Q319+T319)*100)/N319</f>
        <v/>
      </c>
    </row>
    <row r="320" ht="22.5" customHeight="1" s="150">
      <c r="A320" s="34" t="n">
        <v>318</v>
      </c>
      <c r="B320" s="115">
        <f>C320+D320+E320+F320+G320+H320</f>
        <v/>
      </c>
      <c r="C320" s="50" t="n"/>
      <c r="D320" s="50" t="n"/>
      <c r="E320" s="50" t="n"/>
      <c r="F320" s="50" t="n"/>
      <c r="G320" s="50" t="n"/>
      <c r="H320" s="50" t="n"/>
      <c r="I320" s="111">
        <f>(100*B320)/N320</f>
        <v/>
      </c>
      <c r="J320" s="112">
        <f>((C320+F320)*100)/B320</f>
        <v/>
      </c>
      <c r="K320" s="112">
        <f>((D320+G320)*100)/B320</f>
        <v/>
      </c>
      <c r="L320" s="112">
        <f>((E320+H320)*100)/B320</f>
        <v/>
      </c>
      <c r="M320" s="113">
        <f>N320-B319</f>
        <v/>
      </c>
      <c r="N320" s="115">
        <f>O320+P320+Q320+R320+S320+T320</f>
        <v/>
      </c>
      <c r="O320" s="50" t="n"/>
      <c r="P320" s="50" t="n"/>
      <c r="Q320" s="50" t="n"/>
      <c r="R320" s="50" t="n"/>
      <c r="S320" s="50" t="n"/>
      <c r="T320" s="50" t="n"/>
      <c r="U320" s="50" t="n"/>
      <c r="V320" s="112">
        <f>((O320+R320)*100)/N320</f>
        <v/>
      </c>
      <c r="W320" s="112">
        <f>((P320+S320)*100)/N320</f>
        <v/>
      </c>
      <c r="X320" s="112">
        <f>((Q320+T320)*100)/N320</f>
        <v/>
      </c>
    </row>
    <row r="321" ht="22.5" customHeight="1" s="150">
      <c r="A321" s="34" t="n">
        <v>319</v>
      </c>
      <c r="B321" s="115">
        <f>C321+D321+E321+F321+G321+H321</f>
        <v/>
      </c>
      <c r="C321" s="50" t="n"/>
      <c r="D321" s="50" t="n"/>
      <c r="E321" s="50" t="n"/>
      <c r="F321" s="50" t="n"/>
      <c r="G321" s="50" t="n"/>
      <c r="H321" s="50" t="n"/>
      <c r="I321" s="111">
        <f>(100*B321)/N321</f>
        <v/>
      </c>
      <c r="J321" s="112">
        <f>((C321+F321)*100)/B321</f>
        <v/>
      </c>
      <c r="K321" s="112">
        <f>((D321+G321)*100)/B321</f>
        <v/>
      </c>
      <c r="L321" s="112">
        <f>((E321+H321)*100)/B321</f>
        <v/>
      </c>
      <c r="M321" s="113">
        <f>N321-B320</f>
        <v/>
      </c>
      <c r="N321" s="115">
        <f>O321+P321+Q321+R321+S321+T321</f>
        <v/>
      </c>
      <c r="O321" s="50" t="n"/>
      <c r="P321" s="50" t="n"/>
      <c r="Q321" s="50" t="n"/>
      <c r="R321" s="50" t="n"/>
      <c r="S321" s="50" t="n"/>
      <c r="T321" s="50" t="n"/>
      <c r="U321" s="50" t="n"/>
      <c r="V321" s="112">
        <f>((O321+R321)*100)/N321</f>
        <v/>
      </c>
      <c r="W321" s="112">
        <f>((P321+S321)*100)/N321</f>
        <v/>
      </c>
      <c r="X321" s="112">
        <f>((Q321+T321)*100)/N321</f>
        <v/>
      </c>
    </row>
    <row r="322" ht="22.5" customHeight="1" s="150">
      <c r="A322" s="34" t="n">
        <v>320</v>
      </c>
      <c r="B322" s="115">
        <f>C322+D322+E322+F322+G322+H322</f>
        <v/>
      </c>
      <c r="C322" s="50" t="n"/>
      <c r="D322" s="50" t="n"/>
      <c r="E322" s="50" t="n"/>
      <c r="F322" s="50" t="n"/>
      <c r="G322" s="50" t="n"/>
      <c r="H322" s="50" t="n"/>
      <c r="I322" s="111">
        <f>(100*B322)/N322</f>
        <v/>
      </c>
      <c r="J322" s="112">
        <f>((C322+F322)*100)/B322</f>
        <v/>
      </c>
      <c r="K322" s="112">
        <f>((D322+G322)*100)/B322</f>
        <v/>
      </c>
      <c r="L322" s="112">
        <f>((E322+H322)*100)/B322</f>
        <v/>
      </c>
      <c r="M322" s="113">
        <f>N322-B321</f>
        <v/>
      </c>
      <c r="N322" s="115">
        <f>O322+P322+Q322+R322+S322+T322</f>
        <v/>
      </c>
      <c r="O322" s="50" t="n"/>
      <c r="P322" s="50" t="n"/>
      <c r="Q322" s="50" t="n"/>
      <c r="R322" s="50" t="n"/>
      <c r="S322" s="50" t="n"/>
      <c r="T322" s="50" t="n"/>
      <c r="U322" s="50" t="n"/>
      <c r="V322" s="112">
        <f>((O322+R322)*100)/N322</f>
        <v/>
      </c>
      <c r="W322" s="112">
        <f>((P322+S322)*100)/N322</f>
        <v/>
      </c>
      <c r="X322" s="112">
        <f>((Q322+T322)*100)/N322</f>
        <v/>
      </c>
    </row>
    <row r="323" ht="22.5" customHeight="1" s="150">
      <c r="A323" s="34" t="n">
        <v>321</v>
      </c>
      <c r="B323" s="115">
        <f>C323+D323+E323+F323+G323+H323</f>
        <v/>
      </c>
      <c r="C323" s="50" t="n"/>
      <c r="D323" s="50" t="n"/>
      <c r="E323" s="50" t="n"/>
      <c r="F323" s="50" t="n"/>
      <c r="G323" s="50" t="n"/>
      <c r="H323" s="50" t="n"/>
      <c r="I323" s="111">
        <f>(100*B323)/N323</f>
        <v/>
      </c>
      <c r="J323" s="112">
        <f>((C323+F323)*100)/B323</f>
        <v/>
      </c>
      <c r="K323" s="112">
        <f>((D323+G323)*100)/B323</f>
        <v/>
      </c>
      <c r="L323" s="112">
        <f>((E323+H323)*100)/B323</f>
        <v/>
      </c>
      <c r="M323" s="113">
        <f>N323-B322</f>
        <v/>
      </c>
      <c r="N323" s="115">
        <f>O323+P323+Q323+R323+S323+T323</f>
        <v/>
      </c>
      <c r="O323" s="50" t="n"/>
      <c r="P323" s="50" t="n"/>
      <c r="Q323" s="50" t="n"/>
      <c r="R323" s="50" t="n"/>
      <c r="S323" s="50" t="n"/>
      <c r="T323" s="50" t="n"/>
      <c r="U323" s="50" t="n"/>
      <c r="V323" s="112">
        <f>((O323+R323)*100)/N323</f>
        <v/>
      </c>
      <c r="W323" s="112">
        <f>((P323+S323)*100)/N323</f>
        <v/>
      </c>
      <c r="X323" s="112">
        <f>((Q323+T323)*100)/N323</f>
        <v/>
      </c>
    </row>
    <row r="324" ht="22.5" customHeight="1" s="150">
      <c r="A324" s="34" t="n">
        <v>322</v>
      </c>
      <c r="B324" s="115">
        <f>C324+D324+E324+F324+G324+H324</f>
        <v/>
      </c>
      <c r="C324" s="50" t="n"/>
      <c r="D324" s="50" t="n"/>
      <c r="E324" s="50" t="n"/>
      <c r="F324" s="50" t="n"/>
      <c r="G324" s="50" t="n"/>
      <c r="H324" s="50" t="n"/>
      <c r="I324" s="111">
        <f>(100*B324)/N324</f>
        <v/>
      </c>
      <c r="J324" s="112">
        <f>((C324+F324)*100)/B324</f>
        <v/>
      </c>
      <c r="K324" s="112">
        <f>((D324+G324)*100)/B324</f>
        <v/>
      </c>
      <c r="L324" s="112">
        <f>((E324+H324)*100)/B324</f>
        <v/>
      </c>
      <c r="M324" s="113">
        <f>N324-B323</f>
        <v/>
      </c>
      <c r="N324" s="115">
        <f>O324+P324+Q324+R324+S324+T324</f>
        <v/>
      </c>
      <c r="O324" s="50" t="n"/>
      <c r="P324" s="50" t="n"/>
      <c r="Q324" s="50" t="n"/>
      <c r="R324" s="50" t="n"/>
      <c r="S324" s="50" t="n"/>
      <c r="T324" s="50" t="n"/>
      <c r="U324" s="50" t="n"/>
      <c r="V324" s="112">
        <f>((O324+R324)*100)/N324</f>
        <v/>
      </c>
      <c r="W324" s="112">
        <f>((P324+S324)*100)/N324</f>
        <v/>
      </c>
      <c r="X324" s="112">
        <f>((Q324+T324)*100)/N324</f>
        <v/>
      </c>
    </row>
    <row r="325" ht="22.5" customHeight="1" s="150">
      <c r="A325" s="34" t="n">
        <v>323</v>
      </c>
      <c r="B325" s="115">
        <f>C325+D325+E325+F325+G325+H325</f>
        <v/>
      </c>
      <c r="C325" s="50" t="n"/>
      <c r="D325" s="50" t="n"/>
      <c r="E325" s="50" t="n"/>
      <c r="F325" s="50" t="n"/>
      <c r="G325" s="50" t="n"/>
      <c r="H325" s="50" t="n"/>
      <c r="I325" s="111">
        <f>(100*B325)/N325</f>
        <v/>
      </c>
      <c r="J325" s="112">
        <f>((C325+F325)*100)/B325</f>
        <v/>
      </c>
      <c r="K325" s="112">
        <f>((D325+G325)*100)/B325</f>
        <v/>
      </c>
      <c r="L325" s="112">
        <f>((E325+H325)*100)/B325</f>
        <v/>
      </c>
      <c r="M325" s="113">
        <f>N325-B324</f>
        <v/>
      </c>
      <c r="N325" s="115">
        <f>O325+P325+Q325+R325+S325+T325</f>
        <v/>
      </c>
      <c r="O325" s="50" t="n"/>
      <c r="P325" s="50" t="n"/>
      <c r="Q325" s="50" t="n"/>
      <c r="R325" s="50" t="n"/>
      <c r="S325" s="50" t="n"/>
      <c r="T325" s="50" t="n"/>
      <c r="U325" s="50" t="n"/>
      <c r="V325" s="112">
        <f>((O325+R325)*100)/N325</f>
        <v/>
      </c>
      <c r="W325" s="112">
        <f>((P325+S325)*100)/N325</f>
        <v/>
      </c>
      <c r="X325" s="112">
        <f>((Q325+T325)*100)/N325</f>
        <v/>
      </c>
    </row>
    <row r="326" ht="22.5" customHeight="1" s="150">
      <c r="A326" s="34" t="n">
        <v>324</v>
      </c>
      <c r="B326" s="115">
        <f>C326+D326+E326+F326+G326+H326</f>
        <v/>
      </c>
      <c r="C326" s="50" t="n"/>
      <c r="D326" s="50" t="n"/>
      <c r="E326" s="50" t="n"/>
      <c r="F326" s="50" t="n"/>
      <c r="G326" s="50" t="n"/>
      <c r="H326" s="50" t="n"/>
      <c r="I326" s="111">
        <f>(100*B326)/N326</f>
        <v/>
      </c>
      <c r="J326" s="112">
        <f>((C326+F326)*100)/B326</f>
        <v/>
      </c>
      <c r="K326" s="112">
        <f>((D326+G326)*100)/B326</f>
        <v/>
      </c>
      <c r="L326" s="112">
        <f>((E326+H326)*100)/B326</f>
        <v/>
      </c>
      <c r="M326" s="113">
        <f>N326-B325</f>
        <v/>
      </c>
      <c r="N326" s="115">
        <f>O326+P326+Q326+R326+S326+T326</f>
        <v/>
      </c>
      <c r="O326" s="50" t="n"/>
      <c r="P326" s="50" t="n"/>
      <c r="Q326" s="50" t="n"/>
      <c r="R326" s="50" t="n"/>
      <c r="S326" s="50" t="n"/>
      <c r="T326" s="50" t="n"/>
      <c r="U326" s="50" t="n"/>
      <c r="V326" s="112">
        <f>((O326+R326)*100)/N326</f>
        <v/>
      </c>
      <c r="W326" s="112">
        <f>((P326+S326)*100)/N326</f>
        <v/>
      </c>
      <c r="X326" s="112">
        <f>((Q326+T326)*100)/N326</f>
        <v/>
      </c>
    </row>
    <row r="327" ht="22.5" customHeight="1" s="150">
      <c r="A327" s="34" t="n">
        <v>325</v>
      </c>
      <c r="B327" s="115">
        <f>C327+D327+E327+F327+G327+H327</f>
        <v/>
      </c>
      <c r="C327" s="50" t="n"/>
      <c r="D327" s="50" t="n"/>
      <c r="E327" s="50" t="n"/>
      <c r="F327" s="50" t="n"/>
      <c r="G327" s="50" t="n"/>
      <c r="H327" s="50" t="n"/>
      <c r="I327" s="111">
        <f>(100*B327)/N327</f>
        <v/>
      </c>
      <c r="J327" s="112">
        <f>((C327+F327)*100)/B327</f>
        <v/>
      </c>
      <c r="K327" s="112">
        <f>((D327+G327)*100)/B327</f>
        <v/>
      </c>
      <c r="L327" s="112">
        <f>((E327+H327)*100)/B327</f>
        <v/>
      </c>
      <c r="M327" s="113">
        <f>N327-B326</f>
        <v/>
      </c>
      <c r="N327" s="115">
        <f>O327+P327+Q327+R327+S327+T327</f>
        <v/>
      </c>
      <c r="O327" s="50" t="n"/>
      <c r="P327" s="50" t="n"/>
      <c r="Q327" s="50" t="n"/>
      <c r="R327" s="50" t="n"/>
      <c r="S327" s="50" t="n"/>
      <c r="T327" s="50" t="n"/>
      <c r="U327" s="50" t="n"/>
      <c r="V327" s="112">
        <f>((O327+R327)*100)/N327</f>
        <v/>
      </c>
      <c r="W327" s="112">
        <f>((P327+S327)*100)/N327</f>
        <v/>
      </c>
      <c r="X327" s="112">
        <f>((Q327+T327)*100)/N327</f>
        <v/>
      </c>
    </row>
    <row r="328" ht="22.5" customHeight="1" s="150">
      <c r="A328" s="34" t="n">
        <v>326</v>
      </c>
      <c r="B328" s="115">
        <f>C328+D328+E328+F328+G328+H328</f>
        <v/>
      </c>
      <c r="C328" s="50" t="n"/>
      <c r="D328" s="50" t="n"/>
      <c r="E328" s="50" t="n"/>
      <c r="F328" s="50" t="n"/>
      <c r="G328" s="50" t="n"/>
      <c r="H328" s="50" t="n"/>
      <c r="I328" s="111">
        <f>(100*B328)/N328</f>
        <v/>
      </c>
      <c r="J328" s="112">
        <f>((C328+F328)*100)/B328</f>
        <v/>
      </c>
      <c r="K328" s="112">
        <f>((D328+G328)*100)/B328</f>
        <v/>
      </c>
      <c r="L328" s="112">
        <f>((E328+H328)*100)/B328</f>
        <v/>
      </c>
      <c r="M328" s="113">
        <f>N328-B327</f>
        <v/>
      </c>
      <c r="N328" s="115">
        <f>O328+P328+Q328+R328+S328+T328</f>
        <v/>
      </c>
      <c r="O328" s="50" t="n"/>
      <c r="P328" s="50" t="n"/>
      <c r="Q328" s="50" t="n"/>
      <c r="R328" s="50" t="n"/>
      <c r="S328" s="50" t="n"/>
      <c r="T328" s="50" t="n"/>
      <c r="U328" s="50" t="n"/>
      <c r="V328" s="112">
        <f>((O328+R328)*100)/N328</f>
        <v/>
      </c>
      <c r="W328" s="112">
        <f>((P328+S328)*100)/N328</f>
        <v/>
      </c>
      <c r="X328" s="112">
        <f>((Q328+T328)*100)/N328</f>
        <v/>
      </c>
    </row>
    <row r="329" ht="22.5" customHeight="1" s="150">
      <c r="A329" s="34" t="n">
        <v>327</v>
      </c>
      <c r="B329" s="115">
        <f>C329+D329+E329+F329+G329+H329</f>
        <v/>
      </c>
      <c r="C329" s="50" t="n"/>
      <c r="D329" s="50" t="n"/>
      <c r="E329" s="50" t="n"/>
      <c r="F329" s="50" t="n"/>
      <c r="G329" s="50" t="n"/>
      <c r="H329" s="50" t="n"/>
      <c r="I329" s="111">
        <f>(100*B329)/N329</f>
        <v/>
      </c>
      <c r="J329" s="112">
        <f>((C329+F329)*100)/B329</f>
        <v/>
      </c>
      <c r="K329" s="112">
        <f>((D329+G329)*100)/B329</f>
        <v/>
      </c>
      <c r="L329" s="112">
        <f>((E329+H329)*100)/B329</f>
        <v/>
      </c>
      <c r="M329" s="113">
        <f>N329-B328</f>
        <v/>
      </c>
      <c r="N329" s="115">
        <f>O329+P329+Q329+R329+S329+T329</f>
        <v/>
      </c>
      <c r="O329" s="50" t="n"/>
      <c r="P329" s="50" t="n"/>
      <c r="Q329" s="50" t="n"/>
      <c r="R329" s="50" t="n"/>
      <c r="S329" s="50" t="n"/>
      <c r="T329" s="50" t="n"/>
      <c r="U329" s="50" t="n"/>
      <c r="V329" s="112">
        <f>((O329+R329)*100)/N329</f>
        <v/>
      </c>
      <c r="W329" s="112">
        <f>((P329+S329)*100)/N329</f>
        <v/>
      </c>
      <c r="X329" s="112">
        <f>((Q329+T329)*100)/N329</f>
        <v/>
      </c>
    </row>
    <row r="330" ht="22.5" customHeight="1" s="150">
      <c r="A330" s="34" t="n">
        <v>328</v>
      </c>
      <c r="B330" s="115">
        <f>C330+D330+E330+F330+G330+H330</f>
        <v/>
      </c>
      <c r="C330" s="50" t="n"/>
      <c r="D330" s="50" t="n"/>
      <c r="E330" s="50" t="n"/>
      <c r="F330" s="50" t="n"/>
      <c r="G330" s="50" t="n"/>
      <c r="H330" s="50" t="n"/>
      <c r="I330" s="111">
        <f>(100*B330)/N330</f>
        <v/>
      </c>
      <c r="J330" s="112">
        <f>((C330+F330)*100)/B330</f>
        <v/>
      </c>
      <c r="K330" s="112">
        <f>((D330+G330)*100)/B330</f>
        <v/>
      </c>
      <c r="L330" s="112">
        <f>((E330+H330)*100)/B330</f>
        <v/>
      </c>
      <c r="M330" s="113">
        <f>N330-B329</f>
        <v/>
      </c>
      <c r="N330" s="115">
        <f>O330+P330+Q330+R330+S330+T330</f>
        <v/>
      </c>
      <c r="O330" s="50" t="n"/>
      <c r="P330" s="50" t="n"/>
      <c r="Q330" s="50" t="n"/>
      <c r="R330" s="50" t="n"/>
      <c r="S330" s="50" t="n"/>
      <c r="T330" s="50" t="n"/>
      <c r="U330" s="50" t="n"/>
      <c r="V330" s="112">
        <f>((O330+R330)*100)/N330</f>
        <v/>
      </c>
      <c r="W330" s="112">
        <f>((P330+S330)*100)/N330</f>
        <v/>
      </c>
      <c r="X330" s="112">
        <f>((Q330+T330)*100)/N330</f>
        <v/>
      </c>
    </row>
    <row r="331" ht="22.5" customHeight="1" s="150">
      <c r="A331" s="34" t="n">
        <v>329</v>
      </c>
      <c r="B331" s="115">
        <f>C331+D331+E331+F331+G331+H331</f>
        <v/>
      </c>
      <c r="C331" s="50" t="n"/>
      <c r="D331" s="50" t="n"/>
      <c r="E331" s="50" t="n"/>
      <c r="F331" s="50" t="n"/>
      <c r="G331" s="50" t="n"/>
      <c r="H331" s="50" t="n"/>
      <c r="I331" s="111">
        <f>(100*B331)/N331</f>
        <v/>
      </c>
      <c r="J331" s="112">
        <f>((C331+F331)*100)/B331</f>
        <v/>
      </c>
      <c r="K331" s="112">
        <f>((D331+G331)*100)/B331</f>
        <v/>
      </c>
      <c r="L331" s="112">
        <f>((E331+H331)*100)/B331</f>
        <v/>
      </c>
      <c r="M331" s="113">
        <f>N331-B330</f>
        <v/>
      </c>
      <c r="N331" s="115">
        <f>O331+P331+Q331+R331+S331+T331</f>
        <v/>
      </c>
      <c r="O331" s="50" t="n"/>
      <c r="P331" s="50" t="n"/>
      <c r="Q331" s="50" t="n"/>
      <c r="R331" s="50" t="n"/>
      <c r="S331" s="50" t="n"/>
      <c r="T331" s="50" t="n"/>
      <c r="U331" s="50" t="n"/>
      <c r="V331" s="112">
        <f>((O331+R331)*100)/N331</f>
        <v/>
      </c>
      <c r="W331" s="112">
        <f>((P331+S331)*100)/N331</f>
        <v/>
      </c>
      <c r="X331" s="112">
        <f>((Q331+T331)*100)/N331</f>
        <v/>
      </c>
    </row>
    <row r="332" ht="22.5" customHeight="1" s="150">
      <c r="A332" s="34" t="n">
        <v>330</v>
      </c>
      <c r="B332" s="115">
        <f>C332+D332+E332+F332+G332+H332</f>
        <v/>
      </c>
      <c r="C332" s="50" t="n"/>
      <c r="D332" s="50" t="n"/>
      <c r="E332" s="50" t="n"/>
      <c r="F332" s="50" t="n"/>
      <c r="G332" s="50" t="n"/>
      <c r="H332" s="50" t="n"/>
      <c r="I332" s="111">
        <f>(100*B332)/N332</f>
        <v/>
      </c>
      <c r="J332" s="112">
        <f>((C332+F332)*100)/B332</f>
        <v/>
      </c>
      <c r="K332" s="112">
        <f>((D332+G332)*100)/B332</f>
        <v/>
      </c>
      <c r="L332" s="112">
        <f>((E332+H332)*100)/B332</f>
        <v/>
      </c>
      <c r="M332" s="113">
        <f>N332-B331</f>
        <v/>
      </c>
      <c r="N332" s="115">
        <f>O332+P332+Q332+R332+S332+T332</f>
        <v/>
      </c>
      <c r="O332" s="50" t="n"/>
      <c r="P332" s="50" t="n"/>
      <c r="Q332" s="50" t="n"/>
      <c r="R332" s="50" t="n"/>
      <c r="S332" s="50" t="n"/>
      <c r="T332" s="50" t="n"/>
      <c r="U332" s="50" t="n"/>
      <c r="V332" s="112">
        <f>((O332+R332)*100)/N332</f>
        <v/>
      </c>
      <c r="W332" s="112">
        <f>((P332+S332)*100)/N332</f>
        <v/>
      </c>
      <c r="X332" s="112">
        <f>((Q332+T332)*100)/N332</f>
        <v/>
      </c>
    </row>
    <row r="333" ht="22.5" customHeight="1" s="150">
      <c r="A333" s="34" t="n">
        <v>331</v>
      </c>
      <c r="B333" s="115">
        <f>C333+D333+E333+F333+G333+H333</f>
        <v/>
      </c>
      <c r="C333" s="50" t="n"/>
      <c r="D333" s="50" t="n"/>
      <c r="E333" s="50" t="n"/>
      <c r="F333" s="50" t="n"/>
      <c r="G333" s="50" t="n"/>
      <c r="H333" s="50" t="n"/>
      <c r="I333" s="111">
        <f>(100*B333)/N333</f>
        <v/>
      </c>
      <c r="J333" s="112">
        <f>((C333+F333)*100)/B333</f>
        <v/>
      </c>
      <c r="K333" s="112">
        <f>((D333+G333)*100)/B333</f>
        <v/>
      </c>
      <c r="L333" s="112">
        <f>((E333+H333)*100)/B333</f>
        <v/>
      </c>
      <c r="M333" s="113">
        <f>N333-B332</f>
        <v/>
      </c>
      <c r="N333" s="115">
        <f>O333+P333+Q333+R333+S333+T333</f>
        <v/>
      </c>
      <c r="O333" s="50" t="n"/>
      <c r="P333" s="50" t="n"/>
      <c r="Q333" s="50" t="n"/>
      <c r="R333" s="50" t="n"/>
      <c r="S333" s="50" t="n"/>
      <c r="T333" s="50" t="n"/>
      <c r="U333" s="50" t="n"/>
      <c r="V333" s="112">
        <f>((O333+R333)*100)/N333</f>
        <v/>
      </c>
      <c r="W333" s="112">
        <f>((P333+S333)*100)/N333</f>
        <v/>
      </c>
      <c r="X333" s="112">
        <f>((Q333+T333)*100)/N333</f>
        <v/>
      </c>
    </row>
    <row r="334" ht="22.5" customHeight="1" s="150">
      <c r="A334" s="34" t="n">
        <v>332</v>
      </c>
      <c r="B334" s="115">
        <f>C334+D334+E334+F334+G334+H334</f>
        <v/>
      </c>
      <c r="C334" s="50" t="n"/>
      <c r="D334" s="50" t="n"/>
      <c r="E334" s="50" t="n"/>
      <c r="F334" s="50" t="n"/>
      <c r="G334" s="50" t="n"/>
      <c r="H334" s="50" t="n"/>
      <c r="I334" s="111">
        <f>(100*B334)/N334</f>
        <v/>
      </c>
      <c r="J334" s="112">
        <f>((C334+F334)*100)/B334</f>
        <v/>
      </c>
      <c r="K334" s="112">
        <f>((D334+G334)*100)/B334</f>
        <v/>
      </c>
      <c r="L334" s="112">
        <f>((E334+H334)*100)/B334</f>
        <v/>
      </c>
      <c r="M334" s="113">
        <f>N334-B333</f>
        <v/>
      </c>
      <c r="N334" s="115">
        <f>O334+P334+Q334+R334+S334+T334</f>
        <v/>
      </c>
      <c r="O334" s="50" t="n"/>
      <c r="P334" s="50" t="n"/>
      <c r="Q334" s="50" t="n"/>
      <c r="R334" s="50" t="n"/>
      <c r="S334" s="50" t="n"/>
      <c r="T334" s="50" t="n"/>
      <c r="U334" s="50" t="n"/>
      <c r="V334" s="112">
        <f>((O334+R334)*100)/N334</f>
        <v/>
      </c>
      <c r="W334" s="112">
        <f>((P334+S334)*100)/N334</f>
        <v/>
      </c>
      <c r="X334" s="112">
        <f>((Q334+T334)*100)/N334</f>
        <v/>
      </c>
    </row>
    <row r="335" ht="22.5" customHeight="1" s="150">
      <c r="A335" s="34" t="n">
        <v>333</v>
      </c>
      <c r="B335" s="115">
        <f>C335+D335+E335+F335+G335+H335</f>
        <v/>
      </c>
      <c r="C335" s="50" t="n"/>
      <c r="D335" s="50" t="n"/>
      <c r="E335" s="50" t="n"/>
      <c r="F335" s="50" t="n"/>
      <c r="G335" s="50" t="n"/>
      <c r="H335" s="50" t="n"/>
      <c r="I335" s="111">
        <f>(100*B335)/N335</f>
        <v/>
      </c>
      <c r="J335" s="112">
        <f>((C335+F335)*100)/B335</f>
        <v/>
      </c>
      <c r="K335" s="112">
        <f>((D335+G335)*100)/B335</f>
        <v/>
      </c>
      <c r="L335" s="112">
        <f>((E335+H335)*100)/B335</f>
        <v/>
      </c>
      <c r="M335" s="113">
        <f>N335-B334</f>
        <v/>
      </c>
      <c r="N335" s="115">
        <f>O335+P335+Q335+R335+S335+T335</f>
        <v/>
      </c>
      <c r="O335" s="50" t="n"/>
      <c r="P335" s="50" t="n"/>
      <c r="Q335" s="50" t="n"/>
      <c r="R335" s="50" t="n"/>
      <c r="S335" s="50" t="n"/>
      <c r="T335" s="50" t="n"/>
      <c r="U335" s="50" t="n"/>
      <c r="V335" s="112">
        <f>((O335+R335)*100)/N335</f>
        <v/>
      </c>
      <c r="W335" s="112">
        <f>((P335+S335)*100)/N335</f>
        <v/>
      </c>
      <c r="X335" s="112">
        <f>((Q335+T335)*100)/N335</f>
        <v/>
      </c>
    </row>
    <row r="336" ht="22.5" customHeight="1" s="150">
      <c r="A336" s="34" t="n">
        <v>334</v>
      </c>
      <c r="B336" s="115">
        <f>C336+D336+E336+F336+G336+H336</f>
        <v/>
      </c>
      <c r="C336" s="50" t="n"/>
      <c r="D336" s="50" t="n"/>
      <c r="E336" s="50" t="n"/>
      <c r="F336" s="50" t="n"/>
      <c r="G336" s="50" t="n"/>
      <c r="H336" s="50" t="n"/>
      <c r="I336" s="111">
        <f>(100*B336)/N336</f>
        <v/>
      </c>
      <c r="J336" s="112">
        <f>((C336+F336)*100)/B336</f>
        <v/>
      </c>
      <c r="K336" s="112">
        <f>((D336+G336)*100)/B336</f>
        <v/>
      </c>
      <c r="L336" s="112">
        <f>((E336+H336)*100)/B336</f>
        <v/>
      </c>
      <c r="M336" s="113">
        <f>N336-B335</f>
        <v/>
      </c>
      <c r="N336" s="115">
        <f>O336+P336+Q336+R336+S336+T336</f>
        <v/>
      </c>
      <c r="O336" s="50" t="n"/>
      <c r="P336" s="50" t="n"/>
      <c r="Q336" s="50" t="n"/>
      <c r="R336" s="50" t="n"/>
      <c r="S336" s="50" t="n"/>
      <c r="T336" s="50" t="n"/>
      <c r="U336" s="50" t="n"/>
      <c r="V336" s="112">
        <f>((O336+R336)*100)/N336</f>
        <v/>
      </c>
      <c r="W336" s="112">
        <f>((P336+S336)*100)/N336</f>
        <v/>
      </c>
      <c r="X336" s="112">
        <f>((Q336+T336)*100)/N336</f>
        <v/>
      </c>
    </row>
    <row r="337" ht="22.5" customHeight="1" s="150">
      <c r="A337" s="34" t="n">
        <v>335</v>
      </c>
      <c r="B337" s="115">
        <f>C337+D337+E337+F337+G337+H337</f>
        <v/>
      </c>
      <c r="C337" s="50" t="n"/>
      <c r="D337" s="50" t="n"/>
      <c r="E337" s="50" t="n"/>
      <c r="F337" s="50" t="n"/>
      <c r="G337" s="50" t="n"/>
      <c r="H337" s="50" t="n"/>
      <c r="I337" s="111">
        <f>(100*B337)/N337</f>
        <v/>
      </c>
      <c r="J337" s="112">
        <f>((C337+F337)*100)/B337</f>
        <v/>
      </c>
      <c r="K337" s="112">
        <f>((D337+G337)*100)/B337</f>
        <v/>
      </c>
      <c r="L337" s="112">
        <f>((E337+H337)*100)/B337</f>
        <v/>
      </c>
      <c r="M337" s="113">
        <f>N337-B336</f>
        <v/>
      </c>
      <c r="N337" s="115">
        <f>O337+P337+Q337+R337+S337+T337</f>
        <v/>
      </c>
      <c r="O337" s="50" t="n"/>
      <c r="P337" s="50" t="n"/>
      <c r="Q337" s="50" t="n"/>
      <c r="R337" s="50" t="n"/>
      <c r="S337" s="50" t="n"/>
      <c r="T337" s="50" t="n"/>
      <c r="U337" s="50" t="n"/>
      <c r="V337" s="112">
        <f>((O337+R337)*100)/N337</f>
        <v/>
      </c>
      <c r="W337" s="112">
        <f>((P337+S337)*100)/N337</f>
        <v/>
      </c>
      <c r="X337" s="112">
        <f>((Q337+T337)*100)/N337</f>
        <v/>
      </c>
    </row>
    <row r="338" ht="22.5" customHeight="1" s="150">
      <c r="A338" s="34" t="n">
        <v>336</v>
      </c>
      <c r="B338" s="115">
        <f>C338+D338+E338+F338+G338+H338</f>
        <v/>
      </c>
      <c r="C338" s="50" t="n"/>
      <c r="D338" s="50" t="n"/>
      <c r="E338" s="50" t="n"/>
      <c r="F338" s="50" t="n"/>
      <c r="G338" s="50" t="n"/>
      <c r="H338" s="50" t="n"/>
      <c r="I338" s="111">
        <f>(100*B338)/N338</f>
        <v/>
      </c>
      <c r="J338" s="112">
        <f>((C338+F338)*100)/B338</f>
        <v/>
      </c>
      <c r="K338" s="112">
        <f>((D338+G338)*100)/B338</f>
        <v/>
      </c>
      <c r="L338" s="112">
        <f>((E338+H338)*100)/B338</f>
        <v/>
      </c>
      <c r="M338" s="113">
        <f>N338-B337</f>
        <v/>
      </c>
      <c r="N338" s="115">
        <f>O338+P338+Q338+R338+S338+T338</f>
        <v/>
      </c>
      <c r="O338" s="50" t="n"/>
      <c r="P338" s="50" t="n"/>
      <c r="Q338" s="50" t="n"/>
      <c r="R338" s="50" t="n"/>
      <c r="S338" s="50" t="n"/>
      <c r="T338" s="50" t="n"/>
      <c r="U338" s="50" t="n"/>
      <c r="V338" s="112">
        <f>((O338+R338)*100)/N338</f>
        <v/>
      </c>
      <c r="W338" s="112">
        <f>((P338+S338)*100)/N338</f>
        <v/>
      </c>
      <c r="X338" s="112">
        <f>((Q338+T338)*100)/N338</f>
        <v/>
      </c>
    </row>
    <row r="339" ht="22.5" customHeight="1" s="150">
      <c r="A339" s="34" t="n">
        <v>337</v>
      </c>
      <c r="B339" s="115">
        <f>C339+D339+E339+F339+G339+H339</f>
        <v/>
      </c>
      <c r="C339" s="50" t="n"/>
      <c r="D339" s="50" t="n"/>
      <c r="E339" s="50" t="n"/>
      <c r="F339" s="50" t="n"/>
      <c r="G339" s="50" t="n"/>
      <c r="H339" s="50" t="n"/>
      <c r="I339" s="111">
        <f>(100*B339)/N339</f>
        <v/>
      </c>
      <c r="J339" s="112">
        <f>((C339+F339)*100)/B339</f>
        <v/>
      </c>
      <c r="K339" s="112">
        <f>((D339+G339)*100)/B339</f>
        <v/>
      </c>
      <c r="L339" s="112">
        <f>((E339+H339)*100)/B339</f>
        <v/>
      </c>
      <c r="M339" s="113">
        <f>N339-B338</f>
        <v/>
      </c>
      <c r="N339" s="115">
        <f>O339+P339+Q339+R339+S339+T339</f>
        <v/>
      </c>
      <c r="O339" s="50" t="n"/>
      <c r="P339" s="50" t="n"/>
      <c r="Q339" s="50" t="n"/>
      <c r="R339" s="50" t="n"/>
      <c r="S339" s="50" t="n"/>
      <c r="T339" s="50" t="n"/>
      <c r="U339" s="50" t="n"/>
      <c r="V339" s="112">
        <f>((O339+R339)*100)/N339</f>
        <v/>
      </c>
      <c r="W339" s="112">
        <f>((P339+S339)*100)/N339</f>
        <v/>
      </c>
      <c r="X339" s="112">
        <f>((Q339+T339)*100)/N339</f>
        <v/>
      </c>
    </row>
    <row r="340" ht="22.5" customHeight="1" s="150">
      <c r="A340" s="34" t="n">
        <v>338</v>
      </c>
      <c r="B340" s="115">
        <f>C340+D340+E340+F340+G340+H340</f>
        <v/>
      </c>
      <c r="C340" s="50" t="n"/>
      <c r="D340" s="50" t="n"/>
      <c r="E340" s="50" t="n"/>
      <c r="F340" s="50" t="n"/>
      <c r="G340" s="50" t="n"/>
      <c r="H340" s="50" t="n"/>
      <c r="I340" s="111">
        <f>(100*B340)/N340</f>
        <v/>
      </c>
      <c r="J340" s="112">
        <f>((C340+F340)*100)/B340</f>
        <v/>
      </c>
      <c r="K340" s="112">
        <f>((D340+G340)*100)/B340</f>
        <v/>
      </c>
      <c r="L340" s="112">
        <f>((E340+H340)*100)/B340</f>
        <v/>
      </c>
      <c r="M340" s="113">
        <f>N340-B339</f>
        <v/>
      </c>
      <c r="N340" s="115">
        <f>O340+P340+Q340+R340+S340+T340</f>
        <v/>
      </c>
      <c r="O340" s="50" t="n"/>
      <c r="P340" s="50" t="n"/>
      <c r="Q340" s="50" t="n"/>
      <c r="R340" s="50" t="n"/>
      <c r="S340" s="50" t="n"/>
      <c r="T340" s="50" t="n"/>
      <c r="U340" s="50" t="n"/>
      <c r="V340" s="112">
        <f>((O340+R340)*100)/N340</f>
        <v/>
      </c>
      <c r="W340" s="112">
        <f>((P340+S340)*100)/N340</f>
        <v/>
      </c>
      <c r="X340" s="112">
        <f>((Q340+T340)*100)/N340</f>
        <v/>
      </c>
    </row>
    <row r="341" ht="22.5" customHeight="1" s="150">
      <c r="A341" s="34" t="n">
        <v>339</v>
      </c>
      <c r="B341" s="115">
        <f>C341+D341+E341+F341+G341+H341</f>
        <v/>
      </c>
      <c r="C341" s="50" t="n"/>
      <c r="D341" s="50" t="n"/>
      <c r="E341" s="50" t="n"/>
      <c r="F341" s="50" t="n"/>
      <c r="G341" s="50" t="n"/>
      <c r="H341" s="50" t="n"/>
      <c r="I341" s="111">
        <f>(100*B341)/N341</f>
        <v/>
      </c>
      <c r="J341" s="112">
        <f>((C341+F341)*100)/B341</f>
        <v/>
      </c>
      <c r="K341" s="112">
        <f>((D341+G341)*100)/B341</f>
        <v/>
      </c>
      <c r="L341" s="112">
        <f>((E341+H341)*100)/B341</f>
        <v/>
      </c>
      <c r="M341" s="113">
        <f>N341-B340</f>
        <v/>
      </c>
      <c r="N341" s="115">
        <f>O341+P341+Q341+R341+S341+T341</f>
        <v/>
      </c>
      <c r="O341" s="50" t="n"/>
      <c r="P341" s="50" t="n"/>
      <c r="Q341" s="50" t="n"/>
      <c r="R341" s="50" t="n"/>
      <c r="S341" s="50" t="n"/>
      <c r="T341" s="50" t="n"/>
      <c r="U341" s="50" t="n"/>
      <c r="V341" s="112">
        <f>((O341+R341)*100)/N341</f>
        <v/>
      </c>
      <c r="W341" s="112">
        <f>((P341+S341)*100)/N341</f>
        <v/>
      </c>
      <c r="X341" s="112">
        <f>((Q341+T341)*100)/N341</f>
        <v/>
      </c>
    </row>
    <row r="342" ht="22.5" customHeight="1" s="150">
      <c r="A342" s="34" t="n">
        <v>340</v>
      </c>
      <c r="B342" s="115">
        <f>C342+D342+E342+F342+G342+H342</f>
        <v/>
      </c>
      <c r="C342" s="50" t="n"/>
      <c r="D342" s="50" t="n"/>
      <c r="E342" s="50" t="n"/>
      <c r="F342" s="50" t="n"/>
      <c r="G342" s="50" t="n"/>
      <c r="H342" s="50" t="n"/>
      <c r="I342" s="111">
        <f>(100*B342)/N342</f>
        <v/>
      </c>
      <c r="J342" s="112">
        <f>((C342+F342)*100)/B342</f>
        <v/>
      </c>
      <c r="K342" s="112">
        <f>((D342+G342)*100)/B342</f>
        <v/>
      </c>
      <c r="L342" s="112">
        <f>((E342+H342)*100)/B342</f>
        <v/>
      </c>
      <c r="M342" s="113">
        <f>N342-B341</f>
        <v/>
      </c>
      <c r="N342" s="115">
        <f>O342+P342+Q342+R342+S342+T342</f>
        <v/>
      </c>
      <c r="O342" s="50" t="n"/>
      <c r="P342" s="50" t="n"/>
      <c r="Q342" s="50" t="n"/>
      <c r="R342" s="50" t="n"/>
      <c r="S342" s="50" t="n"/>
      <c r="T342" s="50" t="n"/>
      <c r="U342" s="50" t="n"/>
      <c r="V342" s="112">
        <f>((O342+R342)*100)/N342</f>
        <v/>
      </c>
      <c r="W342" s="112">
        <f>((P342+S342)*100)/N342</f>
        <v/>
      </c>
      <c r="X342" s="112">
        <f>((Q342+T342)*100)/N342</f>
        <v/>
      </c>
    </row>
    <row r="343" ht="22.5" customHeight="1" s="150">
      <c r="A343" s="34" t="n">
        <v>341</v>
      </c>
      <c r="B343" s="115">
        <f>C343+D343+E343+F343+G343+H343</f>
        <v/>
      </c>
      <c r="C343" s="50" t="n"/>
      <c r="D343" s="50" t="n"/>
      <c r="E343" s="50" t="n"/>
      <c r="F343" s="50" t="n"/>
      <c r="G343" s="50" t="n"/>
      <c r="H343" s="50" t="n"/>
      <c r="I343" s="111">
        <f>(100*B343)/N343</f>
        <v/>
      </c>
      <c r="J343" s="112">
        <f>((C343+F343)*100)/B343</f>
        <v/>
      </c>
      <c r="K343" s="112">
        <f>((D343+G343)*100)/B343</f>
        <v/>
      </c>
      <c r="L343" s="112">
        <f>((E343+H343)*100)/B343</f>
        <v/>
      </c>
      <c r="M343" s="113">
        <f>N343-B342</f>
        <v/>
      </c>
      <c r="N343" s="115">
        <f>O343+P343+Q343+R343+S343+T343</f>
        <v/>
      </c>
      <c r="O343" s="50" t="n"/>
      <c r="P343" s="50" t="n"/>
      <c r="Q343" s="50" t="n"/>
      <c r="R343" s="50" t="n"/>
      <c r="S343" s="50" t="n"/>
      <c r="T343" s="50" t="n"/>
      <c r="U343" s="50" t="n"/>
      <c r="V343" s="112">
        <f>((O343+R343)*100)/N343</f>
        <v/>
      </c>
      <c r="W343" s="112">
        <f>((P343+S343)*100)/N343</f>
        <v/>
      </c>
      <c r="X343" s="112">
        <f>((Q343+T343)*100)/N343</f>
        <v/>
      </c>
    </row>
    <row r="344" ht="22.5" customHeight="1" s="150">
      <c r="A344" s="34" t="n">
        <v>342</v>
      </c>
      <c r="B344" s="115">
        <f>C344+D344+E344+F344+G344+H344</f>
        <v/>
      </c>
      <c r="C344" s="50" t="n"/>
      <c r="D344" s="50" t="n"/>
      <c r="E344" s="50" t="n"/>
      <c r="F344" s="50" t="n"/>
      <c r="G344" s="50" t="n"/>
      <c r="H344" s="50" t="n"/>
      <c r="I344" s="111">
        <f>(100*B344)/N344</f>
        <v/>
      </c>
      <c r="J344" s="112">
        <f>((C344+F344)*100)/B344</f>
        <v/>
      </c>
      <c r="K344" s="112">
        <f>((D344+G344)*100)/B344</f>
        <v/>
      </c>
      <c r="L344" s="112">
        <f>((E344+H344)*100)/B344</f>
        <v/>
      </c>
      <c r="M344" s="113">
        <f>N344-B343</f>
        <v/>
      </c>
      <c r="N344" s="115">
        <f>O344+P344+Q344+R344+S344+T344</f>
        <v/>
      </c>
      <c r="O344" s="50" t="n"/>
      <c r="P344" s="50" t="n"/>
      <c r="Q344" s="50" t="n"/>
      <c r="R344" s="50" t="n"/>
      <c r="S344" s="50" t="n"/>
      <c r="T344" s="50" t="n"/>
      <c r="U344" s="50" t="n"/>
      <c r="V344" s="112">
        <f>((O344+R344)*100)/N344</f>
        <v/>
      </c>
      <c r="W344" s="112">
        <f>((P344+S344)*100)/N344</f>
        <v/>
      </c>
      <c r="X344" s="112">
        <f>((Q344+T344)*100)/N344</f>
        <v/>
      </c>
    </row>
    <row r="345" ht="22.5" customHeight="1" s="150">
      <c r="A345" s="34" t="n">
        <v>343</v>
      </c>
      <c r="B345" s="115">
        <f>C345+D345+E345+F345+G345+H345</f>
        <v/>
      </c>
      <c r="C345" s="50" t="n"/>
      <c r="D345" s="50" t="n"/>
      <c r="E345" s="50" t="n"/>
      <c r="F345" s="50" t="n"/>
      <c r="G345" s="50" t="n"/>
      <c r="H345" s="50" t="n"/>
      <c r="I345" s="111">
        <f>(100*B345)/N345</f>
        <v/>
      </c>
      <c r="J345" s="112">
        <f>((C345+F345)*100)/B345</f>
        <v/>
      </c>
      <c r="K345" s="112">
        <f>((D345+G345)*100)/B345</f>
        <v/>
      </c>
      <c r="L345" s="112">
        <f>((E345+H345)*100)/B345</f>
        <v/>
      </c>
      <c r="M345" s="113">
        <f>N345-B344</f>
        <v/>
      </c>
      <c r="N345" s="115">
        <f>O345+P345+Q345+R345+S345+T345</f>
        <v/>
      </c>
      <c r="O345" s="50" t="n"/>
      <c r="P345" s="50" t="n"/>
      <c r="Q345" s="50" t="n"/>
      <c r="R345" s="50" t="n"/>
      <c r="S345" s="50" t="n"/>
      <c r="T345" s="50" t="n"/>
      <c r="U345" s="50" t="n"/>
      <c r="V345" s="112">
        <f>((O345+R345)*100)/N345</f>
        <v/>
      </c>
      <c r="W345" s="112">
        <f>((P345+S345)*100)/N345</f>
        <v/>
      </c>
      <c r="X345" s="112">
        <f>((Q345+T345)*100)/N345</f>
        <v/>
      </c>
    </row>
    <row r="346" ht="22.5" customHeight="1" s="150">
      <c r="A346" s="34" t="n">
        <v>344</v>
      </c>
      <c r="B346" s="115">
        <f>C346+D346+E346+F346+G346+H346</f>
        <v/>
      </c>
      <c r="C346" s="50" t="n"/>
      <c r="D346" s="50" t="n"/>
      <c r="E346" s="50" t="n"/>
      <c r="F346" s="50" t="n"/>
      <c r="G346" s="50" t="n"/>
      <c r="H346" s="50" t="n"/>
      <c r="I346" s="111">
        <f>(100*B346)/N346</f>
        <v/>
      </c>
      <c r="J346" s="112">
        <f>((C346+F346)*100)/B346</f>
        <v/>
      </c>
      <c r="K346" s="112">
        <f>((D346+G346)*100)/B346</f>
        <v/>
      </c>
      <c r="L346" s="112">
        <f>((E346+H346)*100)/B346</f>
        <v/>
      </c>
      <c r="M346" s="113">
        <f>N346-B345</f>
        <v/>
      </c>
      <c r="N346" s="115">
        <f>O346+P346+Q346+R346+S346+T346</f>
        <v/>
      </c>
      <c r="O346" s="50" t="n"/>
      <c r="P346" s="50" t="n"/>
      <c r="Q346" s="50" t="n"/>
      <c r="R346" s="50" t="n"/>
      <c r="S346" s="50" t="n"/>
      <c r="T346" s="50" t="n"/>
      <c r="U346" s="50" t="n"/>
      <c r="V346" s="112">
        <f>((O346+R346)*100)/N346</f>
        <v/>
      </c>
      <c r="W346" s="112">
        <f>((P346+S346)*100)/N346</f>
        <v/>
      </c>
      <c r="X346" s="112">
        <f>((Q346+T346)*100)/N346</f>
        <v/>
      </c>
    </row>
    <row r="347" ht="22.5" customHeight="1" s="150">
      <c r="A347" s="34" t="n">
        <v>345</v>
      </c>
      <c r="B347" s="115">
        <f>C347+D347+E347+F347+G347+H347</f>
        <v/>
      </c>
      <c r="C347" s="50" t="n"/>
      <c r="D347" s="50" t="n"/>
      <c r="E347" s="50" t="n"/>
      <c r="F347" s="50" t="n"/>
      <c r="G347" s="50" t="n"/>
      <c r="H347" s="50" t="n"/>
      <c r="I347" s="111">
        <f>(100*B347)/N347</f>
        <v/>
      </c>
      <c r="J347" s="112">
        <f>((C347+F347)*100)/B347</f>
        <v/>
      </c>
      <c r="K347" s="112">
        <f>((D347+G347)*100)/B347</f>
        <v/>
      </c>
      <c r="L347" s="112">
        <f>((E347+H347)*100)/B347</f>
        <v/>
      </c>
      <c r="M347" s="113">
        <f>N347-B346</f>
        <v/>
      </c>
      <c r="N347" s="115">
        <f>O347+P347+Q347+R347+S347+T347</f>
        <v/>
      </c>
      <c r="O347" s="50" t="n"/>
      <c r="P347" s="50" t="n"/>
      <c r="Q347" s="50" t="n"/>
      <c r="R347" s="50" t="n"/>
      <c r="S347" s="50" t="n"/>
      <c r="T347" s="50" t="n"/>
      <c r="U347" s="50" t="n"/>
      <c r="V347" s="112">
        <f>((O347+R347)*100)/N347</f>
        <v/>
      </c>
      <c r="W347" s="112">
        <f>((P347+S347)*100)/N347</f>
        <v/>
      </c>
      <c r="X347" s="112">
        <f>((Q347+T347)*100)/N347</f>
        <v/>
      </c>
    </row>
    <row r="348" ht="22.5" customHeight="1" s="150">
      <c r="A348" s="34" t="n">
        <v>346</v>
      </c>
      <c r="B348" s="115">
        <f>C348+D348+E348+F348+G348+H348</f>
        <v/>
      </c>
      <c r="C348" s="50" t="n"/>
      <c r="D348" s="50" t="n"/>
      <c r="E348" s="50" t="n"/>
      <c r="F348" s="50" t="n"/>
      <c r="G348" s="50" t="n"/>
      <c r="H348" s="50" t="n"/>
      <c r="I348" s="111">
        <f>(100*B348)/N348</f>
        <v/>
      </c>
      <c r="J348" s="112">
        <f>((C348+F348)*100)/B348</f>
        <v/>
      </c>
      <c r="K348" s="112">
        <f>((D348+G348)*100)/B348</f>
        <v/>
      </c>
      <c r="L348" s="112">
        <f>((E348+H348)*100)/B348</f>
        <v/>
      </c>
      <c r="M348" s="113">
        <f>N348-B347</f>
        <v/>
      </c>
      <c r="N348" s="115">
        <f>O348+P348+Q348+R348+S348+T348</f>
        <v/>
      </c>
      <c r="O348" s="50" t="n"/>
      <c r="P348" s="50" t="n"/>
      <c r="Q348" s="50" t="n"/>
      <c r="R348" s="50" t="n"/>
      <c r="S348" s="50" t="n"/>
      <c r="T348" s="50" t="n"/>
      <c r="U348" s="50" t="n"/>
      <c r="V348" s="112">
        <f>((O348+R348)*100)/N348</f>
        <v/>
      </c>
      <c r="W348" s="112">
        <f>((P348+S348)*100)/N348</f>
        <v/>
      </c>
      <c r="X348" s="112">
        <f>((Q348+T348)*100)/N348</f>
        <v/>
      </c>
    </row>
    <row r="349" ht="22.5" customHeight="1" s="150">
      <c r="A349" s="34" t="n">
        <v>347</v>
      </c>
      <c r="B349" s="115">
        <f>C349+D349+E349+F349+G349+H349</f>
        <v/>
      </c>
      <c r="C349" s="50" t="n"/>
      <c r="D349" s="50" t="n"/>
      <c r="E349" s="50" t="n"/>
      <c r="F349" s="50" t="n"/>
      <c r="G349" s="50" t="n"/>
      <c r="H349" s="50" t="n"/>
      <c r="I349" s="111">
        <f>(100*B349)/N349</f>
        <v/>
      </c>
      <c r="J349" s="112">
        <f>((C349+F349)*100)/B349</f>
        <v/>
      </c>
      <c r="K349" s="112">
        <f>((D349+G349)*100)/B349</f>
        <v/>
      </c>
      <c r="L349" s="112">
        <f>((E349+H349)*100)/B349</f>
        <v/>
      </c>
      <c r="M349" s="113">
        <f>N349-B348</f>
        <v/>
      </c>
      <c r="N349" s="115">
        <f>O349+P349+Q349+R349+S349+T349</f>
        <v/>
      </c>
      <c r="O349" s="50" t="n"/>
      <c r="P349" s="50" t="n"/>
      <c r="Q349" s="50" t="n"/>
      <c r="R349" s="50" t="n"/>
      <c r="S349" s="50" t="n"/>
      <c r="T349" s="50" t="n"/>
      <c r="U349" s="50" t="n"/>
      <c r="V349" s="112">
        <f>((O349+R349)*100)/N349</f>
        <v/>
      </c>
      <c r="W349" s="112">
        <f>((P349+S349)*100)/N349</f>
        <v/>
      </c>
      <c r="X349" s="112">
        <f>((Q349+T349)*100)/N349</f>
        <v/>
      </c>
    </row>
    <row r="350" ht="22.5" customHeight="1" s="150">
      <c r="A350" s="34" t="n">
        <v>348</v>
      </c>
      <c r="B350" s="115">
        <f>C350+D350+E350+F350+G350+H350</f>
        <v/>
      </c>
      <c r="C350" s="50" t="n"/>
      <c r="D350" s="50" t="n"/>
      <c r="E350" s="50" t="n"/>
      <c r="F350" s="50" t="n"/>
      <c r="G350" s="50" t="n"/>
      <c r="H350" s="50" t="n"/>
      <c r="I350" s="111">
        <f>(100*B350)/N350</f>
        <v/>
      </c>
      <c r="J350" s="112">
        <f>((C350+F350)*100)/B350</f>
        <v/>
      </c>
      <c r="K350" s="112">
        <f>((D350+G350)*100)/B350</f>
        <v/>
      </c>
      <c r="L350" s="112">
        <f>((E350+H350)*100)/B350</f>
        <v/>
      </c>
      <c r="M350" s="113">
        <f>N350-B349</f>
        <v/>
      </c>
      <c r="N350" s="115">
        <f>O350+P350+Q350+R350+S350+T350</f>
        <v/>
      </c>
      <c r="O350" s="50" t="n"/>
      <c r="P350" s="50" t="n"/>
      <c r="Q350" s="50" t="n"/>
      <c r="R350" s="50" t="n"/>
      <c r="S350" s="50" t="n"/>
      <c r="T350" s="50" t="n"/>
      <c r="U350" s="50" t="n"/>
      <c r="V350" s="112">
        <f>((O350+R350)*100)/N350</f>
        <v/>
      </c>
      <c r="W350" s="112">
        <f>((P350+S350)*100)/N350</f>
        <v/>
      </c>
      <c r="X350" s="112">
        <f>((Q350+T350)*100)/N350</f>
        <v/>
      </c>
    </row>
    <row r="351" ht="22.5" customHeight="1" s="150">
      <c r="A351" s="34" t="n">
        <v>349</v>
      </c>
      <c r="B351" s="115">
        <f>C351+D351+E351+F351+G351+H351</f>
        <v/>
      </c>
      <c r="C351" s="50" t="n"/>
      <c r="D351" s="50" t="n"/>
      <c r="E351" s="50" t="n"/>
      <c r="F351" s="50" t="n"/>
      <c r="G351" s="50" t="n"/>
      <c r="H351" s="50" t="n"/>
      <c r="I351" s="111">
        <f>(100*B351)/N351</f>
        <v/>
      </c>
      <c r="J351" s="112">
        <f>((C351+F351)*100)/B351</f>
        <v/>
      </c>
      <c r="K351" s="112">
        <f>((D351+G351)*100)/B351</f>
        <v/>
      </c>
      <c r="L351" s="112">
        <f>((E351+H351)*100)/B351</f>
        <v/>
      </c>
      <c r="M351" s="113">
        <f>N351-B350</f>
        <v/>
      </c>
      <c r="N351" s="115">
        <f>O351+P351+Q351+R351+S351+T351</f>
        <v/>
      </c>
      <c r="O351" s="50" t="n"/>
      <c r="P351" s="50" t="n"/>
      <c r="Q351" s="50" t="n"/>
      <c r="R351" s="50" t="n"/>
      <c r="S351" s="50" t="n"/>
      <c r="T351" s="50" t="n"/>
      <c r="U351" s="50" t="n"/>
      <c r="V351" s="112">
        <f>((O351+R351)*100)/N351</f>
        <v/>
      </c>
      <c r="W351" s="112">
        <f>((P351+S351)*100)/N351</f>
        <v/>
      </c>
      <c r="X351" s="112">
        <f>((Q351+T351)*100)/N351</f>
        <v/>
      </c>
    </row>
    <row r="352" ht="22.5" customHeight="1" s="150">
      <c r="A352" s="34" t="n">
        <v>350</v>
      </c>
      <c r="B352" s="115">
        <f>C352+D352+E352+F352+G352+H352</f>
        <v/>
      </c>
      <c r="C352" s="50" t="n"/>
      <c r="D352" s="50" t="n"/>
      <c r="E352" s="50" t="n"/>
      <c r="F352" s="50" t="n"/>
      <c r="G352" s="50" t="n"/>
      <c r="H352" s="50" t="n"/>
      <c r="I352" s="111">
        <f>(100*B352)/N352</f>
        <v/>
      </c>
      <c r="J352" s="112">
        <f>((C352+F352)*100)/B352</f>
        <v/>
      </c>
      <c r="K352" s="112">
        <f>((D352+G352)*100)/B352</f>
        <v/>
      </c>
      <c r="L352" s="112">
        <f>((E352+H352)*100)/B352</f>
        <v/>
      </c>
      <c r="M352" s="113">
        <f>N352-B351</f>
        <v/>
      </c>
      <c r="N352" s="115">
        <f>O352+P352+Q352+R352+S352+T352</f>
        <v/>
      </c>
      <c r="O352" s="50" t="n"/>
      <c r="P352" s="50" t="n"/>
      <c r="Q352" s="50" t="n"/>
      <c r="R352" s="50" t="n"/>
      <c r="S352" s="50" t="n"/>
      <c r="T352" s="50" t="n"/>
      <c r="U352" s="50" t="n"/>
      <c r="V352" s="112">
        <f>((O352+R352)*100)/N352</f>
        <v/>
      </c>
      <c r="W352" s="112">
        <f>((P352+S352)*100)/N352</f>
        <v/>
      </c>
      <c r="X352" s="112">
        <f>((Q352+T352)*100)/N352</f>
        <v/>
      </c>
    </row>
    <row r="353" ht="22.5" customHeight="1" s="150">
      <c r="A353" s="34" t="n">
        <v>351</v>
      </c>
      <c r="B353" s="115">
        <f>C353+D353+E353+F353+G353+H353</f>
        <v/>
      </c>
      <c r="C353" s="50" t="n"/>
      <c r="D353" s="50" t="n"/>
      <c r="E353" s="50" t="n"/>
      <c r="F353" s="50" t="n"/>
      <c r="G353" s="50" t="n"/>
      <c r="H353" s="50" t="n"/>
      <c r="I353" s="111">
        <f>(100*B353)/N353</f>
        <v/>
      </c>
      <c r="J353" s="112">
        <f>((C353+F353)*100)/B353</f>
        <v/>
      </c>
      <c r="K353" s="112">
        <f>((D353+G353)*100)/B353</f>
        <v/>
      </c>
      <c r="L353" s="112">
        <f>((E353+H353)*100)/B353</f>
        <v/>
      </c>
      <c r="M353" s="113">
        <f>N353-B352</f>
        <v/>
      </c>
      <c r="N353" s="115">
        <f>O353+P353+Q353+R353+S353+T353</f>
        <v/>
      </c>
      <c r="O353" s="50" t="n"/>
      <c r="P353" s="50" t="n"/>
      <c r="Q353" s="50" t="n"/>
      <c r="R353" s="50" t="n"/>
      <c r="S353" s="50" t="n"/>
      <c r="T353" s="50" t="n"/>
      <c r="U353" s="50" t="n"/>
      <c r="V353" s="112">
        <f>((O353+R353)*100)/N353</f>
        <v/>
      </c>
      <c r="W353" s="112">
        <f>((P353+S353)*100)/N353</f>
        <v/>
      </c>
      <c r="X353" s="112">
        <f>((Q353+T353)*100)/N353</f>
        <v/>
      </c>
    </row>
    <row r="354" ht="22.5" customHeight="1" s="150">
      <c r="A354" s="34" t="n">
        <v>352</v>
      </c>
      <c r="B354" s="115">
        <f>C354+D354+E354+F354+G354+H354</f>
        <v/>
      </c>
      <c r="C354" s="50" t="n"/>
      <c r="D354" s="50" t="n"/>
      <c r="E354" s="50" t="n"/>
      <c r="F354" s="50" t="n"/>
      <c r="G354" s="50" t="n"/>
      <c r="H354" s="50" t="n"/>
      <c r="I354" s="111">
        <f>(100*B354)/N354</f>
        <v/>
      </c>
      <c r="J354" s="112">
        <f>((C354+F354)*100)/B354</f>
        <v/>
      </c>
      <c r="K354" s="112">
        <f>((D354+G354)*100)/B354</f>
        <v/>
      </c>
      <c r="L354" s="112">
        <f>((E354+H354)*100)/B354</f>
        <v/>
      </c>
      <c r="M354" s="113">
        <f>N354-B353</f>
        <v/>
      </c>
      <c r="N354" s="115">
        <f>O354+P354+Q354+R354+S354+T354</f>
        <v/>
      </c>
      <c r="O354" s="50" t="n"/>
      <c r="P354" s="50" t="n"/>
      <c r="Q354" s="50" t="n"/>
      <c r="R354" s="50" t="n"/>
      <c r="S354" s="50" t="n"/>
      <c r="T354" s="50" t="n"/>
      <c r="U354" s="50" t="n"/>
      <c r="V354" s="112">
        <f>((O354+R354)*100)/N354</f>
        <v/>
      </c>
      <c r="W354" s="112">
        <f>((P354+S354)*100)/N354</f>
        <v/>
      </c>
      <c r="X354" s="112">
        <f>((Q354+T354)*100)/N354</f>
        <v/>
      </c>
    </row>
    <row r="355" ht="22.5" customHeight="1" s="150">
      <c r="A355" s="34" t="n">
        <v>353</v>
      </c>
      <c r="B355" s="115">
        <f>C355+D355+E355+F355+G355+H355</f>
        <v/>
      </c>
      <c r="C355" s="50" t="n"/>
      <c r="D355" s="50" t="n"/>
      <c r="E355" s="50" t="n"/>
      <c r="F355" s="50" t="n"/>
      <c r="G355" s="50" t="n"/>
      <c r="H355" s="50" t="n"/>
      <c r="I355" s="111">
        <f>(100*B355)/N355</f>
        <v/>
      </c>
      <c r="J355" s="112">
        <f>((C355+F355)*100)/B355</f>
        <v/>
      </c>
      <c r="K355" s="112">
        <f>((D355+G355)*100)/B355</f>
        <v/>
      </c>
      <c r="L355" s="112">
        <f>((E355+H355)*100)/B355</f>
        <v/>
      </c>
      <c r="M355" s="113">
        <f>N355-B354</f>
        <v/>
      </c>
      <c r="N355" s="115">
        <f>O355+P355+Q355+R355+S355+T355</f>
        <v/>
      </c>
      <c r="O355" s="50" t="n"/>
      <c r="P355" s="50" t="n"/>
      <c r="Q355" s="50" t="n"/>
      <c r="R355" s="50" t="n"/>
      <c r="S355" s="50" t="n"/>
      <c r="T355" s="50" t="n"/>
      <c r="U355" s="50" t="n"/>
      <c r="V355" s="112">
        <f>((O355+R355)*100)/N355</f>
        <v/>
      </c>
      <c r="W355" s="112">
        <f>((P355+S355)*100)/N355</f>
        <v/>
      </c>
      <c r="X355" s="112">
        <f>((Q355+T355)*100)/N355</f>
        <v/>
      </c>
    </row>
    <row r="356" ht="22.5" customHeight="1" s="150">
      <c r="A356" s="34" t="n">
        <v>354</v>
      </c>
      <c r="B356" s="115">
        <f>C356+D356+E356+F356+G356+H356</f>
        <v/>
      </c>
      <c r="C356" s="50" t="n"/>
      <c r="D356" s="50" t="n"/>
      <c r="E356" s="50" t="n"/>
      <c r="F356" s="50" t="n"/>
      <c r="G356" s="50" t="n"/>
      <c r="H356" s="50" t="n"/>
      <c r="I356" s="111">
        <f>(100*B356)/N356</f>
        <v/>
      </c>
      <c r="J356" s="112">
        <f>((C356+F356)*100)/B356</f>
        <v/>
      </c>
      <c r="K356" s="112">
        <f>((D356+G356)*100)/B356</f>
        <v/>
      </c>
      <c r="L356" s="112">
        <f>((E356+H356)*100)/B356</f>
        <v/>
      </c>
      <c r="M356" s="113">
        <f>N356-B355</f>
        <v/>
      </c>
      <c r="N356" s="115">
        <f>O356+P356+Q356+R356+S356+T356</f>
        <v/>
      </c>
      <c r="O356" s="50" t="n"/>
      <c r="P356" s="50" t="n"/>
      <c r="Q356" s="50" t="n"/>
      <c r="R356" s="50" t="n"/>
      <c r="S356" s="50" t="n"/>
      <c r="T356" s="50" t="n"/>
      <c r="U356" s="50" t="n"/>
      <c r="V356" s="112">
        <f>((O356+R356)*100)/N356</f>
        <v/>
      </c>
      <c r="W356" s="112">
        <f>((P356+S356)*100)/N356</f>
        <v/>
      </c>
      <c r="X356" s="112">
        <f>((Q356+T356)*100)/N356</f>
        <v/>
      </c>
    </row>
    <row r="357" ht="22.5" customHeight="1" s="150">
      <c r="A357" s="34" t="n">
        <v>355</v>
      </c>
      <c r="B357" s="115">
        <f>C357+D357+E357+F357+G357+H357</f>
        <v/>
      </c>
      <c r="C357" s="50" t="n"/>
      <c r="D357" s="50" t="n"/>
      <c r="E357" s="50" t="n"/>
      <c r="F357" s="50" t="n"/>
      <c r="G357" s="50" t="n"/>
      <c r="H357" s="50" t="n"/>
      <c r="I357" s="111">
        <f>(100*B357)/N357</f>
        <v/>
      </c>
      <c r="J357" s="112">
        <f>((C357+F357)*100)/B357</f>
        <v/>
      </c>
      <c r="K357" s="112">
        <f>((D357+G357)*100)/B357</f>
        <v/>
      </c>
      <c r="L357" s="112">
        <f>((E357+H357)*100)/B357</f>
        <v/>
      </c>
      <c r="M357" s="113">
        <f>N357-B356</f>
        <v/>
      </c>
      <c r="N357" s="115">
        <f>O357+P357+Q357+R357+S357+T357</f>
        <v/>
      </c>
      <c r="O357" s="50" t="n"/>
      <c r="P357" s="50" t="n"/>
      <c r="Q357" s="50" t="n"/>
      <c r="R357" s="50" t="n"/>
      <c r="S357" s="50" t="n"/>
      <c r="T357" s="50" t="n"/>
      <c r="U357" s="50" t="n"/>
      <c r="V357" s="112">
        <f>((O357+R357)*100)/N357</f>
        <v/>
      </c>
      <c r="W357" s="112">
        <f>((P357+S357)*100)/N357</f>
        <v/>
      </c>
      <c r="X357" s="112">
        <f>((Q357+T357)*100)/N357</f>
        <v/>
      </c>
    </row>
    <row r="358" ht="22.5" customHeight="1" s="150">
      <c r="A358" s="34" t="n">
        <v>356</v>
      </c>
      <c r="B358" s="115">
        <f>C358+D358+E358+F358+G358+H358</f>
        <v/>
      </c>
      <c r="C358" s="50" t="n"/>
      <c r="D358" s="50" t="n"/>
      <c r="E358" s="50" t="n"/>
      <c r="F358" s="50" t="n"/>
      <c r="G358" s="50" t="n"/>
      <c r="H358" s="50" t="n"/>
      <c r="I358" s="111">
        <f>(100*B358)/N358</f>
        <v/>
      </c>
      <c r="J358" s="112">
        <f>((C358+F358)*100)/B358</f>
        <v/>
      </c>
      <c r="K358" s="112">
        <f>((D358+G358)*100)/B358</f>
        <v/>
      </c>
      <c r="L358" s="112">
        <f>((E358+H358)*100)/B358</f>
        <v/>
      </c>
      <c r="M358" s="113">
        <f>N358-B357</f>
        <v/>
      </c>
      <c r="N358" s="115">
        <f>O358+P358+Q358+R358+S358+T358</f>
        <v/>
      </c>
      <c r="O358" s="50" t="n"/>
      <c r="P358" s="50" t="n"/>
      <c r="Q358" s="50" t="n"/>
      <c r="R358" s="50" t="n"/>
      <c r="S358" s="50" t="n"/>
      <c r="T358" s="50" t="n"/>
      <c r="U358" s="50" t="n"/>
      <c r="V358" s="112">
        <f>((O358+R358)*100)/N358</f>
        <v/>
      </c>
      <c r="W358" s="112">
        <f>((P358+S358)*100)/N358</f>
        <v/>
      </c>
      <c r="X358" s="112">
        <f>((Q358+T358)*100)/N358</f>
        <v/>
      </c>
    </row>
    <row r="359" ht="22.5" customHeight="1" s="150">
      <c r="A359" s="34" t="n">
        <v>357</v>
      </c>
      <c r="B359" s="115">
        <f>C359+D359+E359+F359+G359+H359</f>
        <v/>
      </c>
      <c r="C359" s="50" t="n"/>
      <c r="D359" s="50" t="n"/>
      <c r="E359" s="50" t="n"/>
      <c r="F359" s="50" t="n"/>
      <c r="G359" s="50" t="n"/>
      <c r="H359" s="50" t="n"/>
      <c r="I359" s="111">
        <f>(100*B359)/N359</f>
        <v/>
      </c>
      <c r="J359" s="112">
        <f>((C359+F359)*100)/B359</f>
        <v/>
      </c>
      <c r="K359" s="112">
        <f>((D359+G359)*100)/B359</f>
        <v/>
      </c>
      <c r="L359" s="112">
        <f>((E359+H359)*100)/B359</f>
        <v/>
      </c>
      <c r="M359" s="113">
        <f>N359-B358</f>
        <v/>
      </c>
      <c r="N359" s="115">
        <f>O359+P359+Q359+R359+S359+T359</f>
        <v/>
      </c>
      <c r="O359" s="50" t="n"/>
      <c r="P359" s="50" t="n"/>
      <c r="Q359" s="50" t="n"/>
      <c r="R359" s="50" t="n"/>
      <c r="S359" s="50" t="n"/>
      <c r="T359" s="50" t="n"/>
      <c r="U359" s="50" t="n"/>
      <c r="V359" s="112">
        <f>((O359+R359)*100)/N359</f>
        <v/>
      </c>
      <c r="W359" s="112">
        <f>((P359+S359)*100)/N359</f>
        <v/>
      </c>
      <c r="X359" s="112">
        <f>((Q359+T359)*100)/N359</f>
        <v/>
      </c>
    </row>
    <row r="360" ht="22.5" customHeight="1" s="150">
      <c r="A360" s="34" t="n">
        <v>358</v>
      </c>
      <c r="B360" s="115">
        <f>C360+D360+E360+F360+G360+H360</f>
        <v/>
      </c>
      <c r="C360" s="50" t="n"/>
      <c r="D360" s="50" t="n"/>
      <c r="E360" s="50" t="n"/>
      <c r="F360" s="50" t="n"/>
      <c r="G360" s="50" t="n"/>
      <c r="H360" s="50" t="n"/>
      <c r="I360" s="111">
        <f>(100*B360)/N360</f>
        <v/>
      </c>
      <c r="J360" s="112">
        <f>((C360+F360)*100)/B360</f>
        <v/>
      </c>
      <c r="K360" s="112">
        <f>((D360+G360)*100)/B360</f>
        <v/>
      </c>
      <c r="L360" s="112">
        <f>((E360+H360)*100)/B360</f>
        <v/>
      </c>
      <c r="M360" s="113">
        <f>N360-B359</f>
        <v/>
      </c>
      <c r="N360" s="115">
        <f>O360+P360+Q360+R360+S360+T360</f>
        <v/>
      </c>
      <c r="O360" s="50" t="n"/>
      <c r="P360" s="50" t="n"/>
      <c r="Q360" s="50" t="n"/>
      <c r="R360" s="50" t="n"/>
      <c r="S360" s="50" t="n"/>
      <c r="T360" s="50" t="n"/>
      <c r="U360" s="50" t="n"/>
      <c r="V360" s="112">
        <f>((O360+R360)*100)/N360</f>
        <v/>
      </c>
      <c r="W360" s="112">
        <f>((P360+S360)*100)/N360</f>
        <v/>
      </c>
      <c r="X360" s="112">
        <f>((Q360+T360)*100)/N360</f>
        <v/>
      </c>
    </row>
    <row r="361" ht="22.5" customHeight="1" s="150">
      <c r="A361" s="34" t="n">
        <v>359</v>
      </c>
      <c r="B361" s="115">
        <f>C361+D361+E361+F361+G361+H361</f>
        <v/>
      </c>
      <c r="C361" s="50" t="n"/>
      <c r="D361" s="50" t="n"/>
      <c r="E361" s="50" t="n"/>
      <c r="F361" s="50" t="n"/>
      <c r="G361" s="50" t="n"/>
      <c r="H361" s="50" t="n"/>
      <c r="I361" s="111">
        <f>(100*B361)/N361</f>
        <v/>
      </c>
      <c r="J361" s="112">
        <f>((C361+F361)*100)/B361</f>
        <v/>
      </c>
      <c r="K361" s="112">
        <f>((D361+G361)*100)/B361</f>
        <v/>
      </c>
      <c r="L361" s="112">
        <f>((E361+H361)*100)/B361</f>
        <v/>
      </c>
      <c r="M361" s="113">
        <f>N361-B360</f>
        <v/>
      </c>
      <c r="N361" s="115">
        <f>O361+P361+Q361+R361+S361+T361</f>
        <v/>
      </c>
      <c r="O361" s="50" t="n"/>
      <c r="P361" s="50" t="n"/>
      <c r="Q361" s="50" t="n"/>
      <c r="R361" s="50" t="n"/>
      <c r="S361" s="50" t="n"/>
      <c r="T361" s="50" t="n"/>
      <c r="U361" s="50" t="n"/>
      <c r="V361" s="112">
        <f>((O361+R361)*100)/N361</f>
        <v/>
      </c>
      <c r="W361" s="112">
        <f>((P361+S361)*100)/N361</f>
        <v/>
      </c>
      <c r="X361" s="112">
        <f>((Q361+T361)*100)/N361</f>
        <v/>
      </c>
    </row>
    <row r="362" ht="22.5" customHeight="1" s="150">
      <c r="A362" s="34" t="n">
        <v>360</v>
      </c>
      <c r="B362" s="115">
        <f>C362+D362+E362+F362+G362+H362</f>
        <v/>
      </c>
      <c r="C362" s="50" t="n"/>
      <c r="D362" s="50" t="n"/>
      <c r="E362" s="50" t="n"/>
      <c r="F362" s="50" t="n"/>
      <c r="G362" s="50" t="n"/>
      <c r="H362" s="50" t="n"/>
      <c r="I362" s="111">
        <f>(100*B362)/N362</f>
        <v/>
      </c>
      <c r="J362" s="112">
        <f>((C362+F362)*100)/B362</f>
        <v/>
      </c>
      <c r="K362" s="112">
        <f>((D362+G362)*100)/B362</f>
        <v/>
      </c>
      <c r="L362" s="112">
        <f>((E362+H362)*100)/B362</f>
        <v/>
      </c>
      <c r="M362" s="113">
        <f>N362-B361</f>
        <v/>
      </c>
      <c r="N362" s="115">
        <f>O362+P362+Q362+R362+S362+T362</f>
        <v/>
      </c>
      <c r="O362" s="50" t="n"/>
      <c r="P362" s="50" t="n"/>
      <c r="Q362" s="50" t="n"/>
      <c r="R362" s="50" t="n"/>
      <c r="S362" s="50" t="n"/>
      <c r="T362" s="50" t="n"/>
      <c r="U362" s="50" t="n"/>
      <c r="V362" s="112">
        <f>((O362+R362)*100)/N362</f>
        <v/>
      </c>
      <c r="W362" s="112">
        <f>((P362+S362)*100)/N362</f>
        <v/>
      </c>
      <c r="X362" s="112">
        <f>((Q362+T362)*100)/N362</f>
        <v/>
      </c>
    </row>
    <row r="363" ht="22.5" customHeight="1" s="150">
      <c r="A363" s="34" t="n">
        <v>361</v>
      </c>
      <c r="B363" s="115">
        <f>C363+D363+E363+F363+G363+H363</f>
        <v/>
      </c>
      <c r="C363" s="50" t="n"/>
      <c r="D363" s="50" t="n"/>
      <c r="E363" s="50" t="n"/>
      <c r="F363" s="50" t="n"/>
      <c r="G363" s="50" t="n"/>
      <c r="H363" s="50" t="n"/>
      <c r="I363" s="111">
        <f>(100*B363)/N363</f>
        <v/>
      </c>
      <c r="J363" s="112">
        <f>((C363+F363)*100)/B363</f>
        <v/>
      </c>
      <c r="K363" s="112">
        <f>((D363+G363)*100)/B363</f>
        <v/>
      </c>
      <c r="L363" s="112">
        <f>((E363+H363)*100)/B363</f>
        <v/>
      </c>
      <c r="M363" s="113">
        <f>N363-B362</f>
        <v/>
      </c>
      <c r="N363" s="115">
        <f>O363+P363+Q363+R363+S363+T363</f>
        <v/>
      </c>
      <c r="O363" s="50" t="n"/>
      <c r="P363" s="50" t="n"/>
      <c r="Q363" s="50" t="n"/>
      <c r="R363" s="50" t="n"/>
      <c r="S363" s="50" t="n"/>
      <c r="T363" s="50" t="n"/>
      <c r="U363" s="50" t="n"/>
      <c r="V363" s="112">
        <f>((O363+R363)*100)/N363</f>
        <v/>
      </c>
      <c r="W363" s="112">
        <f>((P363+S363)*100)/N363</f>
        <v/>
      </c>
      <c r="X363" s="112">
        <f>((Q363+T363)*100)/N363</f>
        <v/>
      </c>
    </row>
    <row r="364" ht="22.5" customHeight="1" s="150">
      <c r="A364" s="34" t="n">
        <v>362</v>
      </c>
      <c r="B364" s="115">
        <f>C364+D364+E364+F364+G364+H364</f>
        <v/>
      </c>
      <c r="C364" s="50" t="n"/>
      <c r="D364" s="50" t="n"/>
      <c r="E364" s="50" t="n"/>
      <c r="F364" s="50" t="n"/>
      <c r="G364" s="50" t="n"/>
      <c r="H364" s="50" t="n"/>
      <c r="I364" s="111">
        <f>(100*B364)/N364</f>
        <v/>
      </c>
      <c r="J364" s="112">
        <f>((C364+F364)*100)/B364</f>
        <v/>
      </c>
      <c r="K364" s="112">
        <f>((D364+G364)*100)/B364</f>
        <v/>
      </c>
      <c r="L364" s="112">
        <f>((E364+H364)*100)/B364</f>
        <v/>
      </c>
      <c r="M364" s="113">
        <f>N364-B363</f>
        <v/>
      </c>
      <c r="N364" s="115">
        <f>O364+P364+Q364+R364+S364+T364</f>
        <v/>
      </c>
      <c r="O364" s="50" t="n"/>
      <c r="P364" s="50" t="n"/>
      <c r="Q364" s="50" t="n"/>
      <c r="R364" s="50" t="n"/>
      <c r="S364" s="50" t="n"/>
      <c r="T364" s="50" t="n"/>
      <c r="U364" s="50" t="n"/>
      <c r="V364" s="112">
        <f>((O364+R364)*100)/N364</f>
        <v/>
      </c>
      <c r="W364" s="112">
        <f>((P364+S364)*100)/N364</f>
        <v/>
      </c>
      <c r="X364" s="112">
        <f>((Q364+T364)*100)/N364</f>
        <v/>
      </c>
    </row>
    <row r="365" ht="22.5" customHeight="1" s="150">
      <c r="A365" s="34" t="n">
        <v>363</v>
      </c>
      <c r="B365" s="115">
        <f>C365+D365+E365+F365+G365+H365</f>
        <v/>
      </c>
      <c r="C365" s="50" t="n"/>
      <c r="D365" s="50" t="n"/>
      <c r="E365" s="50" t="n"/>
      <c r="F365" s="50" t="n"/>
      <c r="G365" s="50" t="n"/>
      <c r="H365" s="50" t="n"/>
      <c r="I365" s="111">
        <f>(100*B365)/N365</f>
        <v/>
      </c>
      <c r="J365" s="112">
        <f>((C365+F365)*100)/B365</f>
        <v/>
      </c>
      <c r="K365" s="112">
        <f>((D365+G365)*100)/B365</f>
        <v/>
      </c>
      <c r="L365" s="112">
        <f>((E365+H365)*100)/B365</f>
        <v/>
      </c>
      <c r="M365" s="113">
        <f>N365-B364</f>
        <v/>
      </c>
      <c r="N365" s="115">
        <f>O365+P365+Q365+R365+S365+T365</f>
        <v/>
      </c>
      <c r="O365" s="50" t="n"/>
      <c r="P365" s="50" t="n"/>
      <c r="Q365" s="50" t="n"/>
      <c r="R365" s="50" t="n"/>
      <c r="S365" s="50" t="n"/>
      <c r="T365" s="50" t="n"/>
      <c r="U365" s="50" t="n"/>
      <c r="V365" s="112">
        <f>((O365+R365)*100)/N365</f>
        <v/>
      </c>
      <c r="W365" s="112">
        <f>((P365+S365)*100)/N365</f>
        <v/>
      </c>
      <c r="X365" s="112">
        <f>((Q365+T365)*100)/N365</f>
        <v/>
      </c>
    </row>
    <row r="366" ht="22.5" customHeight="1" s="150">
      <c r="A366" s="34" t="n">
        <v>364</v>
      </c>
      <c r="B366" s="115">
        <f>C366+D366+E366+F366+G366+H366</f>
        <v/>
      </c>
      <c r="C366" s="50" t="n"/>
      <c r="D366" s="50" t="n"/>
      <c r="E366" s="50" t="n"/>
      <c r="F366" s="50" t="n"/>
      <c r="G366" s="50" t="n"/>
      <c r="H366" s="50" t="n"/>
      <c r="I366" s="111">
        <f>(100*B366)/N366</f>
        <v/>
      </c>
      <c r="J366" s="112">
        <f>((C366+F366)*100)/B366</f>
        <v/>
      </c>
      <c r="K366" s="112">
        <f>((D366+G366)*100)/B366</f>
        <v/>
      </c>
      <c r="L366" s="112">
        <f>((E366+H366)*100)/B366</f>
        <v/>
      </c>
      <c r="M366" s="113">
        <f>N366-B365</f>
        <v/>
      </c>
      <c r="N366" s="115">
        <f>O366+P366+Q366+R366+S366+T366</f>
        <v/>
      </c>
      <c r="O366" s="50" t="n"/>
      <c r="P366" s="50" t="n"/>
      <c r="Q366" s="50" t="n"/>
      <c r="R366" s="50" t="n"/>
      <c r="S366" s="50" t="n"/>
      <c r="T366" s="50" t="n"/>
      <c r="U366" s="50" t="n"/>
      <c r="V366" s="112">
        <f>((O366+R366)*100)/N366</f>
        <v/>
      </c>
      <c r="W366" s="112">
        <f>((P366+S366)*100)/N366</f>
        <v/>
      </c>
      <c r="X366" s="112">
        <f>((Q366+T366)*100)/N366</f>
        <v/>
      </c>
    </row>
    <row r="367" ht="22.5" customHeight="1" s="150">
      <c r="A367" s="34" t="n">
        <v>365</v>
      </c>
      <c r="B367" s="115">
        <f>C367+D367+E367+F367+G367+H367</f>
        <v/>
      </c>
      <c r="C367" s="50" t="n"/>
      <c r="D367" s="50" t="n"/>
      <c r="E367" s="50" t="n"/>
      <c r="F367" s="50" t="n"/>
      <c r="G367" s="50" t="n"/>
      <c r="H367" s="50" t="n"/>
      <c r="I367" s="111">
        <f>(100*B367)/N367</f>
        <v/>
      </c>
      <c r="J367" s="112">
        <f>((C367+F367)*100)/B367</f>
        <v/>
      </c>
      <c r="K367" s="112">
        <f>((D367+G367)*100)/B367</f>
        <v/>
      </c>
      <c r="L367" s="112">
        <f>((E367+H367)*100)/B367</f>
        <v/>
      </c>
      <c r="M367" s="113">
        <f>N367-B366</f>
        <v/>
      </c>
      <c r="N367" s="115">
        <f>O367+P367+Q367+R367+S367+T367</f>
        <v/>
      </c>
      <c r="O367" s="50" t="n"/>
      <c r="P367" s="50" t="n"/>
      <c r="Q367" s="50" t="n"/>
      <c r="R367" s="50" t="n"/>
      <c r="S367" s="50" t="n"/>
      <c r="T367" s="50" t="n"/>
      <c r="U367" s="50" t="n"/>
      <c r="V367" s="112">
        <f>((O367+R367)*100)/N367</f>
        <v/>
      </c>
      <c r="W367" s="112">
        <f>((P367+S367)*100)/N367</f>
        <v/>
      </c>
      <c r="X367" s="112">
        <f>((Q367+T367)*100)/N367</f>
        <v/>
      </c>
    </row>
    <row r="368" ht="22.5" customHeight="1" s="150">
      <c r="A368" s="34" t="n">
        <v>366</v>
      </c>
      <c r="B368" s="115">
        <f>C368+D368+E368+F368+G368+H368</f>
        <v/>
      </c>
      <c r="C368" s="50" t="n"/>
      <c r="D368" s="50" t="n"/>
      <c r="E368" s="50" t="n"/>
      <c r="F368" s="50" t="n"/>
      <c r="G368" s="50" t="n"/>
      <c r="H368" s="50" t="n"/>
      <c r="I368" s="111">
        <f>(100*B368)/N368</f>
        <v/>
      </c>
      <c r="J368" s="112">
        <f>((C368+F368)*100)/B368</f>
        <v/>
      </c>
      <c r="K368" s="112">
        <f>((D368+G368)*100)/B368</f>
        <v/>
      </c>
      <c r="L368" s="112">
        <f>((E368+H368)*100)/B368</f>
        <v/>
      </c>
      <c r="M368" s="113">
        <f>N368-B367</f>
        <v/>
      </c>
      <c r="N368" s="115">
        <f>O368+P368+Q368+R368+S368+T368</f>
        <v/>
      </c>
      <c r="O368" s="50" t="n"/>
      <c r="P368" s="50" t="n"/>
      <c r="Q368" s="50" t="n"/>
      <c r="R368" s="50" t="n"/>
      <c r="S368" s="50" t="n"/>
      <c r="T368" s="50" t="n"/>
      <c r="U368" s="50" t="n"/>
      <c r="V368" s="112">
        <f>((O368+R368)*100)/N368</f>
        <v/>
      </c>
      <c r="W368" s="112">
        <f>((P368+S368)*100)/N368</f>
        <v/>
      </c>
      <c r="X368" s="112">
        <f>((Q368+T368)*100)/N368</f>
        <v/>
      </c>
    </row>
    <row r="369" ht="22.5" customHeight="1" s="150">
      <c r="A369" s="34" t="n">
        <v>367</v>
      </c>
      <c r="B369" s="115">
        <f>C369+D369+E369+F369+G369+H369</f>
        <v/>
      </c>
      <c r="C369" s="50" t="n"/>
      <c r="D369" s="50" t="n"/>
      <c r="E369" s="50" t="n"/>
      <c r="F369" s="50" t="n"/>
      <c r="G369" s="50" t="n"/>
      <c r="H369" s="50" t="n"/>
      <c r="I369" s="111">
        <f>(100*B369)/N369</f>
        <v/>
      </c>
      <c r="J369" s="112">
        <f>((C369+F369)*100)/B369</f>
        <v/>
      </c>
      <c r="K369" s="112">
        <f>((D369+G369)*100)/B369</f>
        <v/>
      </c>
      <c r="L369" s="112">
        <f>((E369+H369)*100)/B369</f>
        <v/>
      </c>
      <c r="M369" s="113">
        <f>N369-B368</f>
        <v/>
      </c>
      <c r="N369" s="115">
        <f>O369+P369+Q369+R369+S369+T369</f>
        <v/>
      </c>
      <c r="O369" s="50" t="n"/>
      <c r="P369" s="50" t="n"/>
      <c r="Q369" s="50" t="n"/>
      <c r="R369" s="50" t="n"/>
      <c r="S369" s="50" t="n"/>
      <c r="T369" s="50" t="n"/>
      <c r="U369" s="50" t="n"/>
      <c r="V369" s="112">
        <f>((O369+R369)*100)/N369</f>
        <v/>
      </c>
      <c r="W369" s="112">
        <f>((P369+S369)*100)/N369</f>
        <v/>
      </c>
      <c r="X369" s="112">
        <f>((Q369+T369)*100)/N369</f>
        <v/>
      </c>
    </row>
    <row r="370" ht="22.5" customHeight="1" s="150">
      <c r="A370" s="34" t="n">
        <v>368</v>
      </c>
      <c r="B370" s="115">
        <f>C370+D370+E370+F370+G370+H370</f>
        <v/>
      </c>
      <c r="C370" s="50" t="n"/>
      <c r="D370" s="50" t="n"/>
      <c r="E370" s="50" t="n"/>
      <c r="F370" s="50" t="n"/>
      <c r="G370" s="50" t="n"/>
      <c r="H370" s="50" t="n"/>
      <c r="I370" s="111">
        <f>(100*B370)/N370</f>
        <v/>
      </c>
      <c r="J370" s="112">
        <f>((C370+F370)*100)/B370</f>
        <v/>
      </c>
      <c r="K370" s="112">
        <f>((D370+G370)*100)/B370</f>
        <v/>
      </c>
      <c r="L370" s="112">
        <f>((E370+H370)*100)/B370</f>
        <v/>
      </c>
      <c r="M370" s="113">
        <f>N370-B369</f>
        <v/>
      </c>
      <c r="N370" s="115">
        <f>O370+P370+Q370+R370+S370+T370</f>
        <v/>
      </c>
      <c r="O370" s="50" t="n"/>
      <c r="P370" s="50" t="n"/>
      <c r="Q370" s="50" t="n"/>
      <c r="R370" s="50" t="n"/>
      <c r="S370" s="50" t="n"/>
      <c r="T370" s="50" t="n"/>
      <c r="U370" s="50" t="n"/>
      <c r="V370" s="112">
        <f>((O370+R370)*100)/N370</f>
        <v/>
      </c>
      <c r="W370" s="112">
        <f>((P370+S370)*100)/N370</f>
        <v/>
      </c>
      <c r="X370" s="112">
        <f>((Q370+T370)*100)/N370</f>
        <v/>
      </c>
    </row>
    <row r="371" ht="22.5" customHeight="1" s="150">
      <c r="A371" s="34" t="n">
        <v>369</v>
      </c>
      <c r="B371" s="115">
        <f>C371+D371+E371+F371+G371+H371</f>
        <v/>
      </c>
      <c r="C371" s="50" t="n"/>
      <c r="D371" s="50" t="n"/>
      <c r="E371" s="50" t="n"/>
      <c r="F371" s="50" t="n"/>
      <c r="G371" s="50" t="n"/>
      <c r="H371" s="50" t="n"/>
      <c r="I371" s="111">
        <f>(100*B371)/N371</f>
        <v/>
      </c>
      <c r="J371" s="112">
        <f>((C371+F371)*100)/B371</f>
        <v/>
      </c>
      <c r="K371" s="112">
        <f>((D371+G371)*100)/B371</f>
        <v/>
      </c>
      <c r="L371" s="112">
        <f>((E371+H371)*100)/B371</f>
        <v/>
      </c>
      <c r="M371" s="113">
        <f>N371-B370</f>
        <v/>
      </c>
      <c r="N371" s="115">
        <f>O371+P371+Q371+R371+S371+T371</f>
        <v/>
      </c>
      <c r="O371" s="50" t="n"/>
      <c r="P371" s="50" t="n"/>
      <c r="Q371" s="50" t="n"/>
      <c r="R371" s="50" t="n"/>
      <c r="S371" s="50" t="n"/>
      <c r="T371" s="50" t="n"/>
      <c r="U371" s="50" t="n"/>
      <c r="V371" s="112">
        <f>((O371+R371)*100)/N371</f>
        <v/>
      </c>
      <c r="W371" s="112">
        <f>((P371+S371)*100)/N371</f>
        <v/>
      </c>
      <c r="X371" s="112">
        <f>((Q371+T371)*100)/N371</f>
        <v/>
      </c>
    </row>
    <row r="372" ht="22.5" customHeight="1" s="150">
      <c r="A372" s="34" t="n">
        <v>370</v>
      </c>
      <c r="B372" s="115">
        <f>C372+D372+E372+F372+G372+H372</f>
        <v/>
      </c>
      <c r="C372" s="50" t="n"/>
      <c r="D372" s="50" t="n"/>
      <c r="E372" s="50" t="n"/>
      <c r="F372" s="50" t="n"/>
      <c r="G372" s="50" t="n"/>
      <c r="H372" s="50" t="n"/>
      <c r="I372" s="111">
        <f>(100*B372)/N372</f>
        <v/>
      </c>
      <c r="J372" s="112">
        <f>((C372+F372)*100)/B372</f>
        <v/>
      </c>
      <c r="K372" s="112">
        <f>((D372+G372)*100)/B372</f>
        <v/>
      </c>
      <c r="L372" s="112">
        <f>((E372+H372)*100)/B372</f>
        <v/>
      </c>
      <c r="M372" s="113">
        <f>N372-B371</f>
        <v/>
      </c>
      <c r="N372" s="115">
        <f>O372+P372+Q372+R372+S372+T372</f>
        <v/>
      </c>
      <c r="O372" s="50" t="n"/>
      <c r="P372" s="50" t="n"/>
      <c r="Q372" s="50" t="n"/>
      <c r="R372" s="50" t="n"/>
      <c r="S372" s="50" t="n"/>
      <c r="T372" s="50" t="n"/>
      <c r="U372" s="50" t="n"/>
      <c r="V372" s="112">
        <f>((O372+R372)*100)/N372</f>
        <v/>
      </c>
      <c r="W372" s="112">
        <f>((P372+S372)*100)/N372</f>
        <v/>
      </c>
      <c r="X372" s="112">
        <f>((Q372+T372)*100)/N372</f>
        <v/>
      </c>
    </row>
    <row r="373" ht="22.5" customHeight="1" s="150">
      <c r="A373" s="34" t="n">
        <v>371</v>
      </c>
      <c r="B373" s="115">
        <f>C373+D373+E373+F373+G373+H373</f>
        <v/>
      </c>
      <c r="C373" s="50" t="n"/>
      <c r="D373" s="50" t="n"/>
      <c r="E373" s="50" t="n"/>
      <c r="F373" s="50" t="n"/>
      <c r="G373" s="50" t="n"/>
      <c r="H373" s="50" t="n"/>
      <c r="I373" s="111">
        <f>(100*B373)/N373</f>
        <v/>
      </c>
      <c r="J373" s="112">
        <f>((C373+F373)*100)/B373</f>
        <v/>
      </c>
      <c r="K373" s="112">
        <f>((D373+G373)*100)/B373</f>
        <v/>
      </c>
      <c r="L373" s="112">
        <f>((E373+H373)*100)/B373</f>
        <v/>
      </c>
      <c r="M373" s="113">
        <f>N373-B372</f>
        <v/>
      </c>
      <c r="N373" s="115">
        <f>O373+P373+Q373+R373+S373+T373</f>
        <v/>
      </c>
      <c r="O373" s="50" t="n"/>
      <c r="P373" s="50" t="n"/>
      <c r="Q373" s="50" t="n"/>
      <c r="R373" s="50" t="n"/>
      <c r="S373" s="50" t="n"/>
      <c r="T373" s="50" t="n"/>
      <c r="U373" s="50" t="n"/>
      <c r="V373" s="112">
        <f>((O373+R373)*100)/N373</f>
        <v/>
      </c>
      <c r="W373" s="112">
        <f>((P373+S373)*100)/N373</f>
        <v/>
      </c>
      <c r="X373" s="112">
        <f>((Q373+T373)*100)/N373</f>
        <v/>
      </c>
    </row>
    <row r="374" ht="22.5" customHeight="1" s="150">
      <c r="A374" s="34" t="n">
        <v>372</v>
      </c>
      <c r="B374" s="115">
        <f>C374+D374+E374+F374+G374+H374</f>
        <v/>
      </c>
      <c r="C374" s="50" t="n"/>
      <c r="D374" s="50" t="n"/>
      <c r="E374" s="50" t="n"/>
      <c r="F374" s="50" t="n"/>
      <c r="G374" s="50" t="n"/>
      <c r="H374" s="50" t="n"/>
      <c r="I374" s="111">
        <f>(100*B374)/N374</f>
        <v/>
      </c>
      <c r="J374" s="112">
        <f>((C374+F374)*100)/B374</f>
        <v/>
      </c>
      <c r="K374" s="112">
        <f>((D374+G374)*100)/B374</f>
        <v/>
      </c>
      <c r="L374" s="112">
        <f>((E374+H374)*100)/B374</f>
        <v/>
      </c>
      <c r="M374" s="113">
        <f>N374-B373</f>
        <v/>
      </c>
      <c r="N374" s="115">
        <f>O374+P374+Q374+R374+S374+T374</f>
        <v/>
      </c>
      <c r="O374" s="50" t="n"/>
      <c r="P374" s="50" t="n"/>
      <c r="Q374" s="50" t="n"/>
      <c r="R374" s="50" t="n"/>
      <c r="S374" s="50" t="n"/>
      <c r="T374" s="50" t="n"/>
      <c r="U374" s="50" t="n"/>
      <c r="V374" s="112">
        <f>((O374+R374)*100)/N374</f>
        <v/>
      </c>
      <c r="W374" s="112">
        <f>((P374+S374)*100)/N374</f>
        <v/>
      </c>
      <c r="X374" s="112">
        <f>((Q374+T374)*100)/N374</f>
        <v/>
      </c>
    </row>
    <row r="375" ht="22.5" customHeight="1" s="150">
      <c r="A375" s="34" t="n">
        <v>373</v>
      </c>
      <c r="B375" s="115">
        <f>C375+D375+E375+F375+G375+H375</f>
        <v/>
      </c>
      <c r="C375" s="50" t="n"/>
      <c r="D375" s="50" t="n"/>
      <c r="E375" s="50" t="n"/>
      <c r="F375" s="50" t="n"/>
      <c r="G375" s="50" t="n"/>
      <c r="H375" s="50" t="n"/>
      <c r="I375" s="111">
        <f>(100*B375)/N375</f>
        <v/>
      </c>
      <c r="J375" s="112">
        <f>((C375+F375)*100)/B375</f>
        <v/>
      </c>
      <c r="K375" s="112">
        <f>((D375+G375)*100)/B375</f>
        <v/>
      </c>
      <c r="L375" s="112">
        <f>((E375+H375)*100)/B375</f>
        <v/>
      </c>
      <c r="M375" s="113">
        <f>N375-B374</f>
        <v/>
      </c>
      <c r="N375" s="115">
        <f>O375+P375+Q375+R375+S375+T375</f>
        <v/>
      </c>
      <c r="O375" s="50" t="n"/>
      <c r="P375" s="50" t="n"/>
      <c r="Q375" s="50" t="n"/>
      <c r="R375" s="50" t="n"/>
      <c r="S375" s="50" t="n"/>
      <c r="T375" s="50" t="n"/>
      <c r="U375" s="50" t="n"/>
      <c r="V375" s="112">
        <f>((O375+R375)*100)/N375</f>
        <v/>
      </c>
      <c r="W375" s="112">
        <f>((P375+S375)*100)/N375</f>
        <v/>
      </c>
      <c r="X375" s="112">
        <f>((Q375+T375)*100)/N375</f>
        <v/>
      </c>
    </row>
    <row r="376" ht="22.5" customHeight="1" s="150">
      <c r="A376" s="34" t="n">
        <v>374</v>
      </c>
      <c r="B376" s="115">
        <f>C376+D376+E376+F376+G376+H376</f>
        <v/>
      </c>
      <c r="C376" s="50" t="n"/>
      <c r="D376" s="50" t="n"/>
      <c r="E376" s="50" t="n"/>
      <c r="F376" s="50" t="n"/>
      <c r="G376" s="50" t="n"/>
      <c r="H376" s="50" t="n"/>
      <c r="I376" s="111">
        <f>(100*B376)/N376</f>
        <v/>
      </c>
      <c r="J376" s="112">
        <f>((C376+F376)*100)/B376</f>
        <v/>
      </c>
      <c r="K376" s="112">
        <f>((D376+G376)*100)/B376</f>
        <v/>
      </c>
      <c r="L376" s="112">
        <f>((E376+H376)*100)/B376</f>
        <v/>
      </c>
      <c r="M376" s="113">
        <f>N376-B375</f>
        <v/>
      </c>
      <c r="N376" s="115">
        <f>O376+P376+Q376+R376+S376+T376</f>
        <v/>
      </c>
      <c r="O376" s="50" t="n"/>
      <c r="P376" s="50" t="n"/>
      <c r="Q376" s="50" t="n"/>
      <c r="R376" s="50" t="n"/>
      <c r="S376" s="50" t="n"/>
      <c r="T376" s="50" t="n"/>
      <c r="U376" s="50" t="n"/>
      <c r="V376" s="112">
        <f>((O376+R376)*100)/N376</f>
        <v/>
      </c>
      <c r="W376" s="112">
        <f>((P376+S376)*100)/N376</f>
        <v/>
      </c>
      <c r="X376" s="112">
        <f>((Q376+T376)*100)/N376</f>
        <v/>
      </c>
    </row>
    <row r="377" ht="22.5" customHeight="1" s="150">
      <c r="A377" s="34" t="n">
        <v>375</v>
      </c>
      <c r="B377" s="115">
        <f>C377+D377+E377+F377+G377+H377</f>
        <v/>
      </c>
      <c r="C377" s="50" t="n"/>
      <c r="D377" s="50" t="n"/>
      <c r="E377" s="50" t="n"/>
      <c r="F377" s="50" t="n"/>
      <c r="G377" s="50" t="n"/>
      <c r="H377" s="50" t="n"/>
      <c r="I377" s="111">
        <f>(100*B377)/N377</f>
        <v/>
      </c>
      <c r="J377" s="112">
        <f>((C377+F377)*100)/B377</f>
        <v/>
      </c>
      <c r="K377" s="112">
        <f>((D377+G377)*100)/B377</f>
        <v/>
      </c>
      <c r="L377" s="112">
        <f>((E377+H377)*100)/B377</f>
        <v/>
      </c>
      <c r="M377" s="113">
        <f>N377-B376</f>
        <v/>
      </c>
      <c r="N377" s="115">
        <f>O377+P377+Q377+R377+S377+T377</f>
        <v/>
      </c>
      <c r="O377" s="50" t="n"/>
      <c r="P377" s="50" t="n"/>
      <c r="Q377" s="50" t="n"/>
      <c r="R377" s="50" t="n"/>
      <c r="S377" s="50" t="n"/>
      <c r="T377" s="50" t="n"/>
      <c r="U377" s="50" t="n"/>
      <c r="V377" s="112">
        <f>((O377+R377)*100)/N377</f>
        <v/>
      </c>
      <c r="W377" s="112">
        <f>((P377+S377)*100)/N377</f>
        <v/>
      </c>
      <c r="X377" s="112">
        <f>((Q377+T377)*100)/N377</f>
        <v/>
      </c>
    </row>
    <row r="378" ht="22.5" customHeight="1" s="150">
      <c r="A378" s="34" t="n">
        <v>376</v>
      </c>
      <c r="B378" s="115">
        <f>C378+D378+E378+F378+G378+H378</f>
        <v/>
      </c>
      <c r="C378" s="50" t="n"/>
      <c r="D378" s="50" t="n"/>
      <c r="E378" s="50" t="n"/>
      <c r="F378" s="50" t="n"/>
      <c r="G378" s="50" t="n"/>
      <c r="H378" s="50" t="n"/>
      <c r="I378" s="111">
        <f>(100*B378)/N378</f>
        <v/>
      </c>
      <c r="J378" s="112">
        <f>((C378+F378)*100)/B378</f>
        <v/>
      </c>
      <c r="K378" s="112">
        <f>((D378+G378)*100)/B378</f>
        <v/>
      </c>
      <c r="L378" s="112">
        <f>((E378+H378)*100)/B378</f>
        <v/>
      </c>
      <c r="M378" s="113">
        <f>N378-B377</f>
        <v/>
      </c>
      <c r="N378" s="115">
        <f>O378+P378+Q378+R378+S378+T378</f>
        <v/>
      </c>
      <c r="O378" s="50" t="n"/>
      <c r="P378" s="50" t="n"/>
      <c r="Q378" s="50" t="n"/>
      <c r="R378" s="50" t="n"/>
      <c r="S378" s="50" t="n"/>
      <c r="T378" s="50" t="n"/>
      <c r="U378" s="50" t="n"/>
      <c r="V378" s="112">
        <f>((O378+R378)*100)/N378</f>
        <v/>
      </c>
      <c r="W378" s="112">
        <f>((P378+S378)*100)/N378</f>
        <v/>
      </c>
      <c r="X378" s="112">
        <f>((Q378+T378)*100)/N378</f>
        <v/>
      </c>
    </row>
    <row r="379" ht="22.5" customHeight="1" s="150">
      <c r="A379" s="34" t="n">
        <v>377</v>
      </c>
      <c r="B379" s="115">
        <f>C379+D379+E379+F379+G379+H379</f>
        <v/>
      </c>
      <c r="C379" s="50" t="n"/>
      <c r="D379" s="50" t="n"/>
      <c r="E379" s="50" t="n"/>
      <c r="F379" s="50" t="n"/>
      <c r="G379" s="50" t="n"/>
      <c r="H379" s="50" t="n"/>
      <c r="I379" s="111">
        <f>(100*B379)/N379</f>
        <v/>
      </c>
      <c r="J379" s="112">
        <f>((C379+F379)*100)/B379</f>
        <v/>
      </c>
      <c r="K379" s="112">
        <f>((D379+G379)*100)/B379</f>
        <v/>
      </c>
      <c r="L379" s="112">
        <f>((E379+H379)*100)/B379</f>
        <v/>
      </c>
      <c r="M379" s="113">
        <f>N379-B378</f>
        <v/>
      </c>
      <c r="N379" s="115">
        <f>O379+P379+Q379+R379+S379+T379</f>
        <v/>
      </c>
      <c r="O379" s="50" t="n"/>
      <c r="P379" s="50" t="n"/>
      <c r="Q379" s="50" t="n"/>
      <c r="R379" s="50" t="n"/>
      <c r="S379" s="50" t="n"/>
      <c r="T379" s="50" t="n"/>
      <c r="U379" s="50" t="n"/>
      <c r="V379" s="112">
        <f>((O379+R379)*100)/N379</f>
        <v/>
      </c>
      <c r="W379" s="112">
        <f>((P379+S379)*100)/N379</f>
        <v/>
      </c>
      <c r="X379" s="112">
        <f>((Q379+T379)*100)/N379</f>
        <v/>
      </c>
    </row>
    <row r="380" ht="22.5" customHeight="1" s="150">
      <c r="A380" s="34" t="n">
        <v>378</v>
      </c>
      <c r="B380" s="115">
        <f>C380+D380+E380+F380+G380+H380</f>
        <v/>
      </c>
      <c r="C380" s="50" t="n"/>
      <c r="D380" s="50" t="n"/>
      <c r="E380" s="50" t="n"/>
      <c r="F380" s="50" t="n"/>
      <c r="G380" s="50" t="n"/>
      <c r="H380" s="50" t="n"/>
      <c r="I380" s="111">
        <f>(100*B380)/N380</f>
        <v/>
      </c>
      <c r="J380" s="112">
        <f>((C380+F380)*100)/B380</f>
        <v/>
      </c>
      <c r="K380" s="112">
        <f>((D380+G380)*100)/B380</f>
        <v/>
      </c>
      <c r="L380" s="112">
        <f>((E380+H380)*100)/B380</f>
        <v/>
      </c>
      <c r="M380" s="113">
        <f>N380-B379</f>
        <v/>
      </c>
      <c r="N380" s="115">
        <f>O380+P380+Q380+R380+S380+T380</f>
        <v/>
      </c>
      <c r="O380" s="50" t="n"/>
      <c r="P380" s="50" t="n"/>
      <c r="Q380" s="50" t="n"/>
      <c r="R380" s="50" t="n"/>
      <c r="S380" s="50" t="n"/>
      <c r="T380" s="50" t="n"/>
      <c r="U380" s="50" t="n"/>
      <c r="V380" s="112">
        <f>((O380+R380)*100)/N380</f>
        <v/>
      </c>
      <c r="W380" s="112">
        <f>((P380+S380)*100)/N380</f>
        <v/>
      </c>
      <c r="X380" s="112">
        <f>((Q380+T380)*100)/N380</f>
        <v/>
      </c>
    </row>
    <row r="381" ht="22.5" customHeight="1" s="150">
      <c r="A381" s="34" t="n">
        <v>379</v>
      </c>
      <c r="B381" s="115">
        <f>C381+D381+E381+F381+G381+H381</f>
        <v/>
      </c>
      <c r="C381" s="50" t="n"/>
      <c r="D381" s="50" t="n"/>
      <c r="E381" s="50" t="n"/>
      <c r="F381" s="50" t="n"/>
      <c r="G381" s="50" t="n"/>
      <c r="H381" s="50" t="n"/>
      <c r="I381" s="111">
        <f>(100*B381)/N381</f>
        <v/>
      </c>
      <c r="J381" s="112">
        <f>((C381+F381)*100)/B381</f>
        <v/>
      </c>
      <c r="K381" s="112">
        <f>((D381+G381)*100)/B381</f>
        <v/>
      </c>
      <c r="L381" s="112">
        <f>((E381+H381)*100)/B381</f>
        <v/>
      </c>
      <c r="M381" s="113">
        <f>N381-B380</f>
        <v/>
      </c>
      <c r="N381" s="115">
        <f>O381+P381+Q381+R381+S381+T381</f>
        <v/>
      </c>
      <c r="O381" s="50" t="n"/>
      <c r="P381" s="50" t="n"/>
      <c r="Q381" s="50" t="n"/>
      <c r="R381" s="50" t="n"/>
      <c r="S381" s="50" t="n"/>
      <c r="T381" s="50" t="n"/>
      <c r="U381" s="50" t="n"/>
      <c r="V381" s="112">
        <f>((O381+R381)*100)/N381</f>
        <v/>
      </c>
      <c r="W381" s="112">
        <f>((P381+S381)*100)/N381</f>
        <v/>
      </c>
      <c r="X381" s="112">
        <f>((Q381+T381)*100)/N381</f>
        <v/>
      </c>
    </row>
    <row r="382" ht="22.5" customHeight="1" s="150">
      <c r="A382" s="34" t="n">
        <v>380</v>
      </c>
      <c r="B382" s="115">
        <f>C382+D382+E382+F382+G382+H382</f>
        <v/>
      </c>
      <c r="C382" s="50" t="n"/>
      <c r="D382" s="50" t="n"/>
      <c r="E382" s="50" t="n"/>
      <c r="F382" s="50" t="n"/>
      <c r="G382" s="50" t="n"/>
      <c r="H382" s="50" t="n"/>
      <c r="I382" s="111">
        <f>(100*B382)/N382</f>
        <v/>
      </c>
      <c r="J382" s="112">
        <f>((C382+F382)*100)/B382</f>
        <v/>
      </c>
      <c r="K382" s="112">
        <f>((D382+G382)*100)/B382</f>
        <v/>
      </c>
      <c r="L382" s="112">
        <f>((E382+H382)*100)/B382</f>
        <v/>
      </c>
      <c r="M382" s="113">
        <f>N382-B381</f>
        <v/>
      </c>
      <c r="N382" s="115">
        <f>O382+P382+Q382+R382+S382+T382</f>
        <v/>
      </c>
      <c r="O382" s="50" t="n"/>
      <c r="P382" s="50" t="n"/>
      <c r="Q382" s="50" t="n"/>
      <c r="R382" s="50" t="n"/>
      <c r="S382" s="50" t="n"/>
      <c r="T382" s="50" t="n"/>
      <c r="U382" s="50" t="n"/>
      <c r="V382" s="112">
        <f>((O382+R382)*100)/N382</f>
        <v/>
      </c>
      <c r="W382" s="112">
        <f>((P382+S382)*100)/N382</f>
        <v/>
      </c>
      <c r="X382" s="112">
        <f>((Q382+T382)*100)/N382</f>
        <v/>
      </c>
    </row>
    <row r="383" ht="22.5" customHeight="1" s="150">
      <c r="A383" s="34" t="n">
        <v>381</v>
      </c>
      <c r="B383" s="115">
        <f>C383+D383+E383+F383+G383+H383</f>
        <v/>
      </c>
      <c r="C383" s="50" t="n"/>
      <c r="D383" s="50" t="n"/>
      <c r="E383" s="50" t="n"/>
      <c r="F383" s="50" t="n"/>
      <c r="G383" s="50" t="n"/>
      <c r="H383" s="50" t="n"/>
      <c r="I383" s="111">
        <f>(100*B383)/N383</f>
        <v/>
      </c>
      <c r="J383" s="112">
        <f>((C383+F383)*100)/B383</f>
        <v/>
      </c>
      <c r="K383" s="112">
        <f>((D383+G383)*100)/B383</f>
        <v/>
      </c>
      <c r="L383" s="112">
        <f>((E383+H383)*100)/B383</f>
        <v/>
      </c>
      <c r="M383" s="113">
        <f>N383-B382</f>
        <v/>
      </c>
      <c r="N383" s="115">
        <f>O383+P383+Q383+R383+S383+T383</f>
        <v/>
      </c>
      <c r="O383" s="50" t="n"/>
      <c r="P383" s="50" t="n"/>
      <c r="Q383" s="50" t="n"/>
      <c r="R383" s="50" t="n"/>
      <c r="S383" s="50" t="n"/>
      <c r="T383" s="50" t="n"/>
      <c r="U383" s="50" t="n"/>
      <c r="V383" s="112">
        <f>((O383+R383)*100)/N383</f>
        <v/>
      </c>
      <c r="W383" s="112">
        <f>((P383+S383)*100)/N383</f>
        <v/>
      </c>
      <c r="X383" s="112">
        <f>((Q383+T383)*100)/N383</f>
        <v/>
      </c>
    </row>
    <row r="384" ht="22.5" customHeight="1" s="150">
      <c r="A384" s="34" t="n">
        <v>382</v>
      </c>
      <c r="B384" s="115">
        <f>C384+D384+E384+F384+G384+H384</f>
        <v/>
      </c>
      <c r="C384" s="50" t="n"/>
      <c r="D384" s="50" t="n"/>
      <c r="E384" s="50" t="n"/>
      <c r="F384" s="50" t="n"/>
      <c r="G384" s="50" t="n"/>
      <c r="H384" s="50" t="n"/>
      <c r="I384" s="111">
        <f>(100*B384)/N384</f>
        <v/>
      </c>
      <c r="J384" s="112">
        <f>((C384+F384)*100)/B384</f>
        <v/>
      </c>
      <c r="K384" s="112">
        <f>((D384+G384)*100)/B384</f>
        <v/>
      </c>
      <c r="L384" s="112">
        <f>((E384+H384)*100)/B384</f>
        <v/>
      </c>
      <c r="M384" s="113">
        <f>N384-B383</f>
        <v/>
      </c>
      <c r="N384" s="115">
        <f>O384+P384+Q384+R384+S384+T384</f>
        <v/>
      </c>
      <c r="O384" s="50" t="n"/>
      <c r="P384" s="50" t="n"/>
      <c r="Q384" s="50" t="n"/>
      <c r="R384" s="50" t="n"/>
      <c r="S384" s="50" t="n"/>
      <c r="T384" s="50" t="n"/>
      <c r="U384" s="50" t="n"/>
      <c r="V384" s="112">
        <f>((O384+R384)*100)/N384</f>
        <v/>
      </c>
      <c r="W384" s="112">
        <f>((P384+S384)*100)/N384</f>
        <v/>
      </c>
      <c r="X384" s="112">
        <f>((Q384+T384)*100)/N384</f>
        <v/>
      </c>
    </row>
    <row r="385" ht="22.5" customHeight="1" s="150">
      <c r="A385" s="34" t="n">
        <v>383</v>
      </c>
      <c r="B385" s="115">
        <f>C385+D385+E385+F385+G385+H385</f>
        <v/>
      </c>
      <c r="C385" s="50" t="n"/>
      <c r="D385" s="50" t="n"/>
      <c r="E385" s="50" t="n"/>
      <c r="F385" s="50" t="n"/>
      <c r="G385" s="50" t="n"/>
      <c r="H385" s="50" t="n"/>
      <c r="I385" s="111">
        <f>(100*B385)/N385</f>
        <v/>
      </c>
      <c r="J385" s="112">
        <f>((C385+F385)*100)/B385</f>
        <v/>
      </c>
      <c r="K385" s="112">
        <f>((D385+G385)*100)/B385</f>
        <v/>
      </c>
      <c r="L385" s="112">
        <f>((E385+H385)*100)/B385</f>
        <v/>
      </c>
      <c r="M385" s="113">
        <f>N385-B384</f>
        <v/>
      </c>
      <c r="N385" s="115">
        <f>O385+P385+Q385+R385+S385+T385</f>
        <v/>
      </c>
      <c r="O385" s="50" t="n"/>
      <c r="P385" s="50" t="n"/>
      <c r="Q385" s="50" t="n"/>
      <c r="R385" s="50" t="n"/>
      <c r="S385" s="50" t="n"/>
      <c r="T385" s="50" t="n"/>
      <c r="U385" s="50" t="n"/>
      <c r="V385" s="112">
        <f>((O385+R385)*100)/N385</f>
        <v/>
      </c>
      <c r="W385" s="112">
        <f>((P385+S385)*100)/N385</f>
        <v/>
      </c>
      <c r="X385" s="112">
        <f>((Q385+T385)*100)/N385</f>
        <v/>
      </c>
    </row>
    <row r="386" ht="22.5" customHeight="1" s="150">
      <c r="A386" s="34" t="n">
        <v>384</v>
      </c>
      <c r="B386" s="115">
        <f>C386+D386+E386+F386+G386+H386</f>
        <v/>
      </c>
      <c r="C386" s="50" t="n"/>
      <c r="D386" s="50" t="n"/>
      <c r="E386" s="50" t="n"/>
      <c r="F386" s="50" t="n"/>
      <c r="G386" s="50" t="n"/>
      <c r="H386" s="50" t="n"/>
      <c r="I386" s="111">
        <f>(100*B386)/N386</f>
        <v/>
      </c>
      <c r="J386" s="112">
        <f>((C386+F386)*100)/B386</f>
        <v/>
      </c>
      <c r="K386" s="112">
        <f>((D386+G386)*100)/B386</f>
        <v/>
      </c>
      <c r="L386" s="112">
        <f>((E386+H386)*100)/B386</f>
        <v/>
      </c>
      <c r="M386" s="113">
        <f>N386-B385</f>
        <v/>
      </c>
      <c r="N386" s="115">
        <f>O386+P386+Q386+R386+S386+T386</f>
        <v/>
      </c>
      <c r="O386" s="50" t="n"/>
      <c r="P386" s="50" t="n"/>
      <c r="Q386" s="50" t="n"/>
      <c r="R386" s="50" t="n"/>
      <c r="S386" s="50" t="n"/>
      <c r="T386" s="50" t="n"/>
      <c r="U386" s="50" t="n"/>
      <c r="V386" s="112">
        <f>((O386+R386)*100)/N386</f>
        <v/>
      </c>
      <c r="W386" s="112">
        <f>((P386+S386)*100)/N386</f>
        <v/>
      </c>
      <c r="X386" s="112">
        <f>((Q386+T386)*100)/N386</f>
        <v/>
      </c>
    </row>
    <row r="387" ht="22.5" customHeight="1" s="150">
      <c r="A387" s="34" t="n">
        <v>385</v>
      </c>
      <c r="B387" s="115">
        <f>C387+D387+E387+F387+G387+H387</f>
        <v/>
      </c>
      <c r="C387" s="50" t="n"/>
      <c r="D387" s="50" t="n"/>
      <c r="E387" s="50" t="n"/>
      <c r="F387" s="50" t="n"/>
      <c r="G387" s="50" t="n"/>
      <c r="H387" s="50" t="n"/>
      <c r="I387" s="111">
        <f>(100*B387)/N387</f>
        <v/>
      </c>
      <c r="J387" s="112">
        <f>((C387+F387)*100)/B387</f>
        <v/>
      </c>
      <c r="K387" s="112">
        <f>((D387+G387)*100)/B387</f>
        <v/>
      </c>
      <c r="L387" s="112">
        <f>((E387+H387)*100)/B387</f>
        <v/>
      </c>
      <c r="M387" s="113">
        <f>N387-B386</f>
        <v/>
      </c>
      <c r="N387" s="115">
        <f>O387+P387+Q387+R387+S387+T387</f>
        <v/>
      </c>
      <c r="O387" s="50" t="n"/>
      <c r="P387" s="50" t="n"/>
      <c r="Q387" s="50" t="n"/>
      <c r="R387" s="50" t="n"/>
      <c r="S387" s="50" t="n"/>
      <c r="T387" s="50" t="n"/>
      <c r="U387" s="50" t="n"/>
      <c r="V387" s="112">
        <f>((O387+R387)*100)/N387</f>
        <v/>
      </c>
      <c r="W387" s="112">
        <f>((P387+S387)*100)/N387</f>
        <v/>
      </c>
      <c r="X387" s="112">
        <f>((Q387+T387)*100)/N387</f>
        <v/>
      </c>
    </row>
    <row r="388" ht="22.5" customHeight="1" s="150">
      <c r="A388" s="34" t="n">
        <v>386</v>
      </c>
      <c r="B388" s="115">
        <f>C388+D388+E388+F388+G388+H388</f>
        <v/>
      </c>
      <c r="C388" s="50" t="n"/>
      <c r="D388" s="50" t="n"/>
      <c r="E388" s="50" t="n"/>
      <c r="F388" s="50" t="n"/>
      <c r="G388" s="50" t="n"/>
      <c r="H388" s="50" t="n"/>
      <c r="I388" s="111">
        <f>(100*B388)/N388</f>
        <v/>
      </c>
      <c r="J388" s="112">
        <f>((C388+F388)*100)/B388</f>
        <v/>
      </c>
      <c r="K388" s="112">
        <f>((D388+G388)*100)/B388</f>
        <v/>
      </c>
      <c r="L388" s="112">
        <f>((E388+H388)*100)/B388</f>
        <v/>
      </c>
      <c r="M388" s="113">
        <f>N388-B387</f>
        <v/>
      </c>
      <c r="N388" s="115">
        <f>O388+P388+Q388+R388+S388+T388</f>
        <v/>
      </c>
      <c r="O388" s="50" t="n"/>
      <c r="P388" s="50" t="n"/>
      <c r="Q388" s="50" t="n"/>
      <c r="R388" s="50" t="n"/>
      <c r="S388" s="50" t="n"/>
      <c r="T388" s="50" t="n"/>
      <c r="U388" s="50" t="n"/>
      <c r="V388" s="112">
        <f>((O388+R388)*100)/N388</f>
        <v/>
      </c>
      <c r="W388" s="112">
        <f>((P388+S388)*100)/N388</f>
        <v/>
      </c>
      <c r="X388" s="112">
        <f>((Q388+T388)*100)/N388</f>
        <v/>
      </c>
    </row>
    <row r="389" ht="22.5" customHeight="1" s="150">
      <c r="A389" s="34" t="n">
        <v>387</v>
      </c>
      <c r="B389" s="115">
        <f>C389+D389+E389+F389+G389+H389</f>
        <v/>
      </c>
      <c r="C389" s="50" t="n"/>
      <c r="D389" s="50" t="n"/>
      <c r="E389" s="50" t="n"/>
      <c r="F389" s="50" t="n"/>
      <c r="G389" s="50" t="n"/>
      <c r="H389" s="50" t="n"/>
      <c r="I389" s="111">
        <f>(100*B389)/N389</f>
        <v/>
      </c>
      <c r="J389" s="112">
        <f>((C389+F389)*100)/B389</f>
        <v/>
      </c>
      <c r="K389" s="112">
        <f>((D389+G389)*100)/B389</f>
        <v/>
      </c>
      <c r="L389" s="112">
        <f>((E389+H389)*100)/B389</f>
        <v/>
      </c>
      <c r="M389" s="113">
        <f>N389-B388</f>
        <v/>
      </c>
      <c r="N389" s="115">
        <f>O389+P389+Q389+R389+S389+T389</f>
        <v/>
      </c>
      <c r="O389" s="50" t="n"/>
      <c r="P389" s="50" t="n"/>
      <c r="Q389" s="50" t="n"/>
      <c r="R389" s="50" t="n"/>
      <c r="S389" s="50" t="n"/>
      <c r="T389" s="50" t="n"/>
      <c r="U389" s="50" t="n"/>
      <c r="V389" s="112">
        <f>((O389+R389)*100)/N389</f>
        <v/>
      </c>
      <c r="W389" s="112">
        <f>((P389+S389)*100)/N389</f>
        <v/>
      </c>
      <c r="X389" s="112">
        <f>((Q389+T389)*100)/N389</f>
        <v/>
      </c>
    </row>
    <row r="390" ht="22.5" customHeight="1" s="150">
      <c r="A390" s="34" t="n">
        <v>388</v>
      </c>
      <c r="B390" s="115">
        <f>C390+D390+E390+F390+G390+H390</f>
        <v/>
      </c>
      <c r="C390" s="50" t="n"/>
      <c r="D390" s="50" t="n"/>
      <c r="E390" s="50" t="n"/>
      <c r="F390" s="50" t="n"/>
      <c r="G390" s="50" t="n"/>
      <c r="H390" s="50" t="n"/>
      <c r="I390" s="111">
        <f>(100*B390)/N390</f>
        <v/>
      </c>
      <c r="J390" s="112">
        <f>((C390+F390)*100)/B390</f>
        <v/>
      </c>
      <c r="K390" s="112">
        <f>((D390+G390)*100)/B390</f>
        <v/>
      </c>
      <c r="L390" s="112">
        <f>((E390+H390)*100)/B390</f>
        <v/>
      </c>
      <c r="M390" s="113">
        <f>N390-B389</f>
        <v/>
      </c>
      <c r="N390" s="115">
        <f>O390+P390+Q390+R390+S390+T390</f>
        <v/>
      </c>
      <c r="O390" s="50" t="n"/>
      <c r="P390" s="50" t="n"/>
      <c r="Q390" s="50" t="n"/>
      <c r="R390" s="50" t="n"/>
      <c r="S390" s="50" t="n"/>
      <c r="T390" s="50" t="n"/>
      <c r="U390" s="50" t="n"/>
      <c r="V390" s="112">
        <f>((O390+R390)*100)/N390</f>
        <v/>
      </c>
      <c r="W390" s="112">
        <f>((P390+S390)*100)/N390</f>
        <v/>
      </c>
      <c r="X390" s="112">
        <f>((Q390+T390)*100)/N390</f>
        <v/>
      </c>
    </row>
    <row r="391" ht="22.5" customHeight="1" s="150">
      <c r="A391" s="34" t="n">
        <v>389</v>
      </c>
      <c r="B391" s="115">
        <f>C391+D391+E391+F391+G391+H391</f>
        <v/>
      </c>
      <c r="C391" s="50" t="n"/>
      <c r="D391" s="50" t="n"/>
      <c r="E391" s="50" t="n"/>
      <c r="F391" s="50" t="n"/>
      <c r="G391" s="50" t="n"/>
      <c r="H391" s="50" t="n"/>
      <c r="I391" s="111">
        <f>(100*B391)/N391</f>
        <v/>
      </c>
      <c r="J391" s="112">
        <f>((C391+F391)*100)/B391</f>
        <v/>
      </c>
      <c r="K391" s="112">
        <f>((D391+G391)*100)/B391</f>
        <v/>
      </c>
      <c r="L391" s="112">
        <f>((E391+H391)*100)/B391</f>
        <v/>
      </c>
      <c r="M391" s="113">
        <f>N391-B390</f>
        <v/>
      </c>
      <c r="N391" s="115">
        <f>O391+P391+Q391+R391+S391+T391</f>
        <v/>
      </c>
      <c r="O391" s="50" t="n"/>
      <c r="P391" s="50" t="n"/>
      <c r="Q391" s="50" t="n"/>
      <c r="R391" s="50" t="n"/>
      <c r="S391" s="50" t="n"/>
      <c r="T391" s="50" t="n"/>
      <c r="U391" s="50" t="n"/>
      <c r="V391" s="112">
        <f>((O391+R391)*100)/N391</f>
        <v/>
      </c>
      <c r="W391" s="112">
        <f>((P391+S391)*100)/N391</f>
        <v/>
      </c>
      <c r="X391" s="112">
        <f>((Q391+T391)*100)/N391</f>
        <v/>
      </c>
    </row>
    <row r="392" ht="22.5" customHeight="1" s="150">
      <c r="A392" s="34" t="n">
        <v>390</v>
      </c>
      <c r="B392" s="115">
        <f>C392+D392+E392+F392+G392+H392</f>
        <v/>
      </c>
      <c r="C392" s="50" t="n"/>
      <c r="D392" s="50" t="n"/>
      <c r="E392" s="50" t="n"/>
      <c r="F392" s="50" t="n"/>
      <c r="G392" s="50" t="n"/>
      <c r="H392" s="50" t="n"/>
      <c r="I392" s="111">
        <f>(100*B392)/N392</f>
        <v/>
      </c>
      <c r="J392" s="112">
        <f>((C392+F392)*100)/B392</f>
        <v/>
      </c>
      <c r="K392" s="112">
        <f>((D392+G392)*100)/B392</f>
        <v/>
      </c>
      <c r="L392" s="112">
        <f>((E392+H392)*100)/B392</f>
        <v/>
      </c>
      <c r="M392" s="113">
        <f>N392-B391</f>
        <v/>
      </c>
      <c r="N392" s="115">
        <f>O392+P392+Q392+R392+S392+T392</f>
        <v/>
      </c>
      <c r="O392" s="50" t="n"/>
      <c r="P392" s="50" t="n"/>
      <c r="Q392" s="50" t="n"/>
      <c r="R392" s="50" t="n"/>
      <c r="S392" s="50" t="n"/>
      <c r="T392" s="50" t="n"/>
      <c r="U392" s="50" t="n"/>
      <c r="V392" s="112">
        <f>((O392+R392)*100)/N392</f>
        <v/>
      </c>
      <c r="W392" s="112">
        <f>((P392+S392)*100)/N392</f>
        <v/>
      </c>
      <c r="X392" s="112">
        <f>((Q392+T392)*100)/N392</f>
        <v/>
      </c>
    </row>
    <row r="393" ht="22.5" customHeight="1" s="150">
      <c r="A393" s="34" t="n">
        <v>391</v>
      </c>
      <c r="B393" s="115">
        <f>C393+D393+E393+F393+G393+H393</f>
        <v/>
      </c>
      <c r="C393" s="50" t="n"/>
      <c r="D393" s="50" t="n"/>
      <c r="E393" s="50" t="n"/>
      <c r="F393" s="50" t="n"/>
      <c r="G393" s="50" t="n"/>
      <c r="H393" s="50" t="n"/>
      <c r="I393" s="111">
        <f>(100*B393)/N393</f>
        <v/>
      </c>
      <c r="J393" s="112">
        <f>((C393+F393)*100)/B393</f>
        <v/>
      </c>
      <c r="K393" s="112">
        <f>((D393+G393)*100)/B393</f>
        <v/>
      </c>
      <c r="L393" s="112">
        <f>((E393+H393)*100)/B393</f>
        <v/>
      </c>
      <c r="M393" s="113">
        <f>N393-B392</f>
        <v/>
      </c>
      <c r="N393" s="115">
        <f>O393+P393+Q393+R393+S393+T393</f>
        <v/>
      </c>
      <c r="O393" s="50" t="n"/>
      <c r="P393" s="50" t="n"/>
      <c r="Q393" s="50" t="n"/>
      <c r="R393" s="50" t="n"/>
      <c r="S393" s="50" t="n"/>
      <c r="T393" s="50" t="n"/>
      <c r="U393" s="50" t="n"/>
      <c r="V393" s="112">
        <f>((O393+R393)*100)/N393</f>
        <v/>
      </c>
      <c r="W393" s="112">
        <f>((P393+S393)*100)/N393</f>
        <v/>
      </c>
      <c r="X393" s="112">
        <f>((Q393+T393)*100)/N393</f>
        <v/>
      </c>
    </row>
    <row r="394" ht="22.5" customHeight="1" s="150">
      <c r="A394" s="34" t="n">
        <v>392</v>
      </c>
      <c r="B394" s="115">
        <f>C394+D394+E394+F394+G394+H394</f>
        <v/>
      </c>
      <c r="C394" s="50" t="n"/>
      <c r="D394" s="50" t="n"/>
      <c r="E394" s="50" t="n"/>
      <c r="F394" s="50" t="n"/>
      <c r="G394" s="50" t="n"/>
      <c r="H394" s="50" t="n"/>
      <c r="I394" s="111">
        <f>(100*B394)/N394</f>
        <v/>
      </c>
      <c r="J394" s="112">
        <f>((C394+F394)*100)/B394</f>
        <v/>
      </c>
      <c r="K394" s="112">
        <f>((D394+G394)*100)/B394</f>
        <v/>
      </c>
      <c r="L394" s="112">
        <f>((E394+H394)*100)/B394</f>
        <v/>
      </c>
      <c r="M394" s="113">
        <f>N394-B393</f>
        <v/>
      </c>
      <c r="N394" s="115">
        <f>O394+P394+Q394+R394+S394+T394</f>
        <v/>
      </c>
      <c r="O394" s="50" t="n"/>
      <c r="P394" s="50" t="n"/>
      <c r="Q394" s="50" t="n"/>
      <c r="R394" s="50" t="n"/>
      <c r="S394" s="50" t="n"/>
      <c r="T394" s="50" t="n"/>
      <c r="U394" s="50" t="n"/>
      <c r="V394" s="112">
        <f>((O394+R394)*100)/N394</f>
        <v/>
      </c>
      <c r="W394" s="112">
        <f>((P394+S394)*100)/N394</f>
        <v/>
      </c>
      <c r="X394" s="112">
        <f>((Q394+T394)*100)/N394</f>
        <v/>
      </c>
    </row>
    <row r="395" ht="22.5" customHeight="1" s="150">
      <c r="A395" s="34" t="n">
        <v>393</v>
      </c>
      <c r="B395" s="115">
        <f>C395+D395+E395+F395+G395+H395</f>
        <v/>
      </c>
      <c r="C395" s="50" t="n"/>
      <c r="D395" s="50" t="n"/>
      <c r="E395" s="50" t="n"/>
      <c r="F395" s="50" t="n"/>
      <c r="G395" s="50" t="n"/>
      <c r="H395" s="50" t="n"/>
      <c r="I395" s="111">
        <f>(100*B395)/N395</f>
        <v/>
      </c>
      <c r="J395" s="112">
        <f>((C395+F395)*100)/B395</f>
        <v/>
      </c>
      <c r="K395" s="112">
        <f>((D395+G395)*100)/B395</f>
        <v/>
      </c>
      <c r="L395" s="112">
        <f>((E395+H395)*100)/B395</f>
        <v/>
      </c>
      <c r="M395" s="113">
        <f>N395-B394</f>
        <v/>
      </c>
      <c r="N395" s="115">
        <f>O395+P395+Q395+R395+S395+T395</f>
        <v/>
      </c>
      <c r="O395" s="50" t="n"/>
      <c r="P395" s="50" t="n"/>
      <c r="Q395" s="50" t="n"/>
      <c r="R395" s="50" t="n"/>
      <c r="S395" s="50" t="n"/>
      <c r="T395" s="50" t="n"/>
      <c r="U395" s="50" t="n"/>
      <c r="V395" s="112">
        <f>((O395+R395)*100)/N395</f>
        <v/>
      </c>
      <c r="W395" s="112">
        <f>((P395+S395)*100)/N395</f>
        <v/>
      </c>
      <c r="X395" s="112">
        <f>((Q395+T395)*100)/N395</f>
        <v/>
      </c>
    </row>
    <row r="396" ht="22.5" customHeight="1" s="150">
      <c r="A396" s="34" t="n">
        <v>394</v>
      </c>
      <c r="B396" s="115">
        <f>C396+D396+E396+F396+G396+H396</f>
        <v/>
      </c>
      <c r="C396" s="50" t="n"/>
      <c r="D396" s="50" t="n"/>
      <c r="E396" s="50" t="n"/>
      <c r="F396" s="50" t="n"/>
      <c r="G396" s="50" t="n"/>
      <c r="H396" s="50" t="n"/>
      <c r="I396" s="111">
        <f>(100*B396)/N396</f>
        <v/>
      </c>
      <c r="J396" s="112">
        <f>((C396+F396)*100)/B396</f>
        <v/>
      </c>
      <c r="K396" s="112">
        <f>((D396+G396)*100)/B396</f>
        <v/>
      </c>
      <c r="L396" s="112">
        <f>((E396+H396)*100)/B396</f>
        <v/>
      </c>
      <c r="M396" s="113">
        <f>N396-B395</f>
        <v/>
      </c>
      <c r="N396" s="115">
        <f>O396+P396+Q396+R396+S396+T396</f>
        <v/>
      </c>
      <c r="O396" s="50" t="n"/>
      <c r="P396" s="50" t="n"/>
      <c r="Q396" s="50" t="n"/>
      <c r="R396" s="50" t="n"/>
      <c r="S396" s="50" t="n"/>
      <c r="T396" s="50" t="n"/>
      <c r="U396" s="50" t="n"/>
      <c r="V396" s="112">
        <f>((O396+R396)*100)/N396</f>
        <v/>
      </c>
      <c r="W396" s="112">
        <f>((P396+S396)*100)/N396</f>
        <v/>
      </c>
      <c r="X396" s="112">
        <f>((Q396+T396)*100)/N396</f>
        <v/>
      </c>
    </row>
    <row r="397" ht="22.5" customHeight="1" s="150">
      <c r="A397" s="34" t="n">
        <v>395</v>
      </c>
      <c r="B397" s="115">
        <f>C397+D397+E397+F397+G397+H397</f>
        <v/>
      </c>
      <c r="C397" s="50" t="n"/>
      <c r="D397" s="50" t="n"/>
      <c r="E397" s="50" t="n"/>
      <c r="F397" s="50" t="n"/>
      <c r="G397" s="50" t="n"/>
      <c r="H397" s="50" t="n"/>
      <c r="I397" s="111">
        <f>(100*B397)/N397</f>
        <v/>
      </c>
      <c r="J397" s="112">
        <f>((C397+F397)*100)/B397</f>
        <v/>
      </c>
      <c r="K397" s="112">
        <f>((D397+G397)*100)/B397</f>
        <v/>
      </c>
      <c r="L397" s="112">
        <f>((E397+H397)*100)/B397</f>
        <v/>
      </c>
      <c r="M397" s="113">
        <f>N397-B396</f>
        <v/>
      </c>
      <c r="N397" s="115">
        <f>O397+P397+Q397+R397+S397+T397</f>
        <v/>
      </c>
      <c r="O397" s="50" t="n"/>
      <c r="P397" s="50" t="n"/>
      <c r="Q397" s="50" t="n"/>
      <c r="R397" s="50" t="n"/>
      <c r="S397" s="50" t="n"/>
      <c r="T397" s="50" t="n"/>
      <c r="U397" s="50" t="n"/>
      <c r="V397" s="112">
        <f>((O397+R397)*100)/N397</f>
        <v/>
      </c>
      <c r="W397" s="112">
        <f>((P397+S397)*100)/N397</f>
        <v/>
      </c>
      <c r="X397" s="112">
        <f>((Q397+T397)*100)/N397</f>
        <v/>
      </c>
    </row>
    <row r="398" ht="22.5" customHeight="1" s="150">
      <c r="A398" s="34" t="n">
        <v>396</v>
      </c>
      <c r="B398" s="115">
        <f>C398+D398+E398+F398+G398+H398</f>
        <v/>
      </c>
      <c r="C398" s="50" t="n"/>
      <c r="D398" s="50" t="n"/>
      <c r="E398" s="50" t="n"/>
      <c r="F398" s="50" t="n"/>
      <c r="G398" s="50" t="n"/>
      <c r="H398" s="50" t="n"/>
      <c r="I398" s="111">
        <f>(100*B398)/N398</f>
        <v/>
      </c>
      <c r="J398" s="112">
        <f>((C398+F398)*100)/B398</f>
        <v/>
      </c>
      <c r="K398" s="112">
        <f>((D398+G398)*100)/B398</f>
        <v/>
      </c>
      <c r="L398" s="112">
        <f>((E398+H398)*100)/B398</f>
        <v/>
      </c>
      <c r="M398" s="113">
        <f>N398-B397</f>
        <v/>
      </c>
      <c r="N398" s="115">
        <f>O398+P398+Q398+R398+S398+T398</f>
        <v/>
      </c>
      <c r="O398" s="50" t="n"/>
      <c r="P398" s="50" t="n"/>
      <c r="Q398" s="50" t="n"/>
      <c r="R398" s="50" t="n"/>
      <c r="S398" s="50" t="n"/>
      <c r="T398" s="50" t="n"/>
      <c r="U398" s="50" t="n"/>
      <c r="V398" s="112">
        <f>((O398+R398)*100)/N398</f>
        <v/>
      </c>
      <c r="W398" s="112">
        <f>((P398+S398)*100)/N398</f>
        <v/>
      </c>
      <c r="X398" s="112">
        <f>((Q398+T398)*100)/N398</f>
        <v/>
      </c>
    </row>
    <row r="399" ht="22.5" customHeight="1" s="150">
      <c r="A399" s="34" t="n">
        <v>397</v>
      </c>
      <c r="B399" s="115">
        <f>C399+D399+E399+F399+G399+H399</f>
        <v/>
      </c>
      <c r="C399" s="50" t="n"/>
      <c r="D399" s="50" t="n"/>
      <c r="E399" s="50" t="n"/>
      <c r="F399" s="50" t="n"/>
      <c r="G399" s="50" t="n"/>
      <c r="H399" s="50" t="n"/>
      <c r="I399" s="111">
        <f>(100*B399)/N399</f>
        <v/>
      </c>
      <c r="J399" s="112">
        <f>((C399+F399)*100)/B399</f>
        <v/>
      </c>
      <c r="K399" s="112">
        <f>((D399+G399)*100)/B399</f>
        <v/>
      </c>
      <c r="L399" s="112">
        <f>((E399+H399)*100)/B399</f>
        <v/>
      </c>
      <c r="M399" s="113">
        <f>N399-B398</f>
        <v/>
      </c>
      <c r="N399" s="115">
        <f>O399+P399+Q399+R399+S399+T399</f>
        <v/>
      </c>
      <c r="O399" s="50" t="n"/>
      <c r="P399" s="50" t="n"/>
      <c r="Q399" s="50" t="n"/>
      <c r="R399" s="50" t="n"/>
      <c r="S399" s="50" t="n"/>
      <c r="T399" s="50" t="n"/>
      <c r="U399" s="50" t="n"/>
      <c r="V399" s="112">
        <f>((O399+R399)*100)/N399</f>
        <v/>
      </c>
      <c r="W399" s="112">
        <f>((P399+S399)*100)/N399</f>
        <v/>
      </c>
      <c r="X399" s="112">
        <f>((Q399+T399)*100)/N399</f>
        <v/>
      </c>
    </row>
    <row r="400" ht="22.5" customHeight="1" s="150">
      <c r="A400" s="34" t="n">
        <v>398</v>
      </c>
      <c r="B400" s="115">
        <f>C400+D400+E400+F400+G400+H400</f>
        <v/>
      </c>
      <c r="C400" s="50" t="n"/>
      <c r="D400" s="50" t="n"/>
      <c r="E400" s="50" t="n"/>
      <c r="F400" s="50" t="n"/>
      <c r="G400" s="50" t="n"/>
      <c r="H400" s="50" t="n"/>
      <c r="I400" s="111">
        <f>(100*B400)/N400</f>
        <v/>
      </c>
      <c r="J400" s="112">
        <f>((C400+F400)*100)/B400</f>
        <v/>
      </c>
      <c r="K400" s="112">
        <f>((D400+G400)*100)/B400</f>
        <v/>
      </c>
      <c r="L400" s="112">
        <f>((E400+H400)*100)/B400</f>
        <v/>
      </c>
      <c r="M400" s="113">
        <f>N400-B399</f>
        <v/>
      </c>
      <c r="N400" s="115">
        <f>O400+P400+Q400+R400+S400+T400</f>
        <v/>
      </c>
      <c r="O400" s="50" t="n"/>
      <c r="P400" s="50" t="n"/>
      <c r="Q400" s="50" t="n"/>
      <c r="R400" s="50" t="n"/>
      <c r="S400" s="50" t="n"/>
      <c r="T400" s="50" t="n"/>
      <c r="U400" s="50" t="n"/>
      <c r="V400" s="112">
        <f>((O400+R400)*100)/N400</f>
        <v/>
      </c>
      <c r="W400" s="112">
        <f>((P400+S400)*100)/N400</f>
        <v/>
      </c>
      <c r="X400" s="112">
        <f>((Q400+T400)*100)/N400</f>
        <v/>
      </c>
    </row>
    <row r="401" ht="22.5" customHeight="1" s="150">
      <c r="A401" s="34" t="n">
        <v>399</v>
      </c>
      <c r="B401" s="115">
        <f>C401+D401+E401+F401+G401+H401</f>
        <v/>
      </c>
      <c r="C401" s="50" t="n"/>
      <c r="D401" s="50" t="n"/>
      <c r="E401" s="50" t="n"/>
      <c r="F401" s="50" t="n"/>
      <c r="G401" s="50" t="n"/>
      <c r="H401" s="50" t="n"/>
      <c r="I401" s="111">
        <f>(100*B401)/N401</f>
        <v/>
      </c>
      <c r="J401" s="112">
        <f>((C401+F401)*100)/B401</f>
        <v/>
      </c>
      <c r="K401" s="112">
        <f>((D401+G401)*100)/B401</f>
        <v/>
      </c>
      <c r="L401" s="112">
        <f>((E401+H401)*100)/B401</f>
        <v/>
      </c>
      <c r="M401" s="113">
        <f>N401-B400</f>
        <v/>
      </c>
      <c r="N401" s="115">
        <f>O401+P401+Q401+R401+S401+T401</f>
        <v/>
      </c>
      <c r="O401" s="50" t="n"/>
      <c r="P401" s="50" t="n"/>
      <c r="Q401" s="50" t="n"/>
      <c r="R401" s="50" t="n"/>
      <c r="S401" s="50" t="n"/>
      <c r="T401" s="50" t="n"/>
      <c r="U401" s="50" t="n"/>
      <c r="V401" s="112">
        <f>((O401+R401)*100)/N401</f>
        <v/>
      </c>
      <c r="W401" s="112">
        <f>((P401+S401)*100)/N401</f>
        <v/>
      </c>
      <c r="X401" s="112">
        <f>((Q401+T401)*100)/N401</f>
        <v/>
      </c>
    </row>
    <row r="402" ht="22.5" customHeight="1" s="150">
      <c r="A402" s="34" t="n">
        <v>400</v>
      </c>
      <c r="B402" s="115">
        <f>C402+D402+E402+F402+G402+H402</f>
        <v/>
      </c>
      <c r="C402" s="50" t="n"/>
      <c r="D402" s="50" t="n"/>
      <c r="E402" s="50" t="n"/>
      <c r="F402" s="50" t="n"/>
      <c r="G402" s="50" t="n"/>
      <c r="H402" s="50" t="n"/>
      <c r="I402" s="111">
        <f>(100*B402)/N402</f>
        <v/>
      </c>
      <c r="J402" s="112">
        <f>((C402+F402)*100)/B402</f>
        <v/>
      </c>
      <c r="K402" s="112">
        <f>((D402+G402)*100)/B402</f>
        <v/>
      </c>
      <c r="L402" s="112">
        <f>((E402+H402)*100)/B402</f>
        <v/>
      </c>
      <c r="M402" s="113">
        <f>N402-B401</f>
        <v/>
      </c>
      <c r="N402" s="115">
        <f>O402+P402+Q402+R402+S402+T402</f>
        <v/>
      </c>
      <c r="O402" s="50" t="n"/>
      <c r="P402" s="50" t="n"/>
      <c r="Q402" s="50" t="n"/>
      <c r="R402" s="50" t="n"/>
      <c r="S402" s="50" t="n"/>
      <c r="T402" s="50" t="n"/>
      <c r="U402" s="50" t="n"/>
      <c r="V402" s="112">
        <f>((O402+R402)*100)/N402</f>
        <v/>
      </c>
      <c r="W402" s="112">
        <f>((P402+S402)*100)/N402</f>
        <v/>
      </c>
      <c r="X402" s="112">
        <f>((Q402+T402)*100)/N402</f>
        <v/>
      </c>
    </row>
    <row r="403">
      <c r="A403" s="34" t="n">
        <v>401</v>
      </c>
      <c r="I403" s="111" t="n"/>
      <c r="J403" s="111" t="n"/>
      <c r="K403" s="111" t="n"/>
      <c r="L403" s="111" t="n"/>
      <c r="V403" s="111" t="n"/>
      <c r="W403" s="111" t="n"/>
      <c r="X403" s="111" t="n"/>
    </row>
    <row r="404">
      <c r="A404" s="34" t="n">
        <v>402</v>
      </c>
      <c r="I404" s="111" t="n"/>
      <c r="J404" s="111" t="n"/>
      <c r="K404" s="111" t="n"/>
      <c r="L404" s="111" t="n"/>
      <c r="V404" s="111" t="n"/>
      <c r="W404" s="111" t="n"/>
      <c r="X404" s="111" t="n"/>
    </row>
    <row r="405">
      <c r="A405" s="34" t="n">
        <v>403</v>
      </c>
      <c r="I405" s="111" t="n"/>
      <c r="J405" s="111" t="n"/>
      <c r="K405" s="111" t="n"/>
      <c r="L405" s="111" t="n"/>
      <c r="V405" s="111" t="n"/>
      <c r="W405" s="111" t="n"/>
      <c r="X405" s="111" t="n"/>
    </row>
    <row r="406">
      <c r="A406" s="34" t="n">
        <v>404</v>
      </c>
      <c r="I406" s="111" t="n"/>
      <c r="J406" s="111" t="n"/>
      <c r="K406" s="111" t="n"/>
      <c r="L406" s="111" t="n"/>
      <c r="V406" s="111" t="n"/>
      <c r="W406" s="111" t="n"/>
      <c r="X406" s="111" t="n"/>
    </row>
    <row r="407">
      <c r="A407" s="34" t="n">
        <v>405</v>
      </c>
      <c r="I407" s="111" t="n"/>
      <c r="J407" s="111" t="n"/>
      <c r="K407" s="111" t="n"/>
      <c r="L407" s="111" t="n"/>
      <c r="V407" s="111" t="n"/>
      <c r="W407" s="111" t="n"/>
      <c r="X407" s="111" t="n"/>
    </row>
    <row r="408">
      <c r="A408" s="34" t="n">
        <v>406</v>
      </c>
      <c r="I408" s="111" t="n"/>
      <c r="J408" s="111" t="n"/>
      <c r="K408" s="111" t="n"/>
      <c r="L408" s="111" t="n"/>
      <c r="V408" s="111" t="n"/>
      <c r="W408" s="111" t="n"/>
      <c r="X408" s="111" t="n"/>
    </row>
    <row r="409">
      <c r="A409" s="34" t="n">
        <v>407</v>
      </c>
      <c r="I409" s="111" t="n"/>
      <c r="J409" s="111" t="n"/>
      <c r="K409" s="111" t="n"/>
      <c r="L409" s="111" t="n"/>
      <c r="V409" s="111" t="n"/>
      <c r="W409" s="111" t="n"/>
      <c r="X409" s="111" t="n"/>
    </row>
    <row r="410">
      <c r="A410" s="34" t="n">
        <v>408</v>
      </c>
      <c r="I410" s="111" t="n"/>
      <c r="J410" s="111" t="n"/>
      <c r="K410" s="111" t="n"/>
      <c r="L410" s="111" t="n"/>
      <c r="V410" s="111" t="n"/>
      <c r="W410" s="111" t="n"/>
      <c r="X410" s="111" t="n"/>
    </row>
    <row r="411">
      <c r="A411" s="34" t="n">
        <v>409</v>
      </c>
      <c r="I411" s="111" t="n"/>
      <c r="J411" s="111" t="n"/>
      <c r="K411" s="111" t="n"/>
      <c r="L411" s="111" t="n"/>
      <c r="V411" s="111" t="n"/>
      <c r="W411" s="111" t="n"/>
      <c r="X411" s="111" t="n"/>
    </row>
    <row r="412">
      <c r="A412" s="34" t="n">
        <v>410</v>
      </c>
      <c r="I412" s="111" t="n"/>
      <c r="J412" s="111" t="n"/>
      <c r="K412" s="111" t="n"/>
      <c r="L412" s="111" t="n"/>
      <c r="V412" s="111" t="n"/>
      <c r="W412" s="111" t="n"/>
      <c r="X412" s="111" t="n"/>
    </row>
    <row r="413">
      <c r="A413" s="34" t="n">
        <v>411</v>
      </c>
      <c r="I413" s="111" t="n"/>
      <c r="J413" s="111" t="n"/>
      <c r="K413" s="111" t="n"/>
      <c r="L413" s="111" t="n"/>
      <c r="V413" s="111" t="n"/>
      <c r="W413" s="111" t="n"/>
      <c r="X413" s="111" t="n"/>
    </row>
    <row r="414">
      <c r="A414" s="34" t="n">
        <v>412</v>
      </c>
      <c r="I414" s="111" t="n"/>
      <c r="J414" s="111" t="n"/>
      <c r="K414" s="111" t="n"/>
      <c r="L414" s="111" t="n"/>
      <c r="V414" s="111" t="n"/>
      <c r="W414" s="111" t="n"/>
      <c r="X414" s="111" t="n"/>
    </row>
    <row r="415">
      <c r="A415" s="34" t="n">
        <v>413</v>
      </c>
      <c r="I415" s="111" t="n"/>
      <c r="J415" s="111" t="n"/>
      <c r="K415" s="111" t="n"/>
      <c r="L415" s="111" t="n"/>
      <c r="V415" s="111" t="n"/>
      <c r="W415" s="111" t="n"/>
      <c r="X415" s="111" t="n"/>
    </row>
    <row r="416">
      <c r="A416" s="34" t="n">
        <v>414</v>
      </c>
      <c r="I416" s="111" t="n"/>
      <c r="J416" s="111" t="n"/>
      <c r="K416" s="111" t="n"/>
      <c r="L416" s="111" t="n"/>
      <c r="V416" s="111" t="n"/>
      <c r="W416" s="111" t="n"/>
      <c r="X416" s="111" t="n"/>
    </row>
    <row r="417">
      <c r="A417" s="34" t="n">
        <v>415</v>
      </c>
      <c r="I417" s="111" t="n"/>
      <c r="J417" s="111" t="n"/>
      <c r="K417" s="111" t="n"/>
      <c r="L417" s="111" t="n"/>
      <c r="V417" s="111" t="n"/>
      <c r="W417" s="111" t="n"/>
      <c r="X417" s="111" t="n"/>
    </row>
    <row r="418">
      <c r="A418" s="34" t="n">
        <v>416</v>
      </c>
      <c r="I418" s="111" t="n"/>
      <c r="J418" s="111" t="n"/>
      <c r="K418" s="111" t="n"/>
      <c r="L418" s="111" t="n"/>
      <c r="V418" s="111" t="n"/>
      <c r="W418" s="111" t="n"/>
      <c r="X418" s="111" t="n"/>
    </row>
    <row r="419">
      <c r="A419" s="34" t="n">
        <v>417</v>
      </c>
      <c r="I419" s="111" t="n"/>
      <c r="J419" s="111" t="n"/>
      <c r="K419" s="111" t="n"/>
      <c r="L419" s="111" t="n"/>
      <c r="V419" s="111" t="n"/>
      <c r="W419" s="111" t="n"/>
      <c r="X419" s="111" t="n"/>
    </row>
    <row r="420">
      <c r="A420" s="34" t="n">
        <v>418</v>
      </c>
      <c r="I420" s="111" t="n"/>
      <c r="J420" s="111" t="n"/>
      <c r="K420" s="111" t="n"/>
      <c r="L420" s="111" t="n"/>
      <c r="V420" s="111" t="n"/>
      <c r="W420" s="111" t="n"/>
      <c r="X420" s="111" t="n"/>
    </row>
    <row r="421">
      <c r="A421" s="34" t="n">
        <v>419</v>
      </c>
      <c r="I421" s="111" t="n"/>
      <c r="J421" s="111" t="n"/>
      <c r="K421" s="111" t="n"/>
      <c r="L421" s="111" t="n"/>
      <c r="V421" s="111" t="n"/>
      <c r="W421" s="111" t="n"/>
      <c r="X421" s="111" t="n"/>
    </row>
    <row r="422">
      <c r="A422" s="34" t="n">
        <v>420</v>
      </c>
      <c r="I422" s="111" t="n"/>
      <c r="J422" s="111" t="n"/>
      <c r="K422" s="111" t="n"/>
      <c r="L422" s="111" t="n"/>
      <c r="V422" s="111" t="n"/>
      <c r="W422" s="111" t="n"/>
      <c r="X422" s="111" t="n"/>
    </row>
    <row r="423">
      <c r="A423" s="34" t="n">
        <v>421</v>
      </c>
      <c r="I423" s="111" t="n"/>
      <c r="J423" s="111" t="n"/>
      <c r="K423" s="111" t="n"/>
      <c r="L423" s="111" t="n"/>
      <c r="V423" s="111" t="n"/>
      <c r="W423" s="111" t="n"/>
      <c r="X423" s="111" t="n"/>
    </row>
    <row r="424">
      <c r="A424" s="34" t="n">
        <v>422</v>
      </c>
      <c r="I424" s="111" t="n"/>
      <c r="J424" s="111" t="n"/>
      <c r="K424" s="111" t="n"/>
      <c r="L424" s="111" t="n"/>
      <c r="V424" s="111" t="n"/>
      <c r="W424" s="111" t="n"/>
      <c r="X424" s="111" t="n"/>
    </row>
    <row r="425">
      <c r="A425" s="34" t="n">
        <v>423</v>
      </c>
      <c r="I425" s="111" t="n"/>
      <c r="J425" s="111" t="n"/>
      <c r="K425" s="111" t="n"/>
      <c r="L425" s="111" t="n"/>
      <c r="V425" s="111" t="n"/>
      <c r="W425" s="111" t="n"/>
      <c r="X425" s="111" t="n"/>
    </row>
    <row r="426">
      <c r="A426" s="34" t="n">
        <v>424</v>
      </c>
      <c r="I426" s="111" t="n"/>
      <c r="J426" s="111" t="n"/>
      <c r="K426" s="111" t="n"/>
      <c r="L426" s="111" t="n"/>
      <c r="V426" s="111" t="n"/>
      <c r="W426" s="111" t="n"/>
      <c r="X426" s="111" t="n"/>
    </row>
    <row r="427">
      <c r="A427" s="34" t="n">
        <v>425</v>
      </c>
      <c r="I427" s="111" t="n"/>
      <c r="J427" s="111" t="n"/>
      <c r="K427" s="111" t="n"/>
      <c r="L427" s="111" t="n"/>
      <c r="V427" s="111" t="n"/>
      <c r="W427" s="111" t="n"/>
      <c r="X427" s="111" t="n"/>
    </row>
    <row r="428">
      <c r="A428" s="34" t="n">
        <v>426</v>
      </c>
      <c r="I428" s="111" t="n"/>
      <c r="J428" s="111" t="n"/>
      <c r="K428" s="111" t="n"/>
      <c r="L428" s="111" t="n"/>
      <c r="V428" s="111" t="n"/>
      <c r="W428" s="111" t="n"/>
      <c r="X428" s="111" t="n"/>
    </row>
    <row r="429">
      <c r="A429" s="34" t="n">
        <v>427</v>
      </c>
      <c r="I429" s="111" t="n"/>
      <c r="J429" s="111" t="n"/>
      <c r="K429" s="111" t="n"/>
      <c r="L429" s="111" t="n"/>
      <c r="V429" s="111" t="n"/>
      <c r="W429" s="111" t="n"/>
      <c r="X429" s="111" t="n"/>
    </row>
    <row r="430">
      <c r="A430" s="34" t="n">
        <v>428</v>
      </c>
      <c r="I430" s="111" t="n"/>
      <c r="J430" s="111" t="n"/>
      <c r="K430" s="111" t="n"/>
      <c r="L430" s="111" t="n"/>
      <c r="V430" s="111" t="n"/>
      <c r="W430" s="111" t="n"/>
      <c r="X430" s="111" t="n"/>
    </row>
    <row r="431">
      <c r="A431" s="34" t="n">
        <v>429</v>
      </c>
      <c r="I431" s="111" t="n"/>
      <c r="J431" s="111" t="n"/>
      <c r="K431" s="111" t="n"/>
      <c r="L431" s="111" t="n"/>
      <c r="V431" s="111" t="n"/>
      <c r="W431" s="111" t="n"/>
      <c r="X431" s="111" t="n"/>
    </row>
    <row r="432">
      <c r="A432" s="34" t="n">
        <v>430</v>
      </c>
      <c r="I432" s="111" t="n"/>
      <c r="J432" s="111" t="n"/>
      <c r="K432" s="111" t="n"/>
      <c r="L432" s="111" t="n"/>
      <c r="V432" s="111" t="n"/>
      <c r="W432" s="111" t="n"/>
      <c r="X432" s="111" t="n"/>
    </row>
    <row r="433">
      <c r="A433" s="34" t="n">
        <v>431</v>
      </c>
      <c r="I433" s="111" t="n"/>
      <c r="J433" s="111" t="n"/>
      <c r="K433" s="111" t="n"/>
      <c r="L433" s="111" t="n"/>
      <c r="V433" s="111" t="n"/>
      <c r="W433" s="111" t="n"/>
      <c r="X433" s="111" t="n"/>
    </row>
    <row r="434">
      <c r="A434" s="34" t="n">
        <v>432</v>
      </c>
      <c r="I434" s="111" t="n"/>
      <c r="J434" s="111" t="n"/>
      <c r="K434" s="111" t="n"/>
      <c r="L434" s="111" t="n"/>
      <c r="V434" s="111" t="n"/>
      <c r="W434" s="111" t="n"/>
      <c r="X434" s="111" t="n"/>
    </row>
    <row r="435">
      <c r="A435" s="34" t="n">
        <v>433</v>
      </c>
      <c r="I435" s="111" t="n"/>
      <c r="J435" s="111" t="n"/>
      <c r="K435" s="111" t="n"/>
      <c r="L435" s="111" t="n"/>
      <c r="V435" s="111" t="n"/>
      <c r="W435" s="111" t="n"/>
      <c r="X435" s="111" t="n"/>
    </row>
    <row r="436">
      <c r="A436" s="34" t="n">
        <v>434</v>
      </c>
      <c r="I436" s="111" t="n"/>
      <c r="J436" s="111" t="n"/>
      <c r="K436" s="111" t="n"/>
      <c r="L436" s="111" t="n"/>
      <c r="V436" s="111" t="n"/>
      <c r="W436" s="111" t="n"/>
      <c r="X436" s="111" t="n"/>
    </row>
    <row r="437">
      <c r="A437" s="34" t="n">
        <v>435</v>
      </c>
      <c r="I437" s="111" t="n"/>
      <c r="J437" s="111" t="n"/>
      <c r="K437" s="111" t="n"/>
      <c r="L437" s="111" t="n"/>
      <c r="V437" s="111" t="n"/>
      <c r="W437" s="111" t="n"/>
      <c r="X437" s="111" t="n"/>
    </row>
    <row r="438">
      <c r="A438" s="34" t="n">
        <v>436</v>
      </c>
      <c r="I438" s="111" t="n"/>
      <c r="J438" s="111" t="n"/>
      <c r="K438" s="111" t="n"/>
      <c r="L438" s="111" t="n"/>
      <c r="V438" s="111" t="n"/>
      <c r="W438" s="111" t="n"/>
      <c r="X438" s="111" t="n"/>
    </row>
    <row r="439">
      <c r="A439" s="34" t="n">
        <v>437</v>
      </c>
      <c r="I439" s="111" t="n"/>
      <c r="J439" s="111" t="n"/>
      <c r="K439" s="111" t="n"/>
      <c r="L439" s="111" t="n"/>
      <c r="V439" s="111" t="n"/>
      <c r="W439" s="111" t="n"/>
      <c r="X439" s="111" t="n"/>
    </row>
    <row r="440">
      <c r="A440" s="34" t="n">
        <v>438</v>
      </c>
      <c r="I440" s="111" t="n"/>
      <c r="J440" s="111" t="n"/>
      <c r="K440" s="111" t="n"/>
      <c r="L440" s="111" t="n"/>
      <c r="V440" s="111" t="n"/>
      <c r="W440" s="111" t="n"/>
      <c r="X440" s="111" t="n"/>
    </row>
    <row r="441">
      <c r="A441" s="34" t="n">
        <v>439</v>
      </c>
      <c r="I441" s="111" t="n"/>
      <c r="J441" s="111" t="n"/>
      <c r="K441" s="111" t="n"/>
      <c r="L441" s="111" t="n"/>
      <c r="V441" s="111" t="n"/>
      <c r="W441" s="111" t="n"/>
      <c r="X441" s="111" t="n"/>
    </row>
    <row r="442">
      <c r="A442" s="34" t="n">
        <v>440</v>
      </c>
      <c r="I442" s="111" t="n"/>
      <c r="J442" s="111" t="n"/>
      <c r="K442" s="111" t="n"/>
      <c r="L442" s="111" t="n"/>
      <c r="V442" s="111" t="n"/>
      <c r="W442" s="111" t="n"/>
      <c r="X442" s="111" t="n"/>
    </row>
    <row r="443">
      <c r="A443" s="34" t="n">
        <v>441</v>
      </c>
      <c r="I443" s="111" t="n"/>
      <c r="J443" s="111" t="n"/>
      <c r="K443" s="111" t="n"/>
      <c r="L443" s="111" t="n"/>
      <c r="V443" s="111" t="n"/>
      <c r="W443" s="111" t="n"/>
      <c r="X443" s="111" t="n"/>
    </row>
    <row r="444">
      <c r="A444" s="34" t="n">
        <v>442</v>
      </c>
      <c r="I444" s="111" t="n"/>
      <c r="J444" s="111" t="n"/>
      <c r="K444" s="111" t="n"/>
      <c r="L444" s="111" t="n"/>
      <c r="V444" s="111" t="n"/>
      <c r="W444" s="111" t="n"/>
      <c r="X444" s="111" t="n"/>
    </row>
    <row r="445">
      <c r="A445" s="34" t="n">
        <v>443</v>
      </c>
      <c r="I445" s="111" t="n"/>
      <c r="J445" s="111" t="n"/>
      <c r="K445" s="111" t="n"/>
      <c r="L445" s="111" t="n"/>
      <c r="V445" s="111" t="n"/>
      <c r="W445" s="111" t="n"/>
      <c r="X445" s="111" t="n"/>
    </row>
    <row r="446">
      <c r="A446" s="34" t="n">
        <v>444</v>
      </c>
      <c r="I446" s="111" t="n"/>
      <c r="J446" s="111" t="n"/>
      <c r="K446" s="111" t="n"/>
      <c r="L446" s="111" t="n"/>
      <c r="V446" s="111" t="n"/>
      <c r="W446" s="111" t="n"/>
      <c r="X446" s="111" t="n"/>
    </row>
    <row r="447">
      <c r="A447" s="34" t="n">
        <v>445</v>
      </c>
      <c r="I447" s="111" t="n"/>
      <c r="J447" s="111" t="n"/>
      <c r="K447" s="111" t="n"/>
      <c r="L447" s="111" t="n"/>
      <c r="V447" s="111" t="n"/>
      <c r="W447" s="111" t="n"/>
      <c r="X447" s="111" t="n"/>
    </row>
    <row r="448">
      <c r="A448" s="34" t="n">
        <v>446</v>
      </c>
      <c r="I448" s="111" t="n"/>
      <c r="J448" s="111" t="n"/>
      <c r="K448" s="111" t="n"/>
      <c r="L448" s="111" t="n"/>
      <c r="V448" s="111" t="n"/>
      <c r="W448" s="111" t="n"/>
      <c r="X448" s="111" t="n"/>
    </row>
    <row r="449">
      <c r="A449" s="34" t="n">
        <v>447</v>
      </c>
      <c r="I449" s="111" t="n"/>
      <c r="J449" s="111" t="n"/>
      <c r="K449" s="111" t="n"/>
      <c r="L449" s="111" t="n"/>
      <c r="V449" s="111" t="n"/>
      <c r="W449" s="111" t="n"/>
      <c r="X449" s="111" t="n"/>
    </row>
    <row r="450">
      <c r="A450" s="34" t="n">
        <v>448</v>
      </c>
      <c r="I450" s="111" t="n"/>
      <c r="J450" s="111" t="n"/>
      <c r="K450" s="111" t="n"/>
      <c r="L450" s="111" t="n"/>
      <c r="V450" s="111" t="n"/>
      <c r="W450" s="111" t="n"/>
      <c r="X450" s="111" t="n"/>
    </row>
    <row r="451">
      <c r="A451" s="34" t="n">
        <v>449</v>
      </c>
      <c r="I451" s="111" t="n"/>
      <c r="J451" s="111" t="n"/>
      <c r="K451" s="111" t="n"/>
      <c r="L451" s="111" t="n"/>
      <c r="V451" s="111" t="n"/>
      <c r="W451" s="111" t="n"/>
      <c r="X451" s="111" t="n"/>
    </row>
    <row r="452">
      <c r="A452" s="34" t="n">
        <v>450</v>
      </c>
      <c r="I452" s="111" t="n"/>
      <c r="J452" s="111" t="n"/>
      <c r="K452" s="111" t="n"/>
      <c r="L452" s="111" t="n"/>
      <c r="V452" s="111" t="n"/>
      <c r="W452" s="111" t="n"/>
      <c r="X452" s="111" t="n"/>
    </row>
    <row r="453">
      <c r="A453" s="34" t="n">
        <v>451</v>
      </c>
      <c r="I453" s="111" t="n"/>
      <c r="J453" s="111" t="n"/>
      <c r="K453" s="111" t="n"/>
      <c r="L453" s="111" t="n"/>
      <c r="V453" s="111" t="n"/>
      <c r="W453" s="111" t="n"/>
      <c r="X453" s="111" t="n"/>
    </row>
    <row r="454">
      <c r="A454" s="34" t="n">
        <v>452</v>
      </c>
      <c r="I454" s="111" t="n"/>
      <c r="J454" s="111" t="n"/>
      <c r="K454" s="111" t="n"/>
      <c r="L454" s="111" t="n"/>
      <c r="V454" s="111" t="n"/>
      <c r="W454" s="111" t="n"/>
      <c r="X454" s="111" t="n"/>
    </row>
    <row r="455">
      <c r="A455" s="34" t="n">
        <v>453</v>
      </c>
      <c r="I455" s="111" t="n"/>
      <c r="J455" s="111" t="n"/>
      <c r="K455" s="111" t="n"/>
      <c r="L455" s="111" t="n"/>
      <c r="V455" s="111" t="n"/>
      <c r="W455" s="111" t="n"/>
      <c r="X455" s="111" t="n"/>
    </row>
    <row r="456">
      <c r="A456" s="34" t="n">
        <v>454</v>
      </c>
      <c r="I456" s="111" t="n"/>
      <c r="J456" s="111" t="n"/>
      <c r="K456" s="111" t="n"/>
      <c r="L456" s="111" t="n"/>
      <c r="V456" s="111" t="n"/>
      <c r="W456" s="111" t="n"/>
      <c r="X456" s="111" t="n"/>
    </row>
    <row r="457">
      <c r="A457" s="34" t="n">
        <v>455</v>
      </c>
      <c r="I457" s="111" t="n"/>
      <c r="J457" s="111" t="n"/>
      <c r="K457" s="111" t="n"/>
      <c r="L457" s="111" t="n"/>
      <c r="V457" s="111" t="n"/>
      <c r="W457" s="111" t="n"/>
      <c r="X457" s="111" t="n"/>
    </row>
    <row r="458">
      <c r="A458" s="34" t="n">
        <v>456</v>
      </c>
      <c r="I458" s="111" t="n"/>
      <c r="J458" s="111" t="n"/>
      <c r="K458" s="111" t="n"/>
      <c r="L458" s="111" t="n"/>
      <c r="V458" s="111" t="n"/>
      <c r="W458" s="111" t="n"/>
      <c r="X458" s="111" t="n"/>
    </row>
    <row r="459">
      <c r="A459" s="34" t="n">
        <v>457</v>
      </c>
      <c r="I459" s="111" t="n"/>
      <c r="J459" s="111" t="n"/>
      <c r="K459" s="111" t="n"/>
      <c r="L459" s="111" t="n"/>
      <c r="V459" s="111" t="n"/>
      <c r="W459" s="111" t="n"/>
      <c r="X459" s="111" t="n"/>
    </row>
    <row r="460">
      <c r="A460" s="34" t="n">
        <v>458</v>
      </c>
      <c r="I460" s="111" t="n"/>
      <c r="J460" s="111" t="n"/>
      <c r="K460" s="111" t="n"/>
      <c r="L460" s="111" t="n"/>
      <c r="V460" s="111" t="n"/>
      <c r="W460" s="111" t="n"/>
      <c r="X460" s="111" t="n"/>
    </row>
    <row r="461">
      <c r="A461" s="34" t="n">
        <v>459</v>
      </c>
      <c r="I461" s="111" t="n"/>
      <c r="J461" s="111" t="n"/>
      <c r="K461" s="111" t="n"/>
      <c r="L461" s="111" t="n"/>
      <c r="V461" s="111" t="n"/>
      <c r="W461" s="111" t="n"/>
      <c r="X461" s="111" t="n"/>
    </row>
    <row r="462">
      <c r="A462" s="34" t="n">
        <v>460</v>
      </c>
      <c r="I462" s="111" t="n"/>
      <c r="J462" s="111" t="n"/>
      <c r="K462" s="111" t="n"/>
      <c r="L462" s="111" t="n"/>
      <c r="V462" s="111" t="n"/>
      <c r="W462" s="111" t="n"/>
      <c r="X462" s="111" t="n"/>
    </row>
    <row r="463">
      <c r="A463" s="34" t="n">
        <v>461</v>
      </c>
      <c r="I463" s="111" t="n"/>
      <c r="J463" s="111" t="n"/>
      <c r="K463" s="111" t="n"/>
      <c r="L463" s="111" t="n"/>
      <c r="V463" s="111" t="n"/>
      <c r="W463" s="111" t="n"/>
      <c r="X463" s="111" t="n"/>
    </row>
    <row r="464">
      <c r="A464" s="34" t="n">
        <v>462</v>
      </c>
      <c r="I464" s="111" t="n"/>
      <c r="J464" s="111" t="n"/>
      <c r="K464" s="111" t="n"/>
      <c r="L464" s="111" t="n"/>
      <c r="V464" s="111" t="n"/>
      <c r="W464" s="111" t="n"/>
      <c r="X464" s="111" t="n"/>
    </row>
    <row r="465">
      <c r="A465" s="34" t="n">
        <v>463</v>
      </c>
      <c r="I465" s="111" t="n"/>
      <c r="J465" s="111" t="n"/>
      <c r="K465" s="111" t="n"/>
      <c r="L465" s="111" t="n"/>
      <c r="V465" s="111" t="n"/>
      <c r="W465" s="111" t="n"/>
      <c r="X465" s="111" t="n"/>
    </row>
    <row r="466">
      <c r="A466" s="34" t="n">
        <v>464</v>
      </c>
      <c r="I466" s="111" t="n"/>
      <c r="J466" s="111" t="n"/>
      <c r="K466" s="111" t="n"/>
      <c r="L466" s="111" t="n"/>
      <c r="V466" s="111" t="n"/>
      <c r="W466" s="111" t="n"/>
      <c r="X466" s="111" t="n"/>
    </row>
    <row r="467">
      <c r="A467" s="34" t="n">
        <v>465</v>
      </c>
      <c r="I467" s="111" t="n"/>
      <c r="J467" s="111" t="n"/>
      <c r="K467" s="111" t="n"/>
      <c r="L467" s="111" t="n"/>
      <c r="V467" s="111" t="n"/>
      <c r="W467" s="111" t="n"/>
      <c r="X467" s="111" t="n"/>
    </row>
    <row r="468">
      <c r="A468" s="34" t="n">
        <v>466</v>
      </c>
      <c r="I468" s="111" t="n"/>
      <c r="J468" s="111" t="n"/>
      <c r="K468" s="111" t="n"/>
      <c r="L468" s="111" t="n"/>
      <c r="V468" s="111" t="n"/>
      <c r="W468" s="111" t="n"/>
      <c r="X468" s="111" t="n"/>
    </row>
    <row r="469">
      <c r="A469" s="34" t="n">
        <v>467</v>
      </c>
      <c r="I469" s="111" t="n"/>
      <c r="J469" s="111" t="n"/>
      <c r="K469" s="111" t="n"/>
      <c r="L469" s="111" t="n"/>
      <c r="V469" s="111" t="n"/>
      <c r="W469" s="111" t="n"/>
      <c r="X469" s="111" t="n"/>
    </row>
    <row r="470">
      <c r="A470" s="34" t="n">
        <v>468</v>
      </c>
      <c r="I470" s="111" t="n"/>
      <c r="J470" s="111" t="n"/>
      <c r="K470" s="111" t="n"/>
      <c r="L470" s="111" t="n"/>
      <c r="V470" s="111" t="n"/>
      <c r="W470" s="111" t="n"/>
      <c r="X470" s="111" t="n"/>
    </row>
    <row r="471">
      <c r="A471" s="34" t="n">
        <v>469</v>
      </c>
      <c r="I471" s="111" t="n"/>
      <c r="J471" s="111" t="n"/>
      <c r="K471" s="111" t="n"/>
      <c r="L471" s="111" t="n"/>
      <c r="V471" s="111" t="n"/>
      <c r="W471" s="111" t="n"/>
      <c r="X471" s="111" t="n"/>
    </row>
    <row r="472">
      <c r="A472" s="34" t="n">
        <v>470</v>
      </c>
      <c r="I472" s="111" t="n"/>
      <c r="J472" s="111" t="n"/>
      <c r="K472" s="111" t="n"/>
      <c r="L472" s="111" t="n"/>
      <c r="V472" s="111" t="n"/>
      <c r="W472" s="111" t="n"/>
      <c r="X472" s="111" t="n"/>
    </row>
    <row r="473">
      <c r="A473" s="34" t="n">
        <v>471</v>
      </c>
      <c r="I473" s="111" t="n"/>
      <c r="J473" s="111" t="n"/>
      <c r="K473" s="111" t="n"/>
      <c r="L473" s="111" t="n"/>
      <c r="V473" s="111" t="n"/>
      <c r="W473" s="111" t="n"/>
      <c r="X473" s="111" t="n"/>
    </row>
    <row r="474">
      <c r="A474" s="34" t="n">
        <v>472</v>
      </c>
      <c r="I474" s="111" t="n"/>
      <c r="J474" s="111" t="n"/>
      <c r="K474" s="111" t="n"/>
      <c r="L474" s="111" t="n"/>
      <c r="V474" s="111" t="n"/>
      <c r="W474" s="111" t="n"/>
      <c r="X474" s="111" t="n"/>
    </row>
    <row r="475">
      <c r="A475" s="34" t="n">
        <v>473</v>
      </c>
      <c r="I475" s="111" t="n"/>
      <c r="J475" s="111" t="n"/>
      <c r="K475" s="111" t="n"/>
      <c r="L475" s="111" t="n"/>
      <c r="V475" s="111" t="n"/>
      <c r="W475" s="111" t="n"/>
      <c r="X475" s="111" t="n"/>
    </row>
    <row r="476">
      <c r="A476" s="34" t="n">
        <v>474</v>
      </c>
      <c r="I476" s="111" t="n"/>
      <c r="J476" s="111" t="n"/>
      <c r="K476" s="111" t="n"/>
      <c r="L476" s="111" t="n"/>
      <c r="V476" s="111" t="n"/>
      <c r="W476" s="111" t="n"/>
      <c r="X476" s="111" t="n"/>
    </row>
    <row r="477">
      <c r="A477" s="34" t="n">
        <v>475</v>
      </c>
      <c r="I477" s="111" t="n"/>
      <c r="J477" s="111" t="n"/>
      <c r="K477" s="111" t="n"/>
      <c r="L477" s="111" t="n"/>
      <c r="V477" s="111" t="n"/>
      <c r="W477" s="111" t="n"/>
      <c r="X477" s="111" t="n"/>
    </row>
    <row r="478">
      <c r="A478" s="34" t="n">
        <v>476</v>
      </c>
      <c r="I478" s="111" t="n"/>
      <c r="J478" s="111" t="n"/>
      <c r="K478" s="111" t="n"/>
      <c r="L478" s="111" t="n"/>
      <c r="V478" s="111" t="n"/>
      <c r="W478" s="111" t="n"/>
      <c r="X478" s="111" t="n"/>
    </row>
    <row r="479">
      <c r="A479" s="34" t="n">
        <v>477</v>
      </c>
      <c r="I479" s="111" t="n"/>
      <c r="J479" s="111" t="n"/>
      <c r="K479" s="111" t="n"/>
      <c r="L479" s="111" t="n"/>
      <c r="V479" s="111" t="n"/>
      <c r="W479" s="111" t="n"/>
      <c r="X479" s="111" t="n"/>
    </row>
    <row r="480">
      <c r="A480" s="34" t="n">
        <v>478</v>
      </c>
      <c r="I480" s="111" t="n"/>
      <c r="J480" s="111" t="n"/>
      <c r="K480" s="111" t="n"/>
      <c r="L480" s="111" t="n"/>
      <c r="V480" s="111" t="n"/>
      <c r="W480" s="111" t="n"/>
      <c r="X480" s="111" t="n"/>
    </row>
    <row r="481">
      <c r="A481" s="34" t="n">
        <v>479</v>
      </c>
      <c r="I481" s="111" t="n"/>
      <c r="J481" s="111" t="n"/>
      <c r="K481" s="111" t="n"/>
      <c r="L481" s="111" t="n"/>
      <c r="V481" s="111" t="n"/>
      <c r="W481" s="111" t="n"/>
      <c r="X481" s="111" t="n"/>
    </row>
    <row r="482">
      <c r="A482" s="34" t="n">
        <v>480</v>
      </c>
      <c r="I482" s="111" t="n"/>
      <c r="J482" s="111" t="n"/>
      <c r="K482" s="111" t="n"/>
      <c r="L482" s="111" t="n"/>
      <c r="V482" s="111" t="n"/>
      <c r="W482" s="111" t="n"/>
      <c r="X482" s="111" t="n"/>
    </row>
    <row r="483">
      <c r="A483" s="34" t="n">
        <v>481</v>
      </c>
      <c r="I483" s="111" t="n"/>
      <c r="J483" s="111" t="n"/>
      <c r="K483" s="111" t="n"/>
      <c r="L483" s="111" t="n"/>
      <c r="V483" s="111" t="n"/>
      <c r="W483" s="111" t="n"/>
      <c r="X483" s="111" t="n"/>
    </row>
    <row r="484">
      <c r="A484" s="34" t="n">
        <v>482</v>
      </c>
      <c r="I484" s="111" t="n"/>
      <c r="J484" s="111" t="n"/>
      <c r="K484" s="111" t="n"/>
      <c r="L484" s="111" t="n"/>
      <c r="V484" s="111" t="n"/>
      <c r="W484" s="111" t="n"/>
      <c r="X484" s="111" t="n"/>
    </row>
    <row r="485">
      <c r="A485" s="34" t="n">
        <v>483</v>
      </c>
      <c r="I485" s="111" t="n"/>
      <c r="J485" s="111" t="n"/>
      <c r="K485" s="111" t="n"/>
      <c r="L485" s="111" t="n"/>
      <c r="V485" s="111" t="n"/>
      <c r="W485" s="111" t="n"/>
      <c r="X485" s="111" t="n"/>
    </row>
    <row r="486">
      <c r="A486" s="34" t="n">
        <v>484</v>
      </c>
      <c r="I486" s="111" t="n"/>
      <c r="J486" s="111" t="n"/>
      <c r="K486" s="111" t="n"/>
      <c r="L486" s="111" t="n"/>
      <c r="V486" s="111" t="n"/>
      <c r="W486" s="111" t="n"/>
      <c r="X486" s="111" t="n"/>
    </row>
    <row r="487">
      <c r="A487" s="34" t="n">
        <v>485</v>
      </c>
      <c r="I487" s="111" t="n"/>
      <c r="J487" s="111" t="n"/>
      <c r="K487" s="111" t="n"/>
      <c r="L487" s="111" t="n"/>
      <c r="V487" s="111" t="n"/>
      <c r="W487" s="111" t="n"/>
      <c r="X487" s="111" t="n"/>
    </row>
    <row r="488">
      <c r="A488" s="34" t="n">
        <v>486</v>
      </c>
      <c r="I488" s="111" t="n"/>
      <c r="J488" s="111" t="n"/>
      <c r="K488" s="111" t="n"/>
      <c r="L488" s="111" t="n"/>
      <c r="V488" s="111" t="n"/>
      <c r="W488" s="111" t="n"/>
      <c r="X488" s="111" t="n"/>
    </row>
    <row r="489">
      <c r="A489" s="34" t="n">
        <v>487</v>
      </c>
      <c r="I489" s="111" t="n"/>
      <c r="J489" s="111" t="n"/>
      <c r="K489" s="111" t="n"/>
      <c r="L489" s="111" t="n"/>
      <c r="V489" s="111" t="n"/>
      <c r="W489" s="111" t="n"/>
      <c r="X489" s="111" t="n"/>
    </row>
    <row r="490">
      <c r="A490" s="34" t="n">
        <v>488</v>
      </c>
      <c r="I490" s="111" t="n"/>
      <c r="J490" s="111" t="n"/>
      <c r="K490" s="111" t="n"/>
      <c r="L490" s="111" t="n"/>
      <c r="V490" s="111" t="n"/>
      <c r="W490" s="111" t="n"/>
      <c r="X490" s="111" t="n"/>
    </row>
    <row r="491">
      <c r="A491" s="34" t="n">
        <v>489</v>
      </c>
      <c r="I491" s="111" t="n"/>
      <c r="J491" s="111" t="n"/>
      <c r="K491" s="111" t="n"/>
      <c r="L491" s="111" t="n"/>
      <c r="V491" s="111" t="n"/>
      <c r="W491" s="111" t="n"/>
      <c r="X491" s="111" t="n"/>
    </row>
    <row r="492">
      <c r="A492" s="34" t="n">
        <v>490</v>
      </c>
      <c r="I492" s="111" t="n"/>
      <c r="J492" s="111" t="n"/>
      <c r="K492" s="111" t="n"/>
      <c r="L492" s="111" t="n"/>
      <c r="V492" s="111" t="n"/>
      <c r="W492" s="111" t="n"/>
      <c r="X492" s="111" t="n"/>
    </row>
    <row r="493">
      <c r="A493" s="34" t="n">
        <v>491</v>
      </c>
      <c r="I493" s="111" t="n"/>
      <c r="J493" s="111" t="n"/>
      <c r="K493" s="111" t="n"/>
      <c r="L493" s="111" t="n"/>
      <c r="V493" s="111" t="n"/>
      <c r="W493" s="111" t="n"/>
      <c r="X493" s="111" t="n"/>
    </row>
    <row r="494">
      <c r="A494" s="34" t="n">
        <v>492</v>
      </c>
      <c r="I494" s="111" t="n"/>
      <c r="J494" s="111" t="n"/>
      <c r="K494" s="111" t="n"/>
      <c r="L494" s="111" t="n"/>
      <c r="V494" s="111" t="n"/>
      <c r="W494" s="111" t="n"/>
      <c r="X494" s="111" t="n"/>
    </row>
    <row r="495">
      <c r="A495" s="34" t="n">
        <v>493</v>
      </c>
      <c r="I495" s="111" t="n"/>
      <c r="J495" s="111" t="n"/>
      <c r="K495" s="111" t="n"/>
      <c r="L495" s="111" t="n"/>
      <c r="V495" s="111" t="n"/>
      <c r="W495" s="111" t="n"/>
      <c r="X495" s="111" t="n"/>
    </row>
    <row r="496">
      <c r="A496" s="34" t="n">
        <v>494</v>
      </c>
      <c r="I496" s="111" t="n"/>
      <c r="J496" s="111" t="n"/>
      <c r="K496" s="111" t="n"/>
      <c r="L496" s="111" t="n"/>
      <c r="V496" s="111" t="n"/>
      <c r="W496" s="111" t="n"/>
      <c r="X496" s="111" t="n"/>
    </row>
    <row r="497">
      <c r="A497" s="34" t="n">
        <v>495</v>
      </c>
      <c r="I497" s="111" t="n"/>
      <c r="J497" s="111" t="n"/>
      <c r="K497" s="111" t="n"/>
      <c r="L497" s="111" t="n"/>
      <c r="V497" s="111" t="n"/>
      <c r="W497" s="111" t="n"/>
      <c r="X497" s="111" t="n"/>
    </row>
    <row r="498">
      <c r="A498" s="34" t="n">
        <v>496</v>
      </c>
      <c r="I498" s="111" t="n"/>
      <c r="J498" s="111" t="n"/>
      <c r="K498" s="111" t="n"/>
      <c r="L498" s="111" t="n"/>
      <c r="V498" s="111" t="n"/>
      <c r="W498" s="111" t="n"/>
      <c r="X498" s="111" t="n"/>
    </row>
    <row r="499">
      <c r="A499" s="34" t="n">
        <v>497</v>
      </c>
      <c r="I499" s="111" t="n"/>
      <c r="J499" s="111" t="n"/>
      <c r="K499" s="111" t="n"/>
      <c r="L499" s="111" t="n"/>
      <c r="V499" s="111" t="n"/>
      <c r="W499" s="111" t="n"/>
      <c r="X499" s="111" t="n"/>
    </row>
    <row r="500">
      <c r="A500" s="34" t="n">
        <v>498</v>
      </c>
      <c r="I500" s="111" t="n"/>
      <c r="J500" s="111" t="n"/>
      <c r="K500" s="111" t="n"/>
      <c r="L500" s="111" t="n"/>
      <c r="V500" s="111" t="n"/>
      <c r="W500" s="111" t="n"/>
      <c r="X500" s="111" t="n"/>
    </row>
    <row r="501">
      <c r="A501" s="34" t="n">
        <v>499</v>
      </c>
      <c r="I501" s="111" t="n"/>
      <c r="J501" s="111" t="n"/>
      <c r="K501" s="111" t="n"/>
      <c r="L501" s="111" t="n"/>
      <c r="V501" s="111" t="n"/>
      <c r="W501" s="111" t="n"/>
      <c r="X501" s="111" t="n"/>
    </row>
    <row r="502">
      <c r="A502" s="34" t="n">
        <v>500</v>
      </c>
      <c r="I502" s="111" t="n"/>
      <c r="J502" s="111" t="n"/>
      <c r="K502" s="111" t="n"/>
      <c r="L502" s="111" t="n"/>
      <c r="V502" s="111" t="n"/>
      <c r="W502" s="111" t="n"/>
      <c r="X502" s="111" t="n"/>
    </row>
    <row r="503">
      <c r="A503" s="34" t="n">
        <v>501</v>
      </c>
      <c r="I503" s="111" t="n"/>
      <c r="J503" s="111" t="n"/>
      <c r="K503" s="111" t="n"/>
      <c r="L503" s="111" t="n"/>
      <c r="V503" s="111" t="n"/>
      <c r="W503" s="111" t="n"/>
      <c r="X503" s="111" t="n"/>
    </row>
    <row r="504">
      <c r="A504" s="34" t="n">
        <v>502</v>
      </c>
      <c r="I504" s="111" t="n"/>
      <c r="J504" s="111" t="n"/>
      <c r="K504" s="111" t="n"/>
      <c r="L504" s="111" t="n"/>
      <c r="V504" s="111" t="n"/>
      <c r="W504" s="111" t="n"/>
      <c r="X504" s="111" t="n"/>
    </row>
    <row r="505">
      <c r="A505" s="34" t="n">
        <v>503</v>
      </c>
      <c r="I505" s="111" t="n"/>
      <c r="J505" s="111" t="n"/>
      <c r="K505" s="111" t="n"/>
      <c r="L505" s="111" t="n"/>
      <c r="V505" s="111" t="n"/>
      <c r="W505" s="111" t="n"/>
      <c r="X505" s="111" t="n"/>
    </row>
    <row r="506">
      <c r="A506" s="34" t="n">
        <v>504</v>
      </c>
      <c r="I506" s="111" t="n"/>
      <c r="J506" s="111" t="n"/>
      <c r="K506" s="111" t="n"/>
      <c r="L506" s="111" t="n"/>
      <c r="V506" s="111" t="n"/>
      <c r="W506" s="111" t="n"/>
      <c r="X506" s="111" t="n"/>
    </row>
    <row r="507">
      <c r="A507" s="34" t="n">
        <v>505</v>
      </c>
      <c r="I507" s="111" t="n"/>
      <c r="J507" s="111" t="n"/>
      <c r="K507" s="111" t="n"/>
      <c r="L507" s="111" t="n"/>
      <c r="V507" s="111" t="n"/>
      <c r="W507" s="111" t="n"/>
      <c r="X507" s="111" t="n"/>
    </row>
    <row r="508">
      <c r="A508" s="34" t="n">
        <v>506</v>
      </c>
      <c r="I508" s="111" t="n"/>
      <c r="J508" s="111" t="n"/>
      <c r="K508" s="111" t="n"/>
      <c r="L508" s="111" t="n"/>
      <c r="V508" s="111" t="n"/>
      <c r="W508" s="111" t="n"/>
      <c r="X508" s="111" t="n"/>
    </row>
    <row r="509">
      <c r="A509" s="34" t="n">
        <v>507</v>
      </c>
      <c r="I509" s="111" t="n"/>
      <c r="J509" s="111" t="n"/>
      <c r="K509" s="111" t="n"/>
      <c r="L509" s="111" t="n"/>
      <c r="V509" s="111" t="n"/>
      <c r="W509" s="111" t="n"/>
      <c r="X509" s="111" t="n"/>
    </row>
    <row r="510">
      <c r="A510" s="34" t="n">
        <v>508</v>
      </c>
      <c r="I510" s="111" t="n"/>
      <c r="J510" s="111" t="n"/>
      <c r="K510" s="111" t="n"/>
      <c r="L510" s="111" t="n"/>
      <c r="V510" s="111" t="n"/>
      <c r="W510" s="111" t="n"/>
      <c r="X510" s="111" t="n"/>
    </row>
    <row r="511">
      <c r="A511" s="34" t="n">
        <v>509</v>
      </c>
      <c r="I511" s="111" t="n"/>
      <c r="J511" s="111" t="n"/>
      <c r="K511" s="111" t="n"/>
      <c r="L511" s="111" t="n"/>
      <c r="V511" s="111" t="n"/>
      <c r="W511" s="111" t="n"/>
      <c r="X511" s="111" t="n"/>
    </row>
    <row r="512">
      <c r="A512" s="34" t="n">
        <v>510</v>
      </c>
      <c r="I512" s="111" t="n"/>
      <c r="J512" s="111" t="n"/>
      <c r="K512" s="111" t="n"/>
      <c r="L512" s="111" t="n"/>
      <c r="V512" s="111" t="n"/>
      <c r="W512" s="111" t="n"/>
      <c r="X512" s="111" t="n"/>
    </row>
    <row r="513">
      <c r="A513" s="34" t="n">
        <v>511</v>
      </c>
      <c r="I513" s="111" t="n"/>
      <c r="J513" s="111" t="n"/>
      <c r="K513" s="111" t="n"/>
      <c r="L513" s="111" t="n"/>
      <c r="V513" s="111" t="n"/>
      <c r="W513" s="111" t="n"/>
      <c r="X513" s="111" t="n"/>
    </row>
    <row r="514">
      <c r="A514" s="34" t="n">
        <v>512</v>
      </c>
      <c r="I514" s="111" t="n"/>
      <c r="J514" s="111" t="n"/>
      <c r="K514" s="111" t="n"/>
      <c r="L514" s="111" t="n"/>
      <c r="V514" s="111" t="n"/>
      <c r="W514" s="111" t="n"/>
      <c r="X514" s="111" t="n"/>
    </row>
    <row r="515">
      <c r="A515" s="34" t="n">
        <v>513</v>
      </c>
      <c r="I515" s="111" t="n"/>
      <c r="J515" s="111" t="n"/>
      <c r="K515" s="111" t="n"/>
      <c r="L515" s="111" t="n"/>
      <c r="V515" s="111" t="n"/>
      <c r="W515" s="111" t="n"/>
      <c r="X515" s="111" t="n"/>
    </row>
    <row r="516">
      <c r="A516" s="34" t="n">
        <v>514</v>
      </c>
      <c r="I516" s="111" t="n"/>
      <c r="J516" s="111" t="n"/>
      <c r="K516" s="111" t="n"/>
      <c r="L516" s="111" t="n"/>
      <c r="V516" s="111" t="n"/>
      <c r="W516" s="111" t="n"/>
      <c r="X516" s="111" t="n"/>
    </row>
    <row r="517">
      <c r="A517" s="34" t="n">
        <v>515</v>
      </c>
      <c r="I517" s="111" t="n"/>
      <c r="J517" s="111" t="n"/>
      <c r="K517" s="111" t="n"/>
      <c r="L517" s="111" t="n"/>
      <c r="V517" s="111" t="n"/>
      <c r="W517" s="111" t="n"/>
      <c r="X517" s="111" t="n"/>
    </row>
    <row r="518">
      <c r="A518" s="34" t="n">
        <v>516</v>
      </c>
      <c r="I518" s="111" t="n"/>
      <c r="J518" s="111" t="n"/>
      <c r="K518" s="111" t="n"/>
      <c r="L518" s="111" t="n"/>
      <c r="V518" s="111" t="n"/>
      <c r="W518" s="111" t="n"/>
      <c r="X518" s="111" t="n"/>
    </row>
    <row r="519">
      <c r="A519" s="34" t="n">
        <v>517</v>
      </c>
      <c r="I519" s="111" t="n"/>
      <c r="J519" s="111" t="n"/>
      <c r="K519" s="111" t="n"/>
      <c r="L519" s="111" t="n"/>
      <c r="V519" s="111" t="n"/>
      <c r="W519" s="111" t="n"/>
      <c r="X519" s="111" t="n"/>
    </row>
    <row r="520">
      <c r="A520" s="34" t="n">
        <v>518</v>
      </c>
      <c r="I520" s="111" t="n"/>
      <c r="J520" s="111" t="n"/>
      <c r="K520" s="111" t="n"/>
      <c r="L520" s="111" t="n"/>
      <c r="V520" s="111" t="n"/>
      <c r="W520" s="111" t="n"/>
      <c r="X520" s="111" t="n"/>
    </row>
    <row r="521">
      <c r="A521" s="34" t="n">
        <v>519</v>
      </c>
      <c r="I521" s="111" t="n"/>
      <c r="J521" s="111" t="n"/>
      <c r="K521" s="111" t="n"/>
      <c r="L521" s="111" t="n"/>
      <c r="V521" s="111" t="n"/>
      <c r="W521" s="111" t="n"/>
      <c r="X521" s="111" t="n"/>
    </row>
    <row r="522">
      <c r="A522" s="34" t="n">
        <v>520</v>
      </c>
      <c r="I522" s="111" t="n"/>
      <c r="J522" s="111" t="n"/>
      <c r="K522" s="111" t="n"/>
      <c r="L522" s="111" t="n"/>
      <c r="V522" s="111" t="n"/>
      <c r="W522" s="111" t="n"/>
      <c r="X522" s="111" t="n"/>
    </row>
    <row r="523">
      <c r="A523" s="34" t="n">
        <v>521</v>
      </c>
      <c r="I523" s="111" t="n"/>
      <c r="J523" s="111" t="n"/>
      <c r="K523" s="111" t="n"/>
      <c r="L523" s="111" t="n"/>
      <c r="V523" s="111" t="n"/>
      <c r="W523" s="111" t="n"/>
      <c r="X523" s="111" t="n"/>
    </row>
    <row r="524">
      <c r="A524" s="34" t="n">
        <v>522</v>
      </c>
      <c r="I524" s="111" t="n"/>
      <c r="J524" s="111" t="n"/>
      <c r="K524" s="111" t="n"/>
      <c r="L524" s="111" t="n"/>
      <c r="V524" s="111" t="n"/>
      <c r="W524" s="111" t="n"/>
      <c r="X524" s="111" t="n"/>
    </row>
    <row r="525">
      <c r="A525" s="34" t="n">
        <v>523</v>
      </c>
      <c r="I525" s="111" t="n"/>
      <c r="J525" s="111" t="n"/>
      <c r="K525" s="111" t="n"/>
      <c r="L525" s="111" t="n"/>
      <c r="V525" s="111" t="n"/>
      <c r="W525" s="111" t="n"/>
      <c r="X525" s="111" t="n"/>
    </row>
    <row r="526">
      <c r="A526" s="34" t="n">
        <v>524</v>
      </c>
      <c r="I526" s="111" t="n"/>
      <c r="J526" s="111" t="n"/>
      <c r="K526" s="111" t="n"/>
      <c r="L526" s="111" t="n"/>
      <c r="V526" s="111" t="n"/>
      <c r="W526" s="111" t="n"/>
      <c r="X526" s="111" t="n"/>
    </row>
    <row r="527">
      <c r="A527" s="34" t="n">
        <v>525</v>
      </c>
      <c r="I527" s="111" t="n"/>
      <c r="J527" s="111" t="n"/>
      <c r="K527" s="111" t="n"/>
      <c r="L527" s="111" t="n"/>
      <c r="V527" s="111" t="n"/>
      <c r="W527" s="111" t="n"/>
      <c r="X527" s="111" t="n"/>
    </row>
    <row r="528">
      <c r="A528" s="34" t="n">
        <v>526</v>
      </c>
      <c r="I528" s="111" t="n"/>
      <c r="J528" s="111" t="n"/>
      <c r="K528" s="111" t="n"/>
      <c r="L528" s="111" t="n"/>
      <c r="V528" s="111" t="n"/>
      <c r="W528" s="111" t="n"/>
      <c r="X528" s="111" t="n"/>
    </row>
    <row r="529">
      <c r="A529" s="34" t="n">
        <v>527</v>
      </c>
      <c r="I529" s="111" t="n"/>
      <c r="J529" s="111" t="n"/>
      <c r="K529" s="111" t="n"/>
      <c r="L529" s="111" t="n"/>
      <c r="V529" s="111" t="n"/>
      <c r="W529" s="111" t="n"/>
      <c r="X529" s="111" t="n"/>
    </row>
    <row r="530">
      <c r="A530" s="34" t="n">
        <v>528</v>
      </c>
      <c r="I530" s="111" t="n"/>
      <c r="J530" s="111" t="n"/>
      <c r="K530" s="111" t="n"/>
      <c r="L530" s="111" t="n"/>
      <c r="V530" s="111" t="n"/>
      <c r="W530" s="111" t="n"/>
      <c r="X530" s="111" t="n"/>
    </row>
    <row r="531">
      <c r="A531" s="34" t="n">
        <v>529</v>
      </c>
      <c r="I531" s="111" t="n"/>
      <c r="J531" s="111" t="n"/>
      <c r="K531" s="111" t="n"/>
      <c r="L531" s="111" t="n"/>
      <c r="V531" s="111" t="n"/>
      <c r="W531" s="111" t="n"/>
      <c r="X531" s="111" t="n"/>
    </row>
    <row r="532">
      <c r="A532" s="34" t="n">
        <v>530</v>
      </c>
      <c r="I532" s="111" t="n"/>
      <c r="J532" s="111" t="n"/>
      <c r="K532" s="111" t="n"/>
      <c r="L532" s="111" t="n"/>
      <c r="V532" s="111" t="n"/>
      <c r="W532" s="111" t="n"/>
      <c r="X532" s="111" t="n"/>
    </row>
    <row r="533">
      <c r="A533" s="34" t="n">
        <v>531</v>
      </c>
      <c r="I533" s="111" t="n"/>
      <c r="J533" s="111" t="n"/>
      <c r="K533" s="111" t="n"/>
      <c r="L533" s="111" t="n"/>
      <c r="V533" s="111" t="n"/>
      <c r="W533" s="111" t="n"/>
      <c r="X533" s="111" t="n"/>
    </row>
    <row r="534">
      <c r="A534" s="34" t="n">
        <v>532</v>
      </c>
      <c r="I534" s="111" t="n"/>
      <c r="J534" s="111" t="n"/>
      <c r="K534" s="111" t="n"/>
      <c r="L534" s="111" t="n"/>
      <c r="V534" s="111" t="n"/>
      <c r="W534" s="111" t="n"/>
      <c r="X534" s="111" t="n"/>
    </row>
    <row r="535">
      <c r="A535" s="34" t="n">
        <v>533</v>
      </c>
      <c r="I535" s="111" t="n"/>
      <c r="J535" s="111" t="n"/>
      <c r="K535" s="111" t="n"/>
      <c r="L535" s="111" t="n"/>
      <c r="V535" s="111" t="n"/>
      <c r="W535" s="111" t="n"/>
      <c r="X535" s="111" t="n"/>
    </row>
    <row r="536">
      <c r="A536" s="34" t="n">
        <v>534</v>
      </c>
      <c r="I536" s="111" t="n"/>
      <c r="J536" s="111" t="n"/>
      <c r="K536" s="111" t="n"/>
      <c r="L536" s="111" t="n"/>
      <c r="V536" s="111" t="n"/>
      <c r="W536" s="111" t="n"/>
      <c r="X536" s="111" t="n"/>
    </row>
    <row r="537">
      <c r="A537" s="34" t="n">
        <v>535</v>
      </c>
      <c r="I537" s="111" t="n"/>
      <c r="J537" s="111" t="n"/>
      <c r="K537" s="111" t="n"/>
      <c r="L537" s="111" t="n"/>
      <c r="V537" s="111" t="n"/>
      <c r="W537" s="111" t="n"/>
      <c r="X537" s="111" t="n"/>
    </row>
    <row r="538">
      <c r="A538" s="34" t="n">
        <v>536</v>
      </c>
      <c r="I538" s="111" t="n"/>
      <c r="J538" s="111" t="n"/>
      <c r="K538" s="111" t="n"/>
      <c r="L538" s="111" t="n"/>
      <c r="V538" s="111" t="n"/>
      <c r="W538" s="111" t="n"/>
      <c r="X538" s="111" t="n"/>
    </row>
    <row r="539">
      <c r="A539" s="34" t="n">
        <v>537</v>
      </c>
      <c r="I539" s="111" t="n"/>
      <c r="J539" s="111" t="n"/>
      <c r="K539" s="111" t="n"/>
      <c r="L539" s="111" t="n"/>
      <c r="V539" s="111" t="n"/>
      <c r="W539" s="111" t="n"/>
      <c r="X539" s="111" t="n"/>
    </row>
    <row r="540">
      <c r="A540" s="34" t="n">
        <v>538</v>
      </c>
      <c r="I540" s="111" t="n"/>
      <c r="J540" s="111" t="n"/>
      <c r="K540" s="111" t="n"/>
      <c r="L540" s="111" t="n"/>
      <c r="V540" s="111" t="n"/>
      <c r="W540" s="111" t="n"/>
      <c r="X540" s="111" t="n"/>
    </row>
    <row r="541">
      <c r="A541" s="34" t="n">
        <v>539</v>
      </c>
      <c r="I541" s="111" t="n"/>
      <c r="J541" s="111" t="n"/>
      <c r="K541" s="111" t="n"/>
      <c r="L541" s="111" t="n"/>
      <c r="V541" s="111" t="n"/>
      <c r="W541" s="111" t="n"/>
      <c r="X541" s="111" t="n"/>
    </row>
    <row r="542">
      <c r="A542" s="34" t="n">
        <v>540</v>
      </c>
      <c r="I542" s="111" t="n"/>
      <c r="J542" s="111" t="n"/>
      <c r="K542" s="111" t="n"/>
      <c r="L542" s="111" t="n"/>
      <c r="V542" s="111" t="n"/>
      <c r="W542" s="111" t="n"/>
      <c r="X542" s="111" t="n"/>
    </row>
    <row r="543">
      <c r="A543" s="34" t="n">
        <v>541</v>
      </c>
      <c r="I543" s="111" t="n"/>
      <c r="J543" s="111" t="n"/>
      <c r="K543" s="111" t="n"/>
      <c r="L543" s="111" t="n"/>
      <c r="V543" s="111" t="n"/>
      <c r="W543" s="111" t="n"/>
      <c r="X543" s="111" t="n"/>
    </row>
    <row r="544">
      <c r="A544" s="34" t="n">
        <v>542</v>
      </c>
      <c r="I544" s="111" t="n"/>
      <c r="J544" s="111" t="n"/>
      <c r="K544" s="111" t="n"/>
      <c r="L544" s="111" t="n"/>
      <c r="V544" s="111" t="n"/>
      <c r="W544" s="111" t="n"/>
      <c r="X544" s="111" t="n"/>
    </row>
    <row r="545">
      <c r="A545" s="34" t="n">
        <v>543</v>
      </c>
      <c r="I545" s="111" t="n"/>
      <c r="J545" s="111" t="n"/>
      <c r="K545" s="111" t="n"/>
      <c r="L545" s="111" t="n"/>
      <c r="V545" s="111" t="n"/>
      <c r="W545" s="111" t="n"/>
      <c r="X545" s="111" t="n"/>
    </row>
    <row r="546">
      <c r="A546" s="34" t="n">
        <v>544</v>
      </c>
      <c r="I546" s="111" t="n"/>
      <c r="J546" s="111" t="n"/>
      <c r="K546" s="111" t="n"/>
      <c r="L546" s="111" t="n"/>
      <c r="V546" s="111" t="n"/>
      <c r="W546" s="111" t="n"/>
      <c r="X546" s="111" t="n"/>
    </row>
    <row r="547">
      <c r="A547" s="34" t="n">
        <v>545</v>
      </c>
      <c r="I547" s="111" t="n"/>
      <c r="J547" s="111" t="n"/>
      <c r="K547" s="111" t="n"/>
      <c r="L547" s="111" t="n"/>
      <c r="V547" s="111" t="n"/>
      <c r="W547" s="111" t="n"/>
      <c r="X547" s="111" t="n"/>
    </row>
    <row r="548">
      <c r="A548" s="34" t="n">
        <v>546</v>
      </c>
      <c r="I548" s="111" t="n"/>
      <c r="J548" s="111" t="n"/>
      <c r="K548" s="111" t="n"/>
      <c r="L548" s="111" t="n"/>
      <c r="V548" s="111" t="n"/>
      <c r="W548" s="111" t="n"/>
      <c r="X548" s="111" t="n"/>
    </row>
    <row r="549">
      <c r="A549" s="34" t="n">
        <v>547</v>
      </c>
      <c r="I549" s="111" t="n"/>
      <c r="J549" s="111" t="n"/>
      <c r="K549" s="111" t="n"/>
      <c r="L549" s="111" t="n"/>
      <c r="V549" s="111" t="n"/>
      <c r="W549" s="111" t="n"/>
      <c r="X549" s="111" t="n"/>
    </row>
    <row r="550">
      <c r="A550" s="34" t="n">
        <v>548</v>
      </c>
      <c r="I550" s="111" t="n"/>
      <c r="J550" s="111" t="n"/>
      <c r="K550" s="111" t="n"/>
      <c r="L550" s="111" t="n"/>
      <c r="V550" s="111" t="n"/>
      <c r="W550" s="111" t="n"/>
      <c r="X550" s="111" t="n"/>
    </row>
    <row r="551">
      <c r="A551" s="34" t="n">
        <v>549</v>
      </c>
      <c r="I551" s="111" t="n"/>
      <c r="J551" s="111" t="n"/>
      <c r="K551" s="111" t="n"/>
      <c r="L551" s="111" t="n"/>
      <c r="V551" s="111" t="n"/>
      <c r="W551" s="111" t="n"/>
      <c r="X551" s="111" t="n"/>
    </row>
    <row r="552">
      <c r="A552" s="34" t="n">
        <v>550</v>
      </c>
      <c r="I552" s="111" t="n"/>
      <c r="J552" s="111" t="n"/>
      <c r="K552" s="111" t="n"/>
      <c r="L552" s="111" t="n"/>
      <c r="V552" s="111" t="n"/>
      <c r="W552" s="111" t="n"/>
      <c r="X552" s="111" t="n"/>
    </row>
    <row r="553">
      <c r="A553" s="34" t="n">
        <v>551</v>
      </c>
      <c r="I553" s="111" t="n"/>
      <c r="J553" s="111" t="n"/>
      <c r="K553" s="111" t="n"/>
      <c r="L553" s="111" t="n"/>
      <c r="V553" s="111" t="n"/>
      <c r="W553" s="111" t="n"/>
      <c r="X553" s="111" t="n"/>
    </row>
    <row r="554">
      <c r="A554" s="34" t="n">
        <v>552</v>
      </c>
      <c r="I554" s="111" t="n"/>
      <c r="J554" s="111" t="n"/>
      <c r="K554" s="111" t="n"/>
      <c r="L554" s="111" t="n"/>
      <c r="V554" s="111" t="n"/>
      <c r="W554" s="111" t="n"/>
      <c r="X554" s="111" t="n"/>
    </row>
    <row r="555">
      <c r="A555" s="34" t="n">
        <v>553</v>
      </c>
      <c r="I555" s="111" t="n"/>
      <c r="J555" s="111" t="n"/>
      <c r="K555" s="111" t="n"/>
      <c r="L555" s="111" t="n"/>
      <c r="V555" s="111" t="n"/>
      <c r="W555" s="111" t="n"/>
      <c r="X555" s="111" t="n"/>
    </row>
    <row r="556">
      <c r="A556" s="34" t="n">
        <v>554</v>
      </c>
      <c r="I556" s="111" t="n"/>
      <c r="J556" s="111" t="n"/>
      <c r="K556" s="111" t="n"/>
      <c r="L556" s="111" t="n"/>
      <c r="V556" s="111" t="n"/>
      <c r="W556" s="111" t="n"/>
      <c r="X556" s="111" t="n"/>
    </row>
    <row r="557">
      <c r="A557" s="34" t="n">
        <v>555</v>
      </c>
      <c r="I557" s="111" t="n"/>
      <c r="J557" s="111" t="n"/>
      <c r="K557" s="111" t="n"/>
      <c r="L557" s="111" t="n"/>
      <c r="V557" s="111" t="n"/>
      <c r="W557" s="111" t="n"/>
      <c r="X557" s="111" t="n"/>
    </row>
    <row r="558">
      <c r="A558" s="34" t="n">
        <v>556</v>
      </c>
      <c r="I558" s="111" t="n"/>
      <c r="J558" s="111" t="n"/>
      <c r="K558" s="111" t="n"/>
      <c r="L558" s="111" t="n"/>
      <c r="V558" s="111" t="n"/>
      <c r="W558" s="111" t="n"/>
      <c r="X558" s="111" t="n"/>
    </row>
    <row r="559">
      <c r="A559" s="34" t="n">
        <v>557</v>
      </c>
      <c r="I559" s="111" t="n"/>
      <c r="J559" s="111" t="n"/>
      <c r="K559" s="111" t="n"/>
      <c r="L559" s="111" t="n"/>
      <c r="V559" s="111" t="n"/>
      <c r="W559" s="111" t="n"/>
      <c r="X559" s="111" t="n"/>
    </row>
    <row r="560">
      <c r="A560" s="34" t="n">
        <v>558</v>
      </c>
      <c r="I560" s="111" t="n"/>
      <c r="J560" s="111" t="n"/>
      <c r="K560" s="111" t="n"/>
      <c r="L560" s="111" t="n"/>
      <c r="V560" s="111" t="n"/>
      <c r="W560" s="111" t="n"/>
      <c r="X560" s="111" t="n"/>
    </row>
    <row r="561">
      <c r="A561" s="34" t="n">
        <v>559</v>
      </c>
      <c r="I561" s="111" t="n"/>
      <c r="J561" s="111" t="n"/>
      <c r="K561" s="111" t="n"/>
      <c r="L561" s="111" t="n"/>
      <c r="V561" s="111" t="n"/>
      <c r="W561" s="111" t="n"/>
      <c r="X561" s="111" t="n"/>
    </row>
    <row r="562">
      <c r="A562" s="34" t="n">
        <v>560</v>
      </c>
      <c r="I562" s="111" t="n"/>
      <c r="J562" s="111" t="n"/>
      <c r="K562" s="111" t="n"/>
      <c r="L562" s="111" t="n"/>
      <c r="V562" s="111" t="n"/>
      <c r="W562" s="111" t="n"/>
      <c r="X562" s="111" t="n"/>
    </row>
    <row r="563">
      <c r="A563" s="34" t="n">
        <v>561</v>
      </c>
      <c r="I563" s="111" t="n"/>
      <c r="J563" s="111" t="n"/>
      <c r="K563" s="111" t="n"/>
      <c r="L563" s="111" t="n"/>
      <c r="V563" s="111" t="n"/>
      <c r="W563" s="111" t="n"/>
      <c r="X563" s="111" t="n"/>
    </row>
    <row r="564">
      <c r="A564" s="34" t="n">
        <v>562</v>
      </c>
      <c r="I564" s="111" t="n"/>
      <c r="J564" s="111" t="n"/>
      <c r="K564" s="111" t="n"/>
      <c r="L564" s="111" t="n"/>
      <c r="V564" s="111" t="n"/>
      <c r="W564" s="111" t="n"/>
      <c r="X564" s="111" t="n"/>
    </row>
    <row r="565">
      <c r="A565" s="34" t="n">
        <v>563</v>
      </c>
      <c r="I565" s="111" t="n"/>
      <c r="J565" s="111" t="n"/>
      <c r="K565" s="111" t="n"/>
      <c r="L565" s="111" t="n"/>
      <c r="V565" s="111" t="n"/>
      <c r="W565" s="111" t="n"/>
      <c r="X565" s="111" t="n"/>
    </row>
    <row r="566">
      <c r="A566" s="34" t="n">
        <v>564</v>
      </c>
      <c r="I566" s="111" t="n"/>
      <c r="J566" s="111" t="n"/>
      <c r="K566" s="111" t="n"/>
      <c r="L566" s="111" t="n"/>
      <c r="V566" s="111" t="n"/>
      <c r="W566" s="111" t="n"/>
      <c r="X566" s="111" t="n"/>
    </row>
    <row r="567">
      <c r="A567" s="34" t="n">
        <v>565</v>
      </c>
      <c r="I567" s="111" t="n"/>
      <c r="J567" s="111" t="n"/>
      <c r="K567" s="111" t="n"/>
      <c r="L567" s="111" t="n"/>
      <c r="V567" s="111" t="n"/>
      <c r="W567" s="111" t="n"/>
      <c r="X567" s="111" t="n"/>
    </row>
    <row r="568">
      <c r="A568" s="34" t="n">
        <v>566</v>
      </c>
      <c r="I568" s="111" t="n"/>
      <c r="J568" s="111" t="n"/>
      <c r="K568" s="111" t="n"/>
      <c r="L568" s="111" t="n"/>
      <c r="V568" s="111" t="n"/>
      <c r="W568" s="111" t="n"/>
      <c r="X568" s="111" t="n"/>
    </row>
    <row r="569">
      <c r="A569" s="34" t="n">
        <v>567</v>
      </c>
      <c r="I569" s="111" t="n"/>
      <c r="J569" s="111" t="n"/>
      <c r="K569" s="111" t="n"/>
      <c r="L569" s="111" t="n"/>
      <c r="V569" s="111" t="n"/>
      <c r="W569" s="111" t="n"/>
      <c r="X569" s="111" t="n"/>
    </row>
    <row r="570">
      <c r="A570" s="34" t="n">
        <v>568</v>
      </c>
      <c r="I570" s="111" t="n"/>
      <c r="J570" s="111" t="n"/>
      <c r="K570" s="111" t="n"/>
      <c r="L570" s="111" t="n"/>
      <c r="V570" s="111" t="n"/>
      <c r="W570" s="111" t="n"/>
      <c r="X570" s="111" t="n"/>
    </row>
    <row r="571">
      <c r="A571" s="34" t="n">
        <v>569</v>
      </c>
      <c r="I571" s="111" t="n"/>
      <c r="J571" s="111" t="n"/>
      <c r="K571" s="111" t="n"/>
      <c r="L571" s="111" t="n"/>
      <c r="V571" s="111" t="n"/>
      <c r="W571" s="111" t="n"/>
      <c r="X571" s="111" t="n"/>
    </row>
    <row r="572">
      <c r="A572" s="34" t="n">
        <v>570</v>
      </c>
      <c r="I572" s="111" t="n"/>
      <c r="J572" s="111" t="n"/>
      <c r="K572" s="111" t="n"/>
      <c r="L572" s="111" t="n"/>
      <c r="V572" s="111" t="n"/>
      <c r="W572" s="111" t="n"/>
      <c r="X572" s="111" t="n"/>
    </row>
    <row r="573">
      <c r="A573" s="34" t="n">
        <v>571</v>
      </c>
      <c r="I573" s="111" t="n"/>
      <c r="J573" s="111" t="n"/>
      <c r="K573" s="111" t="n"/>
      <c r="L573" s="111" t="n"/>
      <c r="V573" s="111" t="n"/>
      <c r="W573" s="111" t="n"/>
      <c r="X573" s="111" t="n"/>
    </row>
    <row r="574">
      <c r="A574" s="34" t="n">
        <v>572</v>
      </c>
      <c r="I574" s="111" t="n"/>
      <c r="J574" s="111" t="n"/>
      <c r="K574" s="111" t="n"/>
      <c r="L574" s="111" t="n"/>
      <c r="V574" s="111" t="n"/>
      <c r="W574" s="111" t="n"/>
      <c r="X574" s="111" t="n"/>
    </row>
    <row r="575">
      <c r="A575" s="34" t="n">
        <v>573</v>
      </c>
      <c r="I575" s="111" t="n"/>
      <c r="J575" s="111" t="n"/>
      <c r="K575" s="111" t="n"/>
      <c r="L575" s="111" t="n"/>
      <c r="V575" s="111" t="n"/>
      <c r="W575" s="111" t="n"/>
      <c r="X575" s="111" t="n"/>
    </row>
    <row r="576">
      <c r="A576" s="34" t="n">
        <v>574</v>
      </c>
      <c r="I576" s="111" t="n"/>
      <c r="J576" s="111" t="n"/>
      <c r="K576" s="111" t="n"/>
      <c r="L576" s="111" t="n"/>
      <c r="V576" s="111" t="n"/>
      <c r="W576" s="111" t="n"/>
      <c r="X576" s="111" t="n"/>
    </row>
    <row r="577">
      <c r="A577" s="34" t="n">
        <v>575</v>
      </c>
      <c r="I577" s="111" t="n"/>
      <c r="J577" s="111" t="n"/>
      <c r="K577" s="111" t="n"/>
      <c r="L577" s="111" t="n"/>
      <c r="V577" s="111" t="n"/>
      <c r="W577" s="111" t="n"/>
      <c r="X577" s="111" t="n"/>
    </row>
    <row r="578">
      <c r="A578" s="34" t="n">
        <v>576</v>
      </c>
      <c r="I578" s="111" t="n"/>
      <c r="J578" s="111" t="n"/>
      <c r="K578" s="111" t="n"/>
      <c r="L578" s="111" t="n"/>
      <c r="V578" s="111" t="n"/>
      <c r="W578" s="111" t="n"/>
      <c r="X578" s="111" t="n"/>
    </row>
    <row r="579">
      <c r="A579" s="34" t="n">
        <v>577</v>
      </c>
      <c r="I579" s="111" t="n"/>
      <c r="J579" s="111" t="n"/>
      <c r="K579" s="111" t="n"/>
      <c r="L579" s="111" t="n"/>
      <c r="V579" s="111" t="n"/>
      <c r="W579" s="111" t="n"/>
      <c r="X579" s="111" t="n"/>
    </row>
    <row r="580">
      <c r="A580" s="34" t="n">
        <v>578</v>
      </c>
      <c r="I580" s="111" t="n"/>
      <c r="J580" s="111" t="n"/>
      <c r="K580" s="111" t="n"/>
      <c r="L580" s="111" t="n"/>
      <c r="V580" s="111" t="n"/>
      <c r="W580" s="111" t="n"/>
      <c r="X580" s="111" t="n"/>
    </row>
    <row r="581">
      <c r="A581" s="34" t="n">
        <v>579</v>
      </c>
      <c r="I581" s="111" t="n"/>
      <c r="J581" s="111" t="n"/>
      <c r="K581" s="111" t="n"/>
      <c r="L581" s="111" t="n"/>
      <c r="V581" s="111" t="n"/>
      <c r="W581" s="111" t="n"/>
      <c r="X581" s="111" t="n"/>
    </row>
    <row r="582">
      <c r="A582" s="34" t="n">
        <v>580</v>
      </c>
      <c r="I582" s="111" t="n"/>
      <c r="J582" s="111" t="n"/>
      <c r="K582" s="111" t="n"/>
      <c r="L582" s="111" t="n"/>
      <c r="V582" s="111" t="n"/>
      <c r="W582" s="111" t="n"/>
      <c r="X582" s="111" t="n"/>
    </row>
    <row r="583">
      <c r="A583" s="34" t="n">
        <v>581</v>
      </c>
      <c r="I583" s="111" t="n"/>
      <c r="J583" s="111" t="n"/>
      <c r="K583" s="111" t="n"/>
      <c r="L583" s="111" t="n"/>
      <c r="V583" s="111" t="n"/>
      <c r="W583" s="111" t="n"/>
      <c r="X583" s="111" t="n"/>
    </row>
    <row r="584">
      <c r="A584" s="34" t="n">
        <v>582</v>
      </c>
      <c r="I584" s="111" t="n"/>
      <c r="J584" s="111" t="n"/>
      <c r="K584" s="111" t="n"/>
      <c r="L584" s="111" t="n"/>
      <c r="V584" s="111" t="n"/>
      <c r="W584" s="111" t="n"/>
      <c r="X584" s="111" t="n"/>
    </row>
    <row r="585">
      <c r="A585" s="34" t="n">
        <v>583</v>
      </c>
      <c r="I585" s="111" t="n"/>
      <c r="J585" s="111" t="n"/>
      <c r="K585" s="111" t="n"/>
      <c r="L585" s="111" t="n"/>
      <c r="V585" s="111" t="n"/>
      <c r="W585" s="111" t="n"/>
      <c r="X585" s="111" t="n"/>
    </row>
    <row r="586">
      <c r="A586" s="34" t="n">
        <v>584</v>
      </c>
      <c r="I586" s="111" t="n"/>
      <c r="J586" s="111" t="n"/>
      <c r="K586" s="111" t="n"/>
      <c r="L586" s="111" t="n"/>
      <c r="V586" s="111" t="n"/>
      <c r="W586" s="111" t="n"/>
      <c r="X586" s="111" t="n"/>
    </row>
    <row r="587">
      <c r="A587" s="34" t="n">
        <v>585</v>
      </c>
      <c r="I587" s="111" t="n"/>
      <c r="J587" s="111" t="n"/>
      <c r="K587" s="111" t="n"/>
      <c r="L587" s="111" t="n"/>
      <c r="V587" s="111" t="n"/>
      <c r="W587" s="111" t="n"/>
      <c r="X587" s="111" t="n"/>
    </row>
    <row r="588">
      <c r="A588" s="34" t="n">
        <v>586</v>
      </c>
      <c r="I588" s="111" t="n"/>
      <c r="J588" s="111" t="n"/>
      <c r="K588" s="111" t="n"/>
      <c r="L588" s="111" t="n"/>
      <c r="V588" s="111" t="n"/>
      <c r="W588" s="111" t="n"/>
      <c r="X588" s="111" t="n"/>
    </row>
    <row r="589">
      <c r="A589" s="34" t="n">
        <v>587</v>
      </c>
      <c r="I589" s="111" t="n"/>
      <c r="J589" s="111" t="n"/>
      <c r="K589" s="111" t="n"/>
      <c r="L589" s="111" t="n"/>
      <c r="V589" s="111" t="n"/>
      <c r="W589" s="111" t="n"/>
      <c r="X589" s="111" t="n"/>
    </row>
    <row r="590">
      <c r="A590" s="34" t="n">
        <v>588</v>
      </c>
      <c r="I590" s="111" t="n"/>
      <c r="J590" s="111" t="n"/>
      <c r="K590" s="111" t="n"/>
      <c r="L590" s="111" t="n"/>
      <c r="V590" s="111" t="n"/>
      <c r="W590" s="111" t="n"/>
      <c r="X590" s="111" t="n"/>
    </row>
    <row r="591">
      <c r="A591" s="34" t="n">
        <v>589</v>
      </c>
      <c r="I591" s="111" t="n"/>
      <c r="J591" s="111" t="n"/>
      <c r="K591" s="111" t="n"/>
      <c r="L591" s="111" t="n"/>
      <c r="V591" s="111" t="n"/>
      <c r="W591" s="111" t="n"/>
      <c r="X591" s="111" t="n"/>
    </row>
    <row r="592">
      <c r="A592" s="34" t="n">
        <v>590</v>
      </c>
      <c r="I592" s="111" t="n"/>
      <c r="J592" s="111" t="n"/>
      <c r="K592" s="111" t="n"/>
      <c r="L592" s="111" t="n"/>
      <c r="V592" s="111" t="n"/>
      <c r="W592" s="111" t="n"/>
      <c r="X592" s="111" t="n"/>
    </row>
    <row r="593">
      <c r="A593" s="34" t="n">
        <v>591</v>
      </c>
      <c r="I593" s="111" t="n"/>
      <c r="J593" s="111" t="n"/>
      <c r="K593" s="111" t="n"/>
      <c r="L593" s="111" t="n"/>
      <c r="V593" s="111" t="n"/>
      <c r="W593" s="111" t="n"/>
      <c r="X593" s="111" t="n"/>
    </row>
    <row r="594">
      <c r="A594" s="34" t="n">
        <v>592</v>
      </c>
      <c r="I594" s="111" t="n"/>
      <c r="J594" s="111" t="n"/>
      <c r="K594" s="111" t="n"/>
      <c r="L594" s="111" t="n"/>
      <c r="V594" s="111" t="n"/>
      <c r="W594" s="111" t="n"/>
      <c r="X594" s="111" t="n"/>
    </row>
    <row r="595">
      <c r="A595" s="34" t="n">
        <v>593</v>
      </c>
      <c r="I595" s="111" t="n"/>
      <c r="J595" s="111" t="n"/>
      <c r="K595" s="111" t="n"/>
      <c r="L595" s="111" t="n"/>
      <c r="V595" s="111" t="n"/>
      <c r="W595" s="111" t="n"/>
      <c r="X595" s="111" t="n"/>
    </row>
    <row r="596">
      <c r="A596" s="34" t="n">
        <v>594</v>
      </c>
      <c r="I596" s="111" t="n"/>
      <c r="J596" s="111" t="n"/>
      <c r="K596" s="111" t="n"/>
      <c r="L596" s="111" t="n"/>
      <c r="V596" s="111" t="n"/>
      <c r="W596" s="111" t="n"/>
      <c r="X596" s="111" t="n"/>
    </row>
    <row r="597">
      <c r="A597" s="34" t="n">
        <v>595</v>
      </c>
      <c r="I597" s="111" t="n"/>
      <c r="J597" s="111" t="n"/>
      <c r="K597" s="111" t="n"/>
      <c r="L597" s="111" t="n"/>
      <c r="V597" s="111" t="n"/>
      <c r="W597" s="111" t="n"/>
      <c r="X597" s="111" t="n"/>
    </row>
    <row r="598">
      <c r="A598" s="34" t="n">
        <v>596</v>
      </c>
      <c r="I598" s="111" t="n"/>
      <c r="J598" s="111" t="n"/>
      <c r="K598" s="111" t="n"/>
      <c r="L598" s="111" t="n"/>
      <c r="V598" s="111" t="n"/>
      <c r="W598" s="111" t="n"/>
      <c r="X598" s="111" t="n"/>
    </row>
    <row r="599">
      <c r="A599" s="34" t="n">
        <v>597</v>
      </c>
      <c r="I599" s="111" t="n"/>
      <c r="J599" s="111" t="n"/>
      <c r="K599" s="111" t="n"/>
      <c r="L599" s="111" t="n"/>
      <c r="V599" s="111" t="n"/>
      <c r="W599" s="111" t="n"/>
      <c r="X599" s="111" t="n"/>
    </row>
    <row r="600">
      <c r="A600" s="34" t="n">
        <v>598</v>
      </c>
      <c r="I600" s="111" t="n"/>
      <c r="J600" s="111" t="n"/>
      <c r="K600" s="111" t="n"/>
      <c r="L600" s="111" t="n"/>
      <c r="V600" s="111" t="n"/>
      <c r="W600" s="111" t="n"/>
      <c r="X600" s="111" t="n"/>
    </row>
    <row r="601">
      <c r="A601" s="34" t="n">
        <v>599</v>
      </c>
      <c r="I601" s="111" t="n"/>
      <c r="J601" s="111" t="n"/>
      <c r="K601" s="111" t="n"/>
      <c r="L601" s="111" t="n"/>
      <c r="V601" s="111" t="n"/>
      <c r="W601" s="111" t="n"/>
      <c r="X601" s="111" t="n"/>
    </row>
    <row r="602">
      <c r="A602" s="34" t="n">
        <v>600</v>
      </c>
      <c r="I602" s="111" t="n"/>
      <c r="J602" s="111" t="n"/>
      <c r="K602" s="111" t="n"/>
      <c r="L602" s="111" t="n"/>
      <c r="V602" s="111" t="n"/>
      <c r="W602" s="111" t="n"/>
      <c r="X602" s="111" t="n"/>
    </row>
    <row r="603">
      <c r="A603" s="34" t="n">
        <v>601</v>
      </c>
      <c r="I603" s="111" t="n"/>
      <c r="J603" s="111" t="n"/>
      <c r="K603" s="111" t="n"/>
      <c r="L603" s="111" t="n"/>
      <c r="V603" s="111" t="n"/>
      <c r="W603" s="111" t="n"/>
      <c r="X603" s="111" t="n"/>
    </row>
    <row r="604">
      <c r="A604" s="34" t="n">
        <v>602</v>
      </c>
      <c r="I604" s="111" t="n"/>
      <c r="J604" s="111" t="n"/>
      <c r="K604" s="111" t="n"/>
      <c r="L604" s="111" t="n"/>
      <c r="V604" s="111" t="n"/>
      <c r="W604" s="111" t="n"/>
      <c r="X604" s="111" t="n"/>
    </row>
    <row r="605">
      <c r="A605" s="34" t="n">
        <v>603</v>
      </c>
      <c r="I605" s="111" t="n"/>
      <c r="J605" s="111" t="n"/>
      <c r="K605" s="111" t="n"/>
      <c r="L605" s="111" t="n"/>
      <c r="V605" s="111" t="n"/>
      <c r="W605" s="111" t="n"/>
      <c r="X605" s="111" t="n"/>
    </row>
    <row r="606">
      <c r="A606" s="34" t="n">
        <v>604</v>
      </c>
      <c r="I606" s="111" t="n"/>
      <c r="J606" s="111" t="n"/>
      <c r="K606" s="111" t="n"/>
      <c r="L606" s="111" t="n"/>
      <c r="V606" s="111" t="n"/>
      <c r="W606" s="111" t="n"/>
      <c r="X606" s="111" t="n"/>
    </row>
    <row r="607">
      <c r="A607" s="34" t="n">
        <v>605</v>
      </c>
      <c r="I607" s="111" t="n"/>
      <c r="J607" s="111" t="n"/>
      <c r="K607" s="111" t="n"/>
      <c r="L607" s="111" t="n"/>
      <c r="V607" s="111" t="n"/>
      <c r="W607" s="111" t="n"/>
      <c r="X607" s="111" t="n"/>
    </row>
    <row r="608">
      <c r="A608" s="34" t="n">
        <v>606</v>
      </c>
      <c r="I608" s="111" t="n"/>
      <c r="J608" s="111" t="n"/>
      <c r="K608" s="111" t="n"/>
      <c r="L608" s="111" t="n"/>
      <c r="V608" s="111" t="n"/>
      <c r="W608" s="111" t="n"/>
      <c r="X608" s="111" t="n"/>
    </row>
    <row r="609">
      <c r="A609" s="34" t="n">
        <v>607</v>
      </c>
      <c r="I609" s="111" t="n"/>
      <c r="J609" s="111" t="n"/>
      <c r="K609" s="111" t="n"/>
      <c r="L609" s="111" t="n"/>
      <c r="V609" s="111" t="n"/>
      <c r="W609" s="111" t="n"/>
      <c r="X609" s="111" t="n"/>
    </row>
    <row r="610">
      <c r="A610" s="34" t="n">
        <v>608</v>
      </c>
      <c r="I610" s="111" t="n"/>
      <c r="J610" s="111" t="n"/>
      <c r="K610" s="111" t="n"/>
      <c r="L610" s="111" t="n"/>
      <c r="V610" s="111" t="n"/>
      <c r="W610" s="111" t="n"/>
      <c r="X610" s="111" t="n"/>
    </row>
    <row r="611">
      <c r="A611" s="34" t="n">
        <v>609</v>
      </c>
      <c r="I611" s="111" t="n"/>
      <c r="J611" s="111" t="n"/>
      <c r="K611" s="111" t="n"/>
      <c r="L611" s="111" t="n"/>
      <c r="V611" s="111" t="n"/>
      <c r="W611" s="111" t="n"/>
      <c r="X611" s="111" t="n"/>
    </row>
    <row r="612">
      <c r="A612" s="34" t="n">
        <v>610</v>
      </c>
      <c r="I612" s="111" t="n"/>
      <c r="J612" s="111" t="n"/>
      <c r="K612" s="111" t="n"/>
      <c r="L612" s="111" t="n"/>
      <c r="V612" s="111" t="n"/>
      <c r="W612" s="111" t="n"/>
      <c r="X612" s="111" t="n"/>
    </row>
    <row r="613">
      <c r="A613" s="34" t="n">
        <v>611</v>
      </c>
      <c r="I613" s="111" t="n"/>
      <c r="J613" s="111" t="n"/>
      <c r="K613" s="111" t="n"/>
      <c r="L613" s="111" t="n"/>
      <c r="V613" s="111" t="n"/>
      <c r="W613" s="111" t="n"/>
      <c r="X613" s="111" t="n"/>
    </row>
    <row r="614">
      <c r="A614" s="34" t="n">
        <v>612</v>
      </c>
      <c r="I614" s="111" t="n"/>
      <c r="J614" s="111" t="n"/>
      <c r="K614" s="111" t="n"/>
      <c r="L614" s="111" t="n"/>
      <c r="V614" s="111" t="n"/>
      <c r="W614" s="111" t="n"/>
      <c r="X614" s="111" t="n"/>
    </row>
    <row r="615">
      <c r="A615" s="34" t="n">
        <v>613</v>
      </c>
      <c r="I615" s="111" t="n"/>
      <c r="J615" s="111" t="n"/>
      <c r="K615" s="111" t="n"/>
      <c r="L615" s="111" t="n"/>
      <c r="V615" s="111" t="n"/>
      <c r="W615" s="111" t="n"/>
      <c r="X615" s="111" t="n"/>
    </row>
    <row r="616">
      <c r="A616" s="34" t="n">
        <v>614</v>
      </c>
      <c r="I616" s="111" t="n"/>
      <c r="J616" s="111" t="n"/>
      <c r="K616" s="111" t="n"/>
      <c r="L616" s="111" t="n"/>
      <c r="V616" s="111" t="n"/>
      <c r="W616" s="111" t="n"/>
      <c r="X616" s="111" t="n"/>
    </row>
    <row r="617">
      <c r="A617" s="34" t="n">
        <v>615</v>
      </c>
      <c r="I617" s="111" t="n"/>
      <c r="J617" s="111" t="n"/>
      <c r="K617" s="111" t="n"/>
      <c r="L617" s="111" t="n"/>
      <c r="V617" s="111" t="n"/>
      <c r="W617" s="111" t="n"/>
      <c r="X617" s="111" t="n"/>
    </row>
    <row r="618">
      <c r="A618" s="34" t="n">
        <v>616</v>
      </c>
      <c r="I618" s="111" t="n"/>
      <c r="J618" s="111" t="n"/>
      <c r="K618" s="111" t="n"/>
      <c r="L618" s="111" t="n"/>
      <c r="V618" s="111" t="n"/>
      <c r="W618" s="111" t="n"/>
      <c r="X618" s="111" t="n"/>
    </row>
    <row r="619">
      <c r="A619" s="34" t="n">
        <v>617</v>
      </c>
      <c r="I619" s="111" t="n"/>
      <c r="J619" s="111" t="n"/>
      <c r="K619" s="111" t="n"/>
      <c r="L619" s="111" t="n"/>
      <c r="V619" s="111" t="n"/>
      <c r="W619" s="111" t="n"/>
      <c r="X619" s="111" t="n"/>
    </row>
    <row r="620">
      <c r="A620" s="34" t="n">
        <v>618</v>
      </c>
      <c r="I620" s="111" t="n"/>
      <c r="J620" s="111" t="n"/>
      <c r="K620" s="111" t="n"/>
      <c r="L620" s="111" t="n"/>
      <c r="V620" s="111" t="n"/>
      <c r="W620" s="111" t="n"/>
      <c r="X620" s="111" t="n"/>
    </row>
    <row r="621">
      <c r="A621" s="34" t="n">
        <v>619</v>
      </c>
      <c r="I621" s="111" t="n"/>
      <c r="J621" s="111" t="n"/>
      <c r="K621" s="111" t="n"/>
      <c r="L621" s="111" t="n"/>
      <c r="V621" s="111" t="n"/>
      <c r="W621" s="111" t="n"/>
      <c r="X621" s="111" t="n"/>
    </row>
    <row r="622">
      <c r="A622" s="34" t="n">
        <v>620</v>
      </c>
      <c r="I622" s="111" t="n"/>
      <c r="J622" s="111" t="n"/>
      <c r="K622" s="111" t="n"/>
      <c r="L622" s="111" t="n"/>
      <c r="V622" s="111" t="n"/>
      <c r="W622" s="111" t="n"/>
      <c r="X622" s="111" t="n"/>
    </row>
    <row r="623">
      <c r="A623" s="34" t="n">
        <v>621</v>
      </c>
      <c r="I623" s="111" t="n"/>
      <c r="J623" s="111" t="n"/>
      <c r="K623" s="111" t="n"/>
      <c r="L623" s="111" t="n"/>
      <c r="V623" s="111" t="n"/>
      <c r="W623" s="111" t="n"/>
      <c r="X623" s="111" t="n"/>
    </row>
    <row r="624">
      <c r="A624" s="34" t="n">
        <v>622</v>
      </c>
      <c r="I624" s="111" t="n"/>
      <c r="J624" s="111" t="n"/>
      <c r="K624" s="111" t="n"/>
      <c r="L624" s="111" t="n"/>
      <c r="V624" s="111" t="n"/>
      <c r="W624" s="111" t="n"/>
      <c r="X624" s="111" t="n"/>
    </row>
    <row r="625">
      <c r="A625" s="34" t="n">
        <v>623</v>
      </c>
      <c r="I625" s="111" t="n"/>
      <c r="J625" s="111" t="n"/>
      <c r="K625" s="111" t="n"/>
      <c r="L625" s="111" t="n"/>
      <c r="V625" s="111" t="n"/>
      <c r="W625" s="111" t="n"/>
      <c r="X625" s="111" t="n"/>
    </row>
    <row r="626">
      <c r="A626" s="34" t="n">
        <v>624</v>
      </c>
      <c r="I626" s="111" t="n"/>
      <c r="J626" s="111" t="n"/>
      <c r="K626" s="111" t="n"/>
      <c r="L626" s="111" t="n"/>
      <c r="V626" s="111" t="n"/>
      <c r="W626" s="111" t="n"/>
      <c r="X626" s="111" t="n"/>
    </row>
    <row r="627">
      <c r="A627" s="34" t="n">
        <v>625</v>
      </c>
      <c r="I627" s="111" t="n"/>
      <c r="J627" s="111" t="n"/>
      <c r="K627" s="111" t="n"/>
      <c r="L627" s="111" t="n"/>
      <c r="V627" s="111" t="n"/>
      <c r="W627" s="111" t="n"/>
      <c r="X627" s="111" t="n"/>
    </row>
    <row r="628">
      <c r="A628" s="34" t="n">
        <v>626</v>
      </c>
      <c r="I628" s="111" t="n"/>
      <c r="J628" s="111" t="n"/>
      <c r="K628" s="111" t="n"/>
      <c r="L628" s="111" t="n"/>
      <c r="V628" s="111" t="n"/>
      <c r="W628" s="111" t="n"/>
      <c r="X628" s="111" t="n"/>
    </row>
    <row r="629">
      <c r="A629" s="34" t="n">
        <v>627</v>
      </c>
      <c r="I629" s="111" t="n"/>
      <c r="J629" s="111" t="n"/>
      <c r="K629" s="111" t="n"/>
      <c r="L629" s="111" t="n"/>
      <c r="V629" s="111" t="n"/>
      <c r="W629" s="111" t="n"/>
      <c r="X629" s="111" t="n"/>
    </row>
    <row r="630">
      <c r="A630" s="34" t="n">
        <v>628</v>
      </c>
      <c r="I630" s="111" t="n"/>
      <c r="J630" s="111" t="n"/>
      <c r="K630" s="111" t="n"/>
      <c r="L630" s="111" t="n"/>
      <c r="V630" s="111" t="n"/>
      <c r="W630" s="111" t="n"/>
      <c r="X630" s="111" t="n"/>
    </row>
    <row r="631">
      <c r="A631" s="34" t="n">
        <v>629</v>
      </c>
      <c r="I631" s="111" t="n"/>
      <c r="J631" s="111" t="n"/>
      <c r="K631" s="111" t="n"/>
      <c r="L631" s="111" t="n"/>
      <c r="V631" s="111" t="n"/>
      <c r="W631" s="111" t="n"/>
      <c r="X631" s="111" t="n"/>
    </row>
    <row r="632">
      <c r="A632" s="34" t="n">
        <v>630</v>
      </c>
      <c r="I632" s="111" t="n"/>
      <c r="J632" s="111" t="n"/>
      <c r="K632" s="111" t="n"/>
      <c r="L632" s="111" t="n"/>
      <c r="V632" s="111" t="n"/>
      <c r="W632" s="111" t="n"/>
      <c r="X632" s="111" t="n"/>
    </row>
    <row r="633">
      <c r="A633" s="34" t="n">
        <v>631</v>
      </c>
      <c r="I633" s="111" t="n"/>
      <c r="J633" s="111" t="n"/>
      <c r="K633" s="111" t="n"/>
      <c r="L633" s="111" t="n"/>
      <c r="V633" s="111" t="n"/>
      <c r="W633" s="111" t="n"/>
      <c r="X633" s="111" t="n"/>
    </row>
    <row r="634">
      <c r="A634" s="34" t="n">
        <v>632</v>
      </c>
      <c r="I634" s="111" t="n"/>
      <c r="J634" s="111" t="n"/>
      <c r="K634" s="111" t="n"/>
      <c r="L634" s="111" t="n"/>
      <c r="V634" s="111" t="n"/>
      <c r="W634" s="111" t="n"/>
      <c r="X634" s="111" t="n"/>
    </row>
    <row r="635">
      <c r="A635" s="34" t="n">
        <v>633</v>
      </c>
      <c r="I635" s="111" t="n"/>
      <c r="J635" s="111" t="n"/>
      <c r="K635" s="111" t="n"/>
      <c r="L635" s="111" t="n"/>
      <c r="V635" s="111" t="n"/>
      <c r="W635" s="111" t="n"/>
      <c r="X635" s="111" t="n"/>
    </row>
    <row r="636">
      <c r="A636" s="34" t="n">
        <v>634</v>
      </c>
      <c r="I636" s="111" t="n"/>
      <c r="J636" s="111" t="n"/>
      <c r="K636" s="111" t="n"/>
      <c r="L636" s="111" t="n"/>
      <c r="V636" s="111" t="n"/>
      <c r="W636" s="111" t="n"/>
      <c r="X636" s="111" t="n"/>
    </row>
    <row r="637">
      <c r="A637" s="34" t="n">
        <v>635</v>
      </c>
      <c r="I637" s="111" t="n"/>
      <c r="J637" s="111" t="n"/>
      <c r="K637" s="111" t="n"/>
      <c r="L637" s="111" t="n"/>
      <c r="V637" s="111" t="n"/>
      <c r="W637" s="111" t="n"/>
      <c r="X637" s="111" t="n"/>
    </row>
    <row r="638">
      <c r="A638" s="34" t="n">
        <v>636</v>
      </c>
      <c r="I638" s="111" t="n"/>
      <c r="J638" s="111" t="n"/>
      <c r="K638" s="111" t="n"/>
      <c r="L638" s="111" t="n"/>
      <c r="V638" s="111" t="n"/>
      <c r="W638" s="111" t="n"/>
      <c r="X638" s="111" t="n"/>
    </row>
    <row r="639">
      <c r="A639" s="34" t="n">
        <v>637</v>
      </c>
      <c r="I639" s="111" t="n"/>
      <c r="J639" s="111" t="n"/>
      <c r="K639" s="111" t="n"/>
      <c r="L639" s="111" t="n"/>
      <c r="V639" s="111" t="n"/>
      <c r="W639" s="111" t="n"/>
      <c r="X639" s="111" t="n"/>
    </row>
    <row r="640">
      <c r="A640" s="34" t="n">
        <v>638</v>
      </c>
      <c r="I640" s="111" t="n"/>
      <c r="J640" s="111" t="n"/>
      <c r="K640" s="111" t="n"/>
      <c r="L640" s="111" t="n"/>
      <c r="V640" s="111" t="n"/>
      <c r="W640" s="111" t="n"/>
      <c r="X640" s="111" t="n"/>
    </row>
    <row r="641">
      <c r="A641" s="34" t="n">
        <v>639</v>
      </c>
      <c r="I641" s="111" t="n"/>
      <c r="J641" s="111" t="n"/>
      <c r="K641" s="111" t="n"/>
      <c r="L641" s="111" t="n"/>
      <c r="V641" s="111" t="n"/>
      <c r="W641" s="111" t="n"/>
      <c r="X641" s="111" t="n"/>
    </row>
    <row r="642">
      <c r="A642" s="34" t="n">
        <v>640</v>
      </c>
      <c r="I642" s="111" t="n"/>
      <c r="J642" s="111" t="n"/>
      <c r="K642" s="111" t="n"/>
      <c r="L642" s="111" t="n"/>
      <c r="V642" s="111" t="n"/>
      <c r="W642" s="111" t="n"/>
      <c r="X642" s="111" t="n"/>
    </row>
    <row r="643">
      <c r="A643" s="34" t="n">
        <v>641</v>
      </c>
      <c r="I643" s="111" t="n"/>
      <c r="J643" s="111" t="n"/>
      <c r="K643" s="111" t="n"/>
      <c r="L643" s="111" t="n"/>
      <c r="V643" s="111" t="n"/>
      <c r="W643" s="111" t="n"/>
      <c r="X643" s="111" t="n"/>
    </row>
    <row r="644">
      <c r="A644" s="34" t="n">
        <v>642</v>
      </c>
      <c r="I644" s="111" t="n"/>
      <c r="J644" s="111" t="n"/>
      <c r="K644" s="111" t="n"/>
      <c r="L644" s="111" t="n"/>
      <c r="V644" s="111" t="n"/>
      <c r="W644" s="111" t="n"/>
      <c r="X644" s="111" t="n"/>
    </row>
    <row r="645">
      <c r="A645" s="34" t="n">
        <v>643</v>
      </c>
      <c r="I645" s="111" t="n"/>
      <c r="J645" s="111" t="n"/>
      <c r="K645" s="111" t="n"/>
      <c r="L645" s="111" t="n"/>
      <c r="V645" s="111" t="n"/>
      <c r="W645" s="111" t="n"/>
      <c r="X645" s="111" t="n"/>
    </row>
    <row r="646">
      <c r="A646" s="34" t="n">
        <v>644</v>
      </c>
      <c r="I646" s="111" t="n"/>
      <c r="J646" s="111" t="n"/>
      <c r="K646" s="111" t="n"/>
      <c r="L646" s="111" t="n"/>
      <c r="V646" s="111" t="n"/>
      <c r="W646" s="111" t="n"/>
      <c r="X646" s="111" t="n"/>
    </row>
    <row r="647">
      <c r="A647" s="34" t="n">
        <v>645</v>
      </c>
      <c r="I647" s="111" t="n"/>
      <c r="J647" s="111" t="n"/>
      <c r="K647" s="111" t="n"/>
      <c r="L647" s="111" t="n"/>
      <c r="V647" s="111" t="n"/>
      <c r="W647" s="111" t="n"/>
      <c r="X647" s="111" t="n"/>
    </row>
    <row r="648">
      <c r="A648" s="34" t="n">
        <v>646</v>
      </c>
      <c r="I648" s="111" t="n"/>
      <c r="J648" s="111" t="n"/>
      <c r="K648" s="111" t="n"/>
      <c r="L648" s="111" t="n"/>
      <c r="V648" s="111" t="n"/>
      <c r="W648" s="111" t="n"/>
      <c r="X648" s="111" t="n"/>
    </row>
    <row r="649">
      <c r="A649" s="34" t="n">
        <v>647</v>
      </c>
      <c r="I649" s="111" t="n"/>
      <c r="J649" s="111" t="n"/>
      <c r="K649" s="111" t="n"/>
      <c r="L649" s="111" t="n"/>
      <c r="V649" s="111" t="n"/>
      <c r="W649" s="111" t="n"/>
      <c r="X649" s="111" t="n"/>
    </row>
    <row r="650">
      <c r="A650" s="34" t="n">
        <v>648</v>
      </c>
      <c r="I650" s="111" t="n"/>
      <c r="J650" s="111" t="n"/>
      <c r="K650" s="111" t="n"/>
      <c r="L650" s="111" t="n"/>
      <c r="V650" s="111" t="n"/>
      <c r="W650" s="111" t="n"/>
      <c r="X650" s="111" t="n"/>
    </row>
    <row r="651">
      <c r="A651" s="34" t="n">
        <v>649</v>
      </c>
      <c r="I651" s="111" t="n"/>
      <c r="J651" s="111" t="n"/>
      <c r="K651" s="111" t="n"/>
      <c r="L651" s="111" t="n"/>
      <c r="V651" s="111" t="n"/>
      <c r="W651" s="111" t="n"/>
      <c r="X651" s="111" t="n"/>
    </row>
    <row r="652">
      <c r="A652" s="34" t="n">
        <v>650</v>
      </c>
      <c r="I652" s="111" t="n"/>
      <c r="J652" s="111" t="n"/>
      <c r="K652" s="111" t="n"/>
      <c r="L652" s="111" t="n"/>
      <c r="V652" s="111" t="n"/>
      <c r="W652" s="111" t="n"/>
      <c r="X652" s="111" t="n"/>
    </row>
    <row r="653">
      <c r="A653" s="34" t="n">
        <v>651</v>
      </c>
      <c r="I653" s="111" t="n"/>
      <c r="J653" s="111" t="n"/>
      <c r="K653" s="111" t="n"/>
      <c r="L653" s="111" t="n"/>
      <c r="V653" s="111" t="n"/>
      <c r="W653" s="111" t="n"/>
      <c r="X653" s="111" t="n"/>
    </row>
    <row r="654">
      <c r="A654" s="34" t="n">
        <v>652</v>
      </c>
      <c r="I654" s="111" t="n"/>
      <c r="J654" s="111" t="n"/>
      <c r="K654" s="111" t="n"/>
      <c r="L654" s="111" t="n"/>
      <c r="V654" s="111" t="n"/>
      <c r="W654" s="111" t="n"/>
      <c r="X654" s="111" t="n"/>
    </row>
    <row r="655">
      <c r="A655" s="34" t="n">
        <v>653</v>
      </c>
      <c r="I655" s="111" t="n"/>
      <c r="J655" s="111" t="n"/>
      <c r="K655" s="111" t="n"/>
      <c r="L655" s="111" t="n"/>
      <c r="V655" s="111" t="n"/>
      <c r="W655" s="111" t="n"/>
      <c r="X655" s="111" t="n"/>
    </row>
    <row r="656">
      <c r="A656" s="34" t="n">
        <v>654</v>
      </c>
      <c r="I656" s="111" t="n"/>
      <c r="J656" s="111" t="n"/>
      <c r="K656" s="111" t="n"/>
      <c r="L656" s="111" t="n"/>
      <c r="V656" s="111" t="n"/>
      <c r="W656" s="111" t="n"/>
      <c r="X656" s="111" t="n"/>
    </row>
    <row r="657">
      <c r="A657" s="34" t="n">
        <v>655</v>
      </c>
      <c r="I657" s="111" t="n"/>
      <c r="J657" s="111" t="n"/>
      <c r="K657" s="111" t="n"/>
      <c r="L657" s="111" t="n"/>
      <c r="V657" s="111" t="n"/>
      <c r="W657" s="111" t="n"/>
      <c r="X657" s="111" t="n"/>
    </row>
    <row r="658">
      <c r="A658" s="34" t="n">
        <v>656</v>
      </c>
      <c r="I658" s="111" t="n"/>
      <c r="J658" s="111" t="n"/>
      <c r="K658" s="111" t="n"/>
      <c r="L658" s="111" t="n"/>
      <c r="V658" s="111" t="n"/>
      <c r="W658" s="111" t="n"/>
      <c r="X658" s="111" t="n"/>
    </row>
    <row r="659">
      <c r="A659" s="34" t="n">
        <v>657</v>
      </c>
      <c r="I659" s="111" t="n"/>
      <c r="J659" s="111" t="n"/>
      <c r="K659" s="111" t="n"/>
      <c r="L659" s="111" t="n"/>
      <c r="V659" s="111" t="n"/>
      <c r="W659" s="111" t="n"/>
      <c r="X659" s="111" t="n"/>
    </row>
    <row r="660">
      <c r="A660" s="34" t="n">
        <v>658</v>
      </c>
      <c r="I660" s="111" t="n"/>
      <c r="J660" s="111" t="n"/>
      <c r="K660" s="111" t="n"/>
      <c r="L660" s="111" t="n"/>
      <c r="V660" s="111" t="n"/>
      <c r="W660" s="111" t="n"/>
      <c r="X660" s="111" t="n"/>
    </row>
    <row r="661">
      <c r="A661" s="34" t="n">
        <v>659</v>
      </c>
      <c r="I661" s="111" t="n"/>
      <c r="J661" s="111" t="n"/>
      <c r="K661" s="111" t="n"/>
      <c r="L661" s="111" t="n"/>
      <c r="V661" s="111" t="n"/>
      <c r="W661" s="111" t="n"/>
      <c r="X661" s="111" t="n"/>
    </row>
    <row r="662">
      <c r="A662" s="34" t="n">
        <v>660</v>
      </c>
      <c r="I662" s="111" t="n"/>
      <c r="J662" s="111" t="n"/>
      <c r="K662" s="111" t="n"/>
      <c r="L662" s="111" t="n"/>
      <c r="V662" s="111" t="n"/>
      <c r="W662" s="111" t="n"/>
      <c r="X662" s="111" t="n"/>
    </row>
    <row r="663">
      <c r="A663" s="34" t="n">
        <v>661</v>
      </c>
      <c r="I663" s="111" t="n"/>
      <c r="J663" s="111" t="n"/>
      <c r="K663" s="111" t="n"/>
      <c r="L663" s="111" t="n"/>
      <c r="V663" s="111" t="n"/>
      <c r="W663" s="111" t="n"/>
      <c r="X663" s="111" t="n"/>
    </row>
    <row r="664">
      <c r="A664" s="34" t="n">
        <v>662</v>
      </c>
      <c r="I664" s="111" t="n"/>
      <c r="J664" s="111" t="n"/>
      <c r="K664" s="111" t="n"/>
      <c r="L664" s="111" t="n"/>
      <c r="V664" s="111" t="n"/>
      <c r="W664" s="111" t="n"/>
      <c r="X664" s="111" t="n"/>
    </row>
    <row r="665">
      <c r="A665" s="34" t="n">
        <v>663</v>
      </c>
      <c r="I665" s="111" t="n"/>
      <c r="J665" s="111" t="n"/>
      <c r="K665" s="111" t="n"/>
      <c r="L665" s="111" t="n"/>
      <c r="V665" s="111" t="n"/>
      <c r="W665" s="111" t="n"/>
      <c r="X665" s="111" t="n"/>
    </row>
    <row r="666">
      <c r="A666" s="34" t="n">
        <v>664</v>
      </c>
      <c r="I666" s="111" t="n"/>
      <c r="J666" s="111" t="n"/>
      <c r="K666" s="111" t="n"/>
      <c r="L666" s="111" t="n"/>
      <c r="V666" s="111" t="n"/>
      <c r="W666" s="111" t="n"/>
      <c r="X666" s="111" t="n"/>
    </row>
    <row r="667">
      <c r="A667" s="34" t="n">
        <v>665</v>
      </c>
      <c r="I667" s="111" t="n"/>
      <c r="J667" s="111" t="n"/>
      <c r="K667" s="111" t="n"/>
      <c r="L667" s="111" t="n"/>
      <c r="V667" s="111" t="n"/>
      <c r="W667" s="111" t="n"/>
      <c r="X667" s="111" t="n"/>
    </row>
    <row r="668">
      <c r="A668" s="34" t="n">
        <v>666</v>
      </c>
      <c r="I668" s="111" t="n"/>
      <c r="J668" s="111" t="n"/>
      <c r="K668" s="111" t="n"/>
      <c r="L668" s="111" t="n"/>
      <c r="V668" s="111" t="n"/>
      <c r="W668" s="111" t="n"/>
      <c r="X668" s="111" t="n"/>
    </row>
    <row r="669">
      <c r="A669" s="34" t="n">
        <v>667</v>
      </c>
      <c r="I669" s="111" t="n"/>
      <c r="J669" s="111" t="n"/>
      <c r="K669" s="111" t="n"/>
      <c r="L669" s="111" t="n"/>
      <c r="V669" s="111" t="n"/>
      <c r="W669" s="111" t="n"/>
      <c r="X669" s="111" t="n"/>
    </row>
    <row r="670">
      <c r="A670" s="34" t="n">
        <v>668</v>
      </c>
      <c r="I670" s="111" t="n"/>
      <c r="J670" s="111" t="n"/>
      <c r="K670" s="111" t="n"/>
      <c r="L670" s="111" t="n"/>
      <c r="V670" s="111" t="n"/>
      <c r="W670" s="111" t="n"/>
      <c r="X670" s="111" t="n"/>
    </row>
    <row r="671">
      <c r="A671" s="34" t="n">
        <v>669</v>
      </c>
      <c r="I671" s="111" t="n"/>
      <c r="J671" s="111" t="n"/>
      <c r="K671" s="111" t="n"/>
      <c r="L671" s="111" t="n"/>
      <c r="V671" s="111" t="n"/>
      <c r="W671" s="111" t="n"/>
      <c r="X671" s="111" t="n"/>
    </row>
    <row r="672">
      <c r="A672" s="34" t="n">
        <v>670</v>
      </c>
      <c r="I672" s="111" t="n"/>
      <c r="J672" s="111" t="n"/>
      <c r="K672" s="111" t="n"/>
      <c r="L672" s="111" t="n"/>
      <c r="V672" s="111" t="n"/>
      <c r="W672" s="111" t="n"/>
      <c r="X672" s="111" t="n"/>
    </row>
    <row r="673">
      <c r="A673" s="34" t="n">
        <v>671</v>
      </c>
      <c r="I673" s="111" t="n"/>
      <c r="J673" s="111" t="n"/>
      <c r="K673" s="111" t="n"/>
      <c r="L673" s="111" t="n"/>
      <c r="V673" s="111" t="n"/>
      <c r="W673" s="111" t="n"/>
      <c r="X673" s="111" t="n"/>
    </row>
    <row r="674">
      <c r="A674" s="34" t="n">
        <v>672</v>
      </c>
      <c r="I674" s="111" t="n"/>
      <c r="J674" s="111" t="n"/>
      <c r="K674" s="111" t="n"/>
      <c r="L674" s="111" t="n"/>
      <c r="V674" s="111" t="n"/>
      <c r="W674" s="111" t="n"/>
      <c r="X674" s="111" t="n"/>
    </row>
    <row r="675">
      <c r="A675" s="34" t="n">
        <v>673</v>
      </c>
      <c r="I675" s="111" t="n"/>
      <c r="J675" s="111" t="n"/>
      <c r="K675" s="111" t="n"/>
      <c r="L675" s="111" t="n"/>
      <c r="V675" s="111" t="n"/>
      <c r="W675" s="111" t="n"/>
      <c r="X675" s="111" t="n"/>
    </row>
    <row r="676">
      <c r="A676" s="34" t="n">
        <v>674</v>
      </c>
      <c r="I676" s="111" t="n"/>
      <c r="J676" s="111" t="n"/>
      <c r="K676" s="111" t="n"/>
      <c r="L676" s="111" t="n"/>
      <c r="V676" s="111" t="n"/>
      <c r="W676" s="111" t="n"/>
      <c r="X676" s="111" t="n"/>
    </row>
    <row r="677">
      <c r="A677" s="34" t="n">
        <v>675</v>
      </c>
      <c r="I677" s="111" t="n"/>
      <c r="J677" s="111" t="n"/>
      <c r="K677" s="111" t="n"/>
      <c r="L677" s="111" t="n"/>
      <c r="V677" s="111" t="n"/>
      <c r="W677" s="111" t="n"/>
      <c r="X677" s="111" t="n"/>
    </row>
    <row r="678">
      <c r="A678" s="34" t="n">
        <v>676</v>
      </c>
      <c r="I678" s="111" t="n"/>
      <c r="J678" s="111" t="n"/>
      <c r="K678" s="111" t="n"/>
      <c r="L678" s="111" t="n"/>
      <c r="V678" s="111" t="n"/>
      <c r="W678" s="111" t="n"/>
      <c r="X678" s="111" t="n"/>
    </row>
    <row r="679">
      <c r="A679" s="34" t="n">
        <v>677</v>
      </c>
      <c r="I679" s="111" t="n"/>
      <c r="J679" s="111" t="n"/>
      <c r="K679" s="111" t="n"/>
      <c r="L679" s="111" t="n"/>
      <c r="V679" s="111" t="n"/>
      <c r="W679" s="111" t="n"/>
      <c r="X679" s="111" t="n"/>
    </row>
    <row r="680">
      <c r="A680" s="34" t="n">
        <v>678</v>
      </c>
      <c r="I680" s="111" t="n"/>
      <c r="J680" s="111" t="n"/>
      <c r="K680" s="111" t="n"/>
      <c r="L680" s="111" t="n"/>
      <c r="V680" s="111" t="n"/>
      <c r="W680" s="111" t="n"/>
      <c r="X680" s="111" t="n"/>
    </row>
    <row r="681">
      <c r="A681" s="34" t="n">
        <v>679</v>
      </c>
      <c r="I681" s="111" t="n"/>
      <c r="J681" s="111" t="n"/>
      <c r="K681" s="111" t="n"/>
      <c r="L681" s="111" t="n"/>
      <c r="V681" s="111" t="n"/>
      <c r="W681" s="111" t="n"/>
      <c r="X681" s="111" t="n"/>
    </row>
    <row r="682">
      <c r="A682" s="34" t="n">
        <v>680</v>
      </c>
      <c r="I682" s="111" t="n"/>
      <c r="J682" s="111" t="n"/>
      <c r="K682" s="111" t="n"/>
      <c r="L682" s="111" t="n"/>
      <c r="V682" s="111" t="n"/>
      <c r="W682" s="111" t="n"/>
      <c r="X682" s="111" t="n"/>
    </row>
    <row r="683">
      <c r="A683" s="34" t="n">
        <v>681</v>
      </c>
      <c r="I683" s="111" t="n"/>
      <c r="J683" s="111" t="n"/>
      <c r="K683" s="111" t="n"/>
      <c r="L683" s="111" t="n"/>
      <c r="V683" s="111" t="n"/>
      <c r="W683" s="111" t="n"/>
      <c r="X683" s="111" t="n"/>
    </row>
    <row r="684">
      <c r="A684" s="34" t="n">
        <v>682</v>
      </c>
      <c r="I684" s="111" t="n"/>
      <c r="J684" s="111" t="n"/>
      <c r="K684" s="111" t="n"/>
      <c r="L684" s="111" t="n"/>
      <c r="V684" s="111" t="n"/>
      <c r="W684" s="111" t="n"/>
      <c r="X684" s="111" t="n"/>
    </row>
    <row r="685">
      <c r="A685" s="34" t="n">
        <v>683</v>
      </c>
      <c r="I685" s="111" t="n"/>
      <c r="J685" s="111" t="n"/>
      <c r="K685" s="111" t="n"/>
      <c r="L685" s="111" t="n"/>
      <c r="V685" s="111" t="n"/>
      <c r="W685" s="111" t="n"/>
      <c r="X685" s="111" t="n"/>
    </row>
    <row r="686">
      <c r="A686" s="34" t="n">
        <v>684</v>
      </c>
      <c r="I686" s="111" t="n"/>
      <c r="J686" s="111" t="n"/>
      <c r="K686" s="111" t="n"/>
      <c r="L686" s="111" t="n"/>
      <c r="V686" s="111" t="n"/>
      <c r="W686" s="111" t="n"/>
      <c r="X686" s="111" t="n"/>
    </row>
    <row r="687">
      <c r="A687" s="34" t="n">
        <v>685</v>
      </c>
      <c r="I687" s="111" t="n"/>
      <c r="J687" s="111" t="n"/>
      <c r="K687" s="111" t="n"/>
      <c r="L687" s="111" t="n"/>
      <c r="V687" s="111" t="n"/>
      <c r="W687" s="111" t="n"/>
      <c r="X687" s="111" t="n"/>
    </row>
    <row r="688">
      <c r="A688" s="34" t="n">
        <v>686</v>
      </c>
      <c r="I688" s="111" t="n"/>
      <c r="J688" s="111" t="n"/>
      <c r="K688" s="111" t="n"/>
      <c r="L688" s="111" t="n"/>
      <c r="V688" s="111" t="n"/>
      <c r="W688" s="111" t="n"/>
      <c r="X688" s="111" t="n"/>
    </row>
    <row r="689">
      <c r="A689" s="34" t="n">
        <v>687</v>
      </c>
      <c r="I689" s="111" t="n"/>
      <c r="J689" s="111" t="n"/>
      <c r="K689" s="111" t="n"/>
      <c r="L689" s="111" t="n"/>
      <c r="V689" s="111" t="n"/>
      <c r="W689" s="111" t="n"/>
      <c r="X689" s="111" t="n"/>
    </row>
    <row r="690">
      <c r="A690" s="34" t="n">
        <v>688</v>
      </c>
      <c r="I690" s="111" t="n"/>
      <c r="J690" s="111" t="n"/>
      <c r="K690" s="111" t="n"/>
      <c r="L690" s="111" t="n"/>
      <c r="V690" s="111" t="n"/>
      <c r="W690" s="111" t="n"/>
      <c r="X690" s="111" t="n"/>
    </row>
    <row r="691">
      <c r="A691" s="34" t="n">
        <v>689</v>
      </c>
      <c r="I691" s="111" t="n"/>
      <c r="J691" s="111" t="n"/>
      <c r="K691" s="111" t="n"/>
      <c r="L691" s="111" t="n"/>
      <c r="V691" s="111" t="n"/>
      <c r="W691" s="111" t="n"/>
      <c r="X691" s="111" t="n"/>
    </row>
    <row r="692">
      <c r="A692" s="34" t="n">
        <v>690</v>
      </c>
      <c r="I692" s="111" t="n"/>
      <c r="J692" s="111" t="n"/>
      <c r="K692" s="111" t="n"/>
      <c r="L692" s="111" t="n"/>
      <c r="V692" s="111" t="n"/>
      <c r="W692" s="111" t="n"/>
      <c r="X692" s="111" t="n"/>
    </row>
    <row r="693">
      <c r="A693" s="34" t="n">
        <v>691</v>
      </c>
      <c r="I693" s="111" t="n"/>
      <c r="J693" s="111" t="n"/>
      <c r="K693" s="111" t="n"/>
      <c r="L693" s="111" t="n"/>
      <c r="V693" s="111" t="n"/>
      <c r="W693" s="111" t="n"/>
      <c r="X693" s="111" t="n"/>
    </row>
    <row r="694">
      <c r="A694" s="34" t="n">
        <v>692</v>
      </c>
      <c r="I694" s="111" t="n"/>
      <c r="J694" s="111" t="n"/>
      <c r="K694" s="111" t="n"/>
      <c r="L694" s="111" t="n"/>
      <c r="V694" s="111" t="n"/>
      <c r="W694" s="111" t="n"/>
      <c r="X694" s="111" t="n"/>
    </row>
    <row r="695">
      <c r="A695" s="34" t="n">
        <v>693</v>
      </c>
      <c r="I695" s="111" t="n"/>
      <c r="J695" s="111" t="n"/>
      <c r="K695" s="111" t="n"/>
      <c r="L695" s="111" t="n"/>
      <c r="V695" s="111" t="n"/>
      <c r="W695" s="111" t="n"/>
      <c r="X695" s="111" t="n"/>
    </row>
    <row r="696">
      <c r="A696" s="34" t="n">
        <v>694</v>
      </c>
      <c r="I696" s="111" t="n"/>
      <c r="J696" s="111" t="n"/>
      <c r="K696" s="111" t="n"/>
      <c r="L696" s="111" t="n"/>
      <c r="V696" s="111" t="n"/>
      <c r="W696" s="111" t="n"/>
      <c r="X696" s="111" t="n"/>
    </row>
    <row r="697">
      <c r="A697" s="34" t="n">
        <v>695</v>
      </c>
      <c r="I697" s="111" t="n"/>
      <c r="J697" s="111" t="n"/>
      <c r="K697" s="111" t="n"/>
      <c r="L697" s="111" t="n"/>
      <c r="V697" s="111" t="n"/>
      <c r="W697" s="111" t="n"/>
      <c r="X697" s="111" t="n"/>
    </row>
    <row r="698">
      <c r="A698" s="34" t="n">
        <v>696</v>
      </c>
      <c r="I698" s="111" t="n"/>
      <c r="J698" s="111" t="n"/>
      <c r="K698" s="111" t="n"/>
      <c r="L698" s="111" t="n"/>
      <c r="V698" s="111" t="n"/>
      <c r="W698" s="111" t="n"/>
      <c r="X698" s="111" t="n"/>
    </row>
    <row r="699">
      <c r="A699" s="34" t="n">
        <v>697</v>
      </c>
      <c r="I699" s="111" t="n"/>
      <c r="J699" s="111" t="n"/>
      <c r="K699" s="111" t="n"/>
      <c r="L699" s="111" t="n"/>
      <c r="V699" s="111" t="n"/>
      <c r="W699" s="111" t="n"/>
      <c r="X699" s="111" t="n"/>
    </row>
    <row r="700">
      <c r="A700" s="34" t="n">
        <v>698</v>
      </c>
      <c r="I700" s="111" t="n"/>
      <c r="J700" s="111" t="n"/>
      <c r="K700" s="111" t="n"/>
      <c r="L700" s="111" t="n"/>
      <c r="V700" s="111" t="n"/>
      <c r="W700" s="111" t="n"/>
      <c r="X700" s="111" t="n"/>
    </row>
    <row r="701">
      <c r="A701" s="34" t="n">
        <v>699</v>
      </c>
      <c r="I701" s="111" t="n"/>
      <c r="J701" s="111" t="n"/>
      <c r="K701" s="111" t="n"/>
      <c r="L701" s="111" t="n"/>
      <c r="V701" s="111" t="n"/>
      <c r="W701" s="111" t="n"/>
      <c r="X701" s="111" t="n"/>
    </row>
    <row r="702">
      <c r="A702" s="34" t="n">
        <v>700</v>
      </c>
      <c r="I702" s="111" t="n"/>
      <c r="J702" s="111" t="n"/>
      <c r="K702" s="111" t="n"/>
      <c r="L702" s="111" t="n"/>
      <c r="V702" s="111" t="n"/>
      <c r="W702" s="111" t="n"/>
      <c r="X702" s="111" t="n"/>
    </row>
    <row r="703">
      <c r="A703" s="34" t="n">
        <v>701</v>
      </c>
      <c r="I703" s="111" t="n"/>
      <c r="J703" s="111" t="n"/>
      <c r="K703" s="111" t="n"/>
      <c r="L703" s="111" t="n"/>
      <c r="V703" s="111" t="n"/>
      <c r="W703" s="111" t="n"/>
      <c r="X703" s="111" t="n"/>
    </row>
    <row r="704">
      <c r="A704" s="34" t="n">
        <v>702</v>
      </c>
      <c r="I704" s="111" t="n"/>
      <c r="J704" s="111" t="n"/>
      <c r="K704" s="111" t="n"/>
      <c r="L704" s="111" t="n"/>
      <c r="V704" s="111" t="n"/>
      <c r="W704" s="111" t="n"/>
      <c r="X704" s="111" t="n"/>
    </row>
    <row r="705">
      <c r="A705" s="34" t="n">
        <v>703</v>
      </c>
      <c r="I705" s="111" t="n"/>
      <c r="J705" s="111" t="n"/>
      <c r="K705" s="111" t="n"/>
      <c r="L705" s="111" t="n"/>
      <c r="V705" s="111" t="n"/>
      <c r="W705" s="111" t="n"/>
      <c r="X705" s="111" t="n"/>
    </row>
    <row r="706">
      <c r="A706" s="34" t="n">
        <v>704</v>
      </c>
      <c r="I706" s="111" t="n"/>
      <c r="J706" s="111" t="n"/>
      <c r="K706" s="111" t="n"/>
      <c r="L706" s="111" t="n"/>
      <c r="V706" s="111" t="n"/>
      <c r="W706" s="111" t="n"/>
      <c r="X706" s="111" t="n"/>
    </row>
    <row r="707">
      <c r="A707" s="34" t="n">
        <v>705</v>
      </c>
      <c r="I707" s="111" t="n"/>
      <c r="J707" s="111" t="n"/>
      <c r="K707" s="111" t="n"/>
      <c r="L707" s="111" t="n"/>
      <c r="V707" s="111" t="n"/>
      <c r="W707" s="111" t="n"/>
      <c r="X707" s="111" t="n"/>
    </row>
    <row r="708">
      <c r="A708" s="34" t="n">
        <v>706</v>
      </c>
      <c r="I708" s="111" t="n"/>
      <c r="J708" s="111" t="n"/>
      <c r="K708" s="111" t="n"/>
      <c r="L708" s="111" t="n"/>
      <c r="V708" s="111" t="n"/>
      <c r="W708" s="111" t="n"/>
      <c r="X708" s="111" t="n"/>
    </row>
    <row r="709">
      <c r="A709" s="34" t="n">
        <v>707</v>
      </c>
      <c r="I709" s="111" t="n"/>
      <c r="J709" s="111" t="n"/>
      <c r="K709" s="111" t="n"/>
      <c r="L709" s="111" t="n"/>
      <c r="V709" s="111" t="n"/>
      <c r="W709" s="111" t="n"/>
      <c r="X709" s="111" t="n"/>
    </row>
    <row r="710">
      <c r="A710" s="34" t="n">
        <v>708</v>
      </c>
      <c r="I710" s="111" t="n"/>
      <c r="J710" s="111" t="n"/>
      <c r="K710" s="111" t="n"/>
      <c r="L710" s="111" t="n"/>
      <c r="V710" s="111" t="n"/>
      <c r="W710" s="111" t="n"/>
      <c r="X710" s="111" t="n"/>
    </row>
    <row r="711">
      <c r="A711" s="34" t="n">
        <v>709</v>
      </c>
      <c r="I711" s="111" t="n"/>
      <c r="J711" s="111" t="n"/>
      <c r="K711" s="111" t="n"/>
      <c r="L711" s="111" t="n"/>
      <c r="V711" s="111" t="n"/>
      <c r="W711" s="111" t="n"/>
      <c r="X711" s="111" t="n"/>
    </row>
    <row r="712">
      <c r="A712" s="34" t="n">
        <v>710</v>
      </c>
      <c r="I712" s="111" t="n"/>
      <c r="J712" s="111" t="n"/>
      <c r="K712" s="111" t="n"/>
      <c r="L712" s="111" t="n"/>
      <c r="V712" s="111" t="n"/>
      <c r="W712" s="111" t="n"/>
      <c r="X712" s="111" t="n"/>
    </row>
    <row r="713">
      <c r="A713" s="34" t="n">
        <v>711</v>
      </c>
      <c r="I713" s="111" t="n"/>
      <c r="J713" s="111" t="n"/>
      <c r="K713" s="111" t="n"/>
      <c r="L713" s="111" t="n"/>
      <c r="V713" s="111" t="n"/>
      <c r="W713" s="111" t="n"/>
      <c r="X713" s="111" t="n"/>
    </row>
    <row r="714">
      <c r="A714" s="34" t="n">
        <v>712</v>
      </c>
      <c r="I714" s="111" t="n"/>
      <c r="J714" s="111" t="n"/>
      <c r="K714" s="111" t="n"/>
      <c r="L714" s="111" t="n"/>
      <c r="V714" s="111" t="n"/>
      <c r="W714" s="111" t="n"/>
      <c r="X714" s="111" t="n"/>
    </row>
    <row r="715">
      <c r="A715" s="34" t="n">
        <v>713</v>
      </c>
      <c r="I715" s="111" t="n"/>
      <c r="J715" s="111" t="n"/>
      <c r="K715" s="111" t="n"/>
      <c r="L715" s="111" t="n"/>
      <c r="V715" s="111" t="n"/>
      <c r="W715" s="111" t="n"/>
      <c r="X715" s="111" t="n"/>
    </row>
    <row r="716">
      <c r="A716" s="34" t="n">
        <v>714</v>
      </c>
      <c r="I716" s="111" t="n"/>
      <c r="J716" s="111" t="n"/>
      <c r="K716" s="111" t="n"/>
      <c r="L716" s="111" t="n"/>
      <c r="V716" s="111" t="n"/>
      <c r="W716" s="111" t="n"/>
      <c r="X716" s="111" t="n"/>
    </row>
    <row r="717">
      <c r="A717" s="34" t="n">
        <v>715</v>
      </c>
      <c r="I717" s="111" t="n"/>
      <c r="J717" s="111" t="n"/>
      <c r="K717" s="111" t="n"/>
      <c r="L717" s="111" t="n"/>
      <c r="V717" s="111" t="n"/>
      <c r="W717" s="111" t="n"/>
      <c r="X717" s="111" t="n"/>
    </row>
    <row r="718">
      <c r="A718" s="34" t="n">
        <v>716</v>
      </c>
      <c r="I718" s="111" t="n"/>
      <c r="J718" s="111" t="n"/>
      <c r="K718" s="111" t="n"/>
      <c r="L718" s="111" t="n"/>
      <c r="V718" s="111" t="n"/>
      <c r="W718" s="111" t="n"/>
      <c r="X718" s="111" t="n"/>
    </row>
    <row r="719">
      <c r="A719" s="34" t="n">
        <v>717</v>
      </c>
      <c r="I719" s="111" t="n"/>
      <c r="J719" s="111" t="n"/>
      <c r="K719" s="111" t="n"/>
      <c r="L719" s="111" t="n"/>
      <c r="V719" s="111" t="n"/>
      <c r="W719" s="111" t="n"/>
      <c r="X719" s="111" t="n"/>
    </row>
    <row r="720">
      <c r="A720" s="34" t="n">
        <v>718</v>
      </c>
      <c r="I720" s="111" t="n"/>
      <c r="J720" s="111" t="n"/>
      <c r="K720" s="111" t="n"/>
      <c r="L720" s="111" t="n"/>
      <c r="V720" s="111" t="n"/>
      <c r="W720" s="111" t="n"/>
      <c r="X720" s="111" t="n"/>
    </row>
    <row r="721">
      <c r="A721" s="34" t="n">
        <v>719</v>
      </c>
      <c r="I721" s="111" t="n"/>
      <c r="J721" s="111" t="n"/>
      <c r="K721" s="111" t="n"/>
      <c r="L721" s="111" t="n"/>
      <c r="V721" s="111" t="n"/>
      <c r="W721" s="111" t="n"/>
      <c r="X721" s="111" t="n"/>
    </row>
    <row r="722">
      <c r="A722" s="34" t="n">
        <v>720</v>
      </c>
      <c r="I722" s="111" t="n"/>
      <c r="J722" s="111" t="n"/>
      <c r="K722" s="111" t="n"/>
      <c r="L722" s="111" t="n"/>
      <c r="V722" s="111" t="n"/>
      <c r="W722" s="111" t="n"/>
      <c r="X722" s="111" t="n"/>
    </row>
    <row r="723">
      <c r="A723" s="34" t="n">
        <v>721</v>
      </c>
      <c r="I723" s="111" t="n"/>
      <c r="J723" s="111" t="n"/>
      <c r="K723" s="111" t="n"/>
      <c r="L723" s="111" t="n"/>
      <c r="V723" s="111" t="n"/>
      <c r="W723" s="111" t="n"/>
      <c r="X723" s="111" t="n"/>
    </row>
    <row r="724">
      <c r="A724" s="34" t="n">
        <v>722</v>
      </c>
      <c r="I724" s="111" t="n"/>
      <c r="J724" s="111" t="n"/>
      <c r="K724" s="111" t="n"/>
      <c r="L724" s="111" t="n"/>
      <c r="V724" s="111" t="n"/>
      <c r="W724" s="111" t="n"/>
      <c r="X724" s="111" t="n"/>
    </row>
    <row r="725">
      <c r="A725" s="34" t="n">
        <v>723</v>
      </c>
      <c r="I725" s="111" t="n"/>
      <c r="J725" s="111" t="n"/>
      <c r="K725" s="111" t="n"/>
      <c r="L725" s="111" t="n"/>
      <c r="V725" s="111" t="n"/>
      <c r="W725" s="111" t="n"/>
      <c r="X725" s="111" t="n"/>
    </row>
    <row r="726">
      <c r="A726" s="34" t="n">
        <v>724</v>
      </c>
      <c r="I726" s="111" t="n"/>
      <c r="J726" s="111" t="n"/>
      <c r="K726" s="111" t="n"/>
      <c r="L726" s="111" t="n"/>
      <c r="V726" s="111" t="n"/>
      <c r="W726" s="111" t="n"/>
      <c r="X726" s="111" t="n"/>
    </row>
    <row r="727">
      <c r="A727" s="34" t="n">
        <v>725</v>
      </c>
      <c r="I727" s="111" t="n"/>
      <c r="J727" s="111" t="n"/>
      <c r="K727" s="111" t="n"/>
      <c r="L727" s="111" t="n"/>
      <c r="V727" s="111" t="n"/>
      <c r="W727" s="111" t="n"/>
      <c r="X727" s="111" t="n"/>
    </row>
    <row r="728">
      <c r="A728" s="34" t="n">
        <v>726</v>
      </c>
      <c r="I728" s="111" t="n"/>
      <c r="J728" s="111" t="n"/>
      <c r="K728" s="111" t="n"/>
      <c r="L728" s="111" t="n"/>
      <c r="V728" s="111" t="n"/>
      <c r="W728" s="111" t="n"/>
      <c r="X728" s="111" t="n"/>
    </row>
    <row r="729">
      <c r="A729" s="34" t="n">
        <v>727</v>
      </c>
      <c r="I729" s="111" t="n"/>
      <c r="J729" s="111" t="n"/>
      <c r="K729" s="111" t="n"/>
      <c r="L729" s="111" t="n"/>
      <c r="V729" s="111" t="n"/>
      <c r="W729" s="111" t="n"/>
      <c r="X729" s="111" t="n"/>
    </row>
    <row r="730">
      <c r="A730" s="34" t="n">
        <v>728</v>
      </c>
      <c r="I730" s="111" t="n"/>
      <c r="J730" s="111" t="n"/>
      <c r="K730" s="111" t="n"/>
      <c r="L730" s="111" t="n"/>
      <c r="V730" s="111" t="n"/>
      <c r="W730" s="111" t="n"/>
      <c r="X730" s="111" t="n"/>
    </row>
    <row r="731">
      <c r="A731" s="34" t="n">
        <v>729</v>
      </c>
      <c r="I731" s="111" t="n"/>
      <c r="J731" s="111" t="n"/>
      <c r="K731" s="111" t="n"/>
      <c r="L731" s="111" t="n"/>
      <c r="V731" s="111" t="n"/>
      <c r="W731" s="111" t="n"/>
      <c r="X731" s="111" t="n"/>
    </row>
    <row r="732">
      <c r="A732" s="34" t="n">
        <v>730</v>
      </c>
      <c r="I732" s="111" t="n"/>
      <c r="J732" s="111" t="n"/>
      <c r="K732" s="111" t="n"/>
      <c r="L732" s="111" t="n"/>
      <c r="V732" s="111" t="n"/>
      <c r="W732" s="111" t="n"/>
      <c r="X732" s="111" t="n"/>
    </row>
    <row r="733">
      <c r="A733" s="34" t="n">
        <v>731</v>
      </c>
      <c r="I733" s="111" t="n"/>
      <c r="J733" s="111" t="n"/>
      <c r="K733" s="111" t="n"/>
      <c r="L733" s="111" t="n"/>
      <c r="V733" s="111" t="n"/>
      <c r="W733" s="111" t="n"/>
      <c r="X733" s="111" t="n"/>
    </row>
    <row r="734">
      <c r="A734" s="34" t="n">
        <v>732</v>
      </c>
      <c r="I734" s="111" t="n"/>
      <c r="J734" s="111" t="n"/>
      <c r="K734" s="111" t="n"/>
      <c r="L734" s="111" t="n"/>
      <c r="V734" s="111" t="n"/>
      <c r="W734" s="111" t="n"/>
      <c r="X734" s="111" t="n"/>
    </row>
    <row r="735">
      <c r="A735" s="34" t="n">
        <v>733</v>
      </c>
      <c r="I735" s="111" t="n"/>
      <c r="J735" s="111" t="n"/>
      <c r="K735" s="111" t="n"/>
      <c r="L735" s="111" t="n"/>
      <c r="V735" s="111" t="n"/>
      <c r="W735" s="111" t="n"/>
      <c r="X735" s="111" t="n"/>
    </row>
    <row r="736">
      <c r="A736" s="34" t="n">
        <v>734</v>
      </c>
      <c r="I736" s="111" t="n"/>
      <c r="J736" s="111" t="n"/>
      <c r="K736" s="111" t="n"/>
      <c r="L736" s="111" t="n"/>
      <c r="V736" s="111" t="n"/>
      <c r="W736" s="111" t="n"/>
      <c r="X736" s="111" t="n"/>
    </row>
    <row r="737">
      <c r="A737" s="34" t="n">
        <v>735</v>
      </c>
      <c r="I737" s="111" t="n"/>
      <c r="J737" s="111" t="n"/>
      <c r="K737" s="111" t="n"/>
      <c r="L737" s="111" t="n"/>
      <c r="V737" s="111" t="n"/>
      <c r="W737" s="111" t="n"/>
      <c r="X737" s="111" t="n"/>
    </row>
    <row r="738">
      <c r="A738" s="34" t="n">
        <v>736</v>
      </c>
      <c r="I738" s="111" t="n"/>
      <c r="J738" s="111" t="n"/>
      <c r="K738" s="111" t="n"/>
      <c r="L738" s="111" t="n"/>
      <c r="V738" s="111" t="n"/>
      <c r="W738" s="111" t="n"/>
      <c r="X738" s="111" t="n"/>
    </row>
    <row r="739">
      <c r="A739" s="34" t="n">
        <v>737</v>
      </c>
      <c r="I739" s="111" t="n"/>
      <c r="J739" s="111" t="n"/>
      <c r="K739" s="111" t="n"/>
      <c r="L739" s="111" t="n"/>
      <c r="V739" s="111" t="n"/>
      <c r="W739" s="111" t="n"/>
      <c r="X739" s="111" t="n"/>
    </row>
    <row r="740">
      <c r="A740" s="34" t="n">
        <v>738</v>
      </c>
      <c r="I740" s="111" t="n"/>
      <c r="J740" s="111" t="n"/>
      <c r="K740" s="111" t="n"/>
      <c r="L740" s="111" t="n"/>
      <c r="V740" s="111" t="n"/>
      <c r="W740" s="111" t="n"/>
      <c r="X740" s="111" t="n"/>
    </row>
    <row r="741">
      <c r="A741" s="34" t="n">
        <v>739</v>
      </c>
      <c r="I741" s="111" t="n"/>
      <c r="J741" s="111" t="n"/>
      <c r="K741" s="111" t="n"/>
      <c r="L741" s="111" t="n"/>
      <c r="V741" s="111" t="n"/>
      <c r="W741" s="111" t="n"/>
      <c r="X741" s="111" t="n"/>
    </row>
    <row r="742">
      <c r="A742" s="34" t="n">
        <v>740</v>
      </c>
      <c r="I742" s="111" t="n"/>
      <c r="J742" s="111" t="n"/>
      <c r="K742" s="111" t="n"/>
      <c r="L742" s="111" t="n"/>
      <c r="V742" s="111" t="n"/>
      <c r="W742" s="111" t="n"/>
      <c r="X742" s="111" t="n"/>
    </row>
    <row r="743">
      <c r="A743" s="34" t="n">
        <v>741</v>
      </c>
      <c r="I743" s="111" t="n"/>
      <c r="J743" s="111" t="n"/>
      <c r="K743" s="111" t="n"/>
      <c r="L743" s="111" t="n"/>
      <c r="V743" s="111" t="n"/>
      <c r="W743" s="111" t="n"/>
      <c r="X743" s="111" t="n"/>
    </row>
    <row r="744">
      <c r="A744" s="34" t="n">
        <v>742</v>
      </c>
      <c r="I744" s="111" t="n"/>
      <c r="J744" s="111" t="n"/>
      <c r="K744" s="111" t="n"/>
      <c r="L744" s="111" t="n"/>
      <c r="V744" s="111" t="n"/>
      <c r="W744" s="111" t="n"/>
      <c r="X744" s="111" t="n"/>
    </row>
    <row r="745">
      <c r="A745" s="34" t="n">
        <v>743</v>
      </c>
      <c r="I745" s="111" t="n"/>
      <c r="J745" s="111" t="n"/>
      <c r="K745" s="111" t="n"/>
      <c r="L745" s="111" t="n"/>
      <c r="V745" s="111" t="n"/>
      <c r="W745" s="111" t="n"/>
      <c r="X745" s="111" t="n"/>
    </row>
    <row r="746">
      <c r="A746" s="34" t="n">
        <v>744</v>
      </c>
      <c r="I746" s="111" t="n"/>
      <c r="J746" s="111" t="n"/>
      <c r="K746" s="111" t="n"/>
      <c r="L746" s="111" t="n"/>
      <c r="V746" s="111" t="n"/>
      <c r="W746" s="111" t="n"/>
      <c r="X746" s="111" t="n"/>
    </row>
    <row r="747">
      <c r="A747" s="34" t="n">
        <v>745</v>
      </c>
      <c r="I747" s="111" t="n"/>
      <c r="J747" s="111" t="n"/>
      <c r="K747" s="111" t="n"/>
      <c r="L747" s="111" t="n"/>
      <c r="V747" s="111" t="n"/>
      <c r="W747" s="111" t="n"/>
      <c r="X747" s="111" t="n"/>
    </row>
    <row r="748">
      <c r="A748" s="34" t="n">
        <v>746</v>
      </c>
      <c r="I748" s="111" t="n"/>
      <c r="J748" s="111" t="n"/>
      <c r="K748" s="111" t="n"/>
      <c r="L748" s="111" t="n"/>
      <c r="V748" s="111" t="n"/>
      <c r="W748" s="111" t="n"/>
      <c r="X748" s="111" t="n"/>
    </row>
    <row r="749">
      <c r="A749" s="34" t="n">
        <v>747</v>
      </c>
      <c r="I749" s="111" t="n"/>
      <c r="J749" s="111" t="n"/>
      <c r="K749" s="111" t="n"/>
      <c r="L749" s="111" t="n"/>
      <c r="V749" s="111" t="n"/>
      <c r="W749" s="111" t="n"/>
      <c r="X749" s="111" t="n"/>
    </row>
    <row r="750">
      <c r="A750" s="34" t="n">
        <v>748</v>
      </c>
      <c r="I750" s="111" t="n"/>
      <c r="J750" s="111" t="n"/>
      <c r="K750" s="111" t="n"/>
      <c r="L750" s="111" t="n"/>
      <c r="V750" s="111" t="n"/>
      <c r="W750" s="111" t="n"/>
      <c r="X750" s="111" t="n"/>
    </row>
    <row r="751">
      <c r="A751" s="34" t="n">
        <v>749</v>
      </c>
      <c r="I751" s="111" t="n"/>
      <c r="J751" s="111" t="n"/>
      <c r="K751" s="111" t="n"/>
      <c r="L751" s="111" t="n"/>
      <c r="V751" s="111" t="n"/>
      <c r="W751" s="111" t="n"/>
      <c r="X751" s="111" t="n"/>
    </row>
    <row r="752">
      <c r="A752" s="34" t="n">
        <v>750</v>
      </c>
      <c r="I752" s="111" t="n"/>
      <c r="J752" s="111" t="n"/>
      <c r="K752" s="111" t="n"/>
      <c r="L752" s="111" t="n"/>
      <c r="V752" s="111" t="n"/>
      <c r="W752" s="111" t="n"/>
      <c r="X752" s="111" t="n"/>
    </row>
    <row r="753">
      <c r="A753" s="34" t="n">
        <v>751</v>
      </c>
      <c r="I753" s="111" t="n"/>
      <c r="J753" s="111" t="n"/>
      <c r="K753" s="111" t="n"/>
      <c r="L753" s="111" t="n"/>
      <c r="V753" s="111" t="n"/>
      <c r="W753" s="111" t="n"/>
      <c r="X753" s="111" t="n"/>
    </row>
    <row r="754">
      <c r="A754" s="34" t="n">
        <v>752</v>
      </c>
      <c r="I754" s="111" t="n"/>
      <c r="J754" s="111" t="n"/>
      <c r="K754" s="111" t="n"/>
      <c r="L754" s="111" t="n"/>
      <c r="V754" s="111" t="n"/>
      <c r="W754" s="111" t="n"/>
      <c r="X754" s="111" t="n"/>
    </row>
    <row r="755">
      <c r="A755" s="34" t="n">
        <v>753</v>
      </c>
      <c r="I755" s="111" t="n"/>
      <c r="J755" s="111" t="n"/>
      <c r="K755" s="111" t="n"/>
      <c r="L755" s="111" t="n"/>
      <c r="V755" s="111" t="n"/>
      <c r="W755" s="111" t="n"/>
      <c r="X755" s="111" t="n"/>
    </row>
    <row r="756">
      <c r="A756" s="34" t="n">
        <v>754</v>
      </c>
      <c r="I756" s="111" t="n"/>
      <c r="J756" s="111" t="n"/>
      <c r="K756" s="111" t="n"/>
      <c r="L756" s="111" t="n"/>
      <c r="V756" s="111" t="n"/>
      <c r="W756" s="111" t="n"/>
      <c r="X756" s="111" t="n"/>
    </row>
    <row r="757">
      <c r="A757" s="34" t="n">
        <v>755</v>
      </c>
      <c r="I757" s="111" t="n"/>
      <c r="J757" s="111" t="n"/>
      <c r="K757" s="111" t="n"/>
      <c r="L757" s="111" t="n"/>
      <c r="V757" s="111" t="n"/>
      <c r="W757" s="111" t="n"/>
      <c r="X757" s="111" t="n"/>
    </row>
    <row r="758">
      <c r="A758" s="34" t="n">
        <v>756</v>
      </c>
      <c r="I758" s="111" t="n"/>
      <c r="J758" s="111" t="n"/>
      <c r="K758" s="111" t="n"/>
      <c r="L758" s="111" t="n"/>
      <c r="V758" s="111" t="n"/>
      <c r="W758" s="111" t="n"/>
      <c r="X758" s="111" t="n"/>
    </row>
    <row r="759">
      <c r="A759" s="34" t="n">
        <v>757</v>
      </c>
      <c r="I759" s="111" t="n"/>
      <c r="J759" s="111" t="n"/>
      <c r="K759" s="111" t="n"/>
      <c r="L759" s="111" t="n"/>
      <c r="V759" s="111" t="n"/>
      <c r="W759" s="111" t="n"/>
      <c r="X759" s="111" t="n"/>
    </row>
    <row r="760">
      <c r="A760" s="34" t="n">
        <v>758</v>
      </c>
      <c r="I760" s="111" t="n"/>
      <c r="J760" s="111" t="n"/>
      <c r="K760" s="111" t="n"/>
      <c r="L760" s="111" t="n"/>
      <c r="V760" s="111" t="n"/>
      <c r="W760" s="111" t="n"/>
      <c r="X760" s="111" t="n"/>
    </row>
    <row r="761">
      <c r="A761" s="34" t="n">
        <v>759</v>
      </c>
      <c r="I761" s="111" t="n"/>
      <c r="J761" s="111" t="n"/>
      <c r="K761" s="111" t="n"/>
      <c r="L761" s="111" t="n"/>
      <c r="V761" s="111" t="n"/>
      <c r="W761" s="111" t="n"/>
      <c r="X761" s="111" t="n"/>
    </row>
    <row r="762">
      <c r="A762" s="34" t="n">
        <v>760</v>
      </c>
      <c r="I762" s="111" t="n"/>
      <c r="J762" s="111" t="n"/>
      <c r="K762" s="111" t="n"/>
      <c r="L762" s="111" t="n"/>
      <c r="V762" s="111" t="n"/>
      <c r="W762" s="111" t="n"/>
      <c r="X762" s="111" t="n"/>
    </row>
    <row r="763">
      <c r="A763" s="34" t="n">
        <v>761</v>
      </c>
      <c r="I763" s="111" t="n"/>
      <c r="J763" s="111" t="n"/>
      <c r="K763" s="111" t="n"/>
      <c r="L763" s="111" t="n"/>
      <c r="V763" s="111" t="n"/>
      <c r="W763" s="111" t="n"/>
      <c r="X763" s="111" t="n"/>
    </row>
    <row r="764">
      <c r="A764" s="34" t="n">
        <v>762</v>
      </c>
      <c r="I764" s="111" t="n"/>
      <c r="J764" s="111" t="n"/>
      <c r="K764" s="111" t="n"/>
      <c r="L764" s="111" t="n"/>
      <c r="V764" s="111" t="n"/>
      <c r="W764" s="111" t="n"/>
      <c r="X764" s="111" t="n"/>
    </row>
    <row r="765">
      <c r="A765" s="34" t="n">
        <v>763</v>
      </c>
      <c r="I765" s="111" t="n"/>
      <c r="J765" s="111" t="n"/>
      <c r="K765" s="111" t="n"/>
      <c r="L765" s="111" t="n"/>
      <c r="V765" s="111" t="n"/>
      <c r="W765" s="111" t="n"/>
      <c r="X765" s="111" t="n"/>
    </row>
    <row r="766">
      <c r="A766" s="34" t="n">
        <v>764</v>
      </c>
      <c r="I766" s="111" t="n"/>
      <c r="J766" s="111" t="n"/>
      <c r="K766" s="111" t="n"/>
      <c r="L766" s="111" t="n"/>
      <c r="V766" s="111" t="n"/>
      <c r="W766" s="111" t="n"/>
      <c r="X766" s="111" t="n"/>
    </row>
    <row r="767">
      <c r="A767" s="34" t="n">
        <v>765</v>
      </c>
      <c r="I767" s="111" t="n"/>
      <c r="J767" s="111" t="n"/>
      <c r="K767" s="111" t="n"/>
      <c r="L767" s="111" t="n"/>
      <c r="V767" s="111" t="n"/>
      <c r="W767" s="111" t="n"/>
      <c r="X767" s="111" t="n"/>
    </row>
    <row r="768">
      <c r="A768" s="34" t="n">
        <v>766</v>
      </c>
      <c r="I768" s="111" t="n"/>
      <c r="J768" s="111" t="n"/>
      <c r="K768" s="111" t="n"/>
      <c r="L768" s="111" t="n"/>
      <c r="V768" s="111" t="n"/>
      <c r="W768" s="111" t="n"/>
      <c r="X768" s="111" t="n"/>
    </row>
    <row r="769">
      <c r="A769" s="34" t="n">
        <v>767</v>
      </c>
      <c r="I769" s="111" t="n"/>
      <c r="J769" s="111" t="n"/>
      <c r="K769" s="111" t="n"/>
      <c r="L769" s="111" t="n"/>
      <c r="V769" s="111" t="n"/>
      <c r="W769" s="111" t="n"/>
      <c r="X769" s="111" t="n"/>
    </row>
    <row r="770">
      <c r="A770" s="34" t="n">
        <v>768</v>
      </c>
      <c r="I770" s="111" t="n"/>
      <c r="J770" s="111" t="n"/>
      <c r="K770" s="111" t="n"/>
      <c r="L770" s="111" t="n"/>
      <c r="V770" s="111" t="n"/>
      <c r="W770" s="111" t="n"/>
      <c r="X770" s="111" t="n"/>
    </row>
    <row r="771">
      <c r="A771" s="34" t="n">
        <v>769</v>
      </c>
      <c r="I771" s="111" t="n"/>
      <c r="J771" s="111" t="n"/>
      <c r="K771" s="111" t="n"/>
      <c r="L771" s="111" t="n"/>
      <c r="V771" s="111" t="n"/>
      <c r="W771" s="111" t="n"/>
      <c r="X771" s="111" t="n"/>
    </row>
    <row r="772">
      <c r="A772" s="34" t="n">
        <v>770</v>
      </c>
      <c r="I772" s="111" t="n"/>
      <c r="J772" s="111" t="n"/>
      <c r="K772" s="111" t="n"/>
      <c r="L772" s="111" t="n"/>
      <c r="V772" s="111" t="n"/>
      <c r="W772" s="111" t="n"/>
      <c r="X772" s="111" t="n"/>
    </row>
    <row r="773">
      <c r="A773" s="34" t="n">
        <v>771</v>
      </c>
      <c r="I773" s="111" t="n"/>
      <c r="J773" s="111" t="n"/>
      <c r="K773" s="111" t="n"/>
      <c r="L773" s="111" t="n"/>
      <c r="V773" s="111" t="n"/>
      <c r="W773" s="111" t="n"/>
      <c r="X773" s="111" t="n"/>
    </row>
    <row r="774">
      <c r="A774" s="34" t="n">
        <v>772</v>
      </c>
      <c r="I774" s="111" t="n"/>
      <c r="J774" s="111" t="n"/>
      <c r="K774" s="111" t="n"/>
      <c r="L774" s="111" t="n"/>
      <c r="V774" s="111" t="n"/>
      <c r="W774" s="111" t="n"/>
      <c r="X774" s="111" t="n"/>
    </row>
    <row r="775">
      <c r="A775" s="34" t="n">
        <v>773</v>
      </c>
      <c r="I775" s="111" t="n"/>
      <c r="J775" s="111" t="n"/>
      <c r="K775" s="111" t="n"/>
      <c r="L775" s="111" t="n"/>
      <c r="V775" s="111" t="n"/>
      <c r="W775" s="111" t="n"/>
      <c r="X775" s="111" t="n"/>
    </row>
    <row r="776">
      <c r="A776" s="34" t="n">
        <v>774</v>
      </c>
      <c r="I776" s="111" t="n"/>
      <c r="J776" s="111" t="n"/>
      <c r="K776" s="111" t="n"/>
      <c r="L776" s="111" t="n"/>
      <c r="V776" s="111" t="n"/>
      <c r="W776" s="111" t="n"/>
      <c r="X776" s="111" t="n"/>
    </row>
    <row r="777">
      <c r="A777" s="34" t="n">
        <v>775</v>
      </c>
      <c r="I777" s="111" t="n"/>
      <c r="J777" s="111" t="n"/>
      <c r="K777" s="111" t="n"/>
      <c r="L777" s="111" t="n"/>
      <c r="V777" s="111" t="n"/>
      <c r="W777" s="111" t="n"/>
      <c r="X777" s="111" t="n"/>
    </row>
    <row r="778">
      <c r="A778" s="34" t="n">
        <v>776</v>
      </c>
      <c r="I778" s="111" t="n"/>
      <c r="J778" s="111" t="n"/>
      <c r="K778" s="111" t="n"/>
      <c r="L778" s="111" t="n"/>
      <c r="V778" s="111" t="n"/>
      <c r="W778" s="111" t="n"/>
      <c r="X778" s="111" t="n"/>
    </row>
    <row r="779">
      <c r="A779" s="34" t="n">
        <v>777</v>
      </c>
      <c r="I779" s="111" t="n"/>
      <c r="J779" s="111" t="n"/>
      <c r="K779" s="111" t="n"/>
      <c r="L779" s="111" t="n"/>
      <c r="V779" s="111" t="n"/>
      <c r="W779" s="111" t="n"/>
      <c r="X779" s="111" t="n"/>
    </row>
    <row r="780">
      <c r="A780" s="34" t="n">
        <v>778</v>
      </c>
      <c r="I780" s="111" t="n"/>
      <c r="J780" s="111" t="n"/>
      <c r="K780" s="111" t="n"/>
      <c r="L780" s="111" t="n"/>
      <c r="V780" s="111" t="n"/>
      <c r="W780" s="111" t="n"/>
      <c r="X780" s="111" t="n"/>
    </row>
    <row r="781">
      <c r="A781" s="34" t="n">
        <v>779</v>
      </c>
      <c r="I781" s="111" t="n"/>
      <c r="J781" s="111" t="n"/>
      <c r="K781" s="111" t="n"/>
      <c r="L781" s="111" t="n"/>
      <c r="V781" s="111" t="n"/>
      <c r="W781" s="111" t="n"/>
      <c r="X781" s="111" t="n"/>
    </row>
    <row r="782">
      <c r="A782" s="34" t="n">
        <v>780</v>
      </c>
      <c r="I782" s="111" t="n"/>
      <c r="J782" s="111" t="n"/>
      <c r="K782" s="111" t="n"/>
      <c r="L782" s="111" t="n"/>
      <c r="V782" s="111" t="n"/>
      <c r="W782" s="111" t="n"/>
      <c r="X782" s="111" t="n"/>
    </row>
    <row r="783">
      <c r="A783" s="34" t="n">
        <v>781</v>
      </c>
      <c r="I783" s="111" t="n"/>
      <c r="J783" s="111" t="n"/>
      <c r="K783" s="111" t="n"/>
      <c r="L783" s="111" t="n"/>
      <c r="V783" s="111" t="n"/>
      <c r="W783" s="111" t="n"/>
      <c r="X783" s="111" t="n"/>
    </row>
    <row r="784">
      <c r="A784" s="34" t="n">
        <v>782</v>
      </c>
      <c r="I784" s="111" t="n"/>
      <c r="J784" s="111" t="n"/>
      <c r="K784" s="111" t="n"/>
      <c r="L784" s="111" t="n"/>
      <c r="V784" s="111" t="n"/>
      <c r="W784" s="111" t="n"/>
      <c r="X784" s="111" t="n"/>
    </row>
    <row r="785">
      <c r="A785" s="34" t="n">
        <v>783</v>
      </c>
      <c r="I785" s="111" t="n"/>
      <c r="J785" s="111" t="n"/>
      <c r="K785" s="111" t="n"/>
      <c r="L785" s="111" t="n"/>
      <c r="V785" s="111" t="n"/>
      <c r="W785" s="111" t="n"/>
      <c r="X785" s="111" t="n"/>
    </row>
    <row r="786">
      <c r="A786" s="34" t="n">
        <v>784</v>
      </c>
      <c r="I786" s="111" t="n"/>
      <c r="J786" s="111" t="n"/>
      <c r="K786" s="111" t="n"/>
      <c r="L786" s="111" t="n"/>
      <c r="V786" s="111" t="n"/>
      <c r="W786" s="111" t="n"/>
      <c r="X786" s="111" t="n"/>
    </row>
    <row r="787">
      <c r="A787" s="34" t="n">
        <v>785</v>
      </c>
      <c r="I787" s="111" t="n"/>
      <c r="J787" s="111" t="n"/>
      <c r="K787" s="111" t="n"/>
      <c r="L787" s="111" t="n"/>
      <c r="V787" s="111" t="n"/>
      <c r="W787" s="111" t="n"/>
      <c r="X787" s="111" t="n"/>
    </row>
    <row r="788">
      <c r="A788" s="34" t="n">
        <v>786</v>
      </c>
      <c r="I788" s="111" t="n"/>
      <c r="J788" s="111" t="n"/>
      <c r="K788" s="111" t="n"/>
      <c r="L788" s="111" t="n"/>
      <c r="V788" s="111" t="n"/>
      <c r="W788" s="111" t="n"/>
      <c r="X788" s="111" t="n"/>
    </row>
    <row r="789">
      <c r="A789" s="34" t="n">
        <v>787</v>
      </c>
      <c r="I789" s="111" t="n"/>
      <c r="J789" s="111" t="n"/>
      <c r="K789" s="111" t="n"/>
      <c r="L789" s="111" t="n"/>
      <c r="V789" s="111" t="n"/>
      <c r="W789" s="111" t="n"/>
      <c r="X789" s="111" t="n"/>
    </row>
    <row r="790">
      <c r="A790" s="34" t="n">
        <v>788</v>
      </c>
      <c r="I790" s="111" t="n"/>
      <c r="J790" s="111" t="n"/>
      <c r="K790" s="111" t="n"/>
      <c r="L790" s="111" t="n"/>
      <c r="V790" s="111" t="n"/>
      <c r="W790" s="111" t="n"/>
      <c r="X790" s="111" t="n"/>
    </row>
    <row r="791">
      <c r="A791" s="34" t="n">
        <v>789</v>
      </c>
      <c r="I791" s="111" t="n"/>
      <c r="J791" s="111" t="n"/>
      <c r="K791" s="111" t="n"/>
      <c r="L791" s="111" t="n"/>
      <c r="V791" s="111" t="n"/>
      <c r="W791" s="111" t="n"/>
      <c r="X791" s="111" t="n"/>
    </row>
    <row r="792">
      <c r="A792" s="34" t="n">
        <v>790</v>
      </c>
      <c r="I792" s="111" t="n"/>
      <c r="J792" s="111" t="n"/>
      <c r="K792" s="111" t="n"/>
      <c r="L792" s="111" t="n"/>
      <c r="V792" s="111" t="n"/>
      <c r="W792" s="111" t="n"/>
      <c r="X792" s="111" t="n"/>
    </row>
    <row r="793">
      <c r="A793" s="34" t="n">
        <v>791</v>
      </c>
      <c r="I793" s="111" t="n"/>
      <c r="J793" s="111" t="n"/>
      <c r="K793" s="111" t="n"/>
      <c r="L793" s="111" t="n"/>
      <c r="V793" s="111" t="n"/>
      <c r="W793" s="111" t="n"/>
      <c r="X793" s="111" t="n"/>
    </row>
    <row r="794">
      <c r="A794" s="34" t="n">
        <v>792</v>
      </c>
      <c r="I794" s="111" t="n"/>
      <c r="J794" s="111" t="n"/>
      <c r="K794" s="111" t="n"/>
      <c r="L794" s="111" t="n"/>
      <c r="V794" s="111" t="n"/>
      <c r="W794" s="111" t="n"/>
      <c r="X794" s="111" t="n"/>
    </row>
    <row r="795">
      <c r="A795" s="34" t="n">
        <v>793</v>
      </c>
      <c r="I795" s="111" t="n"/>
      <c r="J795" s="111" t="n"/>
      <c r="K795" s="111" t="n"/>
      <c r="L795" s="111" t="n"/>
      <c r="V795" s="111" t="n"/>
      <c r="W795" s="111" t="n"/>
      <c r="X795" s="111" t="n"/>
    </row>
    <row r="796">
      <c r="A796" s="34" t="n">
        <v>794</v>
      </c>
      <c r="I796" s="111" t="n"/>
      <c r="J796" s="111" t="n"/>
      <c r="K796" s="111" t="n"/>
      <c r="L796" s="111" t="n"/>
      <c r="V796" s="111" t="n"/>
      <c r="W796" s="111" t="n"/>
      <c r="X796" s="111" t="n"/>
    </row>
    <row r="797">
      <c r="A797" s="34" t="n">
        <v>795</v>
      </c>
      <c r="I797" s="111" t="n"/>
      <c r="J797" s="111" t="n"/>
      <c r="K797" s="111" t="n"/>
      <c r="L797" s="111" t="n"/>
      <c r="V797" s="111" t="n"/>
      <c r="W797" s="111" t="n"/>
      <c r="X797" s="111" t="n"/>
    </row>
    <row r="798">
      <c r="A798" s="34" t="n">
        <v>796</v>
      </c>
      <c r="I798" s="111" t="n"/>
      <c r="J798" s="111" t="n"/>
      <c r="K798" s="111" t="n"/>
      <c r="L798" s="111" t="n"/>
      <c r="V798" s="111" t="n"/>
      <c r="W798" s="111" t="n"/>
      <c r="X798" s="111" t="n"/>
    </row>
    <row r="799">
      <c r="A799" s="34" t="n">
        <v>797</v>
      </c>
      <c r="I799" s="111" t="n"/>
      <c r="J799" s="111" t="n"/>
      <c r="K799" s="111" t="n"/>
      <c r="L799" s="111" t="n"/>
      <c r="V799" s="111" t="n"/>
      <c r="W799" s="111" t="n"/>
      <c r="X799" s="111" t="n"/>
    </row>
    <row r="800">
      <c r="A800" s="34" t="n">
        <v>798</v>
      </c>
      <c r="I800" s="111" t="n"/>
      <c r="J800" s="111" t="n"/>
      <c r="K800" s="111" t="n"/>
      <c r="L800" s="111" t="n"/>
      <c r="V800" s="111" t="n"/>
      <c r="W800" s="111" t="n"/>
      <c r="X800" s="111" t="n"/>
    </row>
    <row r="801">
      <c r="A801" s="34" t="n">
        <v>799</v>
      </c>
      <c r="I801" s="111" t="n"/>
      <c r="J801" s="111" t="n"/>
      <c r="K801" s="111" t="n"/>
      <c r="L801" s="111" t="n"/>
      <c r="V801" s="111" t="n"/>
      <c r="W801" s="111" t="n"/>
      <c r="X801" s="111" t="n"/>
    </row>
    <row r="802">
      <c r="A802" s="34" t="n">
        <v>800</v>
      </c>
      <c r="I802" s="111" t="n"/>
      <c r="J802" s="111" t="n"/>
      <c r="K802" s="111" t="n"/>
      <c r="L802" s="111" t="n"/>
      <c r="V802" s="111" t="n"/>
      <c r="W802" s="111" t="n"/>
      <c r="X802" s="111" t="n"/>
    </row>
    <row r="803">
      <c r="A803" s="34" t="n">
        <v>801</v>
      </c>
      <c r="I803" s="111" t="n"/>
      <c r="J803" s="111" t="n"/>
      <c r="K803" s="111" t="n"/>
      <c r="L803" s="111" t="n"/>
      <c r="V803" s="111" t="n"/>
      <c r="W803" s="111" t="n"/>
      <c r="X803" s="111" t="n"/>
    </row>
    <row r="804">
      <c r="A804" s="34" t="n">
        <v>802</v>
      </c>
      <c r="I804" s="111" t="n"/>
      <c r="J804" s="111" t="n"/>
      <c r="K804" s="111" t="n"/>
      <c r="L804" s="111" t="n"/>
      <c r="V804" s="111" t="n"/>
      <c r="W804" s="111" t="n"/>
      <c r="X804" s="111" t="n"/>
    </row>
    <row r="805">
      <c r="A805" s="34" t="n">
        <v>803</v>
      </c>
      <c r="I805" s="111" t="n"/>
      <c r="J805" s="111" t="n"/>
      <c r="K805" s="111" t="n"/>
      <c r="L805" s="111" t="n"/>
      <c r="V805" s="111" t="n"/>
      <c r="W805" s="111" t="n"/>
      <c r="X805" s="111" t="n"/>
    </row>
    <row r="806">
      <c r="A806" s="34" t="n">
        <v>804</v>
      </c>
      <c r="I806" s="111" t="n"/>
      <c r="J806" s="111" t="n"/>
      <c r="K806" s="111" t="n"/>
      <c r="L806" s="111" t="n"/>
      <c r="V806" s="111" t="n"/>
      <c r="W806" s="111" t="n"/>
      <c r="X806" s="111" t="n"/>
    </row>
    <row r="807">
      <c r="A807" s="34" t="n">
        <v>805</v>
      </c>
      <c r="I807" s="111" t="n"/>
      <c r="J807" s="111" t="n"/>
      <c r="K807" s="111" t="n"/>
      <c r="L807" s="111" t="n"/>
      <c r="V807" s="111" t="n"/>
      <c r="W807" s="111" t="n"/>
      <c r="X807" s="111" t="n"/>
    </row>
    <row r="808">
      <c r="A808" s="34" t="n">
        <v>806</v>
      </c>
      <c r="I808" s="111" t="n"/>
      <c r="J808" s="111" t="n"/>
      <c r="K808" s="111" t="n"/>
      <c r="L808" s="111" t="n"/>
      <c r="V808" s="111" t="n"/>
      <c r="W808" s="111" t="n"/>
      <c r="X808" s="111" t="n"/>
    </row>
    <row r="809">
      <c r="A809" s="34" t="n">
        <v>807</v>
      </c>
      <c r="I809" s="111" t="n"/>
      <c r="J809" s="111" t="n"/>
      <c r="K809" s="111" t="n"/>
      <c r="L809" s="111" t="n"/>
      <c r="V809" s="111" t="n"/>
      <c r="W809" s="111" t="n"/>
      <c r="X809" s="111" t="n"/>
    </row>
    <row r="810">
      <c r="A810" s="34" t="n">
        <v>808</v>
      </c>
      <c r="I810" s="111" t="n"/>
      <c r="J810" s="111" t="n"/>
      <c r="K810" s="111" t="n"/>
      <c r="L810" s="111" t="n"/>
      <c r="V810" s="111" t="n"/>
      <c r="W810" s="111" t="n"/>
      <c r="X810" s="111" t="n"/>
    </row>
    <row r="811">
      <c r="A811" s="34" t="n">
        <v>809</v>
      </c>
      <c r="I811" s="111" t="n"/>
      <c r="J811" s="111" t="n"/>
      <c r="K811" s="111" t="n"/>
      <c r="L811" s="111" t="n"/>
      <c r="V811" s="111" t="n"/>
      <c r="W811" s="111" t="n"/>
      <c r="X811" s="111" t="n"/>
    </row>
    <row r="812">
      <c r="A812" s="34" t="n">
        <v>810</v>
      </c>
      <c r="I812" s="111" t="n"/>
      <c r="J812" s="111" t="n"/>
      <c r="K812" s="111" t="n"/>
      <c r="L812" s="111" t="n"/>
      <c r="V812" s="111" t="n"/>
      <c r="W812" s="111" t="n"/>
      <c r="X812" s="111" t="n"/>
    </row>
    <row r="813">
      <c r="A813" s="34" t="n">
        <v>811</v>
      </c>
      <c r="I813" s="111" t="n"/>
      <c r="J813" s="111" t="n"/>
      <c r="K813" s="111" t="n"/>
      <c r="L813" s="111" t="n"/>
      <c r="V813" s="111" t="n"/>
      <c r="W813" s="111" t="n"/>
      <c r="X813" s="111" t="n"/>
    </row>
    <row r="814">
      <c r="A814" s="34" t="n">
        <v>812</v>
      </c>
      <c r="I814" s="111" t="n"/>
      <c r="J814" s="111" t="n"/>
      <c r="K814" s="111" t="n"/>
      <c r="L814" s="111" t="n"/>
      <c r="V814" s="111" t="n"/>
      <c r="W814" s="111" t="n"/>
      <c r="X814" s="111" t="n"/>
    </row>
    <row r="815">
      <c r="A815" s="34" t="n">
        <v>813</v>
      </c>
      <c r="I815" s="111" t="n"/>
      <c r="J815" s="111" t="n"/>
      <c r="K815" s="111" t="n"/>
      <c r="L815" s="111" t="n"/>
      <c r="V815" s="111" t="n"/>
      <c r="W815" s="111" t="n"/>
      <c r="X815" s="111" t="n"/>
    </row>
    <row r="816">
      <c r="A816" s="34" t="n">
        <v>814</v>
      </c>
      <c r="I816" s="111" t="n"/>
      <c r="J816" s="111" t="n"/>
      <c r="K816" s="111" t="n"/>
      <c r="L816" s="111" t="n"/>
      <c r="V816" s="111" t="n"/>
      <c r="W816" s="111" t="n"/>
      <c r="X816" s="111" t="n"/>
    </row>
    <row r="817">
      <c r="A817" s="34" t="n">
        <v>815</v>
      </c>
      <c r="I817" s="111" t="n"/>
      <c r="J817" s="111" t="n"/>
      <c r="K817" s="111" t="n"/>
      <c r="L817" s="111" t="n"/>
      <c r="V817" s="111" t="n"/>
      <c r="W817" s="111" t="n"/>
      <c r="X817" s="111" t="n"/>
    </row>
    <row r="818">
      <c r="A818" s="34" t="n">
        <v>816</v>
      </c>
      <c r="I818" s="111" t="n"/>
      <c r="J818" s="111" t="n"/>
      <c r="K818" s="111" t="n"/>
      <c r="L818" s="111" t="n"/>
      <c r="V818" s="111" t="n"/>
      <c r="W818" s="111" t="n"/>
      <c r="X818" s="111" t="n"/>
    </row>
    <row r="819">
      <c r="A819" s="34" t="n">
        <v>817</v>
      </c>
      <c r="I819" s="111" t="n"/>
      <c r="J819" s="111" t="n"/>
      <c r="K819" s="111" t="n"/>
      <c r="L819" s="111" t="n"/>
      <c r="V819" s="111" t="n"/>
      <c r="W819" s="111" t="n"/>
      <c r="X819" s="111" t="n"/>
    </row>
    <row r="820">
      <c r="A820" s="34" t="n">
        <v>818</v>
      </c>
      <c r="I820" s="111" t="n"/>
      <c r="J820" s="111" t="n"/>
      <c r="K820" s="111" t="n"/>
      <c r="L820" s="111" t="n"/>
      <c r="V820" s="111" t="n"/>
      <c r="W820" s="111" t="n"/>
      <c r="X820" s="111" t="n"/>
    </row>
    <row r="821">
      <c r="A821" s="34" t="n">
        <v>819</v>
      </c>
      <c r="I821" s="111" t="n"/>
      <c r="J821" s="111" t="n"/>
      <c r="K821" s="111" t="n"/>
      <c r="L821" s="111" t="n"/>
      <c r="V821" s="111" t="n"/>
      <c r="W821" s="111" t="n"/>
      <c r="X821" s="111" t="n"/>
    </row>
    <row r="822">
      <c r="A822" s="34" t="n">
        <v>820</v>
      </c>
      <c r="I822" s="111" t="n"/>
      <c r="J822" s="111" t="n"/>
      <c r="K822" s="111" t="n"/>
      <c r="L822" s="111" t="n"/>
      <c r="V822" s="111" t="n"/>
      <c r="W822" s="111" t="n"/>
      <c r="X822" s="111" t="n"/>
    </row>
    <row r="823">
      <c r="A823" s="34" t="n">
        <v>821</v>
      </c>
      <c r="I823" s="111" t="n"/>
      <c r="J823" s="111" t="n"/>
      <c r="K823" s="111" t="n"/>
      <c r="L823" s="111" t="n"/>
      <c r="V823" s="111" t="n"/>
      <c r="W823" s="111" t="n"/>
      <c r="X823" s="111" t="n"/>
    </row>
    <row r="824">
      <c r="A824" s="34" t="n">
        <v>822</v>
      </c>
      <c r="I824" s="111" t="n"/>
      <c r="J824" s="111" t="n"/>
      <c r="K824" s="111" t="n"/>
      <c r="L824" s="111" t="n"/>
      <c r="V824" s="111" t="n"/>
      <c r="W824" s="111" t="n"/>
      <c r="X824" s="111" t="n"/>
    </row>
    <row r="825">
      <c r="A825" s="34" t="n">
        <v>823</v>
      </c>
      <c r="I825" s="111" t="n"/>
      <c r="J825" s="111" t="n"/>
      <c r="K825" s="111" t="n"/>
      <c r="L825" s="111" t="n"/>
      <c r="V825" s="111" t="n"/>
      <c r="W825" s="111" t="n"/>
      <c r="X825" s="111" t="n"/>
    </row>
    <row r="826">
      <c r="A826" s="34" t="n">
        <v>824</v>
      </c>
      <c r="I826" s="111" t="n"/>
      <c r="J826" s="111" t="n"/>
      <c r="K826" s="111" t="n"/>
      <c r="L826" s="111" t="n"/>
      <c r="V826" s="111" t="n"/>
      <c r="W826" s="111" t="n"/>
      <c r="X826" s="111" t="n"/>
    </row>
    <row r="827">
      <c r="A827" s="34" t="n">
        <v>825</v>
      </c>
      <c r="I827" s="111" t="n"/>
      <c r="J827" s="111" t="n"/>
      <c r="K827" s="111" t="n"/>
      <c r="L827" s="111" t="n"/>
      <c r="V827" s="111" t="n"/>
      <c r="W827" s="111" t="n"/>
      <c r="X827" s="111" t="n"/>
    </row>
    <row r="828">
      <c r="A828" s="34" t="n">
        <v>826</v>
      </c>
      <c r="I828" s="111" t="n"/>
      <c r="J828" s="111" t="n"/>
      <c r="K828" s="111" t="n"/>
      <c r="L828" s="111" t="n"/>
      <c r="V828" s="111" t="n"/>
      <c r="W828" s="111" t="n"/>
      <c r="X828" s="111" t="n"/>
    </row>
    <row r="829">
      <c r="A829" s="34" t="n">
        <v>827</v>
      </c>
      <c r="I829" s="111" t="n"/>
      <c r="J829" s="111" t="n"/>
      <c r="K829" s="111" t="n"/>
      <c r="L829" s="111" t="n"/>
      <c r="V829" s="111" t="n"/>
      <c r="W829" s="111" t="n"/>
      <c r="X829" s="111" t="n"/>
    </row>
    <row r="830">
      <c r="A830" s="34" t="n">
        <v>828</v>
      </c>
      <c r="I830" s="111" t="n"/>
      <c r="J830" s="111" t="n"/>
      <c r="K830" s="111" t="n"/>
      <c r="L830" s="111" t="n"/>
      <c r="V830" s="111" t="n"/>
      <c r="W830" s="111" t="n"/>
      <c r="X830" s="111" t="n"/>
    </row>
    <row r="831">
      <c r="A831" s="34" t="n">
        <v>829</v>
      </c>
      <c r="I831" s="111" t="n"/>
      <c r="J831" s="111" t="n"/>
      <c r="K831" s="111" t="n"/>
      <c r="L831" s="111" t="n"/>
      <c r="V831" s="111" t="n"/>
      <c r="W831" s="111" t="n"/>
      <c r="X831" s="111" t="n"/>
    </row>
    <row r="832">
      <c r="A832" s="34" t="n">
        <v>830</v>
      </c>
      <c r="I832" s="111" t="n"/>
      <c r="J832" s="111" t="n"/>
      <c r="K832" s="111" t="n"/>
      <c r="L832" s="111" t="n"/>
      <c r="V832" s="111" t="n"/>
      <c r="W832" s="111" t="n"/>
      <c r="X832" s="111" t="n"/>
    </row>
    <row r="833">
      <c r="A833" s="34" t="n">
        <v>831</v>
      </c>
      <c r="I833" s="111" t="n"/>
      <c r="J833" s="111" t="n"/>
      <c r="K833" s="111" t="n"/>
      <c r="L833" s="111" t="n"/>
      <c r="V833" s="111" t="n"/>
      <c r="W833" s="111" t="n"/>
      <c r="X833" s="111" t="n"/>
    </row>
    <row r="834">
      <c r="A834" s="34" t="n">
        <v>832</v>
      </c>
      <c r="I834" s="111" t="n"/>
      <c r="J834" s="111" t="n"/>
      <c r="K834" s="111" t="n"/>
      <c r="L834" s="111" t="n"/>
      <c r="V834" s="111" t="n"/>
      <c r="W834" s="111" t="n"/>
      <c r="X834" s="111" t="n"/>
    </row>
    <row r="835">
      <c r="A835" s="34" t="n">
        <v>833</v>
      </c>
      <c r="I835" s="111" t="n"/>
      <c r="J835" s="111" t="n"/>
      <c r="K835" s="111" t="n"/>
      <c r="L835" s="111" t="n"/>
      <c r="V835" s="111" t="n"/>
      <c r="W835" s="111" t="n"/>
      <c r="X835" s="111" t="n"/>
    </row>
    <row r="836">
      <c r="A836" s="34" t="n">
        <v>834</v>
      </c>
      <c r="I836" s="111" t="n"/>
      <c r="J836" s="111" t="n"/>
      <c r="K836" s="111" t="n"/>
      <c r="L836" s="111" t="n"/>
      <c r="V836" s="111" t="n"/>
      <c r="W836" s="111" t="n"/>
      <c r="X836" s="111" t="n"/>
    </row>
    <row r="837">
      <c r="A837" s="34" t="n">
        <v>835</v>
      </c>
      <c r="I837" s="111" t="n"/>
      <c r="J837" s="111" t="n"/>
      <c r="K837" s="111" t="n"/>
      <c r="L837" s="111" t="n"/>
      <c r="V837" s="111" t="n"/>
      <c r="W837" s="111" t="n"/>
      <c r="X837" s="111" t="n"/>
    </row>
    <row r="838">
      <c r="A838" s="34" t="n">
        <v>836</v>
      </c>
      <c r="I838" s="111" t="n"/>
      <c r="J838" s="111" t="n"/>
      <c r="K838" s="111" t="n"/>
      <c r="L838" s="111" t="n"/>
      <c r="V838" s="111" t="n"/>
      <c r="W838" s="111" t="n"/>
      <c r="X838" s="111" t="n"/>
    </row>
    <row r="839">
      <c r="A839" s="34" t="n">
        <v>837</v>
      </c>
      <c r="I839" s="111" t="n"/>
      <c r="J839" s="111" t="n"/>
      <c r="K839" s="111" t="n"/>
      <c r="L839" s="111" t="n"/>
      <c r="V839" s="111" t="n"/>
      <c r="W839" s="111" t="n"/>
      <c r="X839" s="111" t="n"/>
    </row>
    <row r="840">
      <c r="A840" s="34" t="n">
        <v>838</v>
      </c>
      <c r="I840" s="111" t="n"/>
      <c r="J840" s="111" t="n"/>
      <c r="K840" s="111" t="n"/>
      <c r="L840" s="111" t="n"/>
      <c r="V840" s="111" t="n"/>
      <c r="W840" s="111" t="n"/>
      <c r="X840" s="111" t="n"/>
    </row>
    <row r="841">
      <c r="A841" s="34" t="n">
        <v>839</v>
      </c>
      <c r="I841" s="111" t="n"/>
      <c r="J841" s="111" t="n"/>
      <c r="K841" s="111" t="n"/>
      <c r="L841" s="111" t="n"/>
      <c r="V841" s="111" t="n"/>
      <c r="W841" s="111" t="n"/>
      <c r="X841" s="111" t="n"/>
    </row>
    <row r="842">
      <c r="A842" s="34" t="n">
        <v>840</v>
      </c>
      <c r="I842" s="111" t="n"/>
      <c r="J842" s="111" t="n"/>
      <c r="K842" s="111" t="n"/>
      <c r="L842" s="111" t="n"/>
      <c r="V842" s="111" t="n"/>
      <c r="W842" s="111" t="n"/>
      <c r="X842" s="111" t="n"/>
    </row>
    <row r="843">
      <c r="A843" s="34" t="n">
        <v>841</v>
      </c>
      <c r="I843" s="111" t="n"/>
      <c r="J843" s="111" t="n"/>
      <c r="K843" s="111" t="n"/>
      <c r="L843" s="111" t="n"/>
      <c r="V843" s="111" t="n"/>
      <c r="W843" s="111" t="n"/>
      <c r="X843" s="111" t="n"/>
    </row>
    <row r="844">
      <c r="A844" s="34" t="n">
        <v>842</v>
      </c>
      <c r="I844" s="111" t="n"/>
      <c r="J844" s="111" t="n"/>
      <c r="K844" s="111" t="n"/>
      <c r="L844" s="111" t="n"/>
      <c r="V844" s="111" t="n"/>
      <c r="W844" s="111" t="n"/>
      <c r="X844" s="111" t="n"/>
    </row>
    <row r="845">
      <c r="A845" s="34" t="n">
        <v>843</v>
      </c>
      <c r="I845" s="111" t="n"/>
      <c r="J845" s="111" t="n"/>
      <c r="K845" s="111" t="n"/>
      <c r="L845" s="111" t="n"/>
      <c r="V845" s="111" t="n"/>
      <c r="W845" s="111" t="n"/>
      <c r="X845" s="111" t="n"/>
    </row>
    <row r="846">
      <c r="A846" s="34" t="n">
        <v>844</v>
      </c>
      <c r="I846" s="111" t="n"/>
      <c r="J846" s="111" t="n"/>
      <c r="K846" s="111" t="n"/>
      <c r="L846" s="111" t="n"/>
      <c r="V846" s="111" t="n"/>
      <c r="W846" s="111" t="n"/>
      <c r="X846" s="111" t="n"/>
    </row>
    <row r="847">
      <c r="A847" s="34" t="n">
        <v>845</v>
      </c>
      <c r="I847" s="111" t="n"/>
      <c r="J847" s="111" t="n"/>
      <c r="K847" s="111" t="n"/>
      <c r="L847" s="111" t="n"/>
      <c r="V847" s="111" t="n"/>
      <c r="W847" s="111" t="n"/>
      <c r="X847" s="111" t="n"/>
    </row>
    <row r="848">
      <c r="A848" s="34" t="n">
        <v>846</v>
      </c>
      <c r="I848" s="111" t="n"/>
      <c r="J848" s="111" t="n"/>
      <c r="K848" s="111" t="n"/>
      <c r="L848" s="111" t="n"/>
      <c r="V848" s="111" t="n"/>
      <c r="W848" s="111" t="n"/>
      <c r="X848" s="111" t="n"/>
    </row>
    <row r="849">
      <c r="A849" s="34" t="n">
        <v>847</v>
      </c>
      <c r="I849" s="111" t="n"/>
      <c r="J849" s="111" t="n"/>
      <c r="K849" s="111" t="n"/>
      <c r="L849" s="111" t="n"/>
      <c r="V849" s="111" t="n"/>
      <c r="W849" s="111" t="n"/>
      <c r="X849" s="111" t="n"/>
    </row>
    <row r="850">
      <c r="A850" s="34" t="n">
        <v>848</v>
      </c>
      <c r="I850" s="111" t="n"/>
      <c r="J850" s="111" t="n"/>
      <c r="K850" s="111" t="n"/>
      <c r="L850" s="111" t="n"/>
      <c r="V850" s="111" t="n"/>
      <c r="W850" s="111" t="n"/>
      <c r="X850" s="111" t="n"/>
    </row>
    <row r="851">
      <c r="A851" s="34" t="n">
        <v>849</v>
      </c>
      <c r="I851" s="111" t="n"/>
      <c r="J851" s="111" t="n"/>
      <c r="K851" s="111" t="n"/>
      <c r="L851" s="111" t="n"/>
      <c r="V851" s="111" t="n"/>
      <c r="W851" s="111" t="n"/>
      <c r="X851" s="111" t="n"/>
    </row>
    <row r="852">
      <c r="A852" s="34" t="n">
        <v>850</v>
      </c>
      <c r="I852" s="111" t="n"/>
      <c r="J852" s="111" t="n"/>
      <c r="K852" s="111" t="n"/>
      <c r="L852" s="111" t="n"/>
      <c r="V852" s="111" t="n"/>
      <c r="W852" s="111" t="n"/>
      <c r="X852" s="111" t="n"/>
    </row>
    <row r="853">
      <c r="A853" s="34" t="n">
        <v>851</v>
      </c>
      <c r="I853" s="111" t="n"/>
      <c r="J853" s="111" t="n"/>
      <c r="K853" s="111" t="n"/>
      <c r="L853" s="111" t="n"/>
      <c r="V853" s="111" t="n"/>
      <c r="W853" s="111" t="n"/>
      <c r="X853" s="111" t="n"/>
    </row>
    <row r="854">
      <c r="A854" s="34" t="n">
        <v>852</v>
      </c>
      <c r="I854" s="111" t="n"/>
      <c r="J854" s="111" t="n"/>
      <c r="K854" s="111" t="n"/>
      <c r="L854" s="111" t="n"/>
      <c r="V854" s="111" t="n"/>
      <c r="W854" s="111" t="n"/>
      <c r="X854" s="111" t="n"/>
    </row>
    <row r="855">
      <c r="A855" s="34" t="n">
        <v>853</v>
      </c>
      <c r="I855" s="111" t="n"/>
      <c r="J855" s="111" t="n"/>
      <c r="K855" s="111" t="n"/>
      <c r="L855" s="111" t="n"/>
      <c r="V855" s="111" t="n"/>
      <c r="W855" s="111" t="n"/>
      <c r="X855" s="111" t="n"/>
    </row>
    <row r="856">
      <c r="A856" s="34" t="n">
        <v>854</v>
      </c>
      <c r="I856" s="111" t="n"/>
      <c r="J856" s="111" t="n"/>
      <c r="K856" s="111" t="n"/>
      <c r="L856" s="111" t="n"/>
      <c r="V856" s="111" t="n"/>
      <c r="W856" s="111" t="n"/>
      <c r="X856" s="111" t="n"/>
    </row>
    <row r="857">
      <c r="A857" s="34" t="n">
        <v>855</v>
      </c>
      <c r="I857" s="111" t="n"/>
      <c r="J857" s="111" t="n"/>
      <c r="K857" s="111" t="n"/>
      <c r="L857" s="111" t="n"/>
      <c r="V857" s="111" t="n"/>
      <c r="W857" s="111" t="n"/>
      <c r="X857" s="111" t="n"/>
    </row>
    <row r="858">
      <c r="A858" s="34" t="n">
        <v>856</v>
      </c>
      <c r="I858" s="111" t="n"/>
      <c r="J858" s="111" t="n"/>
      <c r="K858" s="111" t="n"/>
      <c r="L858" s="111" t="n"/>
      <c r="V858" s="111" t="n"/>
      <c r="W858" s="111" t="n"/>
      <c r="X858" s="111" t="n"/>
    </row>
    <row r="859">
      <c r="A859" s="34" t="n">
        <v>857</v>
      </c>
      <c r="I859" s="111" t="n"/>
      <c r="J859" s="111" t="n"/>
      <c r="K859" s="111" t="n"/>
      <c r="L859" s="111" t="n"/>
      <c r="V859" s="111" t="n"/>
      <c r="W859" s="111" t="n"/>
      <c r="X859" s="111" t="n"/>
    </row>
    <row r="860">
      <c r="A860" s="34" t="n">
        <v>858</v>
      </c>
      <c r="I860" s="111" t="n"/>
      <c r="J860" s="111" t="n"/>
      <c r="K860" s="111" t="n"/>
      <c r="L860" s="111" t="n"/>
      <c r="V860" s="111" t="n"/>
      <c r="W860" s="111" t="n"/>
      <c r="X860" s="111" t="n"/>
    </row>
    <row r="861">
      <c r="A861" s="34" t="n">
        <v>859</v>
      </c>
      <c r="I861" s="111" t="n"/>
      <c r="J861" s="111" t="n"/>
      <c r="K861" s="111" t="n"/>
      <c r="L861" s="111" t="n"/>
      <c r="V861" s="111" t="n"/>
      <c r="W861" s="111" t="n"/>
      <c r="X861" s="111" t="n"/>
    </row>
    <row r="862">
      <c r="A862" s="34" t="n">
        <v>860</v>
      </c>
      <c r="I862" s="111" t="n"/>
      <c r="J862" s="111" t="n"/>
      <c r="K862" s="111" t="n"/>
      <c r="L862" s="111" t="n"/>
      <c r="V862" s="111" t="n"/>
      <c r="W862" s="111" t="n"/>
      <c r="X862" s="111" t="n"/>
    </row>
    <row r="863">
      <c r="A863" s="34" t="n">
        <v>861</v>
      </c>
      <c r="I863" s="111" t="n"/>
      <c r="J863" s="111" t="n"/>
      <c r="K863" s="111" t="n"/>
      <c r="L863" s="111" t="n"/>
      <c r="V863" s="111" t="n"/>
      <c r="W863" s="111" t="n"/>
      <c r="X863" s="111" t="n"/>
    </row>
    <row r="864">
      <c r="A864" s="34" t="n">
        <v>862</v>
      </c>
      <c r="I864" s="111" t="n"/>
      <c r="J864" s="111" t="n"/>
      <c r="K864" s="111" t="n"/>
      <c r="L864" s="111" t="n"/>
      <c r="V864" s="111" t="n"/>
      <c r="W864" s="111" t="n"/>
      <c r="X864" s="111" t="n"/>
    </row>
    <row r="865">
      <c r="A865" s="34" t="n">
        <v>863</v>
      </c>
      <c r="I865" s="111" t="n"/>
      <c r="J865" s="111" t="n"/>
      <c r="K865" s="111" t="n"/>
      <c r="L865" s="111" t="n"/>
      <c r="V865" s="111" t="n"/>
      <c r="W865" s="111" t="n"/>
      <c r="X865" s="111" t="n"/>
    </row>
    <row r="866">
      <c r="A866" s="34" t="n">
        <v>864</v>
      </c>
      <c r="I866" s="111" t="n"/>
      <c r="J866" s="111" t="n"/>
      <c r="K866" s="111" t="n"/>
      <c r="L866" s="111" t="n"/>
      <c r="V866" s="111" t="n"/>
      <c r="W866" s="111" t="n"/>
      <c r="X866" s="111" t="n"/>
    </row>
    <row r="867">
      <c r="A867" s="34" t="n">
        <v>865</v>
      </c>
      <c r="I867" s="111" t="n"/>
      <c r="J867" s="111" t="n"/>
      <c r="K867" s="111" t="n"/>
      <c r="L867" s="111" t="n"/>
      <c r="V867" s="111" t="n"/>
      <c r="W867" s="111" t="n"/>
      <c r="X867" s="111" t="n"/>
    </row>
    <row r="868">
      <c r="A868" s="34" t="n">
        <v>866</v>
      </c>
      <c r="I868" s="111" t="n"/>
      <c r="J868" s="111" t="n"/>
      <c r="K868" s="111" t="n"/>
      <c r="L868" s="111" t="n"/>
      <c r="V868" s="111" t="n"/>
      <c r="W868" s="111" t="n"/>
      <c r="X868" s="111" t="n"/>
    </row>
    <row r="869">
      <c r="A869" s="34" t="n">
        <v>867</v>
      </c>
      <c r="I869" s="111" t="n"/>
      <c r="J869" s="111" t="n"/>
      <c r="K869" s="111" t="n"/>
      <c r="L869" s="111" t="n"/>
      <c r="V869" s="111" t="n"/>
      <c r="W869" s="111" t="n"/>
      <c r="X869" s="111" t="n"/>
    </row>
    <row r="870">
      <c r="A870" s="34" t="n">
        <v>868</v>
      </c>
      <c r="I870" s="111" t="n"/>
      <c r="J870" s="111" t="n"/>
      <c r="K870" s="111" t="n"/>
      <c r="L870" s="111" t="n"/>
      <c r="V870" s="111" t="n"/>
      <c r="W870" s="111" t="n"/>
      <c r="X870" s="111" t="n"/>
    </row>
    <row r="871">
      <c r="A871" s="34" t="n">
        <v>869</v>
      </c>
      <c r="I871" s="111" t="n"/>
      <c r="J871" s="111" t="n"/>
      <c r="K871" s="111" t="n"/>
      <c r="L871" s="111" t="n"/>
      <c r="V871" s="111" t="n"/>
      <c r="W871" s="111" t="n"/>
      <c r="X871" s="111" t="n"/>
    </row>
    <row r="872">
      <c r="A872" s="34" t="n">
        <v>870</v>
      </c>
      <c r="I872" s="111" t="n"/>
      <c r="J872" s="111" t="n"/>
      <c r="K872" s="111" t="n"/>
      <c r="L872" s="111" t="n"/>
      <c r="V872" s="111" t="n"/>
      <c r="W872" s="111" t="n"/>
      <c r="X872" s="111" t="n"/>
    </row>
    <row r="873">
      <c r="A873" s="34" t="n">
        <v>871</v>
      </c>
      <c r="I873" s="111" t="n"/>
      <c r="J873" s="111" t="n"/>
      <c r="K873" s="111" t="n"/>
      <c r="L873" s="111" t="n"/>
      <c r="V873" s="111" t="n"/>
      <c r="W873" s="111" t="n"/>
      <c r="X873" s="111" t="n"/>
    </row>
    <row r="874">
      <c r="A874" s="34" t="n">
        <v>872</v>
      </c>
      <c r="I874" s="111" t="n"/>
      <c r="J874" s="111" t="n"/>
      <c r="K874" s="111" t="n"/>
      <c r="L874" s="111" t="n"/>
      <c r="V874" s="111" t="n"/>
      <c r="W874" s="111" t="n"/>
      <c r="X874" s="111" t="n"/>
    </row>
    <row r="875">
      <c r="A875" s="34" t="n">
        <v>873</v>
      </c>
      <c r="I875" s="111" t="n"/>
      <c r="J875" s="111" t="n"/>
      <c r="K875" s="111" t="n"/>
      <c r="L875" s="111" t="n"/>
      <c r="V875" s="111" t="n"/>
      <c r="W875" s="111" t="n"/>
      <c r="X875" s="111" t="n"/>
    </row>
    <row r="876">
      <c r="A876" s="34" t="n">
        <v>874</v>
      </c>
      <c r="I876" s="111" t="n"/>
      <c r="J876" s="111" t="n"/>
      <c r="K876" s="111" t="n"/>
      <c r="L876" s="111" t="n"/>
      <c r="V876" s="111" t="n"/>
      <c r="W876" s="111" t="n"/>
      <c r="X876" s="111" t="n"/>
    </row>
    <row r="877">
      <c r="A877" s="34" t="n">
        <v>875</v>
      </c>
      <c r="I877" s="111" t="n"/>
      <c r="J877" s="111" t="n"/>
      <c r="K877" s="111" t="n"/>
      <c r="L877" s="111" t="n"/>
      <c r="V877" s="111" t="n"/>
      <c r="W877" s="111" t="n"/>
      <c r="X877" s="111" t="n"/>
    </row>
    <row r="878">
      <c r="A878" s="34" t="n">
        <v>876</v>
      </c>
      <c r="I878" s="111" t="n"/>
      <c r="J878" s="111" t="n"/>
      <c r="K878" s="111" t="n"/>
      <c r="L878" s="111" t="n"/>
      <c r="V878" s="111" t="n"/>
      <c r="W878" s="111" t="n"/>
      <c r="X878" s="111" t="n"/>
    </row>
    <row r="879">
      <c r="A879" s="34" t="n">
        <v>877</v>
      </c>
      <c r="I879" s="111" t="n"/>
      <c r="J879" s="111" t="n"/>
      <c r="K879" s="111" t="n"/>
      <c r="L879" s="111" t="n"/>
      <c r="V879" s="111" t="n"/>
      <c r="W879" s="111" t="n"/>
      <c r="X879" s="111" t="n"/>
    </row>
    <row r="880">
      <c r="A880" s="34" t="n">
        <v>878</v>
      </c>
      <c r="I880" s="111" t="n"/>
      <c r="J880" s="111" t="n"/>
      <c r="K880" s="111" t="n"/>
      <c r="L880" s="111" t="n"/>
      <c r="V880" s="111" t="n"/>
      <c r="W880" s="111" t="n"/>
      <c r="X880" s="111" t="n"/>
    </row>
    <row r="881">
      <c r="A881" s="34" t="n">
        <v>879</v>
      </c>
      <c r="I881" s="111" t="n"/>
      <c r="J881" s="111" t="n"/>
      <c r="K881" s="111" t="n"/>
      <c r="L881" s="111" t="n"/>
      <c r="V881" s="111" t="n"/>
      <c r="W881" s="111" t="n"/>
      <c r="X881" s="111" t="n"/>
    </row>
    <row r="882">
      <c r="A882" s="34" t="n">
        <v>880</v>
      </c>
      <c r="I882" s="111" t="n"/>
      <c r="J882" s="111" t="n"/>
      <c r="K882" s="111" t="n"/>
      <c r="L882" s="111" t="n"/>
      <c r="V882" s="111" t="n"/>
      <c r="W882" s="111" t="n"/>
      <c r="X882" s="111" t="n"/>
    </row>
    <row r="883">
      <c r="A883" s="34" t="n">
        <v>881</v>
      </c>
      <c r="I883" s="111" t="n"/>
      <c r="J883" s="111" t="n"/>
      <c r="K883" s="111" t="n"/>
      <c r="L883" s="111" t="n"/>
      <c r="V883" s="111" t="n"/>
      <c r="W883" s="111" t="n"/>
      <c r="X883" s="111" t="n"/>
    </row>
    <row r="884">
      <c r="A884" s="34" t="n">
        <v>882</v>
      </c>
      <c r="I884" s="111" t="n"/>
      <c r="J884" s="111" t="n"/>
      <c r="K884" s="111" t="n"/>
      <c r="L884" s="111" t="n"/>
      <c r="V884" s="111" t="n"/>
      <c r="W884" s="111" t="n"/>
      <c r="X884" s="111" t="n"/>
    </row>
    <row r="885">
      <c r="A885" s="34" t="n">
        <v>883</v>
      </c>
      <c r="I885" s="111" t="n"/>
      <c r="J885" s="111" t="n"/>
      <c r="K885" s="111" t="n"/>
      <c r="L885" s="111" t="n"/>
      <c r="V885" s="111" t="n"/>
      <c r="W885" s="111" t="n"/>
      <c r="X885" s="111" t="n"/>
    </row>
    <row r="886">
      <c r="A886" s="34" t="n">
        <v>884</v>
      </c>
      <c r="I886" s="111" t="n"/>
      <c r="J886" s="111" t="n"/>
      <c r="K886" s="111" t="n"/>
      <c r="L886" s="111" t="n"/>
      <c r="V886" s="111" t="n"/>
      <c r="W886" s="111" t="n"/>
      <c r="X886" s="111" t="n"/>
    </row>
    <row r="887">
      <c r="A887" s="34" t="n">
        <v>885</v>
      </c>
      <c r="I887" s="111" t="n"/>
      <c r="J887" s="111" t="n"/>
      <c r="K887" s="111" t="n"/>
      <c r="L887" s="111" t="n"/>
      <c r="V887" s="111" t="n"/>
      <c r="W887" s="111" t="n"/>
      <c r="X887" s="111" t="n"/>
    </row>
    <row r="888">
      <c r="A888" s="34" t="n">
        <v>886</v>
      </c>
      <c r="I888" s="111" t="n"/>
      <c r="J888" s="111" t="n"/>
      <c r="K888" s="111" t="n"/>
      <c r="L888" s="111" t="n"/>
      <c r="V888" s="111" t="n"/>
      <c r="W888" s="111" t="n"/>
      <c r="X888" s="111" t="n"/>
    </row>
    <row r="889">
      <c r="A889" s="34" t="n">
        <v>887</v>
      </c>
      <c r="I889" s="111" t="n"/>
      <c r="J889" s="111" t="n"/>
      <c r="K889" s="111" t="n"/>
      <c r="L889" s="111" t="n"/>
      <c r="V889" s="111" t="n"/>
      <c r="W889" s="111" t="n"/>
      <c r="X889" s="111" t="n"/>
    </row>
    <row r="890">
      <c r="A890" s="34" t="n">
        <v>888</v>
      </c>
      <c r="I890" s="111" t="n"/>
      <c r="J890" s="111" t="n"/>
      <c r="K890" s="111" t="n"/>
      <c r="L890" s="111" t="n"/>
      <c r="V890" s="111" t="n"/>
      <c r="W890" s="111" t="n"/>
      <c r="X890" s="111" t="n"/>
    </row>
    <row r="891">
      <c r="A891" s="34" t="n">
        <v>889</v>
      </c>
      <c r="I891" s="111" t="n"/>
      <c r="J891" s="111" t="n"/>
      <c r="K891" s="111" t="n"/>
      <c r="L891" s="111" t="n"/>
      <c r="V891" s="111" t="n"/>
      <c r="W891" s="111" t="n"/>
      <c r="X891" s="111" t="n"/>
    </row>
    <row r="892">
      <c r="A892" s="34" t="n">
        <v>890</v>
      </c>
      <c r="I892" s="111" t="n"/>
      <c r="J892" s="111" t="n"/>
      <c r="K892" s="111" t="n"/>
      <c r="L892" s="111" t="n"/>
      <c r="V892" s="111" t="n"/>
      <c r="W892" s="111" t="n"/>
      <c r="X892" s="111" t="n"/>
    </row>
    <row r="893">
      <c r="A893" s="34" t="n">
        <v>891</v>
      </c>
      <c r="I893" s="111" t="n"/>
      <c r="J893" s="111" t="n"/>
      <c r="K893" s="111" t="n"/>
      <c r="L893" s="111" t="n"/>
      <c r="V893" s="111" t="n"/>
      <c r="W893" s="111" t="n"/>
      <c r="X893" s="111" t="n"/>
    </row>
    <row r="894">
      <c r="A894" s="34" t="n">
        <v>892</v>
      </c>
      <c r="I894" s="111" t="n"/>
      <c r="J894" s="111" t="n"/>
      <c r="K894" s="111" t="n"/>
      <c r="L894" s="111" t="n"/>
      <c r="V894" s="111" t="n"/>
      <c r="W894" s="111" t="n"/>
      <c r="X894" s="111" t="n"/>
    </row>
    <row r="895">
      <c r="A895" s="34" t="n">
        <v>893</v>
      </c>
      <c r="I895" s="111" t="n"/>
      <c r="J895" s="111" t="n"/>
      <c r="K895" s="111" t="n"/>
      <c r="L895" s="111" t="n"/>
      <c r="V895" s="111" t="n"/>
      <c r="W895" s="111" t="n"/>
      <c r="X895" s="111" t="n"/>
    </row>
    <row r="896">
      <c r="A896" s="34" t="n">
        <v>894</v>
      </c>
      <c r="I896" s="111" t="n"/>
      <c r="J896" s="111" t="n"/>
      <c r="K896" s="111" t="n"/>
      <c r="L896" s="111" t="n"/>
      <c r="V896" s="111" t="n"/>
      <c r="W896" s="111" t="n"/>
      <c r="X896" s="111" t="n"/>
    </row>
    <row r="897">
      <c r="A897" s="34" t="n">
        <v>895</v>
      </c>
      <c r="I897" s="111" t="n"/>
      <c r="J897" s="111" t="n"/>
      <c r="K897" s="111" t="n"/>
      <c r="L897" s="111" t="n"/>
      <c r="V897" s="111" t="n"/>
      <c r="W897" s="111" t="n"/>
      <c r="X897" s="111" t="n"/>
    </row>
    <row r="898">
      <c r="A898" s="34" t="n">
        <v>896</v>
      </c>
      <c r="I898" s="111" t="n"/>
      <c r="J898" s="111" t="n"/>
      <c r="K898" s="111" t="n"/>
      <c r="L898" s="111" t="n"/>
      <c r="V898" s="111" t="n"/>
      <c r="W898" s="111" t="n"/>
      <c r="X898" s="111" t="n"/>
    </row>
    <row r="899">
      <c r="A899" s="34" t="n">
        <v>897</v>
      </c>
      <c r="I899" s="111" t="n"/>
      <c r="J899" s="111" t="n"/>
      <c r="K899" s="111" t="n"/>
      <c r="L899" s="111" t="n"/>
      <c r="V899" s="111" t="n"/>
      <c r="W899" s="111" t="n"/>
      <c r="X899" s="111" t="n"/>
    </row>
    <row r="900">
      <c r="A900" s="34" t="n">
        <v>898</v>
      </c>
      <c r="I900" s="111" t="n"/>
      <c r="J900" s="111" t="n"/>
      <c r="K900" s="111" t="n"/>
      <c r="L900" s="111" t="n"/>
      <c r="V900" s="111" t="n"/>
      <c r="W900" s="111" t="n"/>
      <c r="X900" s="111" t="n"/>
    </row>
    <row r="901">
      <c r="A901" s="34" t="n">
        <v>899</v>
      </c>
      <c r="I901" s="111" t="n"/>
      <c r="J901" s="111" t="n"/>
      <c r="K901" s="111" t="n"/>
      <c r="L901" s="111" t="n"/>
      <c r="V901" s="111" t="n"/>
      <c r="W901" s="111" t="n"/>
      <c r="X901" s="111" t="n"/>
    </row>
    <row r="902">
      <c r="A902" s="34" t="n">
        <v>900</v>
      </c>
      <c r="I902" s="111" t="n"/>
      <c r="J902" s="111" t="n"/>
      <c r="K902" s="111" t="n"/>
      <c r="L902" s="111" t="n"/>
      <c r="V902" s="111" t="n"/>
      <c r="W902" s="111" t="n"/>
      <c r="X902" s="111" t="n"/>
    </row>
    <row r="903">
      <c r="A903" s="34" t="n">
        <v>901</v>
      </c>
      <c r="I903" s="111" t="n"/>
      <c r="J903" s="111" t="n"/>
      <c r="K903" s="111" t="n"/>
      <c r="L903" s="111" t="n"/>
      <c r="V903" s="111" t="n"/>
      <c r="W903" s="111" t="n"/>
      <c r="X903" s="111" t="n"/>
    </row>
    <row r="904">
      <c r="A904" s="34" t="n">
        <v>902</v>
      </c>
      <c r="I904" s="111" t="n"/>
      <c r="J904" s="111" t="n"/>
      <c r="K904" s="111" t="n"/>
      <c r="L904" s="111" t="n"/>
      <c r="V904" s="111" t="n"/>
      <c r="W904" s="111" t="n"/>
      <c r="X904" s="111" t="n"/>
    </row>
    <row r="905">
      <c r="A905" s="34" t="n">
        <v>903</v>
      </c>
      <c r="I905" s="111" t="n"/>
      <c r="J905" s="111" t="n"/>
      <c r="K905" s="111" t="n"/>
      <c r="L905" s="111" t="n"/>
      <c r="V905" s="111" t="n"/>
      <c r="W905" s="111" t="n"/>
      <c r="X905" s="111" t="n"/>
    </row>
    <row r="906">
      <c r="A906" s="34" t="n">
        <v>904</v>
      </c>
      <c r="I906" s="111" t="n"/>
      <c r="J906" s="111" t="n"/>
      <c r="K906" s="111" t="n"/>
      <c r="L906" s="111" t="n"/>
      <c r="V906" s="111" t="n"/>
      <c r="W906" s="111" t="n"/>
      <c r="X906" s="111" t="n"/>
    </row>
    <row r="907">
      <c r="A907" s="34" t="n">
        <v>905</v>
      </c>
      <c r="I907" s="111" t="n"/>
      <c r="J907" s="111" t="n"/>
      <c r="K907" s="111" t="n"/>
      <c r="L907" s="111" t="n"/>
      <c r="V907" s="111" t="n"/>
      <c r="W907" s="111" t="n"/>
      <c r="X907" s="111" t="n"/>
    </row>
    <row r="908">
      <c r="A908" s="34" t="n">
        <v>906</v>
      </c>
      <c r="I908" s="111" t="n"/>
      <c r="J908" s="111" t="n"/>
      <c r="K908" s="111" t="n"/>
      <c r="L908" s="111" t="n"/>
      <c r="V908" s="111" t="n"/>
      <c r="W908" s="111" t="n"/>
      <c r="X908" s="111" t="n"/>
    </row>
    <row r="909">
      <c r="A909" s="34" t="n">
        <v>907</v>
      </c>
      <c r="I909" s="111" t="n"/>
      <c r="J909" s="111" t="n"/>
      <c r="K909" s="111" t="n"/>
      <c r="L909" s="111" t="n"/>
      <c r="V909" s="111" t="n"/>
      <c r="W909" s="111" t="n"/>
      <c r="X909" s="111" t="n"/>
    </row>
    <row r="910">
      <c r="A910" s="34" t="n">
        <v>908</v>
      </c>
      <c r="I910" s="111" t="n"/>
      <c r="J910" s="111" t="n"/>
      <c r="K910" s="111" t="n"/>
      <c r="L910" s="111" t="n"/>
      <c r="V910" s="111" t="n"/>
      <c r="W910" s="111" t="n"/>
      <c r="X910" s="111" t="n"/>
    </row>
    <row r="911">
      <c r="A911" s="34" t="n">
        <v>909</v>
      </c>
      <c r="I911" s="111" t="n"/>
      <c r="J911" s="111" t="n"/>
      <c r="K911" s="111" t="n"/>
      <c r="L911" s="111" t="n"/>
      <c r="V911" s="111" t="n"/>
      <c r="W911" s="111" t="n"/>
      <c r="X911" s="111" t="n"/>
    </row>
    <row r="912">
      <c r="A912" s="34" t="n">
        <v>910</v>
      </c>
      <c r="I912" s="111" t="n"/>
      <c r="J912" s="111" t="n"/>
      <c r="K912" s="111" t="n"/>
      <c r="L912" s="111" t="n"/>
      <c r="V912" s="111" t="n"/>
      <c r="W912" s="111" t="n"/>
      <c r="X912" s="111" t="n"/>
    </row>
    <row r="913">
      <c r="A913" s="34" t="n">
        <v>911</v>
      </c>
      <c r="I913" s="111" t="n"/>
      <c r="J913" s="111" t="n"/>
      <c r="K913" s="111" t="n"/>
      <c r="L913" s="111" t="n"/>
      <c r="V913" s="111" t="n"/>
      <c r="W913" s="111" t="n"/>
      <c r="X913" s="111" t="n"/>
    </row>
    <row r="914">
      <c r="A914" s="34" t="n">
        <v>912</v>
      </c>
      <c r="I914" s="111" t="n"/>
      <c r="J914" s="111" t="n"/>
      <c r="K914" s="111" t="n"/>
      <c r="L914" s="111" t="n"/>
      <c r="V914" s="111" t="n"/>
      <c r="W914" s="111" t="n"/>
      <c r="X914" s="111" t="n"/>
    </row>
    <row r="915">
      <c r="A915" s="34" t="n">
        <v>913</v>
      </c>
      <c r="I915" s="111" t="n"/>
      <c r="J915" s="111" t="n"/>
      <c r="K915" s="111" t="n"/>
      <c r="L915" s="111" t="n"/>
      <c r="V915" s="111" t="n"/>
      <c r="W915" s="111" t="n"/>
      <c r="X915" s="111" t="n"/>
    </row>
    <row r="916">
      <c r="A916" s="34" t="n">
        <v>914</v>
      </c>
      <c r="I916" s="111" t="n"/>
      <c r="J916" s="111" t="n"/>
      <c r="K916" s="111" t="n"/>
      <c r="L916" s="111" t="n"/>
      <c r="V916" s="111" t="n"/>
      <c r="W916" s="111" t="n"/>
      <c r="X916" s="111" t="n"/>
    </row>
    <row r="917">
      <c r="A917" s="34" t="n">
        <v>915</v>
      </c>
      <c r="I917" s="111" t="n"/>
      <c r="J917" s="111" t="n"/>
      <c r="K917" s="111" t="n"/>
      <c r="L917" s="111" t="n"/>
      <c r="V917" s="111" t="n"/>
      <c r="W917" s="111" t="n"/>
      <c r="X917" s="111" t="n"/>
    </row>
    <row r="918">
      <c r="A918" s="34" t="n">
        <v>916</v>
      </c>
      <c r="I918" s="111" t="n"/>
      <c r="J918" s="111" t="n"/>
      <c r="K918" s="111" t="n"/>
      <c r="L918" s="111" t="n"/>
      <c r="V918" s="111" t="n"/>
      <c r="W918" s="111" t="n"/>
      <c r="X918" s="111" t="n"/>
    </row>
    <row r="919">
      <c r="A919" s="34" t="n">
        <v>917</v>
      </c>
      <c r="I919" s="111" t="n"/>
      <c r="J919" s="111" t="n"/>
      <c r="K919" s="111" t="n"/>
      <c r="L919" s="111" t="n"/>
      <c r="V919" s="111" t="n"/>
      <c r="W919" s="111" t="n"/>
      <c r="X919" s="111" t="n"/>
    </row>
    <row r="920">
      <c r="A920" s="34" t="n">
        <v>918</v>
      </c>
      <c r="I920" s="111" t="n"/>
      <c r="J920" s="111" t="n"/>
      <c r="K920" s="111" t="n"/>
      <c r="L920" s="111" t="n"/>
      <c r="V920" s="111" t="n"/>
      <c r="W920" s="111" t="n"/>
      <c r="X920" s="111" t="n"/>
    </row>
    <row r="921">
      <c r="A921" s="34" t="n">
        <v>919</v>
      </c>
      <c r="I921" s="111" t="n"/>
      <c r="J921" s="111" t="n"/>
      <c r="K921" s="111" t="n"/>
      <c r="L921" s="111" t="n"/>
      <c r="V921" s="111" t="n"/>
      <c r="W921" s="111" t="n"/>
      <c r="X921" s="111" t="n"/>
    </row>
    <row r="922">
      <c r="A922" s="34" t="n">
        <v>920</v>
      </c>
      <c r="I922" s="111" t="n"/>
      <c r="J922" s="111" t="n"/>
      <c r="K922" s="111" t="n"/>
      <c r="L922" s="111" t="n"/>
      <c r="V922" s="111" t="n"/>
      <c r="W922" s="111" t="n"/>
      <c r="X922" s="111" t="n"/>
    </row>
    <row r="923">
      <c r="A923" s="34" t="n">
        <v>921</v>
      </c>
      <c r="I923" s="111" t="n"/>
      <c r="J923" s="111" t="n"/>
      <c r="K923" s="111" t="n"/>
      <c r="L923" s="111" t="n"/>
      <c r="V923" s="111" t="n"/>
      <c r="W923" s="111" t="n"/>
      <c r="X923" s="111" t="n"/>
    </row>
    <row r="924">
      <c r="A924" s="34" t="n">
        <v>922</v>
      </c>
      <c r="I924" s="111" t="n"/>
      <c r="J924" s="111" t="n"/>
      <c r="K924" s="111" t="n"/>
      <c r="L924" s="111" t="n"/>
      <c r="V924" s="111" t="n"/>
      <c r="W924" s="111" t="n"/>
      <c r="X924" s="111" t="n"/>
    </row>
    <row r="925">
      <c r="A925" s="34" t="n">
        <v>923</v>
      </c>
      <c r="I925" s="111" t="n"/>
      <c r="J925" s="111" t="n"/>
      <c r="K925" s="111" t="n"/>
      <c r="L925" s="111" t="n"/>
      <c r="V925" s="111" t="n"/>
      <c r="W925" s="111" t="n"/>
      <c r="X925" s="111" t="n"/>
    </row>
    <row r="926">
      <c r="A926" s="34" t="n">
        <v>924</v>
      </c>
      <c r="I926" s="111" t="n"/>
      <c r="J926" s="111" t="n"/>
      <c r="K926" s="111" t="n"/>
      <c r="L926" s="111" t="n"/>
      <c r="V926" s="111" t="n"/>
      <c r="W926" s="111" t="n"/>
      <c r="X926" s="111" t="n"/>
    </row>
    <row r="927">
      <c r="A927" s="34" t="n">
        <v>925</v>
      </c>
      <c r="I927" s="111" t="n"/>
      <c r="J927" s="111" t="n"/>
      <c r="K927" s="111" t="n"/>
      <c r="L927" s="111" t="n"/>
      <c r="V927" s="111" t="n"/>
      <c r="W927" s="111" t="n"/>
      <c r="X927" s="111" t="n"/>
    </row>
    <row r="928">
      <c r="A928" s="34" t="n">
        <v>926</v>
      </c>
      <c r="I928" s="111" t="n"/>
      <c r="J928" s="111" t="n"/>
      <c r="K928" s="111" t="n"/>
      <c r="L928" s="111" t="n"/>
      <c r="V928" s="111" t="n"/>
      <c r="W928" s="111" t="n"/>
      <c r="X928" s="111" t="n"/>
    </row>
    <row r="929">
      <c r="A929" s="34" t="n">
        <v>927</v>
      </c>
      <c r="I929" s="111" t="n"/>
      <c r="J929" s="111" t="n"/>
      <c r="K929" s="111" t="n"/>
      <c r="L929" s="111" t="n"/>
      <c r="V929" s="111" t="n"/>
      <c r="W929" s="111" t="n"/>
      <c r="X929" s="111" t="n"/>
    </row>
    <row r="930">
      <c r="A930" s="34" t="n">
        <v>928</v>
      </c>
      <c r="I930" s="111" t="n"/>
      <c r="J930" s="111" t="n"/>
      <c r="K930" s="111" t="n"/>
      <c r="L930" s="111" t="n"/>
      <c r="V930" s="111" t="n"/>
      <c r="W930" s="111" t="n"/>
      <c r="X930" s="111" t="n"/>
    </row>
    <row r="931">
      <c r="A931" s="34" t="n">
        <v>929</v>
      </c>
      <c r="I931" s="111" t="n"/>
      <c r="J931" s="111" t="n"/>
      <c r="K931" s="111" t="n"/>
      <c r="L931" s="111" t="n"/>
      <c r="V931" s="111" t="n"/>
      <c r="W931" s="111" t="n"/>
      <c r="X931" s="111" t="n"/>
    </row>
    <row r="932">
      <c r="A932" s="34" t="n">
        <v>930</v>
      </c>
      <c r="I932" s="111" t="n"/>
      <c r="J932" s="111" t="n"/>
      <c r="K932" s="111" t="n"/>
      <c r="L932" s="111" t="n"/>
      <c r="V932" s="111" t="n"/>
      <c r="W932" s="111" t="n"/>
      <c r="X932" s="111" t="n"/>
    </row>
    <row r="933">
      <c r="A933" s="34" t="n">
        <v>931</v>
      </c>
      <c r="I933" s="111" t="n"/>
      <c r="J933" s="111" t="n"/>
      <c r="K933" s="111" t="n"/>
      <c r="L933" s="111" t="n"/>
      <c r="V933" s="111" t="n"/>
      <c r="W933" s="111" t="n"/>
      <c r="X933" s="111" t="n"/>
    </row>
    <row r="934">
      <c r="A934" s="34" t="n">
        <v>932</v>
      </c>
      <c r="I934" s="111" t="n"/>
      <c r="J934" s="111" t="n"/>
      <c r="K934" s="111" t="n"/>
      <c r="L934" s="111" t="n"/>
      <c r="V934" s="111" t="n"/>
      <c r="W934" s="111" t="n"/>
      <c r="X934" s="111" t="n"/>
    </row>
    <row r="935">
      <c r="A935" s="34" t="n">
        <v>933</v>
      </c>
      <c r="I935" s="111" t="n"/>
      <c r="J935" s="111" t="n"/>
      <c r="K935" s="111" t="n"/>
      <c r="L935" s="111" t="n"/>
      <c r="V935" s="111" t="n"/>
      <c r="W935" s="111" t="n"/>
      <c r="X935" s="111" t="n"/>
    </row>
    <row r="936">
      <c r="A936" s="34" t="n">
        <v>934</v>
      </c>
      <c r="I936" s="111" t="n"/>
      <c r="J936" s="111" t="n"/>
      <c r="K936" s="111" t="n"/>
      <c r="L936" s="111" t="n"/>
      <c r="V936" s="111" t="n"/>
      <c r="W936" s="111" t="n"/>
      <c r="X936" s="111" t="n"/>
    </row>
    <row r="937">
      <c r="A937" s="34" t="n">
        <v>935</v>
      </c>
      <c r="I937" s="111" t="n"/>
      <c r="J937" s="111" t="n"/>
      <c r="K937" s="111" t="n"/>
      <c r="L937" s="111" t="n"/>
      <c r="V937" s="111" t="n"/>
      <c r="W937" s="111" t="n"/>
      <c r="X937" s="111" t="n"/>
    </row>
    <row r="938">
      <c r="A938" s="34" t="n">
        <v>936</v>
      </c>
      <c r="I938" s="111" t="n"/>
      <c r="J938" s="111" t="n"/>
      <c r="K938" s="111" t="n"/>
      <c r="L938" s="111" t="n"/>
      <c r="V938" s="111" t="n"/>
      <c r="W938" s="111" t="n"/>
      <c r="X938" s="111" t="n"/>
    </row>
    <row r="939">
      <c r="A939" s="34" t="n">
        <v>937</v>
      </c>
      <c r="I939" s="111" t="n"/>
      <c r="J939" s="111" t="n"/>
      <c r="K939" s="111" t="n"/>
      <c r="L939" s="111" t="n"/>
      <c r="V939" s="111" t="n"/>
      <c r="W939" s="111" t="n"/>
      <c r="X939" s="111" t="n"/>
    </row>
    <row r="940">
      <c r="A940" s="34" t="n">
        <v>938</v>
      </c>
      <c r="I940" s="111" t="n"/>
      <c r="J940" s="111" t="n"/>
      <c r="K940" s="111" t="n"/>
      <c r="L940" s="111" t="n"/>
      <c r="V940" s="111" t="n"/>
      <c r="W940" s="111" t="n"/>
      <c r="X940" s="111" t="n"/>
    </row>
    <row r="941">
      <c r="A941" s="34" t="n">
        <v>939</v>
      </c>
      <c r="I941" s="111" t="n"/>
      <c r="J941" s="111" t="n"/>
      <c r="K941" s="111" t="n"/>
      <c r="L941" s="111" t="n"/>
      <c r="V941" s="111" t="n"/>
      <c r="W941" s="111" t="n"/>
      <c r="X941" s="111" t="n"/>
    </row>
    <row r="942">
      <c r="A942" s="34" t="n">
        <v>940</v>
      </c>
      <c r="I942" s="111" t="n"/>
      <c r="J942" s="111" t="n"/>
      <c r="K942" s="111" t="n"/>
      <c r="L942" s="111" t="n"/>
      <c r="V942" s="111" t="n"/>
      <c r="W942" s="111" t="n"/>
      <c r="X942" s="111" t="n"/>
    </row>
    <row r="943">
      <c r="A943" s="34" t="n">
        <v>941</v>
      </c>
      <c r="I943" s="111" t="n"/>
      <c r="J943" s="111" t="n"/>
      <c r="K943" s="111" t="n"/>
      <c r="L943" s="111" t="n"/>
      <c r="V943" s="111" t="n"/>
      <c r="W943" s="111" t="n"/>
      <c r="X943" s="111" t="n"/>
    </row>
    <row r="944">
      <c r="A944" s="34" t="n">
        <v>942</v>
      </c>
      <c r="I944" s="111" t="n"/>
      <c r="J944" s="111" t="n"/>
      <c r="K944" s="111" t="n"/>
      <c r="L944" s="111" t="n"/>
      <c r="V944" s="111" t="n"/>
      <c r="W944" s="111" t="n"/>
      <c r="X944" s="111" t="n"/>
    </row>
    <row r="945">
      <c r="A945" s="34" t="n">
        <v>943</v>
      </c>
      <c r="I945" s="111" t="n"/>
      <c r="J945" s="111" t="n"/>
      <c r="K945" s="111" t="n"/>
      <c r="L945" s="111" t="n"/>
      <c r="V945" s="111" t="n"/>
      <c r="W945" s="111" t="n"/>
      <c r="X945" s="111" t="n"/>
    </row>
    <row r="946">
      <c r="A946" s="34" t="n">
        <v>944</v>
      </c>
      <c r="I946" s="111" t="n"/>
      <c r="J946" s="111" t="n"/>
      <c r="K946" s="111" t="n"/>
      <c r="L946" s="111" t="n"/>
      <c r="V946" s="111" t="n"/>
      <c r="W946" s="111" t="n"/>
      <c r="X946" s="111" t="n"/>
    </row>
    <row r="947">
      <c r="A947" s="34" t="n">
        <v>945</v>
      </c>
      <c r="I947" s="111" t="n"/>
      <c r="J947" s="111" t="n"/>
      <c r="K947" s="111" t="n"/>
      <c r="L947" s="111" t="n"/>
      <c r="V947" s="111" t="n"/>
      <c r="W947" s="111" t="n"/>
      <c r="X947" s="111" t="n"/>
    </row>
    <row r="948">
      <c r="A948" s="34" t="n">
        <v>946</v>
      </c>
      <c r="I948" s="111" t="n"/>
      <c r="J948" s="111" t="n"/>
      <c r="K948" s="111" t="n"/>
      <c r="L948" s="111" t="n"/>
      <c r="V948" s="111" t="n"/>
      <c r="W948" s="111" t="n"/>
      <c r="X948" s="111" t="n"/>
    </row>
    <row r="949">
      <c r="A949" s="34" t="n">
        <v>947</v>
      </c>
      <c r="I949" s="111" t="n"/>
      <c r="J949" s="111" t="n"/>
      <c r="K949" s="111" t="n"/>
      <c r="L949" s="111" t="n"/>
      <c r="V949" s="111" t="n"/>
      <c r="W949" s="111" t="n"/>
      <c r="X949" s="111" t="n"/>
    </row>
    <row r="950">
      <c r="A950" s="34" t="n">
        <v>948</v>
      </c>
      <c r="I950" s="111" t="n"/>
      <c r="J950" s="111" t="n"/>
      <c r="K950" s="111" t="n"/>
      <c r="L950" s="111" t="n"/>
      <c r="V950" s="111" t="n"/>
      <c r="W950" s="111" t="n"/>
      <c r="X950" s="111" t="n"/>
    </row>
    <row r="951">
      <c r="A951" s="34" t="n">
        <v>949</v>
      </c>
      <c r="I951" s="111" t="n"/>
      <c r="J951" s="111" t="n"/>
      <c r="K951" s="111" t="n"/>
      <c r="L951" s="111" t="n"/>
      <c r="V951" s="111" t="n"/>
      <c r="W951" s="111" t="n"/>
      <c r="X951" s="111" t="n"/>
    </row>
    <row r="952">
      <c r="A952" s="34" t="n">
        <v>950</v>
      </c>
      <c r="I952" s="111" t="n"/>
      <c r="J952" s="111" t="n"/>
      <c r="K952" s="111" t="n"/>
      <c r="L952" s="111" t="n"/>
      <c r="V952" s="111" t="n"/>
      <c r="W952" s="111" t="n"/>
      <c r="X952" s="111" t="n"/>
    </row>
    <row r="953">
      <c r="A953" s="34" t="n">
        <v>951</v>
      </c>
      <c r="I953" s="111" t="n"/>
      <c r="J953" s="111" t="n"/>
      <c r="K953" s="111" t="n"/>
      <c r="L953" s="111" t="n"/>
      <c r="V953" s="111" t="n"/>
      <c r="W953" s="111" t="n"/>
      <c r="X953" s="111" t="n"/>
    </row>
    <row r="954">
      <c r="A954" s="34" t="n">
        <v>952</v>
      </c>
      <c r="I954" s="111" t="n"/>
      <c r="J954" s="111" t="n"/>
      <c r="K954" s="111" t="n"/>
      <c r="L954" s="111" t="n"/>
      <c r="V954" s="111" t="n"/>
      <c r="W954" s="111" t="n"/>
      <c r="X954" s="111" t="n"/>
    </row>
    <row r="955">
      <c r="A955" s="34" t="n">
        <v>953</v>
      </c>
      <c r="I955" s="111" t="n"/>
      <c r="J955" s="111" t="n"/>
      <c r="K955" s="111" t="n"/>
      <c r="L955" s="111" t="n"/>
      <c r="V955" s="111" t="n"/>
      <c r="W955" s="111" t="n"/>
      <c r="X955" s="111" t="n"/>
    </row>
    <row r="956">
      <c r="A956" s="34" t="n">
        <v>954</v>
      </c>
      <c r="I956" s="111" t="n"/>
      <c r="J956" s="111" t="n"/>
      <c r="K956" s="111" t="n"/>
      <c r="L956" s="111" t="n"/>
      <c r="V956" s="111" t="n"/>
      <c r="W956" s="111" t="n"/>
      <c r="X956" s="111" t="n"/>
    </row>
    <row r="957">
      <c r="A957" s="34" t="n">
        <v>955</v>
      </c>
      <c r="I957" s="111" t="n"/>
      <c r="J957" s="111" t="n"/>
      <c r="K957" s="111" t="n"/>
      <c r="L957" s="111" t="n"/>
      <c r="V957" s="111" t="n"/>
      <c r="W957" s="111" t="n"/>
      <c r="X957" s="111" t="n"/>
    </row>
    <row r="958">
      <c r="A958" s="34" t="n">
        <v>956</v>
      </c>
      <c r="I958" s="111" t="n"/>
      <c r="J958" s="111" t="n"/>
      <c r="K958" s="111" t="n"/>
      <c r="L958" s="111" t="n"/>
      <c r="V958" s="111" t="n"/>
      <c r="W958" s="111" t="n"/>
      <c r="X958" s="111" t="n"/>
    </row>
    <row r="959">
      <c r="A959" s="34" t="n">
        <v>957</v>
      </c>
      <c r="I959" s="111" t="n"/>
      <c r="J959" s="111" t="n"/>
      <c r="K959" s="111" t="n"/>
      <c r="L959" s="111" t="n"/>
      <c r="V959" s="111" t="n"/>
      <c r="W959" s="111" t="n"/>
      <c r="X959" s="111" t="n"/>
    </row>
    <row r="960">
      <c r="A960" s="34" t="n">
        <v>958</v>
      </c>
      <c r="I960" s="111" t="n"/>
      <c r="J960" s="111" t="n"/>
      <c r="K960" s="111" t="n"/>
      <c r="L960" s="111" t="n"/>
      <c r="V960" s="111" t="n"/>
      <c r="W960" s="111" t="n"/>
      <c r="X960" s="111" t="n"/>
    </row>
    <row r="961">
      <c r="A961" s="34" t="n">
        <v>959</v>
      </c>
      <c r="I961" s="111" t="n"/>
      <c r="J961" s="111" t="n"/>
      <c r="K961" s="111" t="n"/>
      <c r="L961" s="111" t="n"/>
      <c r="V961" s="111" t="n"/>
      <c r="W961" s="111" t="n"/>
      <c r="X961" s="111" t="n"/>
    </row>
    <row r="962">
      <c r="A962" s="34" t="n">
        <v>960</v>
      </c>
      <c r="I962" s="111" t="n"/>
      <c r="J962" s="111" t="n"/>
      <c r="K962" s="111" t="n"/>
      <c r="L962" s="111" t="n"/>
      <c r="V962" s="111" t="n"/>
      <c r="W962" s="111" t="n"/>
      <c r="X962" s="111" t="n"/>
    </row>
    <row r="963">
      <c r="A963" s="34" t="n">
        <v>961</v>
      </c>
      <c r="I963" s="111" t="n"/>
      <c r="J963" s="111" t="n"/>
      <c r="K963" s="111" t="n"/>
      <c r="L963" s="111" t="n"/>
      <c r="V963" s="111" t="n"/>
      <c r="W963" s="111" t="n"/>
      <c r="X963" s="111" t="n"/>
    </row>
    <row r="964">
      <c r="A964" s="34" t="n">
        <v>962</v>
      </c>
      <c r="I964" s="111" t="n"/>
      <c r="J964" s="111" t="n"/>
      <c r="K964" s="111" t="n"/>
      <c r="L964" s="111" t="n"/>
      <c r="V964" s="111" t="n"/>
      <c r="W964" s="111" t="n"/>
      <c r="X964" s="111" t="n"/>
    </row>
    <row r="965">
      <c r="A965" s="34" t="n">
        <v>963</v>
      </c>
      <c r="I965" s="111" t="n"/>
      <c r="J965" s="111" t="n"/>
      <c r="K965" s="111" t="n"/>
      <c r="L965" s="111" t="n"/>
      <c r="V965" s="111" t="n"/>
      <c r="W965" s="111" t="n"/>
      <c r="X965" s="111" t="n"/>
    </row>
    <row r="966">
      <c r="A966" s="34" t="n">
        <v>964</v>
      </c>
      <c r="I966" s="111" t="n"/>
      <c r="J966" s="111" t="n"/>
      <c r="K966" s="111" t="n"/>
      <c r="L966" s="111" t="n"/>
      <c r="V966" s="111" t="n"/>
      <c r="W966" s="111" t="n"/>
      <c r="X966" s="111" t="n"/>
    </row>
    <row r="967">
      <c r="A967" s="34" t="n">
        <v>965</v>
      </c>
      <c r="I967" s="111" t="n"/>
      <c r="J967" s="111" t="n"/>
      <c r="K967" s="111" t="n"/>
      <c r="L967" s="111" t="n"/>
      <c r="V967" s="111" t="n"/>
      <c r="W967" s="111" t="n"/>
      <c r="X967" s="111" t="n"/>
    </row>
    <row r="968">
      <c r="A968" s="34" t="n">
        <v>966</v>
      </c>
      <c r="I968" s="111" t="n"/>
      <c r="J968" s="111" t="n"/>
      <c r="K968" s="111" t="n"/>
      <c r="L968" s="111" t="n"/>
      <c r="V968" s="111" t="n"/>
      <c r="W968" s="111" t="n"/>
      <c r="X968" s="111" t="n"/>
    </row>
    <row r="969">
      <c r="A969" s="34" t="n">
        <v>967</v>
      </c>
      <c r="I969" s="111" t="n"/>
      <c r="J969" s="111" t="n"/>
      <c r="K969" s="111" t="n"/>
      <c r="L969" s="111" t="n"/>
      <c r="V969" s="111" t="n"/>
      <c r="W969" s="111" t="n"/>
      <c r="X969" s="111" t="n"/>
    </row>
    <row r="970">
      <c r="A970" s="34" t="n">
        <v>968</v>
      </c>
      <c r="I970" s="111" t="n"/>
      <c r="J970" s="111" t="n"/>
      <c r="K970" s="111" t="n"/>
      <c r="L970" s="111" t="n"/>
      <c r="V970" s="111" t="n"/>
      <c r="W970" s="111" t="n"/>
      <c r="X970" s="111" t="n"/>
    </row>
    <row r="971">
      <c r="A971" s="34" t="n">
        <v>969</v>
      </c>
      <c r="I971" s="111" t="n"/>
      <c r="J971" s="111" t="n"/>
      <c r="K971" s="111" t="n"/>
      <c r="L971" s="111" t="n"/>
      <c r="V971" s="111" t="n"/>
      <c r="W971" s="111" t="n"/>
      <c r="X971" s="111" t="n"/>
    </row>
    <row r="972">
      <c r="A972" s="34" t="n">
        <v>970</v>
      </c>
      <c r="I972" s="111" t="n"/>
      <c r="J972" s="111" t="n"/>
      <c r="K972" s="111" t="n"/>
      <c r="L972" s="111" t="n"/>
      <c r="V972" s="111" t="n"/>
      <c r="W972" s="111" t="n"/>
      <c r="X972" s="111" t="n"/>
    </row>
    <row r="973">
      <c r="A973" s="34" t="n">
        <v>971</v>
      </c>
      <c r="I973" s="111" t="n"/>
      <c r="J973" s="111" t="n"/>
      <c r="K973" s="111" t="n"/>
      <c r="L973" s="111" t="n"/>
      <c r="V973" s="111" t="n"/>
      <c r="W973" s="111" t="n"/>
      <c r="X973" s="111" t="n"/>
    </row>
    <row r="974">
      <c r="A974" s="34" t="n">
        <v>972</v>
      </c>
      <c r="I974" s="111" t="n"/>
      <c r="J974" s="111" t="n"/>
      <c r="K974" s="111" t="n"/>
      <c r="L974" s="111" t="n"/>
      <c r="V974" s="111" t="n"/>
      <c r="W974" s="111" t="n"/>
      <c r="X974" s="111" t="n"/>
    </row>
    <row r="975">
      <c r="A975" s="34" t="n">
        <v>973</v>
      </c>
      <c r="I975" s="111" t="n"/>
      <c r="J975" s="111" t="n"/>
      <c r="K975" s="111" t="n"/>
      <c r="L975" s="111" t="n"/>
      <c r="V975" s="111" t="n"/>
      <c r="W975" s="111" t="n"/>
      <c r="X975" s="111" t="n"/>
    </row>
    <row r="976">
      <c r="A976" s="34" t="n">
        <v>974</v>
      </c>
      <c r="I976" s="111" t="n"/>
      <c r="J976" s="111" t="n"/>
      <c r="K976" s="111" t="n"/>
      <c r="L976" s="111" t="n"/>
      <c r="V976" s="111" t="n"/>
      <c r="W976" s="111" t="n"/>
      <c r="X976" s="111" t="n"/>
    </row>
    <row r="977">
      <c r="A977" s="34" t="n">
        <v>975</v>
      </c>
      <c r="I977" s="111" t="n"/>
      <c r="J977" s="111" t="n"/>
      <c r="K977" s="111" t="n"/>
      <c r="L977" s="111" t="n"/>
      <c r="V977" s="111" t="n"/>
      <c r="W977" s="111" t="n"/>
      <c r="X977" s="111" t="n"/>
    </row>
    <row r="978">
      <c r="A978" s="34" t="n">
        <v>976</v>
      </c>
      <c r="I978" s="111" t="n"/>
      <c r="J978" s="111" t="n"/>
      <c r="K978" s="111" t="n"/>
      <c r="L978" s="111" t="n"/>
      <c r="V978" s="111" t="n"/>
      <c r="W978" s="111" t="n"/>
      <c r="X978" s="111" t="n"/>
    </row>
    <row r="979">
      <c r="A979" s="34" t="n">
        <v>977</v>
      </c>
      <c r="I979" s="111" t="n"/>
      <c r="J979" s="111" t="n"/>
      <c r="K979" s="111" t="n"/>
      <c r="L979" s="111" t="n"/>
      <c r="V979" s="111" t="n"/>
      <c r="W979" s="111" t="n"/>
      <c r="X979" s="111" t="n"/>
    </row>
    <row r="980">
      <c r="A980" s="34" t="n">
        <v>978</v>
      </c>
      <c r="I980" s="111" t="n"/>
      <c r="J980" s="111" t="n"/>
      <c r="K980" s="111" t="n"/>
      <c r="L980" s="111" t="n"/>
      <c r="V980" s="111" t="n"/>
      <c r="W980" s="111" t="n"/>
      <c r="X980" s="111" t="n"/>
    </row>
    <row r="981">
      <c r="A981" s="34" t="n">
        <v>979</v>
      </c>
      <c r="I981" s="111" t="n"/>
      <c r="J981" s="111" t="n"/>
      <c r="K981" s="111" t="n"/>
      <c r="L981" s="111" t="n"/>
      <c r="V981" s="111" t="n"/>
      <c r="W981" s="111" t="n"/>
      <c r="X981" s="111" t="n"/>
    </row>
    <row r="982">
      <c r="A982" s="34" t="n">
        <v>980</v>
      </c>
      <c r="I982" s="111" t="n"/>
      <c r="J982" s="111" t="n"/>
      <c r="K982" s="111" t="n"/>
      <c r="L982" s="111" t="n"/>
      <c r="V982" s="111" t="n"/>
      <c r="W982" s="111" t="n"/>
      <c r="X982" s="111" t="n"/>
    </row>
    <row r="983">
      <c r="A983" s="34" t="n">
        <v>981</v>
      </c>
      <c r="I983" s="111" t="n"/>
      <c r="J983" s="111" t="n"/>
      <c r="K983" s="111" t="n"/>
      <c r="L983" s="111" t="n"/>
      <c r="V983" s="111" t="n"/>
      <c r="W983" s="111" t="n"/>
      <c r="X983" s="111" t="n"/>
    </row>
    <row r="984">
      <c r="A984" s="34" t="n">
        <v>982</v>
      </c>
      <c r="I984" s="111" t="n"/>
      <c r="J984" s="111" t="n"/>
      <c r="K984" s="111" t="n"/>
      <c r="L984" s="111" t="n"/>
      <c r="V984" s="111" t="n"/>
      <c r="W984" s="111" t="n"/>
      <c r="X984" s="111" t="n"/>
    </row>
    <row r="985">
      <c r="A985" s="34" t="n">
        <v>983</v>
      </c>
      <c r="I985" s="111" t="n"/>
      <c r="J985" s="111" t="n"/>
      <c r="K985" s="111" t="n"/>
      <c r="L985" s="111" t="n"/>
      <c r="V985" s="111" t="n"/>
      <c r="W985" s="111" t="n"/>
      <c r="X985" s="111" t="n"/>
    </row>
    <row r="986">
      <c r="A986" s="34" t="n">
        <v>984</v>
      </c>
      <c r="I986" s="111" t="n"/>
      <c r="J986" s="111" t="n"/>
      <c r="K986" s="111" t="n"/>
      <c r="L986" s="111" t="n"/>
      <c r="V986" s="111" t="n"/>
      <c r="W986" s="111" t="n"/>
      <c r="X986" s="111" t="n"/>
    </row>
    <row r="987">
      <c r="A987" s="34" t="n">
        <v>985</v>
      </c>
      <c r="I987" s="111" t="n"/>
      <c r="J987" s="111" t="n"/>
      <c r="K987" s="111" t="n"/>
      <c r="L987" s="111" t="n"/>
      <c r="V987" s="111" t="n"/>
      <c r="W987" s="111" t="n"/>
      <c r="X987" s="111" t="n"/>
    </row>
    <row r="988">
      <c r="A988" s="34" t="n">
        <v>986</v>
      </c>
      <c r="I988" s="111" t="n"/>
      <c r="J988" s="111" t="n"/>
      <c r="K988" s="111" t="n"/>
      <c r="L988" s="111" t="n"/>
      <c r="V988" s="111" t="n"/>
      <c r="W988" s="111" t="n"/>
      <c r="X988" s="111" t="n"/>
    </row>
    <row r="989">
      <c r="A989" s="34" t="n">
        <v>987</v>
      </c>
      <c r="I989" s="111" t="n"/>
      <c r="J989" s="111" t="n"/>
      <c r="K989" s="111" t="n"/>
      <c r="L989" s="111" t="n"/>
      <c r="V989" s="111" t="n"/>
      <c r="W989" s="111" t="n"/>
      <c r="X989" s="111" t="n"/>
    </row>
    <row r="990">
      <c r="A990" s="34" t="n">
        <v>988</v>
      </c>
      <c r="I990" s="111" t="n"/>
      <c r="J990" s="111" t="n"/>
      <c r="K990" s="111" t="n"/>
      <c r="L990" s="111" t="n"/>
      <c r="V990" s="111" t="n"/>
      <c r="W990" s="111" t="n"/>
      <c r="X990" s="111" t="n"/>
    </row>
    <row r="991">
      <c r="A991" s="34" t="n">
        <v>989</v>
      </c>
      <c r="I991" s="111" t="n"/>
      <c r="J991" s="111" t="n"/>
      <c r="K991" s="111" t="n"/>
      <c r="L991" s="111" t="n"/>
      <c r="V991" s="111" t="n"/>
      <c r="W991" s="111" t="n"/>
      <c r="X991" s="111" t="n"/>
    </row>
    <row r="992">
      <c r="A992" s="34" t="n">
        <v>990</v>
      </c>
      <c r="I992" s="111" t="n"/>
      <c r="J992" s="111" t="n"/>
      <c r="K992" s="111" t="n"/>
      <c r="L992" s="111" t="n"/>
      <c r="V992" s="111" t="n"/>
      <c r="W992" s="111" t="n"/>
      <c r="X992" s="111" t="n"/>
    </row>
    <row r="993">
      <c r="A993" s="34" t="n">
        <v>991</v>
      </c>
      <c r="I993" s="111" t="n"/>
      <c r="J993" s="111" t="n"/>
      <c r="K993" s="111" t="n"/>
      <c r="L993" s="111" t="n"/>
      <c r="V993" s="111" t="n"/>
      <c r="W993" s="111" t="n"/>
      <c r="X993" s="111" t="n"/>
    </row>
    <row r="994">
      <c r="A994" s="34" t="n">
        <v>992</v>
      </c>
      <c r="I994" s="111" t="n"/>
      <c r="J994" s="111" t="n"/>
      <c r="K994" s="111" t="n"/>
      <c r="L994" s="111" t="n"/>
      <c r="V994" s="111" t="n"/>
      <c r="W994" s="111" t="n"/>
      <c r="X994" s="111" t="n"/>
    </row>
    <row r="995">
      <c r="A995" s="34" t="n">
        <v>993</v>
      </c>
      <c r="I995" s="111" t="n"/>
      <c r="J995" s="111" t="n"/>
      <c r="K995" s="111" t="n"/>
      <c r="L995" s="111" t="n"/>
      <c r="V995" s="111" t="n"/>
      <c r="W995" s="111" t="n"/>
      <c r="X995" s="111" t="n"/>
    </row>
    <row r="996">
      <c r="A996" s="34" t="n">
        <v>994</v>
      </c>
      <c r="I996" s="111" t="n"/>
      <c r="J996" s="111" t="n"/>
      <c r="K996" s="111" t="n"/>
      <c r="L996" s="111" t="n"/>
      <c r="V996" s="111" t="n"/>
      <c r="W996" s="111" t="n"/>
      <c r="X996" s="111" t="n"/>
    </row>
    <row r="997">
      <c r="A997" s="34" t="n">
        <v>995</v>
      </c>
      <c r="I997" s="111" t="n"/>
      <c r="J997" s="111" t="n"/>
      <c r="K997" s="111" t="n"/>
      <c r="L997" s="111" t="n"/>
      <c r="V997" s="111" t="n"/>
      <c r="W997" s="111" t="n"/>
      <c r="X997" s="111" t="n"/>
    </row>
    <row r="998">
      <c r="A998" s="34" t="n">
        <v>996</v>
      </c>
      <c r="I998" s="111" t="n"/>
      <c r="J998" s="111" t="n"/>
      <c r="K998" s="111" t="n"/>
      <c r="L998" s="111" t="n"/>
      <c r="V998" s="111" t="n"/>
      <c r="W998" s="111" t="n"/>
      <c r="X998" s="111" t="n"/>
    </row>
    <row r="999">
      <c r="A999" s="34" t="n">
        <v>997</v>
      </c>
      <c r="I999" s="111" t="n"/>
      <c r="J999" s="111" t="n"/>
      <c r="K999" s="111" t="n"/>
      <c r="L999" s="111" t="n"/>
      <c r="V999" s="111" t="n"/>
      <c r="W999" s="111" t="n"/>
      <c r="X999" s="111" t="n"/>
    </row>
    <row r="1000">
      <c r="A1000" s="34" t="n">
        <v>998</v>
      </c>
      <c r="I1000" s="111" t="n"/>
      <c r="J1000" s="111" t="n"/>
      <c r="K1000" s="111" t="n"/>
      <c r="L1000" s="111" t="n"/>
      <c r="V1000" s="111" t="n"/>
      <c r="W1000" s="111" t="n"/>
      <c r="X1000" s="111" t="n"/>
    </row>
    <row r="1001">
      <c r="A1001" s="34" t="n">
        <v>999</v>
      </c>
      <c r="I1001" s="111" t="n"/>
      <c r="J1001" s="111" t="n"/>
      <c r="K1001" s="111" t="n"/>
      <c r="L1001" s="111" t="n"/>
      <c r="V1001" s="111" t="n"/>
      <c r="W1001" s="111" t="n"/>
      <c r="X1001" s="111" t="n"/>
    </row>
    <row r="1002">
      <c r="A1002" s="34" t="n">
        <v>1000</v>
      </c>
      <c r="I1002" s="111" t="n"/>
      <c r="J1002" s="111" t="n"/>
      <c r="K1002" s="111" t="n"/>
      <c r="L1002" s="111" t="n"/>
      <c r="V1002" s="111" t="n"/>
      <c r="W1002" s="111" t="n"/>
      <c r="X1002" s="111" t="n"/>
    </row>
    <row r="1003">
      <c r="A1003" s="34" t="n">
        <v>1001</v>
      </c>
      <c r="I1003" s="111" t="n"/>
      <c r="J1003" s="111" t="n"/>
      <c r="K1003" s="111" t="n"/>
      <c r="L1003" s="111" t="n"/>
      <c r="V1003" s="111" t="n"/>
      <c r="W1003" s="111" t="n"/>
      <c r="X1003" s="111" t="n"/>
    </row>
    <row r="1004">
      <c r="A1004" s="34" t="n">
        <v>1002</v>
      </c>
      <c r="I1004" s="111" t="n"/>
      <c r="J1004" s="111" t="n"/>
      <c r="K1004" s="111" t="n"/>
      <c r="L1004" s="111" t="n"/>
      <c r="V1004" s="111" t="n"/>
      <c r="W1004" s="111" t="n"/>
      <c r="X1004" s="111" t="n"/>
    </row>
    <row r="1005">
      <c r="A1005" s="34" t="n">
        <v>1003</v>
      </c>
      <c r="I1005" s="111" t="n"/>
      <c r="J1005" s="111" t="n"/>
      <c r="K1005" s="111" t="n"/>
      <c r="L1005" s="111" t="n"/>
      <c r="V1005" s="111" t="n"/>
      <c r="W1005" s="111" t="n"/>
      <c r="X1005" s="111" t="n"/>
    </row>
    <row r="1006">
      <c r="A1006" s="34" t="n">
        <v>1004</v>
      </c>
      <c r="I1006" s="111" t="n"/>
      <c r="J1006" s="111" t="n"/>
      <c r="K1006" s="111" t="n"/>
      <c r="L1006" s="111" t="n"/>
      <c r="V1006" s="111" t="n"/>
      <c r="W1006" s="111" t="n"/>
      <c r="X1006" s="111" t="n"/>
    </row>
    <row r="1007">
      <c r="A1007" s="34" t="n">
        <v>1005</v>
      </c>
      <c r="I1007" s="111" t="n"/>
      <c r="J1007" s="111" t="n"/>
      <c r="K1007" s="111" t="n"/>
      <c r="L1007" s="111" t="n"/>
      <c r="V1007" s="111" t="n"/>
      <c r="W1007" s="111" t="n"/>
      <c r="X1007" s="111" t="n"/>
    </row>
    <row r="1008">
      <c r="A1008" s="34" t="n">
        <v>1006</v>
      </c>
      <c r="I1008" s="111" t="n"/>
      <c r="J1008" s="111" t="n"/>
      <c r="K1008" s="111" t="n"/>
      <c r="L1008" s="111" t="n"/>
      <c r="V1008" s="111" t="n"/>
      <c r="W1008" s="111" t="n"/>
      <c r="X1008" s="111" t="n"/>
    </row>
    <row r="1009">
      <c r="A1009" s="34" t="n">
        <v>1007</v>
      </c>
      <c r="I1009" s="111" t="n"/>
      <c r="J1009" s="111" t="n"/>
      <c r="K1009" s="111" t="n"/>
      <c r="L1009" s="111" t="n"/>
      <c r="V1009" s="111" t="n"/>
      <c r="W1009" s="111" t="n"/>
      <c r="X1009" s="111" t="n"/>
    </row>
    <row r="1010">
      <c r="A1010" s="34" t="n">
        <v>1008</v>
      </c>
      <c r="I1010" s="111" t="n"/>
      <c r="J1010" s="111" t="n"/>
      <c r="K1010" s="111" t="n"/>
      <c r="L1010" s="111" t="n"/>
      <c r="V1010" s="111" t="n"/>
      <c r="W1010" s="111" t="n"/>
      <c r="X1010" s="111" t="n"/>
    </row>
    <row r="1011">
      <c r="A1011" s="34" t="n">
        <v>1009</v>
      </c>
      <c r="I1011" s="111" t="n"/>
      <c r="J1011" s="111" t="n"/>
      <c r="K1011" s="111" t="n"/>
      <c r="L1011" s="111" t="n"/>
      <c r="V1011" s="111" t="n"/>
      <c r="W1011" s="111" t="n"/>
      <c r="X1011" s="111" t="n"/>
    </row>
    <row r="1012">
      <c r="A1012" s="34" t="n">
        <v>1010</v>
      </c>
      <c r="I1012" s="111" t="n"/>
      <c r="J1012" s="111" t="n"/>
      <c r="K1012" s="111" t="n"/>
      <c r="L1012" s="111" t="n"/>
      <c r="V1012" s="111" t="n"/>
      <c r="W1012" s="111" t="n"/>
      <c r="X1012" s="111" t="n"/>
    </row>
    <row r="1013">
      <c r="A1013" s="34" t="n">
        <v>1011</v>
      </c>
      <c r="I1013" s="111" t="n"/>
      <c r="J1013" s="111" t="n"/>
      <c r="K1013" s="111" t="n"/>
      <c r="L1013" s="111" t="n"/>
      <c r="V1013" s="111" t="n"/>
      <c r="W1013" s="111" t="n"/>
      <c r="X1013" s="111" t="n"/>
    </row>
    <row r="1014">
      <c r="A1014" s="34" t="n">
        <v>1012</v>
      </c>
      <c r="I1014" s="111" t="n"/>
      <c r="J1014" s="111" t="n"/>
      <c r="K1014" s="111" t="n"/>
      <c r="L1014" s="111" t="n"/>
      <c r="V1014" s="111" t="n"/>
      <c r="W1014" s="111" t="n"/>
      <c r="X1014" s="111" t="n"/>
    </row>
    <row r="1015">
      <c r="A1015" s="34" t="n">
        <v>1013</v>
      </c>
      <c r="I1015" s="111" t="n"/>
      <c r="J1015" s="111" t="n"/>
      <c r="K1015" s="111" t="n"/>
      <c r="L1015" s="111" t="n"/>
      <c r="V1015" s="111" t="n"/>
      <c r="W1015" s="111" t="n"/>
      <c r="X1015" s="111" t="n"/>
    </row>
    <row r="1016">
      <c r="A1016" s="34" t="n">
        <v>1014</v>
      </c>
      <c r="I1016" s="111" t="n"/>
      <c r="J1016" s="111" t="n"/>
      <c r="K1016" s="111" t="n"/>
      <c r="L1016" s="111" t="n"/>
      <c r="V1016" s="111" t="n"/>
      <c r="W1016" s="111" t="n"/>
      <c r="X1016" s="111" t="n"/>
    </row>
    <row r="1017">
      <c r="A1017" s="34" t="n">
        <v>1015</v>
      </c>
      <c r="I1017" s="111" t="n"/>
      <c r="J1017" s="111" t="n"/>
      <c r="K1017" s="111" t="n"/>
      <c r="L1017" s="111" t="n"/>
      <c r="V1017" s="111" t="n"/>
      <c r="W1017" s="111" t="n"/>
      <c r="X1017" s="111" t="n"/>
    </row>
    <row r="1018">
      <c r="A1018" s="34" t="n">
        <v>1016</v>
      </c>
      <c r="I1018" s="111" t="n"/>
      <c r="J1018" s="111" t="n"/>
      <c r="K1018" s="111" t="n"/>
      <c r="L1018" s="111" t="n"/>
      <c r="V1018" s="111" t="n"/>
      <c r="W1018" s="111" t="n"/>
      <c r="X1018" s="111" t="n"/>
    </row>
    <row r="1019">
      <c r="A1019" s="34" t="n">
        <v>1017</v>
      </c>
      <c r="I1019" s="111" t="n"/>
      <c r="J1019" s="111" t="n"/>
      <c r="K1019" s="111" t="n"/>
      <c r="L1019" s="111" t="n"/>
      <c r="V1019" s="111" t="n"/>
      <c r="W1019" s="111" t="n"/>
      <c r="X1019" s="111" t="n"/>
    </row>
    <row r="1020">
      <c r="A1020" s="34" t="n">
        <v>1018</v>
      </c>
      <c r="I1020" s="111" t="n"/>
      <c r="J1020" s="111" t="n"/>
      <c r="K1020" s="111" t="n"/>
      <c r="L1020" s="111" t="n"/>
      <c r="V1020" s="111" t="n"/>
      <c r="W1020" s="111" t="n"/>
      <c r="X1020" s="111" t="n"/>
    </row>
    <row r="1021">
      <c r="A1021" s="34" t="n">
        <v>1019</v>
      </c>
      <c r="I1021" s="111" t="n"/>
      <c r="J1021" s="111" t="n"/>
      <c r="K1021" s="111" t="n"/>
      <c r="L1021" s="111" t="n"/>
      <c r="V1021" s="111" t="n"/>
      <c r="W1021" s="111" t="n"/>
      <c r="X1021" s="111" t="n"/>
    </row>
    <row r="1022">
      <c r="A1022" s="34" t="n">
        <v>1020</v>
      </c>
      <c r="I1022" s="111" t="n"/>
      <c r="J1022" s="111" t="n"/>
      <c r="K1022" s="111" t="n"/>
      <c r="L1022" s="111" t="n"/>
      <c r="V1022" s="111" t="n"/>
      <c r="W1022" s="111" t="n"/>
      <c r="X1022" s="111" t="n"/>
    </row>
    <row r="1023">
      <c r="A1023" s="34" t="n">
        <v>1021</v>
      </c>
      <c r="I1023" s="111" t="n"/>
      <c r="J1023" s="111" t="n"/>
      <c r="K1023" s="111" t="n"/>
      <c r="L1023" s="111" t="n"/>
      <c r="V1023" s="111" t="n"/>
      <c r="W1023" s="111" t="n"/>
      <c r="X1023" s="111" t="n"/>
    </row>
    <row r="1024">
      <c r="A1024" s="34" t="n">
        <v>1022</v>
      </c>
      <c r="I1024" s="111" t="n"/>
      <c r="J1024" s="111" t="n"/>
      <c r="K1024" s="111" t="n"/>
      <c r="L1024" s="111" t="n"/>
      <c r="V1024" s="111" t="n"/>
      <c r="W1024" s="111" t="n"/>
      <c r="X1024" s="111" t="n"/>
    </row>
    <row r="1025">
      <c r="A1025" s="34" t="n">
        <v>1023</v>
      </c>
      <c r="I1025" s="111" t="n"/>
      <c r="J1025" s="111" t="n"/>
      <c r="K1025" s="111" t="n"/>
      <c r="L1025" s="111" t="n"/>
      <c r="V1025" s="111" t="n"/>
      <c r="W1025" s="111" t="n"/>
      <c r="X1025" s="111" t="n"/>
    </row>
    <row r="1026">
      <c r="A1026" s="34" t="n">
        <v>1024</v>
      </c>
      <c r="I1026" s="111" t="n"/>
      <c r="J1026" s="111" t="n"/>
      <c r="K1026" s="111" t="n"/>
      <c r="L1026" s="111" t="n"/>
      <c r="V1026" s="111" t="n"/>
      <c r="W1026" s="111" t="n"/>
      <c r="X1026" s="111" t="n"/>
    </row>
    <row r="1027">
      <c r="A1027" s="34" t="n">
        <v>1025</v>
      </c>
      <c r="I1027" s="111" t="n"/>
      <c r="J1027" s="111" t="n"/>
      <c r="K1027" s="111" t="n"/>
      <c r="L1027" s="111" t="n"/>
      <c r="V1027" s="111" t="n"/>
      <c r="W1027" s="111" t="n"/>
      <c r="X1027" s="111" t="n"/>
    </row>
    <row r="1028">
      <c r="A1028" s="34" t="n">
        <v>1026</v>
      </c>
      <c r="I1028" s="111" t="n"/>
      <c r="J1028" s="111" t="n"/>
      <c r="K1028" s="111" t="n"/>
      <c r="L1028" s="111" t="n"/>
      <c r="V1028" s="111" t="n"/>
      <c r="W1028" s="111" t="n"/>
      <c r="X1028" s="111" t="n"/>
    </row>
    <row r="1029">
      <c r="A1029" s="34" t="n">
        <v>1027</v>
      </c>
      <c r="I1029" s="111" t="n"/>
      <c r="J1029" s="111" t="n"/>
      <c r="K1029" s="111" t="n"/>
      <c r="L1029" s="111" t="n"/>
      <c r="V1029" s="111" t="n"/>
      <c r="W1029" s="111" t="n"/>
      <c r="X1029" s="111" t="n"/>
    </row>
    <row r="1030">
      <c r="A1030" s="34" t="n">
        <v>1028</v>
      </c>
      <c r="I1030" s="111" t="n"/>
      <c r="J1030" s="111" t="n"/>
      <c r="K1030" s="111" t="n"/>
      <c r="L1030" s="111" t="n"/>
      <c r="V1030" s="111" t="n"/>
      <c r="W1030" s="111" t="n"/>
      <c r="X1030" s="111" t="n"/>
    </row>
    <row r="1031">
      <c r="A1031" s="34" t="n">
        <v>1029</v>
      </c>
      <c r="I1031" s="111" t="n"/>
      <c r="J1031" s="111" t="n"/>
      <c r="K1031" s="111" t="n"/>
      <c r="L1031" s="111" t="n"/>
      <c r="V1031" s="111" t="n"/>
      <c r="W1031" s="111" t="n"/>
      <c r="X1031" s="111" t="n"/>
    </row>
    <row r="1032">
      <c r="A1032" s="34" t="n">
        <v>1030</v>
      </c>
      <c r="I1032" s="111" t="n"/>
      <c r="J1032" s="111" t="n"/>
      <c r="K1032" s="111" t="n"/>
      <c r="L1032" s="111" t="n"/>
      <c r="V1032" s="111" t="n"/>
      <c r="W1032" s="111" t="n"/>
      <c r="X1032" s="111" t="n"/>
    </row>
    <row r="1033">
      <c r="A1033" s="34" t="n">
        <v>1031</v>
      </c>
      <c r="I1033" s="111" t="n"/>
      <c r="J1033" s="111" t="n"/>
      <c r="K1033" s="111" t="n"/>
      <c r="L1033" s="111" t="n"/>
      <c r="V1033" s="111" t="n"/>
      <c r="W1033" s="111" t="n"/>
      <c r="X1033" s="111" t="n"/>
    </row>
    <row r="1034">
      <c r="A1034" s="34" t="n">
        <v>1032</v>
      </c>
      <c r="I1034" s="111" t="n"/>
      <c r="J1034" s="111" t="n"/>
      <c r="K1034" s="111" t="n"/>
      <c r="L1034" s="111" t="n"/>
      <c r="V1034" s="111" t="n"/>
      <c r="W1034" s="111" t="n"/>
      <c r="X1034" s="111" t="n"/>
    </row>
    <row r="1035">
      <c r="A1035" s="34" t="n">
        <v>1033</v>
      </c>
      <c r="I1035" s="111" t="n"/>
      <c r="J1035" s="111" t="n"/>
      <c r="K1035" s="111" t="n"/>
      <c r="L1035" s="111" t="n"/>
      <c r="V1035" s="111" t="n"/>
      <c r="W1035" s="111" t="n"/>
      <c r="X1035" s="111" t="n"/>
    </row>
    <row r="1036">
      <c r="A1036" s="34" t="n">
        <v>1034</v>
      </c>
      <c r="I1036" s="111" t="n"/>
      <c r="J1036" s="111" t="n"/>
      <c r="K1036" s="111" t="n"/>
      <c r="L1036" s="111" t="n"/>
      <c r="V1036" s="111" t="n"/>
      <c r="W1036" s="111" t="n"/>
      <c r="X1036" s="111" t="n"/>
    </row>
    <row r="1037">
      <c r="A1037" s="34" t="n">
        <v>1035</v>
      </c>
      <c r="I1037" s="111" t="n"/>
      <c r="J1037" s="111" t="n"/>
      <c r="K1037" s="111" t="n"/>
      <c r="L1037" s="111" t="n"/>
      <c r="V1037" s="111" t="n"/>
      <c r="W1037" s="111" t="n"/>
      <c r="X1037" s="111" t="n"/>
    </row>
    <row r="1038">
      <c r="A1038" s="34" t="n">
        <v>1036</v>
      </c>
      <c r="I1038" s="111" t="n"/>
      <c r="J1038" s="111" t="n"/>
      <c r="K1038" s="111" t="n"/>
      <c r="L1038" s="111" t="n"/>
      <c r="V1038" s="111" t="n"/>
      <c r="W1038" s="111" t="n"/>
      <c r="X1038" s="111" t="n"/>
    </row>
    <row r="1039">
      <c r="A1039" s="34" t="n">
        <v>1037</v>
      </c>
      <c r="I1039" s="111" t="n"/>
      <c r="J1039" s="111" t="n"/>
      <c r="K1039" s="111" t="n"/>
      <c r="L1039" s="111" t="n"/>
      <c r="V1039" s="111" t="n"/>
      <c r="W1039" s="111" t="n"/>
      <c r="X1039" s="111" t="n"/>
    </row>
    <row r="1040">
      <c r="A1040" s="34" t="n">
        <v>1038</v>
      </c>
      <c r="I1040" s="111" t="n"/>
      <c r="J1040" s="111" t="n"/>
      <c r="K1040" s="111" t="n"/>
      <c r="L1040" s="111" t="n"/>
      <c r="V1040" s="111" t="n"/>
      <c r="W1040" s="111" t="n"/>
      <c r="X1040" s="111" t="n"/>
    </row>
    <row r="1041">
      <c r="A1041" s="34" t="n">
        <v>1039</v>
      </c>
      <c r="I1041" s="111" t="n"/>
      <c r="J1041" s="111" t="n"/>
      <c r="K1041" s="111" t="n"/>
      <c r="L1041" s="111" t="n"/>
      <c r="V1041" s="111" t="n"/>
      <c r="W1041" s="111" t="n"/>
      <c r="X1041" s="111" t="n"/>
    </row>
    <row r="1042">
      <c r="A1042" s="34" t="n">
        <v>1040</v>
      </c>
      <c r="I1042" s="111" t="n"/>
      <c r="J1042" s="111" t="n"/>
      <c r="K1042" s="111" t="n"/>
      <c r="L1042" s="111" t="n"/>
      <c r="V1042" s="111" t="n"/>
      <c r="W1042" s="111" t="n"/>
      <c r="X1042" s="111" t="n"/>
    </row>
    <row r="1043">
      <c r="A1043" s="34" t="n">
        <v>1041</v>
      </c>
      <c r="I1043" s="111" t="n"/>
      <c r="J1043" s="111" t="n"/>
      <c r="K1043" s="111" t="n"/>
      <c r="L1043" s="111" t="n"/>
      <c r="V1043" s="111" t="n"/>
      <c r="W1043" s="111" t="n"/>
      <c r="X1043" s="111" t="n"/>
    </row>
    <row r="1044">
      <c r="A1044" s="34" t="n">
        <v>1042</v>
      </c>
      <c r="I1044" s="111" t="n"/>
      <c r="J1044" s="111" t="n"/>
      <c r="K1044" s="111" t="n"/>
      <c r="L1044" s="111" t="n"/>
      <c r="V1044" s="111" t="n"/>
      <c r="W1044" s="111" t="n"/>
      <c r="X1044" s="111" t="n"/>
    </row>
    <row r="1045">
      <c r="A1045" s="34" t="n">
        <v>1043</v>
      </c>
      <c r="I1045" s="111" t="n"/>
      <c r="J1045" s="111" t="n"/>
      <c r="K1045" s="111" t="n"/>
      <c r="L1045" s="111" t="n"/>
      <c r="V1045" s="111" t="n"/>
      <c r="W1045" s="111" t="n"/>
      <c r="X1045" s="111" t="n"/>
    </row>
    <row r="1046">
      <c r="A1046" s="34" t="n">
        <v>1044</v>
      </c>
      <c r="I1046" s="111" t="n"/>
      <c r="J1046" s="111" t="n"/>
      <c r="K1046" s="111" t="n"/>
      <c r="L1046" s="111" t="n"/>
      <c r="V1046" s="111" t="n"/>
      <c r="W1046" s="111" t="n"/>
      <c r="X1046" s="111" t="n"/>
    </row>
    <row r="1047">
      <c r="A1047" s="34" t="n">
        <v>1045</v>
      </c>
      <c r="I1047" s="111" t="n"/>
      <c r="J1047" s="111" t="n"/>
      <c r="K1047" s="111" t="n"/>
      <c r="L1047" s="111" t="n"/>
      <c r="V1047" s="111" t="n"/>
      <c r="W1047" s="111" t="n"/>
      <c r="X1047" s="111" t="n"/>
    </row>
    <row r="1048">
      <c r="A1048" s="34" t="n">
        <v>1046</v>
      </c>
      <c r="I1048" s="111" t="n"/>
      <c r="J1048" s="111" t="n"/>
      <c r="K1048" s="111" t="n"/>
      <c r="L1048" s="111" t="n"/>
      <c r="V1048" s="111" t="n"/>
      <c r="W1048" s="111" t="n"/>
      <c r="X1048" s="111" t="n"/>
    </row>
    <row r="1049">
      <c r="A1049" s="34" t="n">
        <v>1047</v>
      </c>
      <c r="I1049" s="111" t="n"/>
      <c r="J1049" s="111" t="n"/>
      <c r="K1049" s="111" t="n"/>
      <c r="L1049" s="111" t="n"/>
      <c r="V1049" s="111" t="n"/>
      <c r="W1049" s="111" t="n"/>
      <c r="X1049" s="111" t="n"/>
    </row>
    <row r="1050">
      <c r="A1050" s="34" t="n">
        <v>1048</v>
      </c>
      <c r="I1050" s="111" t="n"/>
      <c r="J1050" s="111" t="n"/>
      <c r="K1050" s="111" t="n"/>
      <c r="L1050" s="111" t="n"/>
      <c r="V1050" s="111" t="n"/>
      <c r="W1050" s="111" t="n"/>
      <c r="X1050" s="111" t="n"/>
    </row>
    <row r="1051">
      <c r="A1051" s="34" t="n">
        <v>1049</v>
      </c>
      <c r="I1051" s="111" t="n"/>
      <c r="J1051" s="111" t="n"/>
      <c r="K1051" s="111" t="n"/>
      <c r="L1051" s="111" t="n"/>
      <c r="V1051" s="111" t="n"/>
      <c r="W1051" s="111" t="n"/>
      <c r="X1051" s="111" t="n"/>
    </row>
    <row r="1052">
      <c r="A1052" s="34" t="n">
        <v>1050</v>
      </c>
      <c r="I1052" s="111" t="n"/>
      <c r="J1052" s="111" t="n"/>
      <c r="K1052" s="111" t="n"/>
      <c r="L1052" s="111" t="n"/>
      <c r="V1052" s="111" t="n"/>
      <c r="W1052" s="111" t="n"/>
      <c r="X1052" s="111" t="n"/>
    </row>
    <row r="1053">
      <c r="A1053" s="34" t="n">
        <v>1051</v>
      </c>
      <c r="I1053" s="111" t="n"/>
      <c r="J1053" s="111" t="n"/>
      <c r="K1053" s="111" t="n"/>
      <c r="L1053" s="111" t="n"/>
      <c r="V1053" s="111" t="n"/>
      <c r="W1053" s="111" t="n"/>
      <c r="X1053" s="111" t="n"/>
    </row>
    <row r="1054">
      <c r="A1054" s="34" t="n">
        <v>1052</v>
      </c>
      <c r="I1054" s="111" t="n"/>
      <c r="J1054" s="111" t="n"/>
      <c r="K1054" s="111" t="n"/>
      <c r="L1054" s="111" t="n"/>
      <c r="V1054" s="111" t="n"/>
      <c r="W1054" s="111" t="n"/>
      <c r="X1054" s="111" t="n"/>
    </row>
    <row r="1055">
      <c r="A1055" s="34" t="n">
        <v>1053</v>
      </c>
      <c r="I1055" s="111" t="n"/>
      <c r="J1055" s="111" t="n"/>
      <c r="K1055" s="111" t="n"/>
      <c r="L1055" s="111" t="n"/>
      <c r="V1055" s="111" t="n"/>
      <c r="W1055" s="111" t="n"/>
      <c r="X1055" s="111" t="n"/>
    </row>
    <row r="1056">
      <c r="A1056" s="34" t="n">
        <v>1054</v>
      </c>
      <c r="I1056" s="111" t="n"/>
      <c r="J1056" s="111" t="n"/>
      <c r="K1056" s="111" t="n"/>
      <c r="L1056" s="111" t="n"/>
      <c r="V1056" s="111" t="n"/>
      <c r="W1056" s="111" t="n"/>
      <c r="X1056" s="111" t="n"/>
    </row>
    <row r="1057">
      <c r="A1057" s="34" t="n">
        <v>1055</v>
      </c>
      <c r="I1057" s="111" t="n"/>
      <c r="J1057" s="111" t="n"/>
      <c r="K1057" s="111" t="n"/>
      <c r="L1057" s="111" t="n"/>
      <c r="V1057" s="111" t="n"/>
      <c r="W1057" s="111" t="n"/>
      <c r="X1057" s="111" t="n"/>
    </row>
    <row r="1058">
      <c r="A1058" s="34" t="n">
        <v>1056</v>
      </c>
      <c r="I1058" s="111" t="n"/>
      <c r="J1058" s="111" t="n"/>
      <c r="K1058" s="111" t="n"/>
      <c r="L1058" s="111" t="n"/>
      <c r="V1058" s="111" t="n"/>
      <c r="W1058" s="111" t="n"/>
      <c r="X1058" s="111" t="n"/>
    </row>
    <row r="1059">
      <c r="A1059" s="34" t="n">
        <v>1057</v>
      </c>
      <c r="I1059" s="111" t="n"/>
      <c r="J1059" s="111" t="n"/>
      <c r="K1059" s="111" t="n"/>
      <c r="L1059" s="111" t="n"/>
      <c r="V1059" s="111" t="n"/>
      <c r="W1059" s="111" t="n"/>
      <c r="X1059" s="111" t="n"/>
    </row>
    <row r="1060">
      <c r="A1060" s="34" t="n">
        <v>1058</v>
      </c>
      <c r="I1060" s="111" t="n"/>
      <c r="J1060" s="111" t="n"/>
      <c r="K1060" s="111" t="n"/>
      <c r="L1060" s="111" t="n"/>
      <c r="V1060" s="111" t="n"/>
      <c r="W1060" s="111" t="n"/>
      <c r="X1060" s="111" t="n"/>
    </row>
    <row r="1061">
      <c r="A1061" s="34" t="n">
        <v>1059</v>
      </c>
      <c r="I1061" s="111" t="n"/>
      <c r="J1061" s="111" t="n"/>
      <c r="K1061" s="111" t="n"/>
      <c r="L1061" s="111" t="n"/>
      <c r="V1061" s="111" t="n"/>
      <c r="W1061" s="111" t="n"/>
      <c r="X1061" s="111" t="n"/>
    </row>
    <row r="1062">
      <c r="A1062" s="34" t="n">
        <v>1060</v>
      </c>
      <c r="I1062" s="111" t="n"/>
      <c r="J1062" s="111" t="n"/>
      <c r="K1062" s="111" t="n"/>
      <c r="L1062" s="111" t="n"/>
      <c r="V1062" s="111" t="n"/>
      <c r="W1062" s="111" t="n"/>
      <c r="X1062" s="111" t="n"/>
    </row>
    <row r="1063">
      <c r="A1063" s="34" t="n">
        <v>1061</v>
      </c>
      <c r="I1063" s="111" t="n"/>
      <c r="J1063" s="111" t="n"/>
      <c r="K1063" s="111" t="n"/>
      <c r="L1063" s="111" t="n"/>
      <c r="V1063" s="111" t="n"/>
      <c r="W1063" s="111" t="n"/>
      <c r="X1063" s="111" t="n"/>
    </row>
    <row r="1064">
      <c r="A1064" s="34" t="n">
        <v>1062</v>
      </c>
      <c r="I1064" s="111" t="n"/>
      <c r="J1064" s="111" t="n"/>
      <c r="K1064" s="111" t="n"/>
      <c r="L1064" s="111" t="n"/>
      <c r="V1064" s="111" t="n"/>
      <c r="W1064" s="111" t="n"/>
      <c r="X1064" s="111" t="n"/>
    </row>
    <row r="1065">
      <c r="A1065" s="34" t="n">
        <v>1063</v>
      </c>
      <c r="I1065" s="111" t="n"/>
      <c r="J1065" s="111" t="n"/>
      <c r="K1065" s="111" t="n"/>
      <c r="L1065" s="111" t="n"/>
      <c r="V1065" s="111" t="n"/>
      <c r="W1065" s="111" t="n"/>
      <c r="X1065" s="111" t="n"/>
    </row>
    <row r="1066">
      <c r="A1066" s="34" t="n">
        <v>1064</v>
      </c>
      <c r="I1066" s="111" t="n"/>
      <c r="J1066" s="111" t="n"/>
      <c r="K1066" s="111" t="n"/>
      <c r="L1066" s="111" t="n"/>
      <c r="V1066" s="111" t="n"/>
      <c r="W1066" s="111" t="n"/>
      <c r="X1066" s="111" t="n"/>
    </row>
    <row r="1067">
      <c r="A1067" s="34" t="n">
        <v>1065</v>
      </c>
      <c r="I1067" s="111" t="n"/>
      <c r="J1067" s="111" t="n"/>
      <c r="K1067" s="111" t="n"/>
      <c r="L1067" s="111" t="n"/>
      <c r="V1067" s="111" t="n"/>
      <c r="W1067" s="111" t="n"/>
      <c r="X1067" s="111" t="n"/>
    </row>
    <row r="1068">
      <c r="A1068" s="34" t="n">
        <v>1066</v>
      </c>
      <c r="I1068" s="111" t="n"/>
      <c r="J1068" s="111" t="n"/>
      <c r="K1068" s="111" t="n"/>
      <c r="L1068" s="111" t="n"/>
      <c r="V1068" s="111" t="n"/>
      <c r="W1068" s="111" t="n"/>
      <c r="X1068" s="111" t="n"/>
    </row>
    <row r="1069">
      <c r="A1069" s="34" t="n">
        <v>1067</v>
      </c>
      <c r="I1069" s="111" t="n"/>
      <c r="J1069" s="111" t="n"/>
      <c r="K1069" s="111" t="n"/>
      <c r="L1069" s="111" t="n"/>
      <c r="V1069" s="111" t="n"/>
      <c r="W1069" s="111" t="n"/>
      <c r="X1069" s="111" t="n"/>
    </row>
    <row r="1070">
      <c r="A1070" s="34" t="n">
        <v>1068</v>
      </c>
      <c r="I1070" s="111" t="n"/>
      <c r="J1070" s="111" t="n"/>
      <c r="K1070" s="111" t="n"/>
      <c r="L1070" s="111" t="n"/>
      <c r="V1070" s="111" t="n"/>
      <c r="W1070" s="111" t="n"/>
      <c r="X1070" s="111" t="n"/>
    </row>
    <row r="1071">
      <c r="A1071" s="34" t="n">
        <v>1069</v>
      </c>
      <c r="I1071" s="111" t="n"/>
      <c r="J1071" s="111" t="n"/>
      <c r="K1071" s="111" t="n"/>
      <c r="L1071" s="111" t="n"/>
      <c r="V1071" s="111" t="n"/>
      <c r="W1071" s="111" t="n"/>
      <c r="X1071" s="111" t="n"/>
    </row>
    <row r="1072">
      <c r="A1072" s="34" t="n">
        <v>1070</v>
      </c>
      <c r="I1072" s="111" t="n"/>
      <c r="J1072" s="111" t="n"/>
      <c r="K1072" s="111" t="n"/>
      <c r="L1072" s="111" t="n"/>
      <c r="V1072" s="111" t="n"/>
      <c r="W1072" s="111" t="n"/>
      <c r="X1072" s="111" t="n"/>
    </row>
    <row r="1073">
      <c r="A1073" s="34" t="n">
        <v>1071</v>
      </c>
      <c r="I1073" s="111" t="n"/>
      <c r="J1073" s="111" t="n"/>
      <c r="K1073" s="111" t="n"/>
      <c r="L1073" s="111" t="n"/>
      <c r="V1073" s="111" t="n"/>
      <c r="W1073" s="111" t="n"/>
      <c r="X1073" s="111" t="n"/>
    </row>
    <row r="1074">
      <c r="A1074" s="34" t="n">
        <v>1072</v>
      </c>
      <c r="I1074" s="111" t="n"/>
      <c r="J1074" s="111" t="n"/>
      <c r="K1074" s="111" t="n"/>
      <c r="L1074" s="111" t="n"/>
      <c r="V1074" s="111" t="n"/>
      <c r="W1074" s="111" t="n"/>
      <c r="X1074" s="111" t="n"/>
    </row>
    <row r="1075">
      <c r="A1075" s="34" t="n">
        <v>1073</v>
      </c>
      <c r="I1075" s="111" t="n"/>
      <c r="J1075" s="111" t="n"/>
      <c r="K1075" s="111" t="n"/>
      <c r="L1075" s="111" t="n"/>
      <c r="V1075" s="111" t="n"/>
      <c r="W1075" s="111" t="n"/>
      <c r="X1075" s="111" t="n"/>
    </row>
    <row r="1076">
      <c r="A1076" s="34" t="n">
        <v>1074</v>
      </c>
      <c r="I1076" s="111" t="n"/>
      <c r="J1076" s="111" t="n"/>
      <c r="K1076" s="111" t="n"/>
      <c r="L1076" s="111" t="n"/>
      <c r="V1076" s="111" t="n"/>
      <c r="W1076" s="111" t="n"/>
      <c r="X1076" s="111" t="n"/>
    </row>
    <row r="1077">
      <c r="A1077" s="34" t="n">
        <v>1075</v>
      </c>
      <c r="I1077" s="111" t="n"/>
      <c r="J1077" s="111" t="n"/>
      <c r="K1077" s="111" t="n"/>
      <c r="L1077" s="111" t="n"/>
      <c r="V1077" s="111" t="n"/>
      <c r="W1077" s="111" t="n"/>
      <c r="X1077" s="111" t="n"/>
    </row>
    <row r="1078">
      <c r="A1078" s="34" t="n">
        <v>1076</v>
      </c>
      <c r="I1078" s="111" t="n"/>
      <c r="J1078" s="111" t="n"/>
      <c r="K1078" s="111" t="n"/>
      <c r="L1078" s="111" t="n"/>
      <c r="V1078" s="111" t="n"/>
      <c r="W1078" s="111" t="n"/>
      <c r="X1078" s="111" t="n"/>
    </row>
    <row r="1079">
      <c r="A1079" s="34" t="n">
        <v>1077</v>
      </c>
      <c r="I1079" s="111" t="n"/>
      <c r="J1079" s="111" t="n"/>
      <c r="K1079" s="111" t="n"/>
      <c r="L1079" s="111" t="n"/>
      <c r="V1079" s="111" t="n"/>
      <c r="W1079" s="111" t="n"/>
      <c r="X1079" s="111" t="n"/>
    </row>
    <row r="1080">
      <c r="A1080" s="34" t="n">
        <v>1078</v>
      </c>
      <c r="I1080" s="111" t="n"/>
      <c r="J1080" s="111" t="n"/>
      <c r="K1080" s="111" t="n"/>
      <c r="L1080" s="111" t="n"/>
      <c r="V1080" s="111" t="n"/>
      <c r="W1080" s="111" t="n"/>
      <c r="X1080" s="111" t="n"/>
    </row>
    <row r="1081">
      <c r="A1081" s="34" t="n">
        <v>1079</v>
      </c>
      <c r="I1081" s="111" t="n"/>
      <c r="J1081" s="111" t="n"/>
      <c r="K1081" s="111" t="n"/>
      <c r="L1081" s="111" t="n"/>
      <c r="V1081" s="111" t="n"/>
      <c r="W1081" s="111" t="n"/>
      <c r="X1081" s="111" t="n"/>
    </row>
    <row r="1082">
      <c r="A1082" s="34" t="n">
        <v>1080</v>
      </c>
      <c r="I1082" s="111" t="n"/>
      <c r="J1082" s="111" t="n"/>
      <c r="K1082" s="111" t="n"/>
      <c r="L1082" s="111" t="n"/>
      <c r="V1082" s="111" t="n"/>
      <c r="W1082" s="111" t="n"/>
      <c r="X1082" s="111" t="n"/>
    </row>
    <row r="1083">
      <c r="A1083" s="34" t="n">
        <v>1081</v>
      </c>
      <c r="I1083" s="111" t="n"/>
      <c r="J1083" s="111" t="n"/>
      <c r="K1083" s="111" t="n"/>
      <c r="L1083" s="111" t="n"/>
      <c r="V1083" s="111" t="n"/>
      <c r="W1083" s="111" t="n"/>
      <c r="X1083" s="111" t="n"/>
    </row>
    <row r="1084">
      <c r="A1084" s="34" t="n">
        <v>1082</v>
      </c>
      <c r="I1084" s="111" t="n"/>
      <c r="J1084" s="111" t="n"/>
      <c r="K1084" s="111" t="n"/>
      <c r="L1084" s="111" t="n"/>
      <c r="V1084" s="111" t="n"/>
      <c r="W1084" s="111" t="n"/>
      <c r="X1084" s="111" t="n"/>
    </row>
    <row r="1085">
      <c r="A1085" s="34" t="n">
        <v>1083</v>
      </c>
      <c r="I1085" s="111" t="n"/>
      <c r="J1085" s="111" t="n"/>
      <c r="K1085" s="111" t="n"/>
      <c r="L1085" s="111" t="n"/>
      <c r="V1085" s="111" t="n"/>
      <c r="W1085" s="111" t="n"/>
      <c r="X1085" s="111" t="n"/>
    </row>
    <row r="1086">
      <c r="A1086" s="34" t="n">
        <v>1084</v>
      </c>
      <c r="I1086" s="111" t="n"/>
      <c r="J1086" s="111" t="n"/>
      <c r="K1086" s="111" t="n"/>
      <c r="L1086" s="111" t="n"/>
      <c r="V1086" s="111" t="n"/>
      <c r="W1086" s="111" t="n"/>
      <c r="X1086" s="111" t="n"/>
    </row>
    <row r="1087">
      <c r="A1087" s="34" t="n">
        <v>1085</v>
      </c>
      <c r="I1087" s="111" t="n"/>
      <c r="J1087" s="111" t="n"/>
      <c r="K1087" s="111" t="n"/>
      <c r="L1087" s="111" t="n"/>
      <c r="V1087" s="111" t="n"/>
      <c r="W1087" s="111" t="n"/>
      <c r="X1087" s="111" t="n"/>
    </row>
    <row r="1088">
      <c r="A1088" s="34" t="n">
        <v>1086</v>
      </c>
      <c r="I1088" s="111" t="n"/>
      <c r="J1088" s="111" t="n"/>
      <c r="K1088" s="111" t="n"/>
      <c r="L1088" s="111" t="n"/>
      <c r="V1088" s="111" t="n"/>
      <c r="W1088" s="111" t="n"/>
      <c r="X1088" s="111" t="n"/>
    </row>
    <row r="1089">
      <c r="A1089" s="34" t="n">
        <v>1087</v>
      </c>
      <c r="I1089" s="111" t="n"/>
      <c r="J1089" s="111" t="n"/>
      <c r="K1089" s="111" t="n"/>
      <c r="L1089" s="111" t="n"/>
      <c r="V1089" s="111" t="n"/>
      <c r="W1089" s="111" t="n"/>
      <c r="X1089" s="111" t="n"/>
    </row>
    <row r="1090">
      <c r="A1090" s="34" t="n">
        <v>1088</v>
      </c>
      <c r="I1090" s="111" t="n"/>
      <c r="J1090" s="111" t="n"/>
      <c r="K1090" s="111" t="n"/>
      <c r="L1090" s="111" t="n"/>
      <c r="V1090" s="111" t="n"/>
      <c r="W1090" s="111" t="n"/>
      <c r="X1090" s="111" t="n"/>
    </row>
    <row r="1091">
      <c r="A1091" s="34" t="n">
        <v>1089</v>
      </c>
      <c r="I1091" s="111" t="n"/>
      <c r="J1091" s="111" t="n"/>
      <c r="K1091" s="111" t="n"/>
      <c r="L1091" s="111" t="n"/>
      <c r="V1091" s="111" t="n"/>
      <c r="W1091" s="111" t="n"/>
      <c r="X1091" s="111" t="n"/>
    </row>
    <row r="1092">
      <c r="A1092" s="34" t="n">
        <v>1090</v>
      </c>
      <c r="I1092" s="111" t="n"/>
      <c r="J1092" s="111" t="n"/>
      <c r="K1092" s="111" t="n"/>
      <c r="L1092" s="111" t="n"/>
      <c r="V1092" s="111" t="n"/>
      <c r="W1092" s="111" t="n"/>
      <c r="X1092" s="111" t="n"/>
    </row>
    <row r="1093">
      <c r="A1093" s="34" t="n">
        <v>1091</v>
      </c>
      <c r="I1093" s="111" t="n"/>
      <c r="J1093" s="111" t="n"/>
      <c r="K1093" s="111" t="n"/>
      <c r="L1093" s="111" t="n"/>
      <c r="V1093" s="111" t="n"/>
      <c r="W1093" s="111" t="n"/>
      <c r="X1093" s="111" t="n"/>
    </row>
    <row r="1094">
      <c r="A1094" s="34" t="n">
        <v>1092</v>
      </c>
      <c r="I1094" s="111" t="n"/>
      <c r="J1094" s="111" t="n"/>
      <c r="K1094" s="111" t="n"/>
      <c r="L1094" s="111" t="n"/>
      <c r="V1094" s="111" t="n"/>
      <c r="W1094" s="111" t="n"/>
      <c r="X1094" s="111" t="n"/>
    </row>
    <row r="1095">
      <c r="A1095" s="34" t="n">
        <v>1093</v>
      </c>
      <c r="I1095" s="111" t="n"/>
      <c r="J1095" s="111" t="n"/>
      <c r="K1095" s="111" t="n"/>
      <c r="L1095" s="111" t="n"/>
      <c r="V1095" s="111" t="n"/>
      <c r="W1095" s="111" t="n"/>
      <c r="X1095" s="111" t="n"/>
    </row>
    <row r="1096">
      <c r="A1096" s="34" t="n">
        <v>1094</v>
      </c>
      <c r="I1096" s="111" t="n"/>
      <c r="J1096" s="111" t="n"/>
      <c r="K1096" s="111" t="n"/>
      <c r="L1096" s="111" t="n"/>
      <c r="V1096" s="111" t="n"/>
      <c r="W1096" s="111" t="n"/>
      <c r="X1096" s="111" t="n"/>
    </row>
    <row r="1097">
      <c r="A1097" s="34" t="n">
        <v>1095</v>
      </c>
      <c r="I1097" s="111" t="n"/>
      <c r="J1097" s="111" t="n"/>
      <c r="K1097" s="111" t="n"/>
      <c r="L1097" s="111" t="n"/>
      <c r="V1097" s="111" t="n"/>
      <c r="W1097" s="111" t="n"/>
      <c r="X1097" s="111" t="n"/>
    </row>
    <row r="1098">
      <c r="A1098" s="34" t="n">
        <v>1096</v>
      </c>
      <c r="I1098" s="111" t="n"/>
      <c r="J1098" s="111" t="n"/>
      <c r="K1098" s="111" t="n"/>
      <c r="L1098" s="111" t="n"/>
      <c r="V1098" s="111" t="n"/>
      <c r="W1098" s="111" t="n"/>
      <c r="X1098" s="111" t="n"/>
    </row>
    <row r="1099">
      <c r="A1099" s="34" t="n">
        <v>1097</v>
      </c>
      <c r="I1099" s="111" t="n"/>
      <c r="J1099" s="111" t="n"/>
      <c r="K1099" s="111" t="n"/>
      <c r="L1099" s="111" t="n"/>
      <c r="V1099" s="111" t="n"/>
      <c r="W1099" s="111" t="n"/>
      <c r="X1099" s="111" t="n"/>
    </row>
    <row r="1100">
      <c r="A1100" s="34" t="n">
        <v>1098</v>
      </c>
      <c r="I1100" s="111" t="n"/>
      <c r="J1100" s="111" t="n"/>
      <c r="K1100" s="111" t="n"/>
      <c r="L1100" s="111" t="n"/>
      <c r="V1100" s="111" t="n"/>
      <c r="W1100" s="111" t="n"/>
      <c r="X1100" s="111" t="n"/>
    </row>
    <row r="1101">
      <c r="A1101" s="34" t="n">
        <v>1099</v>
      </c>
      <c r="I1101" s="111" t="n"/>
      <c r="J1101" s="111" t="n"/>
      <c r="K1101" s="111" t="n"/>
      <c r="L1101" s="111" t="n"/>
      <c r="V1101" s="111" t="n"/>
      <c r="W1101" s="111" t="n"/>
      <c r="X1101" s="111" t="n"/>
    </row>
    <row r="1102">
      <c r="A1102" s="34" t="n">
        <v>1100</v>
      </c>
      <c r="I1102" s="111" t="n"/>
      <c r="J1102" s="111" t="n"/>
      <c r="K1102" s="111" t="n"/>
      <c r="L1102" s="111" t="n"/>
      <c r="V1102" s="111" t="n"/>
      <c r="W1102" s="111" t="n"/>
      <c r="X1102" s="111" t="n"/>
    </row>
    <row r="1103">
      <c r="A1103" s="34" t="n">
        <v>1101</v>
      </c>
      <c r="I1103" s="111" t="n"/>
      <c r="J1103" s="111" t="n"/>
      <c r="K1103" s="111" t="n"/>
      <c r="L1103" s="111" t="n"/>
      <c r="V1103" s="111" t="n"/>
      <c r="W1103" s="111" t="n"/>
      <c r="X1103" s="111" t="n"/>
    </row>
    <row r="1104">
      <c r="A1104" s="34" t="n">
        <v>1102</v>
      </c>
      <c r="I1104" s="111" t="n"/>
      <c r="J1104" s="111" t="n"/>
      <c r="K1104" s="111" t="n"/>
      <c r="L1104" s="111" t="n"/>
      <c r="V1104" s="111" t="n"/>
      <c r="W1104" s="111" t="n"/>
      <c r="X1104" s="111" t="n"/>
    </row>
    <row r="1105">
      <c r="A1105" s="34" t="n">
        <v>1103</v>
      </c>
      <c r="I1105" s="111" t="n"/>
      <c r="J1105" s="111" t="n"/>
      <c r="K1105" s="111" t="n"/>
      <c r="L1105" s="111" t="n"/>
      <c r="V1105" s="111" t="n"/>
      <c r="W1105" s="111" t="n"/>
      <c r="X1105" s="111" t="n"/>
    </row>
    <row r="1106">
      <c r="A1106" s="34" t="n">
        <v>1104</v>
      </c>
      <c r="I1106" s="111" t="n"/>
      <c r="J1106" s="111" t="n"/>
      <c r="K1106" s="111" t="n"/>
      <c r="L1106" s="111" t="n"/>
      <c r="V1106" s="111" t="n"/>
      <c r="W1106" s="111" t="n"/>
      <c r="X1106" s="111" t="n"/>
    </row>
    <row r="1107">
      <c r="A1107" s="34" t="n">
        <v>1105</v>
      </c>
      <c r="I1107" s="111" t="n"/>
      <c r="J1107" s="111" t="n"/>
      <c r="K1107" s="111" t="n"/>
      <c r="L1107" s="111" t="n"/>
      <c r="V1107" s="111" t="n"/>
      <c r="W1107" s="111" t="n"/>
      <c r="X1107" s="111" t="n"/>
    </row>
    <row r="1108">
      <c r="A1108" s="34" t="n">
        <v>1106</v>
      </c>
      <c r="I1108" s="111" t="n"/>
      <c r="J1108" s="111" t="n"/>
      <c r="K1108" s="111" t="n"/>
      <c r="L1108" s="111" t="n"/>
      <c r="V1108" s="111" t="n"/>
      <c r="W1108" s="111" t="n"/>
      <c r="X1108" s="111" t="n"/>
    </row>
    <row r="1109">
      <c r="A1109" s="34" t="n">
        <v>1107</v>
      </c>
      <c r="I1109" s="111" t="n"/>
      <c r="J1109" s="111" t="n"/>
      <c r="K1109" s="111" t="n"/>
      <c r="L1109" s="111" t="n"/>
      <c r="V1109" s="111" t="n"/>
      <c r="W1109" s="111" t="n"/>
      <c r="X1109" s="111" t="n"/>
    </row>
    <row r="1110">
      <c r="A1110" s="34" t="n">
        <v>1108</v>
      </c>
      <c r="I1110" s="111" t="n"/>
      <c r="J1110" s="111" t="n"/>
      <c r="K1110" s="111" t="n"/>
      <c r="L1110" s="111" t="n"/>
      <c r="V1110" s="111" t="n"/>
      <c r="W1110" s="111" t="n"/>
      <c r="X1110" s="111" t="n"/>
    </row>
    <row r="1111">
      <c r="A1111" s="34" t="n">
        <v>1109</v>
      </c>
      <c r="I1111" s="111" t="n"/>
      <c r="J1111" s="111" t="n"/>
      <c r="K1111" s="111" t="n"/>
      <c r="L1111" s="111" t="n"/>
      <c r="V1111" s="111" t="n"/>
      <c r="W1111" s="111" t="n"/>
      <c r="X1111" s="111" t="n"/>
    </row>
    <row r="1112">
      <c r="A1112" s="34" t="n">
        <v>1110</v>
      </c>
      <c r="I1112" s="111" t="n"/>
      <c r="J1112" s="111" t="n"/>
      <c r="K1112" s="111" t="n"/>
      <c r="L1112" s="111" t="n"/>
      <c r="V1112" s="111" t="n"/>
      <c r="W1112" s="111" t="n"/>
      <c r="X1112" s="111" t="n"/>
    </row>
    <row r="1113">
      <c r="A1113" s="34" t="n">
        <v>1111</v>
      </c>
      <c r="I1113" s="111" t="n"/>
      <c r="J1113" s="111" t="n"/>
      <c r="K1113" s="111" t="n"/>
      <c r="L1113" s="111" t="n"/>
      <c r="V1113" s="111" t="n"/>
      <c r="W1113" s="111" t="n"/>
      <c r="X1113" s="111" t="n"/>
    </row>
    <row r="1114">
      <c r="A1114" s="34" t="n">
        <v>1112</v>
      </c>
      <c r="I1114" s="111" t="n"/>
      <c r="J1114" s="111" t="n"/>
      <c r="K1114" s="111" t="n"/>
      <c r="L1114" s="111" t="n"/>
      <c r="V1114" s="111" t="n"/>
      <c r="W1114" s="111" t="n"/>
      <c r="X1114" s="111" t="n"/>
    </row>
    <row r="1115">
      <c r="A1115" s="34" t="n">
        <v>1113</v>
      </c>
      <c r="I1115" s="111" t="n"/>
      <c r="J1115" s="111" t="n"/>
      <c r="K1115" s="111" t="n"/>
      <c r="L1115" s="111" t="n"/>
      <c r="V1115" s="111" t="n"/>
      <c r="W1115" s="111" t="n"/>
      <c r="X1115" s="111" t="n"/>
    </row>
    <row r="1116">
      <c r="A1116" s="34" t="n">
        <v>1114</v>
      </c>
      <c r="I1116" s="111" t="n"/>
      <c r="J1116" s="111" t="n"/>
      <c r="K1116" s="111" t="n"/>
      <c r="L1116" s="111" t="n"/>
      <c r="V1116" s="111" t="n"/>
      <c r="W1116" s="111" t="n"/>
      <c r="X1116" s="111" t="n"/>
    </row>
    <row r="1117">
      <c r="A1117" s="34" t="n">
        <v>1115</v>
      </c>
      <c r="I1117" s="111" t="n"/>
      <c r="J1117" s="111" t="n"/>
      <c r="K1117" s="111" t="n"/>
      <c r="L1117" s="111" t="n"/>
      <c r="V1117" s="111" t="n"/>
      <c r="W1117" s="111" t="n"/>
      <c r="X1117" s="111" t="n"/>
    </row>
    <row r="1118">
      <c r="A1118" s="34" t="n">
        <v>1116</v>
      </c>
      <c r="I1118" s="111" t="n"/>
      <c r="J1118" s="111" t="n"/>
      <c r="K1118" s="111" t="n"/>
      <c r="L1118" s="111" t="n"/>
      <c r="V1118" s="111" t="n"/>
      <c r="W1118" s="111" t="n"/>
      <c r="X1118" s="111" t="n"/>
    </row>
    <row r="1119">
      <c r="A1119" s="34" t="n">
        <v>1117</v>
      </c>
      <c r="I1119" s="111" t="n"/>
      <c r="J1119" s="111" t="n"/>
      <c r="K1119" s="111" t="n"/>
      <c r="L1119" s="111" t="n"/>
      <c r="V1119" s="111" t="n"/>
      <c r="W1119" s="111" t="n"/>
      <c r="X1119" s="111" t="n"/>
    </row>
    <row r="1120">
      <c r="A1120" s="34" t="n">
        <v>1118</v>
      </c>
      <c r="I1120" s="111" t="n"/>
      <c r="J1120" s="111" t="n"/>
      <c r="K1120" s="111" t="n"/>
      <c r="L1120" s="111" t="n"/>
      <c r="V1120" s="111" t="n"/>
      <c r="W1120" s="111" t="n"/>
      <c r="X1120" s="111" t="n"/>
    </row>
    <row r="1121">
      <c r="A1121" s="34" t="n">
        <v>1119</v>
      </c>
      <c r="I1121" s="111" t="n"/>
      <c r="J1121" s="111" t="n"/>
      <c r="K1121" s="111" t="n"/>
      <c r="L1121" s="111" t="n"/>
      <c r="V1121" s="111" t="n"/>
      <c r="W1121" s="111" t="n"/>
      <c r="X1121" s="111" t="n"/>
    </row>
    <row r="1122">
      <c r="A1122" s="34" t="n">
        <v>1120</v>
      </c>
      <c r="I1122" s="111" t="n"/>
      <c r="J1122" s="111" t="n"/>
      <c r="K1122" s="111" t="n"/>
      <c r="L1122" s="111" t="n"/>
      <c r="V1122" s="111" t="n"/>
      <c r="W1122" s="111" t="n"/>
      <c r="X1122" s="111" t="n"/>
    </row>
    <row r="1123">
      <c r="A1123" s="34" t="n">
        <v>1121</v>
      </c>
      <c r="I1123" s="111" t="n"/>
      <c r="J1123" s="111" t="n"/>
      <c r="K1123" s="111" t="n"/>
      <c r="L1123" s="111" t="n"/>
      <c r="V1123" s="111" t="n"/>
      <c r="W1123" s="111" t="n"/>
      <c r="X1123" s="111" t="n"/>
    </row>
    <row r="1124">
      <c r="A1124" s="34" t="n">
        <v>1122</v>
      </c>
      <c r="I1124" s="111" t="n"/>
      <c r="J1124" s="111" t="n"/>
      <c r="K1124" s="111" t="n"/>
      <c r="L1124" s="111" t="n"/>
      <c r="V1124" s="111" t="n"/>
      <c r="W1124" s="111" t="n"/>
      <c r="X1124" s="111" t="n"/>
    </row>
    <row r="1125">
      <c r="A1125" s="34" t="n">
        <v>1123</v>
      </c>
      <c r="I1125" s="111" t="n"/>
      <c r="J1125" s="111" t="n"/>
      <c r="K1125" s="111" t="n"/>
      <c r="L1125" s="111" t="n"/>
      <c r="V1125" s="111" t="n"/>
      <c r="W1125" s="111" t="n"/>
      <c r="X1125" s="111" t="n"/>
    </row>
    <row r="1126">
      <c r="A1126" s="34" t="n">
        <v>1124</v>
      </c>
      <c r="I1126" s="111" t="n"/>
      <c r="J1126" s="111" t="n"/>
      <c r="K1126" s="111" t="n"/>
      <c r="L1126" s="111" t="n"/>
      <c r="V1126" s="111" t="n"/>
      <c r="W1126" s="111" t="n"/>
      <c r="X1126" s="111" t="n"/>
    </row>
    <row r="1127">
      <c r="A1127" s="34" t="n">
        <v>1125</v>
      </c>
      <c r="I1127" s="111" t="n"/>
      <c r="J1127" s="111" t="n"/>
      <c r="K1127" s="111" t="n"/>
      <c r="L1127" s="111" t="n"/>
      <c r="V1127" s="111" t="n"/>
      <c r="W1127" s="111" t="n"/>
      <c r="X1127" s="111" t="n"/>
    </row>
    <row r="1128">
      <c r="A1128" s="34" t="n">
        <v>1126</v>
      </c>
      <c r="I1128" s="111" t="n"/>
      <c r="J1128" s="111" t="n"/>
      <c r="K1128" s="111" t="n"/>
      <c r="L1128" s="111" t="n"/>
      <c r="V1128" s="111" t="n"/>
      <c r="W1128" s="111" t="n"/>
      <c r="X1128" s="111" t="n"/>
    </row>
    <row r="1129">
      <c r="A1129" s="34" t="n">
        <v>1127</v>
      </c>
      <c r="I1129" s="111" t="n"/>
      <c r="J1129" s="111" t="n"/>
      <c r="K1129" s="111" t="n"/>
      <c r="L1129" s="111" t="n"/>
      <c r="V1129" s="111" t="n"/>
      <c r="W1129" s="111" t="n"/>
      <c r="X1129" s="111" t="n"/>
    </row>
    <row r="1130">
      <c r="A1130" s="34" t="n">
        <v>1128</v>
      </c>
      <c r="I1130" s="111" t="n"/>
      <c r="J1130" s="111" t="n"/>
      <c r="K1130" s="111" t="n"/>
      <c r="L1130" s="111" t="n"/>
      <c r="V1130" s="111" t="n"/>
      <c r="W1130" s="111" t="n"/>
      <c r="X1130" s="111" t="n"/>
    </row>
    <row r="1131">
      <c r="A1131" s="34" t="n">
        <v>1129</v>
      </c>
      <c r="I1131" s="111" t="n"/>
      <c r="J1131" s="111" t="n"/>
      <c r="K1131" s="111" t="n"/>
      <c r="L1131" s="111" t="n"/>
      <c r="V1131" s="111" t="n"/>
      <c r="W1131" s="111" t="n"/>
      <c r="X1131" s="111" t="n"/>
    </row>
    <row r="1132">
      <c r="A1132" s="34" t="n">
        <v>1130</v>
      </c>
      <c r="I1132" s="111" t="n"/>
      <c r="J1132" s="111" t="n"/>
      <c r="K1132" s="111" t="n"/>
      <c r="L1132" s="111" t="n"/>
      <c r="V1132" s="111" t="n"/>
      <c r="W1132" s="111" t="n"/>
      <c r="X1132" s="111" t="n"/>
    </row>
    <row r="1133">
      <c r="A1133" s="34" t="n">
        <v>1131</v>
      </c>
      <c r="I1133" s="111" t="n"/>
      <c r="J1133" s="111" t="n"/>
      <c r="K1133" s="111" t="n"/>
      <c r="L1133" s="111" t="n"/>
      <c r="V1133" s="111" t="n"/>
      <c r="W1133" s="111" t="n"/>
      <c r="X1133" s="111" t="n"/>
    </row>
    <row r="1134">
      <c r="A1134" s="34" t="n">
        <v>1132</v>
      </c>
      <c r="I1134" s="111" t="n"/>
      <c r="J1134" s="111" t="n"/>
      <c r="K1134" s="111" t="n"/>
      <c r="L1134" s="111" t="n"/>
      <c r="V1134" s="111" t="n"/>
      <c r="W1134" s="111" t="n"/>
      <c r="X1134" s="111" t="n"/>
    </row>
    <row r="1135">
      <c r="A1135" s="34" t="n">
        <v>1133</v>
      </c>
      <c r="I1135" s="111" t="n"/>
      <c r="J1135" s="111" t="n"/>
      <c r="K1135" s="111" t="n"/>
      <c r="L1135" s="111" t="n"/>
      <c r="V1135" s="111" t="n"/>
      <c r="W1135" s="111" t="n"/>
      <c r="X1135" s="111" t="n"/>
    </row>
    <row r="1136">
      <c r="A1136" s="34" t="n">
        <v>1134</v>
      </c>
      <c r="I1136" s="111" t="n"/>
      <c r="J1136" s="111" t="n"/>
      <c r="K1136" s="111" t="n"/>
      <c r="L1136" s="111" t="n"/>
      <c r="V1136" s="111" t="n"/>
      <c r="W1136" s="111" t="n"/>
      <c r="X1136" s="111" t="n"/>
    </row>
    <row r="1137">
      <c r="A1137" s="34" t="n">
        <v>1135</v>
      </c>
      <c r="I1137" s="111" t="n"/>
      <c r="J1137" s="111" t="n"/>
      <c r="K1137" s="111" t="n"/>
      <c r="L1137" s="111" t="n"/>
      <c r="V1137" s="111" t="n"/>
      <c r="W1137" s="111" t="n"/>
      <c r="X1137" s="111" t="n"/>
    </row>
    <row r="1138">
      <c r="A1138" s="34" t="n">
        <v>1136</v>
      </c>
      <c r="I1138" s="111" t="n"/>
      <c r="J1138" s="111" t="n"/>
      <c r="K1138" s="111" t="n"/>
      <c r="L1138" s="111" t="n"/>
      <c r="V1138" s="111" t="n"/>
      <c r="W1138" s="111" t="n"/>
      <c r="X1138" s="111" t="n"/>
    </row>
    <row r="1139">
      <c r="A1139" s="34" t="n">
        <v>1137</v>
      </c>
      <c r="I1139" s="111" t="n"/>
      <c r="J1139" s="111" t="n"/>
      <c r="K1139" s="111" t="n"/>
      <c r="L1139" s="111" t="n"/>
      <c r="V1139" s="111" t="n"/>
      <c r="W1139" s="111" t="n"/>
      <c r="X1139" s="111" t="n"/>
    </row>
    <row r="1140">
      <c r="A1140" s="34" t="n">
        <v>1138</v>
      </c>
      <c r="I1140" s="111" t="n"/>
      <c r="J1140" s="111" t="n"/>
      <c r="K1140" s="111" t="n"/>
      <c r="L1140" s="111" t="n"/>
      <c r="V1140" s="111" t="n"/>
      <c r="W1140" s="111" t="n"/>
      <c r="X1140" s="111" t="n"/>
    </row>
    <row r="1141">
      <c r="A1141" s="34" t="n">
        <v>1139</v>
      </c>
      <c r="I1141" s="111" t="n"/>
      <c r="J1141" s="111" t="n"/>
      <c r="K1141" s="111" t="n"/>
      <c r="L1141" s="111" t="n"/>
      <c r="V1141" s="111" t="n"/>
      <c r="W1141" s="111" t="n"/>
      <c r="X1141" s="111" t="n"/>
    </row>
    <row r="1142">
      <c r="A1142" s="34" t="n">
        <v>1140</v>
      </c>
      <c r="I1142" s="111" t="n"/>
      <c r="J1142" s="111" t="n"/>
      <c r="K1142" s="111" t="n"/>
      <c r="L1142" s="111" t="n"/>
      <c r="V1142" s="111" t="n"/>
      <c r="W1142" s="111" t="n"/>
      <c r="X1142" s="111" t="n"/>
    </row>
    <row r="1143">
      <c r="A1143" s="34" t="n">
        <v>1141</v>
      </c>
      <c r="I1143" s="111" t="n"/>
      <c r="J1143" s="111" t="n"/>
      <c r="K1143" s="111" t="n"/>
      <c r="L1143" s="111" t="n"/>
      <c r="V1143" s="111" t="n"/>
      <c r="W1143" s="111" t="n"/>
      <c r="X1143" s="111" t="n"/>
    </row>
    <row r="1144">
      <c r="A1144" s="34" t="n">
        <v>1142</v>
      </c>
      <c r="I1144" s="111" t="n"/>
      <c r="J1144" s="111" t="n"/>
      <c r="K1144" s="111" t="n"/>
      <c r="L1144" s="111" t="n"/>
      <c r="V1144" s="111" t="n"/>
      <c r="W1144" s="111" t="n"/>
      <c r="X1144" s="111" t="n"/>
    </row>
    <row r="1145">
      <c r="A1145" s="34" t="n">
        <v>1143</v>
      </c>
      <c r="I1145" s="111" t="n"/>
      <c r="J1145" s="111" t="n"/>
      <c r="K1145" s="111" t="n"/>
      <c r="L1145" s="111" t="n"/>
      <c r="V1145" s="111" t="n"/>
      <c r="W1145" s="111" t="n"/>
      <c r="X1145" s="111" t="n"/>
    </row>
    <row r="1146">
      <c r="A1146" s="34" t="n">
        <v>1144</v>
      </c>
      <c r="I1146" s="111" t="n"/>
      <c r="J1146" s="111" t="n"/>
      <c r="K1146" s="111" t="n"/>
      <c r="L1146" s="111" t="n"/>
      <c r="V1146" s="111" t="n"/>
      <c r="W1146" s="111" t="n"/>
      <c r="X1146" s="111" t="n"/>
    </row>
    <row r="1147">
      <c r="A1147" s="34" t="n">
        <v>1145</v>
      </c>
      <c r="I1147" s="111" t="n"/>
      <c r="J1147" s="111" t="n"/>
      <c r="K1147" s="111" t="n"/>
      <c r="L1147" s="111" t="n"/>
      <c r="V1147" s="111" t="n"/>
      <c r="W1147" s="111" t="n"/>
      <c r="X1147" s="111" t="n"/>
    </row>
    <row r="1148">
      <c r="A1148" s="34" t="n">
        <v>1146</v>
      </c>
      <c r="I1148" s="111" t="n"/>
      <c r="J1148" s="111" t="n"/>
      <c r="K1148" s="111" t="n"/>
      <c r="L1148" s="111" t="n"/>
      <c r="V1148" s="111" t="n"/>
      <c r="W1148" s="111" t="n"/>
      <c r="X1148" s="111" t="n"/>
    </row>
    <row r="1149">
      <c r="A1149" s="34" t="n">
        <v>1147</v>
      </c>
      <c r="I1149" s="111" t="n"/>
      <c r="J1149" s="111" t="n"/>
      <c r="K1149" s="111" t="n"/>
      <c r="L1149" s="111" t="n"/>
      <c r="V1149" s="111" t="n"/>
      <c r="W1149" s="111" t="n"/>
      <c r="X1149" s="111" t="n"/>
    </row>
    <row r="1150">
      <c r="A1150" s="34" t="n">
        <v>1148</v>
      </c>
      <c r="I1150" s="111" t="n"/>
      <c r="J1150" s="111" t="n"/>
      <c r="K1150" s="111" t="n"/>
      <c r="L1150" s="111" t="n"/>
      <c r="V1150" s="111" t="n"/>
      <c r="W1150" s="111" t="n"/>
      <c r="X1150" s="111" t="n"/>
    </row>
    <row r="1151">
      <c r="A1151" s="34" t="n">
        <v>1149</v>
      </c>
      <c r="I1151" s="111" t="n"/>
      <c r="J1151" s="111" t="n"/>
      <c r="K1151" s="111" t="n"/>
      <c r="L1151" s="111" t="n"/>
      <c r="V1151" s="111" t="n"/>
      <c r="W1151" s="111" t="n"/>
      <c r="X1151" s="111" t="n"/>
    </row>
    <row r="1152">
      <c r="A1152" s="34" t="n">
        <v>1150</v>
      </c>
      <c r="I1152" s="111" t="n"/>
      <c r="J1152" s="111" t="n"/>
      <c r="K1152" s="111" t="n"/>
      <c r="L1152" s="111" t="n"/>
      <c r="V1152" s="111" t="n"/>
      <c r="W1152" s="111" t="n"/>
      <c r="X1152" s="111" t="n"/>
    </row>
    <row r="1153">
      <c r="A1153" s="34" t="n">
        <v>1151</v>
      </c>
      <c r="I1153" s="111" t="n"/>
      <c r="J1153" s="111" t="n"/>
      <c r="K1153" s="111" t="n"/>
      <c r="L1153" s="111" t="n"/>
      <c r="V1153" s="111" t="n"/>
      <c r="W1153" s="111" t="n"/>
      <c r="X1153" s="111" t="n"/>
    </row>
    <row r="1154">
      <c r="A1154" s="34" t="n">
        <v>1152</v>
      </c>
      <c r="I1154" s="111" t="n"/>
      <c r="J1154" s="111" t="n"/>
      <c r="K1154" s="111" t="n"/>
      <c r="L1154" s="111" t="n"/>
      <c r="V1154" s="111" t="n"/>
      <c r="W1154" s="111" t="n"/>
      <c r="X1154" s="111" t="n"/>
    </row>
    <row r="1155">
      <c r="A1155" s="34" t="n">
        <v>1153</v>
      </c>
      <c r="I1155" s="111" t="n"/>
      <c r="J1155" s="111" t="n"/>
      <c r="K1155" s="111" t="n"/>
      <c r="L1155" s="111" t="n"/>
      <c r="V1155" s="111" t="n"/>
      <c r="W1155" s="111" t="n"/>
      <c r="X1155" s="111" t="n"/>
    </row>
    <row r="1156">
      <c r="A1156" s="34" t="n">
        <v>1154</v>
      </c>
      <c r="I1156" s="111" t="n"/>
      <c r="J1156" s="111" t="n"/>
      <c r="K1156" s="111" t="n"/>
      <c r="L1156" s="111" t="n"/>
      <c r="V1156" s="111" t="n"/>
      <c r="W1156" s="111" t="n"/>
      <c r="X1156" s="111" t="n"/>
    </row>
    <row r="1157">
      <c r="A1157" s="34" t="n">
        <v>1155</v>
      </c>
      <c r="I1157" s="111" t="n"/>
      <c r="J1157" s="111" t="n"/>
      <c r="K1157" s="111" t="n"/>
      <c r="L1157" s="111" t="n"/>
      <c r="V1157" s="111" t="n"/>
      <c r="W1157" s="111" t="n"/>
      <c r="X1157" s="111" t="n"/>
    </row>
    <row r="1158">
      <c r="A1158" s="34" t="n">
        <v>1156</v>
      </c>
      <c r="I1158" s="111" t="n"/>
      <c r="J1158" s="111" t="n"/>
      <c r="K1158" s="111" t="n"/>
      <c r="L1158" s="111" t="n"/>
      <c r="V1158" s="111" t="n"/>
      <c r="W1158" s="111" t="n"/>
      <c r="X1158" s="111" t="n"/>
    </row>
    <row r="1159">
      <c r="A1159" s="34" t="n">
        <v>1157</v>
      </c>
      <c r="I1159" s="111" t="n"/>
      <c r="J1159" s="111" t="n"/>
      <c r="K1159" s="111" t="n"/>
      <c r="L1159" s="111" t="n"/>
      <c r="V1159" s="111" t="n"/>
      <c r="W1159" s="111" t="n"/>
      <c r="X1159" s="111" t="n"/>
    </row>
    <row r="1160">
      <c r="A1160" s="34" t="n">
        <v>1158</v>
      </c>
      <c r="I1160" s="111" t="n"/>
      <c r="J1160" s="111" t="n"/>
      <c r="K1160" s="111" t="n"/>
      <c r="L1160" s="111" t="n"/>
      <c r="V1160" s="111" t="n"/>
      <c r="W1160" s="111" t="n"/>
      <c r="X1160" s="111" t="n"/>
    </row>
    <row r="1161">
      <c r="A1161" s="34" t="n">
        <v>1159</v>
      </c>
      <c r="I1161" s="111" t="n"/>
      <c r="J1161" s="111" t="n"/>
      <c r="K1161" s="111" t="n"/>
      <c r="L1161" s="111" t="n"/>
      <c r="V1161" s="111" t="n"/>
      <c r="W1161" s="111" t="n"/>
      <c r="X1161" s="111" t="n"/>
    </row>
    <row r="1162">
      <c r="A1162" s="34" t="n">
        <v>1160</v>
      </c>
      <c r="I1162" s="111" t="n"/>
      <c r="J1162" s="111" t="n"/>
      <c r="K1162" s="111" t="n"/>
      <c r="L1162" s="111" t="n"/>
      <c r="V1162" s="111" t="n"/>
      <c r="W1162" s="111" t="n"/>
      <c r="X1162" s="111" t="n"/>
    </row>
    <row r="1163">
      <c r="A1163" s="34" t="n">
        <v>1161</v>
      </c>
      <c r="I1163" s="111" t="n"/>
      <c r="J1163" s="111" t="n"/>
      <c r="K1163" s="111" t="n"/>
      <c r="L1163" s="111" t="n"/>
      <c r="V1163" s="111" t="n"/>
      <c r="W1163" s="111" t="n"/>
      <c r="X1163" s="111" t="n"/>
    </row>
    <row r="1164">
      <c r="A1164" s="34" t="n">
        <v>1162</v>
      </c>
      <c r="I1164" s="111" t="n"/>
      <c r="J1164" s="111" t="n"/>
      <c r="K1164" s="111" t="n"/>
      <c r="L1164" s="111" t="n"/>
      <c r="V1164" s="111" t="n"/>
      <c r="W1164" s="111" t="n"/>
      <c r="X1164" s="111" t="n"/>
    </row>
    <row r="1165">
      <c r="A1165" s="34" t="n">
        <v>1163</v>
      </c>
      <c r="I1165" s="111" t="n"/>
      <c r="J1165" s="111" t="n"/>
      <c r="K1165" s="111" t="n"/>
      <c r="L1165" s="111" t="n"/>
      <c r="V1165" s="111" t="n"/>
      <c r="W1165" s="111" t="n"/>
      <c r="X1165" s="111" t="n"/>
    </row>
    <row r="1166">
      <c r="A1166" s="34" t="n">
        <v>1164</v>
      </c>
      <c r="I1166" s="111" t="n"/>
      <c r="J1166" s="111" t="n"/>
      <c r="K1166" s="111" t="n"/>
      <c r="L1166" s="111" t="n"/>
      <c r="V1166" s="111" t="n"/>
      <c r="W1166" s="111" t="n"/>
      <c r="X1166" s="111" t="n"/>
    </row>
    <row r="1167">
      <c r="A1167" s="34" t="n">
        <v>1165</v>
      </c>
      <c r="I1167" s="111" t="n"/>
      <c r="J1167" s="111" t="n"/>
      <c r="K1167" s="111" t="n"/>
      <c r="L1167" s="111" t="n"/>
      <c r="V1167" s="111" t="n"/>
      <c r="W1167" s="111" t="n"/>
      <c r="X1167" s="111" t="n"/>
    </row>
    <row r="1168">
      <c r="A1168" s="34" t="n">
        <v>1166</v>
      </c>
      <c r="I1168" s="111" t="n"/>
      <c r="J1168" s="111" t="n"/>
      <c r="K1168" s="111" t="n"/>
      <c r="L1168" s="111" t="n"/>
      <c r="V1168" s="111" t="n"/>
      <c r="W1168" s="111" t="n"/>
      <c r="X1168" s="111" t="n"/>
    </row>
    <row r="1169">
      <c r="A1169" s="34" t="n">
        <v>1167</v>
      </c>
      <c r="I1169" s="111" t="n"/>
      <c r="J1169" s="111" t="n"/>
      <c r="K1169" s="111" t="n"/>
      <c r="L1169" s="111" t="n"/>
      <c r="V1169" s="111" t="n"/>
      <c r="W1169" s="111" t="n"/>
      <c r="X1169" s="111" t="n"/>
    </row>
    <row r="1170">
      <c r="A1170" s="34" t="n">
        <v>1168</v>
      </c>
      <c r="I1170" s="111" t="n"/>
      <c r="J1170" s="111" t="n"/>
      <c r="K1170" s="111" t="n"/>
      <c r="L1170" s="111" t="n"/>
      <c r="V1170" s="111" t="n"/>
      <c r="W1170" s="111" t="n"/>
      <c r="X1170" s="111" t="n"/>
    </row>
    <row r="1171">
      <c r="A1171" s="34" t="n">
        <v>1169</v>
      </c>
      <c r="I1171" s="111" t="n"/>
      <c r="J1171" s="111" t="n"/>
      <c r="K1171" s="111" t="n"/>
      <c r="L1171" s="111" t="n"/>
      <c r="V1171" s="111" t="n"/>
      <c r="W1171" s="111" t="n"/>
      <c r="X1171" s="111" t="n"/>
    </row>
    <row r="1172">
      <c r="A1172" s="34" t="n">
        <v>1170</v>
      </c>
      <c r="I1172" s="111" t="n"/>
      <c r="J1172" s="111" t="n"/>
      <c r="K1172" s="111" t="n"/>
      <c r="L1172" s="111" t="n"/>
      <c r="V1172" s="111" t="n"/>
      <c r="W1172" s="111" t="n"/>
      <c r="X1172" s="111" t="n"/>
    </row>
    <row r="1173">
      <c r="A1173" s="34" t="n">
        <v>1171</v>
      </c>
      <c r="I1173" s="111" t="n"/>
      <c r="J1173" s="111" t="n"/>
      <c r="K1173" s="111" t="n"/>
      <c r="L1173" s="111" t="n"/>
      <c r="V1173" s="111" t="n"/>
      <c r="W1173" s="111" t="n"/>
      <c r="X1173" s="111" t="n"/>
    </row>
    <row r="1174">
      <c r="A1174" s="34" t="n">
        <v>1172</v>
      </c>
      <c r="I1174" s="111" t="n"/>
      <c r="J1174" s="111" t="n"/>
      <c r="K1174" s="111" t="n"/>
      <c r="L1174" s="111" t="n"/>
      <c r="V1174" s="111" t="n"/>
      <c r="W1174" s="111" t="n"/>
      <c r="X1174" s="111" t="n"/>
    </row>
    <row r="1175">
      <c r="A1175" s="34" t="n">
        <v>1173</v>
      </c>
      <c r="I1175" s="111" t="n"/>
      <c r="J1175" s="111" t="n"/>
      <c r="K1175" s="111" t="n"/>
      <c r="L1175" s="111" t="n"/>
      <c r="V1175" s="111" t="n"/>
      <c r="W1175" s="111" t="n"/>
      <c r="X1175" s="111" t="n"/>
    </row>
    <row r="1176">
      <c r="A1176" s="34" t="n">
        <v>1174</v>
      </c>
      <c r="I1176" s="111" t="n"/>
      <c r="J1176" s="111" t="n"/>
      <c r="K1176" s="111" t="n"/>
      <c r="L1176" s="111" t="n"/>
      <c r="V1176" s="111" t="n"/>
      <c r="W1176" s="111" t="n"/>
      <c r="X1176" s="111" t="n"/>
    </row>
    <row r="1177">
      <c r="A1177" s="34" t="n">
        <v>1175</v>
      </c>
      <c r="I1177" s="111" t="n"/>
      <c r="J1177" s="111" t="n"/>
      <c r="K1177" s="111" t="n"/>
      <c r="L1177" s="111" t="n"/>
      <c r="V1177" s="111" t="n"/>
      <c r="W1177" s="111" t="n"/>
      <c r="X1177" s="111" t="n"/>
    </row>
    <row r="1178">
      <c r="A1178" s="34" t="n">
        <v>1176</v>
      </c>
      <c r="I1178" s="111" t="n"/>
      <c r="J1178" s="111" t="n"/>
      <c r="K1178" s="111" t="n"/>
      <c r="L1178" s="111" t="n"/>
      <c r="V1178" s="111" t="n"/>
      <c r="W1178" s="111" t="n"/>
      <c r="X1178" s="111" t="n"/>
    </row>
    <row r="1179">
      <c r="A1179" s="34" t="n">
        <v>1177</v>
      </c>
      <c r="I1179" s="111" t="n"/>
      <c r="J1179" s="111" t="n"/>
      <c r="K1179" s="111" t="n"/>
      <c r="L1179" s="111" t="n"/>
      <c r="V1179" s="111" t="n"/>
      <c r="W1179" s="111" t="n"/>
      <c r="X1179" s="111" t="n"/>
    </row>
    <row r="1180">
      <c r="A1180" s="34" t="n">
        <v>1178</v>
      </c>
      <c r="I1180" s="111" t="n"/>
      <c r="J1180" s="111" t="n"/>
      <c r="K1180" s="111" t="n"/>
      <c r="L1180" s="111" t="n"/>
      <c r="V1180" s="111" t="n"/>
      <c r="W1180" s="111" t="n"/>
      <c r="X1180" s="111" t="n"/>
    </row>
    <row r="1181">
      <c r="A1181" s="34" t="n">
        <v>1179</v>
      </c>
      <c r="I1181" s="111" t="n"/>
      <c r="J1181" s="111" t="n"/>
      <c r="K1181" s="111" t="n"/>
      <c r="L1181" s="111" t="n"/>
      <c r="V1181" s="111" t="n"/>
      <c r="W1181" s="111" t="n"/>
      <c r="X1181" s="111" t="n"/>
    </row>
    <row r="1182">
      <c r="A1182" s="34" t="n">
        <v>1180</v>
      </c>
      <c r="I1182" s="111" t="n"/>
      <c r="J1182" s="111" t="n"/>
      <c r="K1182" s="111" t="n"/>
      <c r="L1182" s="111" t="n"/>
      <c r="V1182" s="111" t="n"/>
      <c r="W1182" s="111" t="n"/>
      <c r="X1182" s="111" t="n"/>
    </row>
    <row r="1183">
      <c r="A1183" s="34" t="n">
        <v>1181</v>
      </c>
      <c r="I1183" s="111" t="n"/>
      <c r="J1183" s="111" t="n"/>
      <c r="K1183" s="111" t="n"/>
      <c r="L1183" s="111" t="n"/>
      <c r="V1183" s="111" t="n"/>
      <c r="W1183" s="111" t="n"/>
      <c r="X1183" s="111" t="n"/>
    </row>
    <row r="1184">
      <c r="A1184" s="34" t="n">
        <v>1182</v>
      </c>
      <c r="I1184" s="111" t="n"/>
      <c r="J1184" s="111" t="n"/>
      <c r="K1184" s="111" t="n"/>
      <c r="L1184" s="111" t="n"/>
      <c r="V1184" s="111" t="n"/>
      <c r="W1184" s="111" t="n"/>
      <c r="X1184" s="111" t="n"/>
    </row>
    <row r="1185">
      <c r="A1185" s="34" t="n">
        <v>1183</v>
      </c>
      <c r="I1185" s="111" t="n"/>
      <c r="J1185" s="111" t="n"/>
      <c r="K1185" s="111" t="n"/>
      <c r="L1185" s="111" t="n"/>
      <c r="V1185" s="111" t="n"/>
      <c r="W1185" s="111" t="n"/>
      <c r="X1185" s="111" t="n"/>
    </row>
    <row r="1186">
      <c r="A1186" s="34" t="n">
        <v>1184</v>
      </c>
      <c r="I1186" s="111" t="n"/>
      <c r="J1186" s="111" t="n"/>
      <c r="K1186" s="111" t="n"/>
      <c r="L1186" s="111" t="n"/>
      <c r="V1186" s="111" t="n"/>
      <c r="W1186" s="111" t="n"/>
      <c r="X1186" s="111" t="n"/>
    </row>
    <row r="1187">
      <c r="A1187" s="34" t="n">
        <v>1185</v>
      </c>
      <c r="I1187" s="111" t="n"/>
      <c r="J1187" s="111" t="n"/>
      <c r="K1187" s="111" t="n"/>
      <c r="L1187" s="111" t="n"/>
      <c r="V1187" s="111" t="n"/>
      <c r="W1187" s="111" t="n"/>
      <c r="X1187" s="111" t="n"/>
    </row>
    <row r="1188">
      <c r="A1188" s="34" t="n">
        <v>1186</v>
      </c>
      <c r="I1188" s="111" t="n"/>
      <c r="J1188" s="111" t="n"/>
      <c r="K1188" s="111" t="n"/>
      <c r="L1188" s="111" t="n"/>
      <c r="V1188" s="111" t="n"/>
      <c r="W1188" s="111" t="n"/>
      <c r="X1188" s="111" t="n"/>
    </row>
    <row r="1189">
      <c r="A1189" s="34" t="n">
        <v>1187</v>
      </c>
      <c r="I1189" s="111" t="n"/>
      <c r="J1189" s="111" t="n"/>
      <c r="K1189" s="111" t="n"/>
      <c r="L1189" s="111" t="n"/>
      <c r="V1189" s="111" t="n"/>
      <c r="W1189" s="111" t="n"/>
      <c r="X1189" s="111" t="n"/>
    </row>
    <row r="1190">
      <c r="A1190" s="34" t="n">
        <v>1188</v>
      </c>
      <c r="I1190" s="111" t="n"/>
      <c r="J1190" s="111" t="n"/>
      <c r="K1190" s="111" t="n"/>
      <c r="L1190" s="111" t="n"/>
      <c r="V1190" s="111" t="n"/>
      <c r="W1190" s="111" t="n"/>
      <c r="X1190" s="111" t="n"/>
    </row>
    <row r="1191">
      <c r="A1191" s="34" t="n">
        <v>1189</v>
      </c>
      <c r="I1191" s="111" t="n"/>
      <c r="J1191" s="111" t="n"/>
      <c r="K1191" s="111" t="n"/>
      <c r="L1191" s="111" t="n"/>
      <c r="V1191" s="111" t="n"/>
      <c r="W1191" s="111" t="n"/>
      <c r="X1191" s="111" t="n"/>
    </row>
    <row r="1192">
      <c r="A1192" s="34" t="n">
        <v>1190</v>
      </c>
      <c r="I1192" s="111" t="n"/>
      <c r="J1192" s="111" t="n"/>
      <c r="K1192" s="111" t="n"/>
      <c r="L1192" s="111" t="n"/>
      <c r="V1192" s="111" t="n"/>
      <c r="W1192" s="111" t="n"/>
      <c r="X1192" s="111" t="n"/>
    </row>
    <row r="1193">
      <c r="A1193" s="34" t="n">
        <v>1191</v>
      </c>
      <c r="I1193" s="111" t="n"/>
      <c r="J1193" s="111" t="n"/>
      <c r="K1193" s="111" t="n"/>
      <c r="L1193" s="111" t="n"/>
      <c r="V1193" s="111" t="n"/>
      <c r="W1193" s="111" t="n"/>
      <c r="X1193" s="111" t="n"/>
    </row>
    <row r="1194">
      <c r="A1194" s="34" t="n">
        <v>1192</v>
      </c>
      <c r="I1194" s="111" t="n"/>
      <c r="J1194" s="111" t="n"/>
      <c r="K1194" s="111" t="n"/>
      <c r="L1194" s="111" t="n"/>
      <c r="V1194" s="111" t="n"/>
      <c r="W1194" s="111" t="n"/>
      <c r="X1194" s="111" t="n"/>
    </row>
    <row r="1195">
      <c r="A1195" s="34" t="n">
        <v>1193</v>
      </c>
      <c r="I1195" s="111" t="n"/>
      <c r="J1195" s="111" t="n"/>
      <c r="K1195" s="111" t="n"/>
      <c r="L1195" s="111" t="n"/>
      <c r="V1195" s="111" t="n"/>
      <c r="W1195" s="111" t="n"/>
      <c r="X1195" s="111" t="n"/>
    </row>
    <row r="1196">
      <c r="A1196" s="34" t="n">
        <v>1194</v>
      </c>
      <c r="I1196" s="111" t="n"/>
      <c r="J1196" s="111" t="n"/>
      <c r="K1196" s="111" t="n"/>
      <c r="L1196" s="111" t="n"/>
      <c r="V1196" s="111" t="n"/>
      <c r="W1196" s="111" t="n"/>
      <c r="X1196" s="111" t="n"/>
    </row>
    <row r="1197">
      <c r="A1197" s="34" t="n">
        <v>1195</v>
      </c>
      <c r="I1197" s="111" t="n"/>
      <c r="J1197" s="111" t="n"/>
      <c r="K1197" s="111" t="n"/>
      <c r="L1197" s="111" t="n"/>
      <c r="V1197" s="111" t="n"/>
      <c r="W1197" s="111" t="n"/>
      <c r="X1197" s="111" t="n"/>
    </row>
    <row r="1198">
      <c r="A1198" s="34" t="n">
        <v>1196</v>
      </c>
      <c r="I1198" s="111" t="n"/>
      <c r="J1198" s="111" t="n"/>
      <c r="K1198" s="111" t="n"/>
      <c r="L1198" s="111" t="n"/>
      <c r="V1198" s="111" t="n"/>
      <c r="W1198" s="111" t="n"/>
      <c r="X1198" s="111" t="n"/>
    </row>
    <row r="1199">
      <c r="A1199" s="34" t="n">
        <v>1197</v>
      </c>
      <c r="I1199" s="111" t="n"/>
      <c r="J1199" s="111" t="n"/>
      <c r="K1199" s="111" t="n"/>
      <c r="L1199" s="111" t="n"/>
      <c r="V1199" s="111" t="n"/>
      <c r="W1199" s="111" t="n"/>
      <c r="X1199" s="111" t="n"/>
    </row>
    <row r="1200">
      <c r="A1200" s="34" t="n">
        <v>1198</v>
      </c>
      <c r="I1200" s="111" t="n"/>
      <c r="J1200" s="111" t="n"/>
      <c r="K1200" s="111" t="n"/>
      <c r="L1200" s="111" t="n"/>
      <c r="V1200" s="111" t="n"/>
      <c r="W1200" s="111" t="n"/>
      <c r="X1200" s="111" t="n"/>
    </row>
    <row r="1201">
      <c r="A1201" s="34" t="n">
        <v>1199</v>
      </c>
      <c r="I1201" s="111" t="n"/>
      <c r="J1201" s="111" t="n"/>
      <c r="K1201" s="111" t="n"/>
      <c r="L1201" s="111" t="n"/>
      <c r="V1201" s="111" t="n"/>
      <c r="W1201" s="111" t="n"/>
      <c r="X1201" s="111" t="n"/>
    </row>
    <row r="1202">
      <c r="A1202" s="34" t="n">
        <v>1200</v>
      </c>
      <c r="I1202" s="111" t="n"/>
      <c r="J1202" s="111" t="n"/>
      <c r="K1202" s="111" t="n"/>
      <c r="L1202" s="111" t="n"/>
      <c r="V1202" s="111" t="n"/>
      <c r="W1202" s="111" t="n"/>
      <c r="X1202" s="111" t="n"/>
    </row>
    <row r="1203">
      <c r="A1203" s="34" t="n">
        <v>1201</v>
      </c>
      <c r="I1203" s="111" t="n"/>
      <c r="J1203" s="111" t="n"/>
      <c r="K1203" s="111" t="n"/>
      <c r="L1203" s="111" t="n"/>
      <c r="V1203" s="111" t="n"/>
      <c r="W1203" s="111" t="n"/>
      <c r="X1203" s="111" t="n"/>
    </row>
    <row r="1204">
      <c r="A1204" s="34" t="n">
        <v>1202</v>
      </c>
      <c r="I1204" s="111" t="n"/>
      <c r="J1204" s="111" t="n"/>
      <c r="K1204" s="111" t="n"/>
      <c r="L1204" s="111" t="n"/>
      <c r="V1204" s="111" t="n"/>
      <c r="W1204" s="111" t="n"/>
      <c r="X1204" s="111" t="n"/>
    </row>
    <row r="1205">
      <c r="A1205" s="34" t="n">
        <v>1203</v>
      </c>
      <c r="I1205" s="111" t="n"/>
      <c r="J1205" s="111" t="n"/>
      <c r="K1205" s="111" t="n"/>
      <c r="L1205" s="111" t="n"/>
      <c r="V1205" s="111" t="n"/>
      <c r="W1205" s="111" t="n"/>
      <c r="X1205" s="111" t="n"/>
    </row>
    <row r="1206">
      <c r="A1206" s="34" t="n">
        <v>1204</v>
      </c>
      <c r="I1206" s="111" t="n"/>
      <c r="J1206" s="111" t="n"/>
      <c r="K1206" s="111" t="n"/>
      <c r="L1206" s="111" t="n"/>
      <c r="V1206" s="111" t="n"/>
      <c r="W1206" s="111" t="n"/>
      <c r="X1206" s="111" t="n"/>
    </row>
    <row r="1207">
      <c r="A1207" s="34" t="n">
        <v>1205</v>
      </c>
      <c r="I1207" s="111" t="n"/>
      <c r="J1207" s="111" t="n"/>
      <c r="K1207" s="111" t="n"/>
      <c r="L1207" s="111" t="n"/>
      <c r="V1207" s="111" t="n"/>
      <c r="W1207" s="111" t="n"/>
      <c r="X1207" s="111" t="n"/>
    </row>
    <row r="1208">
      <c r="A1208" s="34" t="n">
        <v>1206</v>
      </c>
      <c r="I1208" s="111" t="n"/>
      <c r="J1208" s="111" t="n"/>
      <c r="K1208" s="111" t="n"/>
      <c r="L1208" s="111" t="n"/>
      <c r="V1208" s="111" t="n"/>
      <c r="W1208" s="111" t="n"/>
      <c r="X1208" s="111" t="n"/>
    </row>
    <row r="1209">
      <c r="A1209" s="34" t="n">
        <v>1207</v>
      </c>
      <c r="I1209" s="111" t="n"/>
      <c r="J1209" s="111" t="n"/>
      <c r="K1209" s="111" t="n"/>
      <c r="L1209" s="111" t="n"/>
      <c r="V1209" s="111" t="n"/>
      <c r="W1209" s="111" t="n"/>
      <c r="X1209" s="111" t="n"/>
    </row>
    <row r="1210">
      <c r="A1210" s="34" t="n">
        <v>1208</v>
      </c>
      <c r="I1210" s="111" t="n"/>
      <c r="J1210" s="111" t="n"/>
      <c r="K1210" s="111" t="n"/>
      <c r="L1210" s="111" t="n"/>
      <c r="V1210" s="111" t="n"/>
      <c r="W1210" s="111" t="n"/>
      <c r="X1210" s="111" t="n"/>
    </row>
    <row r="1211">
      <c r="A1211" s="34" t="n">
        <v>1209</v>
      </c>
      <c r="I1211" s="111" t="n"/>
      <c r="J1211" s="111" t="n"/>
      <c r="K1211" s="111" t="n"/>
      <c r="L1211" s="111" t="n"/>
      <c r="V1211" s="111" t="n"/>
      <c r="W1211" s="111" t="n"/>
      <c r="X1211" s="111" t="n"/>
    </row>
    <row r="1212">
      <c r="A1212" s="34" t="n">
        <v>1210</v>
      </c>
      <c r="I1212" s="111" t="n"/>
      <c r="J1212" s="111" t="n"/>
      <c r="K1212" s="111" t="n"/>
      <c r="L1212" s="111" t="n"/>
      <c r="V1212" s="111" t="n"/>
      <c r="W1212" s="111" t="n"/>
      <c r="X1212" s="111" t="n"/>
    </row>
    <row r="1213">
      <c r="A1213" s="34" t="n">
        <v>1211</v>
      </c>
      <c r="I1213" s="111" t="n"/>
      <c r="J1213" s="111" t="n"/>
      <c r="K1213" s="111" t="n"/>
      <c r="L1213" s="111" t="n"/>
      <c r="V1213" s="111" t="n"/>
      <c r="W1213" s="111" t="n"/>
      <c r="X1213" s="111" t="n"/>
    </row>
    <row r="1214">
      <c r="A1214" s="34" t="n">
        <v>1212</v>
      </c>
      <c r="I1214" s="111" t="n"/>
      <c r="J1214" s="111" t="n"/>
      <c r="K1214" s="111" t="n"/>
      <c r="L1214" s="111" t="n"/>
      <c r="V1214" s="111" t="n"/>
      <c r="W1214" s="111" t="n"/>
      <c r="X1214" s="111" t="n"/>
    </row>
    <row r="1215">
      <c r="A1215" s="34" t="n">
        <v>1213</v>
      </c>
      <c r="I1215" s="111" t="n"/>
      <c r="J1215" s="111" t="n"/>
      <c r="K1215" s="111" t="n"/>
      <c r="L1215" s="111" t="n"/>
      <c r="V1215" s="111" t="n"/>
      <c r="W1215" s="111" t="n"/>
      <c r="X1215" s="111" t="n"/>
    </row>
    <row r="1216">
      <c r="A1216" s="34" t="n"/>
      <c r="I1216" s="111" t="n"/>
      <c r="J1216" s="111" t="n"/>
      <c r="K1216" s="111" t="n"/>
      <c r="L1216" s="111" t="n"/>
      <c r="V1216" s="111" t="n"/>
      <c r="W1216" s="111" t="n"/>
      <c r="X1216" s="111" t="n"/>
    </row>
    <row r="1217">
      <c r="A1217" s="34" t="n"/>
      <c r="I1217" s="111" t="n"/>
      <c r="J1217" s="111" t="n"/>
      <c r="K1217" s="111" t="n"/>
      <c r="L1217" s="111" t="n"/>
      <c r="V1217" s="111" t="n"/>
      <c r="W1217" s="111" t="n"/>
      <c r="X1217" s="111" t="n"/>
    </row>
    <row r="1218">
      <c r="A1218" s="34" t="n"/>
      <c r="I1218" s="111" t="n"/>
      <c r="J1218" s="111" t="n"/>
      <c r="K1218" s="111" t="n"/>
      <c r="L1218" s="111" t="n"/>
      <c r="V1218" s="111" t="n"/>
      <c r="W1218" s="111" t="n"/>
      <c r="X1218" s="111" t="n"/>
    </row>
    <row r="1219">
      <c r="A1219" s="34" t="n"/>
      <c r="I1219" s="111" t="n"/>
      <c r="J1219" s="111" t="n"/>
      <c r="K1219" s="111" t="n"/>
      <c r="L1219" s="111" t="n"/>
      <c r="V1219" s="111" t="n"/>
      <c r="W1219" s="111" t="n"/>
      <c r="X1219" s="111" t="n"/>
    </row>
    <row r="1220">
      <c r="A1220" s="34" t="n"/>
      <c r="I1220" s="111" t="n"/>
      <c r="J1220" s="111" t="n"/>
      <c r="K1220" s="111" t="n"/>
      <c r="L1220" s="111" t="n"/>
      <c r="V1220" s="111" t="n"/>
      <c r="W1220" s="111" t="n"/>
      <c r="X1220" s="111" t="n"/>
    </row>
    <row r="1221">
      <c r="A1221" s="34" t="n"/>
      <c r="I1221" s="111" t="n"/>
      <c r="J1221" s="111" t="n"/>
      <c r="K1221" s="111" t="n"/>
      <c r="L1221" s="111" t="n"/>
      <c r="V1221" s="111" t="n"/>
      <c r="W1221" s="111" t="n"/>
      <c r="X1221" s="111" t="n"/>
    </row>
    <row r="1222">
      <c r="A1222" s="34" t="n"/>
      <c r="I1222" s="111" t="n"/>
      <c r="J1222" s="111" t="n"/>
      <c r="K1222" s="111" t="n"/>
      <c r="L1222" s="111" t="n"/>
      <c r="V1222" s="111" t="n"/>
      <c r="W1222" s="111" t="n"/>
      <c r="X1222" s="111" t="n"/>
    </row>
    <row r="1223">
      <c r="A1223" s="34" t="n"/>
      <c r="I1223" s="111" t="n"/>
      <c r="J1223" s="111" t="n"/>
      <c r="K1223" s="111" t="n"/>
      <c r="L1223" s="111" t="n"/>
      <c r="V1223" s="111" t="n"/>
      <c r="W1223" s="111" t="n"/>
      <c r="X1223" s="111" t="n"/>
    </row>
    <row r="1224">
      <c r="A1224" s="34" t="n"/>
      <c r="I1224" s="111" t="n"/>
      <c r="J1224" s="111" t="n"/>
      <c r="K1224" s="111" t="n"/>
      <c r="L1224" s="111" t="n"/>
      <c r="V1224" s="111" t="n"/>
      <c r="W1224" s="111" t="n"/>
      <c r="X1224" s="111" t="n"/>
    </row>
    <row r="1225">
      <c r="A1225" s="34" t="n"/>
      <c r="I1225" s="111" t="n"/>
      <c r="J1225" s="111" t="n"/>
      <c r="K1225" s="111" t="n"/>
      <c r="L1225" s="111" t="n"/>
      <c r="V1225" s="111" t="n"/>
      <c r="W1225" s="111" t="n"/>
      <c r="X1225" s="111" t="n"/>
    </row>
    <row r="1226">
      <c r="A1226" s="34" t="n"/>
      <c r="I1226" s="111" t="n"/>
      <c r="J1226" s="111" t="n"/>
      <c r="K1226" s="111" t="n"/>
      <c r="L1226" s="111" t="n"/>
      <c r="V1226" s="111" t="n"/>
      <c r="W1226" s="111" t="n"/>
      <c r="X1226" s="111" t="n"/>
    </row>
    <row r="1227">
      <c r="A1227" s="34" t="n"/>
      <c r="I1227" s="111" t="n"/>
      <c r="J1227" s="111" t="n"/>
      <c r="K1227" s="111" t="n"/>
      <c r="L1227" s="111" t="n"/>
      <c r="V1227" s="111" t="n"/>
      <c r="W1227" s="111" t="n"/>
      <c r="X1227" s="111" t="n"/>
    </row>
    <row r="1228">
      <c r="A1228" s="34" t="n"/>
      <c r="I1228" s="111" t="n"/>
      <c r="J1228" s="111" t="n"/>
      <c r="K1228" s="111" t="n"/>
      <c r="L1228" s="111" t="n"/>
      <c r="V1228" s="111" t="n"/>
      <c r="W1228" s="111" t="n"/>
      <c r="X1228" s="111" t="n"/>
    </row>
    <row r="1229">
      <c r="A1229" s="34" t="n"/>
      <c r="I1229" s="111" t="n"/>
      <c r="J1229" s="111" t="n"/>
      <c r="K1229" s="111" t="n"/>
      <c r="L1229" s="111" t="n"/>
      <c r="V1229" s="111" t="n"/>
      <c r="W1229" s="111" t="n"/>
      <c r="X1229" s="111" t="n"/>
    </row>
    <row r="1230">
      <c r="A1230" s="34" t="n"/>
      <c r="I1230" s="111" t="n"/>
      <c r="J1230" s="111" t="n"/>
      <c r="K1230" s="111" t="n"/>
      <c r="L1230" s="111" t="n"/>
      <c r="V1230" s="111" t="n"/>
      <c r="W1230" s="111" t="n"/>
      <c r="X1230" s="111" t="n"/>
    </row>
    <row r="1231">
      <c r="A1231" s="34" t="n"/>
      <c r="I1231" s="111" t="n"/>
      <c r="J1231" s="111" t="n"/>
      <c r="K1231" s="111" t="n"/>
      <c r="L1231" s="111" t="n"/>
      <c r="V1231" s="111" t="n"/>
      <c r="W1231" s="111" t="n"/>
      <c r="X1231" s="111" t="n"/>
    </row>
    <row r="1232">
      <c r="A1232" s="34" t="n"/>
      <c r="I1232" s="111" t="n"/>
      <c r="J1232" s="111" t="n"/>
      <c r="K1232" s="111" t="n"/>
      <c r="L1232" s="111" t="n"/>
      <c r="V1232" s="111" t="n"/>
      <c r="W1232" s="111" t="n"/>
      <c r="X1232" s="111" t="n"/>
    </row>
    <row r="1233">
      <c r="A1233" s="34" t="n"/>
      <c r="I1233" s="111" t="n"/>
      <c r="J1233" s="111" t="n"/>
      <c r="K1233" s="111" t="n"/>
      <c r="L1233" s="111" t="n"/>
      <c r="V1233" s="111" t="n"/>
      <c r="W1233" s="111" t="n"/>
      <c r="X1233" s="111" t="n"/>
    </row>
    <row r="1234">
      <c r="A1234" s="34" t="n"/>
      <c r="I1234" s="111" t="n"/>
      <c r="J1234" s="111" t="n"/>
      <c r="K1234" s="111" t="n"/>
      <c r="L1234" s="111" t="n"/>
      <c r="V1234" s="111" t="n"/>
      <c r="W1234" s="111" t="n"/>
      <c r="X1234" s="111" t="n"/>
    </row>
    <row r="1235">
      <c r="A1235" s="34" t="n"/>
      <c r="I1235" s="111" t="n"/>
      <c r="J1235" s="111" t="n"/>
      <c r="K1235" s="111" t="n"/>
      <c r="L1235" s="111" t="n"/>
      <c r="V1235" s="111" t="n"/>
      <c r="W1235" s="111" t="n"/>
      <c r="X1235" s="111" t="n"/>
    </row>
    <row r="1236">
      <c r="A1236" s="34" t="n"/>
      <c r="I1236" s="111" t="n"/>
      <c r="J1236" s="111" t="n"/>
      <c r="K1236" s="111" t="n"/>
      <c r="L1236" s="111" t="n"/>
      <c r="V1236" s="111" t="n"/>
      <c r="W1236" s="111" t="n"/>
      <c r="X1236" s="111" t="n"/>
    </row>
    <row r="1237">
      <c r="A1237" s="34" t="n"/>
      <c r="I1237" s="111" t="n"/>
      <c r="J1237" s="111" t="n"/>
      <c r="K1237" s="111" t="n"/>
      <c r="L1237" s="111" t="n"/>
      <c r="V1237" s="111" t="n"/>
      <c r="W1237" s="111" t="n"/>
      <c r="X1237" s="111" t="n"/>
    </row>
    <row r="1238">
      <c r="A1238" s="34" t="n"/>
      <c r="I1238" s="111" t="n"/>
      <c r="J1238" s="111" t="n"/>
      <c r="K1238" s="111" t="n"/>
      <c r="L1238" s="111" t="n"/>
      <c r="V1238" s="111" t="n"/>
      <c r="W1238" s="111" t="n"/>
      <c r="X1238" s="111" t="n"/>
    </row>
    <row r="1239">
      <c r="A1239" s="34" t="n"/>
      <c r="I1239" s="111" t="n"/>
      <c r="J1239" s="111" t="n"/>
      <c r="K1239" s="111" t="n"/>
      <c r="L1239" s="111" t="n"/>
      <c r="V1239" s="111" t="n"/>
      <c r="W1239" s="111" t="n"/>
      <c r="X1239" s="111" t="n"/>
    </row>
    <row r="1240">
      <c r="A1240" s="34" t="n"/>
      <c r="I1240" s="111" t="n"/>
      <c r="J1240" s="111" t="n"/>
      <c r="K1240" s="111" t="n"/>
      <c r="L1240" s="111" t="n"/>
      <c r="V1240" s="111" t="n"/>
      <c r="W1240" s="111" t="n"/>
      <c r="X1240" s="111" t="n"/>
    </row>
    <row r="1241">
      <c r="A1241" s="34" t="n"/>
      <c r="I1241" s="111" t="n"/>
      <c r="J1241" s="111" t="n"/>
      <c r="K1241" s="111" t="n"/>
      <c r="L1241" s="111" t="n"/>
      <c r="V1241" s="111" t="n"/>
      <c r="W1241" s="111" t="n"/>
      <c r="X1241" s="111" t="n"/>
    </row>
    <row r="1242">
      <c r="A1242" s="34" t="n"/>
      <c r="I1242" s="111" t="n"/>
      <c r="J1242" s="111" t="n"/>
      <c r="K1242" s="111" t="n"/>
      <c r="L1242" s="111" t="n"/>
      <c r="V1242" s="111" t="n"/>
      <c r="W1242" s="111" t="n"/>
      <c r="X1242" s="111" t="n"/>
    </row>
    <row r="1243">
      <c r="A1243" s="34" t="n"/>
      <c r="I1243" s="111" t="n"/>
      <c r="J1243" s="111" t="n"/>
      <c r="K1243" s="111" t="n"/>
      <c r="L1243" s="111" t="n"/>
      <c r="V1243" s="111" t="n"/>
      <c r="W1243" s="111" t="n"/>
      <c r="X1243" s="111" t="n"/>
    </row>
    <row r="1244">
      <c r="A1244" s="34" t="n"/>
      <c r="I1244" s="111" t="n"/>
      <c r="J1244" s="111" t="n"/>
      <c r="K1244" s="111" t="n"/>
      <c r="L1244" s="111" t="n"/>
      <c r="V1244" s="111" t="n"/>
      <c r="W1244" s="111" t="n"/>
      <c r="X1244" s="111" t="n"/>
    </row>
    <row r="1245">
      <c r="A1245" s="34" t="n"/>
      <c r="I1245" s="111" t="n"/>
      <c r="J1245" s="111" t="n"/>
      <c r="K1245" s="111" t="n"/>
      <c r="L1245" s="111" t="n"/>
      <c r="V1245" s="111" t="n"/>
      <c r="W1245" s="111" t="n"/>
      <c r="X1245" s="111" t="n"/>
    </row>
    <row r="1246">
      <c r="A1246" s="34" t="n"/>
      <c r="I1246" s="111" t="n"/>
      <c r="J1246" s="111" t="n"/>
      <c r="K1246" s="111" t="n"/>
      <c r="L1246" s="111" t="n"/>
      <c r="V1246" s="111" t="n"/>
      <c r="W1246" s="111" t="n"/>
      <c r="X1246" s="111" t="n"/>
    </row>
    <row r="1247">
      <c r="A1247" s="34" t="n"/>
      <c r="I1247" s="111" t="n"/>
      <c r="J1247" s="111" t="n"/>
      <c r="K1247" s="111" t="n"/>
      <c r="L1247" s="111" t="n"/>
      <c r="V1247" s="111" t="n"/>
      <c r="W1247" s="111" t="n"/>
      <c r="X1247" s="111" t="n"/>
    </row>
    <row r="1248">
      <c r="A1248" s="34" t="n"/>
      <c r="I1248" s="111" t="n"/>
      <c r="J1248" s="111" t="n"/>
      <c r="K1248" s="111" t="n"/>
      <c r="L1248" s="111" t="n"/>
      <c r="V1248" s="111" t="n"/>
      <c r="W1248" s="111" t="n"/>
      <c r="X1248" s="111" t="n"/>
    </row>
    <row r="1249">
      <c r="A1249" s="34" t="n"/>
      <c r="I1249" s="111" t="n"/>
      <c r="J1249" s="111" t="n"/>
      <c r="K1249" s="111" t="n"/>
      <c r="L1249" s="111" t="n"/>
      <c r="V1249" s="111" t="n"/>
      <c r="W1249" s="111" t="n"/>
      <c r="X1249" s="111" t="n"/>
    </row>
    <row r="1250">
      <c r="A1250" s="34" t="n"/>
      <c r="I1250" s="111" t="n"/>
      <c r="J1250" s="111" t="n"/>
      <c r="K1250" s="111" t="n"/>
      <c r="L1250" s="111" t="n"/>
      <c r="V1250" s="111" t="n"/>
      <c r="W1250" s="111" t="n"/>
      <c r="X1250" s="111" t="n"/>
    </row>
    <row r="1251">
      <c r="A1251" s="34" t="n"/>
      <c r="I1251" s="111" t="n"/>
      <c r="J1251" s="111" t="n"/>
      <c r="K1251" s="111" t="n"/>
      <c r="L1251" s="111" t="n"/>
      <c r="V1251" s="111" t="n"/>
      <c r="W1251" s="111" t="n"/>
      <c r="X1251" s="111" t="n"/>
    </row>
    <row r="1252">
      <c r="A1252" s="34" t="n"/>
      <c r="I1252" s="111" t="n"/>
      <c r="J1252" s="111" t="n"/>
      <c r="K1252" s="111" t="n"/>
      <c r="L1252" s="111" t="n"/>
      <c r="V1252" s="111" t="n"/>
      <c r="W1252" s="111" t="n"/>
      <c r="X1252" s="111" t="n"/>
    </row>
    <row r="1253">
      <c r="A1253" s="34" t="n"/>
      <c r="I1253" s="111" t="n"/>
      <c r="J1253" s="111" t="n"/>
      <c r="K1253" s="111" t="n"/>
      <c r="L1253" s="111" t="n"/>
      <c r="V1253" s="111" t="n"/>
      <c r="W1253" s="111" t="n"/>
      <c r="X1253" s="111" t="n"/>
    </row>
    <row r="1254">
      <c r="A1254" s="34" t="n"/>
      <c r="I1254" s="111" t="n"/>
      <c r="J1254" s="111" t="n"/>
      <c r="K1254" s="111" t="n"/>
      <c r="L1254" s="111" t="n"/>
      <c r="V1254" s="111" t="n"/>
      <c r="W1254" s="111" t="n"/>
      <c r="X1254" s="111" t="n"/>
    </row>
    <row r="1255">
      <c r="A1255" s="34" t="n"/>
      <c r="I1255" s="111" t="n"/>
      <c r="J1255" s="111" t="n"/>
      <c r="K1255" s="111" t="n"/>
      <c r="L1255" s="111" t="n"/>
      <c r="V1255" s="111" t="n"/>
      <c r="W1255" s="111" t="n"/>
      <c r="X1255" s="111" t="n"/>
    </row>
    <row r="1256">
      <c r="A1256" s="34" t="n"/>
      <c r="I1256" s="111" t="n"/>
      <c r="J1256" s="111" t="n"/>
      <c r="K1256" s="111" t="n"/>
      <c r="L1256" s="111" t="n"/>
      <c r="V1256" s="111" t="n"/>
      <c r="W1256" s="111" t="n"/>
      <c r="X1256" s="111" t="n"/>
    </row>
    <row r="1257">
      <c r="A1257" s="34" t="n"/>
      <c r="I1257" s="111" t="n"/>
      <c r="J1257" s="111" t="n"/>
      <c r="K1257" s="111" t="n"/>
      <c r="L1257" s="111" t="n"/>
      <c r="V1257" s="111" t="n"/>
      <c r="W1257" s="111" t="n"/>
      <c r="X1257" s="111" t="n"/>
    </row>
    <row r="1258">
      <c r="A1258" s="34" t="n"/>
      <c r="I1258" s="111" t="n"/>
      <c r="J1258" s="111" t="n"/>
      <c r="K1258" s="111" t="n"/>
      <c r="L1258" s="111" t="n"/>
      <c r="V1258" s="111" t="n"/>
      <c r="W1258" s="111" t="n"/>
      <c r="X1258" s="111" t="n"/>
    </row>
    <row r="1259">
      <c r="A1259" s="34" t="n"/>
      <c r="I1259" s="111" t="n"/>
      <c r="J1259" s="111" t="n"/>
      <c r="K1259" s="111" t="n"/>
      <c r="L1259" s="111" t="n"/>
      <c r="V1259" s="111" t="n"/>
      <c r="W1259" s="111" t="n"/>
      <c r="X1259" s="111" t="n"/>
    </row>
    <row r="1260">
      <c r="A1260" s="34" t="n"/>
      <c r="I1260" s="111" t="n"/>
      <c r="J1260" s="111" t="n"/>
      <c r="K1260" s="111" t="n"/>
      <c r="L1260" s="111" t="n"/>
      <c r="V1260" s="111" t="n"/>
      <c r="W1260" s="111" t="n"/>
      <c r="X1260" s="111" t="n"/>
    </row>
    <row r="1261">
      <c r="A1261" s="34" t="n"/>
      <c r="I1261" s="111" t="n"/>
      <c r="J1261" s="111" t="n"/>
      <c r="K1261" s="111" t="n"/>
      <c r="L1261" s="111" t="n"/>
      <c r="V1261" s="111" t="n"/>
      <c r="W1261" s="111" t="n"/>
      <c r="X1261" s="111" t="n"/>
    </row>
    <row r="1262">
      <c r="A1262" s="34" t="n"/>
      <c r="I1262" s="111" t="n"/>
      <c r="J1262" s="111" t="n"/>
      <c r="K1262" s="111" t="n"/>
      <c r="L1262" s="111" t="n"/>
      <c r="V1262" s="111" t="n"/>
      <c r="W1262" s="111" t="n"/>
      <c r="X1262" s="111" t="n"/>
    </row>
    <row r="1263">
      <c r="A1263" s="34" t="n"/>
      <c r="I1263" s="111" t="n"/>
      <c r="J1263" s="111" t="n"/>
      <c r="K1263" s="111" t="n"/>
      <c r="L1263" s="111" t="n"/>
      <c r="V1263" s="111" t="n"/>
      <c r="W1263" s="111" t="n"/>
      <c r="X1263" s="111" t="n"/>
    </row>
    <row r="1264">
      <c r="A1264" s="34" t="n"/>
      <c r="I1264" s="111" t="n"/>
      <c r="J1264" s="111" t="n"/>
      <c r="K1264" s="111" t="n"/>
      <c r="L1264" s="111" t="n"/>
      <c r="V1264" s="111" t="n"/>
      <c r="W1264" s="111" t="n"/>
      <c r="X1264" s="111" t="n"/>
    </row>
    <row r="1265">
      <c r="A1265" s="34" t="n"/>
      <c r="I1265" s="111" t="n"/>
      <c r="J1265" s="111" t="n"/>
      <c r="K1265" s="111" t="n"/>
      <c r="L1265" s="111" t="n"/>
      <c r="V1265" s="111" t="n"/>
      <c r="W1265" s="111" t="n"/>
      <c r="X1265" s="111" t="n"/>
    </row>
    <row r="1266">
      <c r="A1266" s="34" t="n"/>
      <c r="I1266" s="111" t="n"/>
      <c r="J1266" s="111" t="n"/>
      <c r="K1266" s="111" t="n"/>
      <c r="L1266" s="111" t="n"/>
      <c r="V1266" s="111" t="n"/>
      <c r="W1266" s="111" t="n"/>
      <c r="X1266" s="111" t="n"/>
    </row>
    <row r="1267">
      <c r="A1267" s="34" t="n"/>
      <c r="I1267" s="111" t="n"/>
      <c r="J1267" s="111" t="n"/>
      <c r="K1267" s="111" t="n"/>
      <c r="L1267" s="111" t="n"/>
      <c r="V1267" s="111" t="n"/>
      <c r="W1267" s="111" t="n"/>
      <c r="X1267" s="111" t="n"/>
    </row>
    <row r="1268">
      <c r="A1268" s="34" t="n"/>
      <c r="I1268" s="111" t="n"/>
      <c r="J1268" s="111" t="n"/>
      <c r="K1268" s="111" t="n"/>
      <c r="L1268" s="111" t="n"/>
      <c r="V1268" s="111" t="n"/>
      <c r="W1268" s="111" t="n"/>
      <c r="X1268" s="111" t="n"/>
    </row>
    <row r="1269">
      <c r="A1269" s="34" t="n"/>
      <c r="I1269" s="111" t="n"/>
      <c r="J1269" s="111" t="n"/>
      <c r="K1269" s="111" t="n"/>
      <c r="L1269" s="111" t="n"/>
      <c r="V1269" s="111" t="n"/>
      <c r="W1269" s="111" t="n"/>
      <c r="X1269" s="111" t="n"/>
    </row>
    <row r="1270">
      <c r="A1270" s="34" t="n"/>
      <c r="I1270" s="111" t="n"/>
      <c r="J1270" s="111" t="n"/>
      <c r="K1270" s="111" t="n"/>
      <c r="L1270" s="111" t="n"/>
      <c r="V1270" s="111" t="n"/>
      <c r="W1270" s="111" t="n"/>
      <c r="X1270" s="111" t="n"/>
    </row>
    <row r="1271">
      <c r="A1271" s="34" t="n"/>
      <c r="I1271" s="111" t="n"/>
      <c r="J1271" s="111" t="n"/>
      <c r="K1271" s="111" t="n"/>
      <c r="L1271" s="111" t="n"/>
      <c r="V1271" s="111" t="n"/>
      <c r="W1271" s="111" t="n"/>
      <c r="X1271" s="111" t="n"/>
    </row>
    <row r="1272">
      <c r="A1272" s="34" t="n"/>
      <c r="I1272" s="111" t="n"/>
      <c r="J1272" s="111" t="n"/>
      <c r="K1272" s="111" t="n"/>
      <c r="L1272" s="111" t="n"/>
      <c r="V1272" s="111" t="n"/>
      <c r="W1272" s="111" t="n"/>
      <c r="X1272" s="111" t="n"/>
    </row>
    <row r="1273">
      <c r="A1273" s="34" t="n"/>
      <c r="I1273" s="111" t="n"/>
      <c r="J1273" s="111" t="n"/>
      <c r="K1273" s="111" t="n"/>
      <c r="L1273" s="111" t="n"/>
      <c r="V1273" s="111" t="n"/>
      <c r="W1273" s="111" t="n"/>
      <c r="X1273" s="111" t="n"/>
    </row>
    <row r="1274">
      <c r="A1274" s="34" t="n"/>
      <c r="I1274" s="111" t="n"/>
      <c r="J1274" s="111" t="n"/>
      <c r="K1274" s="111" t="n"/>
      <c r="L1274" s="111" t="n"/>
      <c r="V1274" s="111" t="n"/>
      <c r="W1274" s="111" t="n"/>
      <c r="X1274" s="111" t="n"/>
    </row>
    <row r="1275">
      <c r="A1275" s="34" t="n"/>
      <c r="I1275" s="111" t="n"/>
      <c r="J1275" s="111" t="n"/>
      <c r="K1275" s="111" t="n"/>
      <c r="L1275" s="111" t="n"/>
      <c r="V1275" s="111" t="n"/>
      <c r="W1275" s="111" t="n"/>
      <c r="X1275" s="111" t="n"/>
    </row>
    <row r="1276">
      <c r="A1276" s="34" t="n"/>
      <c r="I1276" s="111" t="n"/>
      <c r="J1276" s="111" t="n"/>
      <c r="K1276" s="111" t="n"/>
      <c r="L1276" s="111" t="n"/>
      <c r="V1276" s="111" t="n"/>
      <c r="W1276" s="111" t="n"/>
      <c r="X1276" s="111" t="n"/>
    </row>
    <row r="1277">
      <c r="A1277" s="34" t="n"/>
      <c r="I1277" s="111" t="n"/>
      <c r="J1277" s="111" t="n"/>
      <c r="K1277" s="111" t="n"/>
      <c r="L1277" s="111" t="n"/>
      <c r="V1277" s="111" t="n"/>
      <c r="W1277" s="111" t="n"/>
      <c r="X1277" s="111" t="n"/>
    </row>
    <row r="1278">
      <c r="A1278" s="34" t="n"/>
      <c r="I1278" s="111" t="n"/>
      <c r="J1278" s="111" t="n"/>
      <c r="K1278" s="111" t="n"/>
      <c r="L1278" s="111" t="n"/>
      <c r="V1278" s="111" t="n"/>
      <c r="W1278" s="111" t="n"/>
      <c r="X1278" s="111" t="n"/>
    </row>
    <row r="1279">
      <c r="A1279" s="34" t="n"/>
      <c r="I1279" s="111" t="n"/>
      <c r="J1279" s="111" t="n"/>
      <c r="K1279" s="111" t="n"/>
      <c r="L1279" s="111" t="n"/>
      <c r="V1279" s="111" t="n"/>
      <c r="W1279" s="111" t="n"/>
      <c r="X1279" s="111" t="n"/>
    </row>
    <row r="1280">
      <c r="A1280" s="34" t="n"/>
      <c r="I1280" s="111" t="n"/>
      <c r="J1280" s="111" t="n"/>
      <c r="K1280" s="111" t="n"/>
      <c r="L1280" s="111" t="n"/>
      <c r="V1280" s="111" t="n"/>
      <c r="W1280" s="111" t="n"/>
      <c r="X1280" s="111" t="n"/>
    </row>
    <row r="1281">
      <c r="A1281" s="34" t="n"/>
      <c r="I1281" s="111" t="n"/>
      <c r="J1281" s="111" t="n"/>
      <c r="K1281" s="111" t="n"/>
      <c r="L1281" s="111" t="n"/>
      <c r="V1281" s="111" t="n"/>
      <c r="W1281" s="111" t="n"/>
      <c r="X1281" s="111" t="n"/>
    </row>
    <row r="1282">
      <c r="A1282" s="34" t="n"/>
      <c r="I1282" s="111" t="n"/>
      <c r="J1282" s="111" t="n"/>
      <c r="K1282" s="111" t="n"/>
      <c r="L1282" s="111" t="n"/>
      <c r="V1282" s="111" t="n"/>
      <c r="W1282" s="111" t="n"/>
      <c r="X1282" s="111" t="n"/>
    </row>
    <row r="1283">
      <c r="A1283" s="34" t="n"/>
      <c r="I1283" s="111" t="n"/>
      <c r="J1283" s="111" t="n"/>
      <c r="K1283" s="111" t="n"/>
      <c r="L1283" s="111" t="n"/>
      <c r="V1283" s="111" t="n"/>
      <c r="W1283" s="111" t="n"/>
      <c r="X1283" s="111" t="n"/>
    </row>
    <row r="1284">
      <c r="A1284" s="34" t="n"/>
      <c r="I1284" s="111" t="n"/>
      <c r="J1284" s="111" t="n"/>
      <c r="K1284" s="111" t="n"/>
      <c r="L1284" s="111" t="n"/>
      <c r="V1284" s="111" t="n"/>
      <c r="W1284" s="111" t="n"/>
      <c r="X1284" s="111" t="n"/>
    </row>
    <row r="1285">
      <c r="A1285" s="34" t="n"/>
      <c r="I1285" s="111" t="n"/>
      <c r="J1285" s="111" t="n"/>
      <c r="K1285" s="111" t="n"/>
      <c r="L1285" s="111" t="n"/>
      <c r="V1285" s="111" t="n"/>
      <c r="W1285" s="111" t="n"/>
      <c r="X1285" s="111" t="n"/>
    </row>
    <row r="1286">
      <c r="A1286" s="34" t="n"/>
      <c r="I1286" s="111" t="n"/>
      <c r="J1286" s="111" t="n"/>
      <c r="K1286" s="111" t="n"/>
      <c r="L1286" s="111" t="n"/>
      <c r="V1286" s="111" t="n"/>
      <c r="W1286" s="111" t="n"/>
      <c r="X1286" s="111" t="n"/>
    </row>
    <row r="1287">
      <c r="A1287" s="34" t="n"/>
      <c r="I1287" s="111" t="n"/>
      <c r="J1287" s="111" t="n"/>
      <c r="K1287" s="111" t="n"/>
      <c r="L1287" s="111" t="n"/>
      <c r="V1287" s="111" t="n"/>
      <c r="W1287" s="111" t="n"/>
      <c r="X1287" s="111" t="n"/>
    </row>
    <row r="1288">
      <c r="A1288" s="34" t="n"/>
      <c r="I1288" s="111" t="n"/>
      <c r="J1288" s="111" t="n"/>
      <c r="K1288" s="111" t="n"/>
      <c r="L1288" s="111" t="n"/>
      <c r="V1288" s="111" t="n"/>
      <c r="W1288" s="111" t="n"/>
      <c r="X1288" s="111" t="n"/>
    </row>
    <row r="1289">
      <c r="A1289" s="34" t="n"/>
      <c r="I1289" s="111" t="n"/>
      <c r="J1289" s="111" t="n"/>
      <c r="K1289" s="111" t="n"/>
      <c r="L1289" s="111" t="n"/>
      <c r="V1289" s="111" t="n"/>
      <c r="W1289" s="111" t="n"/>
      <c r="X1289" s="111" t="n"/>
    </row>
    <row r="1290">
      <c r="A1290" s="34" t="n"/>
      <c r="I1290" s="111" t="n"/>
      <c r="J1290" s="111" t="n"/>
      <c r="K1290" s="111" t="n"/>
      <c r="L1290" s="111" t="n"/>
      <c r="V1290" s="111" t="n"/>
      <c r="W1290" s="111" t="n"/>
      <c r="X1290" s="111" t="n"/>
    </row>
    <row r="1291">
      <c r="A1291" s="34" t="n"/>
      <c r="I1291" s="111" t="n"/>
      <c r="J1291" s="111" t="n"/>
      <c r="K1291" s="111" t="n"/>
      <c r="L1291" s="111" t="n"/>
      <c r="V1291" s="111" t="n"/>
      <c r="W1291" s="111" t="n"/>
      <c r="X1291" s="111" t="n"/>
    </row>
    <row r="1292">
      <c r="A1292" s="34" t="n"/>
      <c r="I1292" s="111" t="n"/>
      <c r="J1292" s="111" t="n"/>
      <c r="K1292" s="111" t="n"/>
      <c r="L1292" s="111" t="n"/>
      <c r="V1292" s="111" t="n"/>
      <c r="W1292" s="111" t="n"/>
      <c r="X1292" s="111" t="n"/>
    </row>
    <row r="1293">
      <c r="A1293" s="34" t="n"/>
      <c r="I1293" s="111" t="n"/>
      <c r="J1293" s="111" t="n"/>
      <c r="K1293" s="111" t="n"/>
      <c r="L1293" s="111" t="n"/>
      <c r="V1293" s="111" t="n"/>
      <c r="W1293" s="111" t="n"/>
      <c r="X1293" s="111" t="n"/>
    </row>
    <row r="1294">
      <c r="A1294" s="34" t="n"/>
      <c r="I1294" s="111" t="n"/>
      <c r="J1294" s="111" t="n"/>
      <c r="K1294" s="111" t="n"/>
      <c r="L1294" s="111" t="n"/>
      <c r="V1294" s="111" t="n"/>
      <c r="W1294" s="111" t="n"/>
      <c r="X1294" s="111" t="n"/>
    </row>
    <row r="1295">
      <c r="A1295" s="34" t="n"/>
      <c r="I1295" s="111" t="n"/>
      <c r="J1295" s="111" t="n"/>
      <c r="K1295" s="111" t="n"/>
      <c r="L1295" s="111" t="n"/>
      <c r="V1295" s="111" t="n"/>
      <c r="W1295" s="111" t="n"/>
      <c r="X1295" s="111" t="n"/>
    </row>
    <row r="1296">
      <c r="A1296" s="34" t="n"/>
      <c r="I1296" s="111" t="n"/>
      <c r="J1296" s="111" t="n"/>
      <c r="K1296" s="111" t="n"/>
      <c r="L1296" s="111" t="n"/>
      <c r="V1296" s="111" t="n"/>
      <c r="W1296" s="111" t="n"/>
      <c r="X1296" s="111" t="n"/>
    </row>
    <row r="1297">
      <c r="A1297" s="34" t="n"/>
      <c r="I1297" s="111" t="n"/>
      <c r="J1297" s="111" t="n"/>
      <c r="K1297" s="111" t="n"/>
      <c r="L1297" s="111" t="n"/>
      <c r="V1297" s="111" t="n"/>
      <c r="W1297" s="111" t="n"/>
      <c r="X1297" s="111" t="n"/>
    </row>
    <row r="1298">
      <c r="A1298" s="34" t="n"/>
      <c r="I1298" s="111" t="n"/>
      <c r="J1298" s="111" t="n"/>
      <c r="K1298" s="111" t="n"/>
      <c r="L1298" s="111" t="n"/>
      <c r="V1298" s="111" t="n"/>
      <c r="W1298" s="111" t="n"/>
      <c r="X1298" s="111" t="n"/>
    </row>
    <row r="1299">
      <c r="A1299" s="34" t="n"/>
      <c r="I1299" s="111" t="n"/>
      <c r="J1299" s="111" t="n"/>
      <c r="K1299" s="111" t="n"/>
      <c r="L1299" s="111" t="n"/>
      <c r="V1299" s="111" t="n"/>
      <c r="W1299" s="111" t="n"/>
      <c r="X1299" s="111" t="n"/>
    </row>
    <row r="1300">
      <c r="A1300" s="34" t="n"/>
      <c r="I1300" s="111" t="n"/>
      <c r="J1300" s="111" t="n"/>
      <c r="K1300" s="111" t="n"/>
      <c r="L1300" s="111" t="n"/>
      <c r="V1300" s="111" t="n"/>
      <c r="W1300" s="111" t="n"/>
      <c r="X1300" s="111" t="n"/>
    </row>
    <row r="1301">
      <c r="A1301" s="34" t="n"/>
      <c r="I1301" s="111" t="n"/>
      <c r="J1301" s="111" t="n"/>
      <c r="K1301" s="111" t="n"/>
      <c r="L1301" s="111" t="n"/>
      <c r="V1301" s="111" t="n"/>
      <c r="W1301" s="111" t="n"/>
      <c r="X1301" s="111" t="n"/>
    </row>
    <row r="1302">
      <c r="A1302" s="34" t="n"/>
      <c r="I1302" s="111" t="n"/>
      <c r="J1302" s="111" t="n"/>
      <c r="K1302" s="111" t="n"/>
      <c r="L1302" s="111" t="n"/>
      <c r="V1302" s="111" t="n"/>
      <c r="W1302" s="111" t="n"/>
      <c r="X1302" s="111" t="n"/>
    </row>
    <row r="1303">
      <c r="A1303" s="34" t="n"/>
      <c r="I1303" s="111" t="n"/>
      <c r="J1303" s="111" t="n"/>
      <c r="K1303" s="111" t="n"/>
      <c r="L1303" s="111" t="n"/>
      <c r="V1303" s="111" t="n"/>
      <c r="W1303" s="111" t="n"/>
      <c r="X1303" s="111" t="n"/>
    </row>
    <row r="1304">
      <c r="A1304" s="34" t="n"/>
      <c r="I1304" s="111" t="n"/>
      <c r="J1304" s="111" t="n"/>
      <c r="K1304" s="111" t="n"/>
      <c r="L1304" s="111" t="n"/>
      <c r="V1304" s="111" t="n"/>
      <c r="W1304" s="111" t="n"/>
      <c r="X1304" s="111" t="n"/>
    </row>
    <row r="1305">
      <c r="A1305" s="34" t="n"/>
      <c r="I1305" s="111" t="n"/>
      <c r="J1305" s="111" t="n"/>
      <c r="K1305" s="111" t="n"/>
      <c r="L1305" s="111" t="n"/>
      <c r="V1305" s="111" t="n"/>
      <c r="W1305" s="111" t="n"/>
      <c r="X1305" s="111" t="n"/>
    </row>
    <row r="1306">
      <c r="A1306" s="34" t="n"/>
      <c r="I1306" s="111" t="n"/>
      <c r="J1306" s="111" t="n"/>
      <c r="K1306" s="111" t="n"/>
      <c r="L1306" s="111" t="n"/>
      <c r="V1306" s="111" t="n"/>
      <c r="W1306" s="111" t="n"/>
      <c r="X1306" s="111" t="n"/>
    </row>
    <row r="1307">
      <c r="A1307" s="34" t="n"/>
      <c r="I1307" s="111" t="n"/>
      <c r="J1307" s="111" t="n"/>
      <c r="K1307" s="111" t="n"/>
      <c r="L1307" s="111" t="n"/>
      <c r="V1307" s="111" t="n"/>
      <c r="W1307" s="111" t="n"/>
      <c r="X1307" s="111" t="n"/>
    </row>
    <row r="1308">
      <c r="A1308" s="34" t="n"/>
      <c r="I1308" s="111" t="n"/>
      <c r="J1308" s="111" t="n"/>
      <c r="K1308" s="111" t="n"/>
      <c r="L1308" s="111" t="n"/>
      <c r="V1308" s="111" t="n"/>
      <c r="W1308" s="111" t="n"/>
      <c r="X1308" s="111" t="n"/>
    </row>
    <row r="1309">
      <c r="A1309" s="34" t="n"/>
      <c r="I1309" s="111" t="n"/>
      <c r="J1309" s="111" t="n"/>
      <c r="K1309" s="111" t="n"/>
      <c r="L1309" s="111" t="n"/>
      <c r="V1309" s="111" t="n"/>
      <c r="W1309" s="111" t="n"/>
      <c r="X1309" s="111" t="n"/>
    </row>
    <row r="1310">
      <c r="A1310" s="34" t="n"/>
      <c r="I1310" s="111" t="n"/>
      <c r="J1310" s="111" t="n"/>
      <c r="K1310" s="111" t="n"/>
      <c r="L1310" s="111" t="n"/>
      <c r="V1310" s="111" t="n"/>
      <c r="W1310" s="111" t="n"/>
      <c r="X1310" s="111" t="n"/>
    </row>
    <row r="1311">
      <c r="A1311" s="34" t="n"/>
      <c r="I1311" s="111" t="n"/>
      <c r="J1311" s="111" t="n"/>
      <c r="K1311" s="111" t="n"/>
      <c r="L1311" s="111" t="n"/>
      <c r="V1311" s="111" t="n"/>
      <c r="W1311" s="111" t="n"/>
      <c r="X1311" s="111" t="n"/>
    </row>
    <row r="1312">
      <c r="A1312" s="34" t="n"/>
      <c r="I1312" s="111" t="n"/>
      <c r="J1312" s="111" t="n"/>
      <c r="K1312" s="111" t="n"/>
      <c r="L1312" s="111" t="n"/>
      <c r="V1312" s="111" t="n"/>
      <c r="W1312" s="111" t="n"/>
      <c r="X1312" s="111" t="n"/>
    </row>
    <row r="1313">
      <c r="A1313" s="34" t="n"/>
      <c r="I1313" s="111" t="n"/>
      <c r="J1313" s="111" t="n"/>
      <c r="K1313" s="111" t="n"/>
      <c r="L1313" s="111" t="n"/>
      <c r="V1313" s="111" t="n"/>
      <c r="W1313" s="111" t="n"/>
      <c r="X1313" s="111" t="n"/>
    </row>
    <row r="1314">
      <c r="A1314" s="34" t="n"/>
      <c r="I1314" s="111" t="n"/>
      <c r="J1314" s="111" t="n"/>
      <c r="K1314" s="111" t="n"/>
      <c r="L1314" s="111" t="n"/>
      <c r="V1314" s="111" t="n"/>
      <c r="W1314" s="111" t="n"/>
      <c r="X1314" s="111" t="n"/>
    </row>
    <row r="1315">
      <c r="A1315" s="34" t="n"/>
      <c r="I1315" s="111" t="n"/>
      <c r="J1315" s="111" t="n"/>
      <c r="K1315" s="111" t="n"/>
      <c r="L1315" s="111" t="n"/>
      <c r="V1315" s="111" t="n"/>
      <c r="W1315" s="111" t="n"/>
      <c r="X1315" s="111" t="n"/>
    </row>
    <row r="1316">
      <c r="A1316" s="34" t="n"/>
      <c r="I1316" s="111" t="n"/>
      <c r="J1316" s="111" t="n"/>
      <c r="K1316" s="111" t="n"/>
      <c r="L1316" s="111" t="n"/>
      <c r="V1316" s="111" t="n"/>
      <c r="W1316" s="111" t="n"/>
      <c r="X1316" s="111" t="n"/>
    </row>
    <row r="1317">
      <c r="A1317" s="34" t="n"/>
      <c r="I1317" s="111" t="n"/>
      <c r="J1317" s="111" t="n"/>
      <c r="K1317" s="111" t="n"/>
      <c r="L1317" s="111" t="n"/>
      <c r="V1317" s="111" t="n"/>
      <c r="W1317" s="111" t="n"/>
      <c r="X1317" s="111" t="n"/>
    </row>
    <row r="1318">
      <c r="A1318" s="34" t="n"/>
      <c r="I1318" s="111" t="n"/>
      <c r="J1318" s="111" t="n"/>
      <c r="K1318" s="111" t="n"/>
      <c r="L1318" s="111" t="n"/>
      <c r="V1318" s="111" t="n"/>
      <c r="W1318" s="111" t="n"/>
      <c r="X1318" s="111" t="n"/>
    </row>
    <row r="1319">
      <c r="A1319" s="34" t="n"/>
      <c r="I1319" s="111" t="n"/>
      <c r="J1319" s="111" t="n"/>
      <c r="K1319" s="111" t="n"/>
      <c r="L1319" s="111" t="n"/>
      <c r="V1319" s="111" t="n"/>
      <c r="W1319" s="111" t="n"/>
      <c r="X1319" s="111" t="n"/>
    </row>
    <row r="1320">
      <c r="A1320" s="34" t="n"/>
      <c r="I1320" s="111" t="n"/>
      <c r="J1320" s="111" t="n"/>
      <c r="K1320" s="111" t="n"/>
      <c r="L1320" s="111" t="n"/>
      <c r="V1320" s="111" t="n"/>
      <c r="W1320" s="111" t="n"/>
      <c r="X1320" s="111" t="n"/>
    </row>
    <row r="1321">
      <c r="A1321" s="34" t="n"/>
      <c r="I1321" s="111" t="n"/>
      <c r="J1321" s="111" t="n"/>
      <c r="K1321" s="111" t="n"/>
      <c r="L1321" s="111" t="n"/>
      <c r="V1321" s="111" t="n"/>
      <c r="W1321" s="111" t="n"/>
      <c r="X1321" s="111" t="n"/>
    </row>
    <row r="1322">
      <c r="A1322" s="34" t="n"/>
      <c r="I1322" s="111" t="n"/>
      <c r="J1322" s="111" t="n"/>
      <c r="K1322" s="111" t="n"/>
      <c r="L1322" s="111" t="n"/>
      <c r="V1322" s="111" t="n"/>
      <c r="W1322" s="111" t="n"/>
      <c r="X1322" s="111" t="n"/>
    </row>
    <row r="1323">
      <c r="A1323" s="34" t="n"/>
      <c r="I1323" s="111" t="n"/>
      <c r="J1323" s="111" t="n"/>
      <c r="K1323" s="111" t="n"/>
      <c r="L1323" s="111" t="n"/>
      <c r="V1323" s="111" t="n"/>
      <c r="W1323" s="111" t="n"/>
      <c r="X1323" s="111" t="n"/>
    </row>
    <row r="1324">
      <c r="A1324" s="34" t="n"/>
      <c r="I1324" s="111" t="n"/>
      <c r="J1324" s="111" t="n"/>
      <c r="K1324" s="111" t="n"/>
      <c r="L1324" s="111" t="n"/>
      <c r="V1324" s="111" t="n"/>
      <c r="W1324" s="111" t="n"/>
      <c r="X1324" s="111" t="n"/>
    </row>
    <row r="1325">
      <c r="A1325" s="34" t="n"/>
      <c r="I1325" s="111" t="n"/>
      <c r="J1325" s="111" t="n"/>
      <c r="K1325" s="111" t="n"/>
      <c r="L1325" s="111" t="n"/>
      <c r="V1325" s="111" t="n"/>
      <c r="W1325" s="111" t="n"/>
      <c r="X1325" s="111" t="n"/>
    </row>
    <row r="1326">
      <c r="A1326" s="34" t="n"/>
      <c r="I1326" s="111" t="n"/>
      <c r="J1326" s="111" t="n"/>
      <c r="K1326" s="111" t="n"/>
      <c r="L1326" s="111" t="n"/>
      <c r="V1326" s="111" t="n"/>
      <c r="W1326" s="111" t="n"/>
      <c r="X1326" s="111" t="n"/>
    </row>
    <row r="1327">
      <c r="A1327" s="34" t="n"/>
      <c r="I1327" s="111" t="n"/>
      <c r="J1327" s="111" t="n"/>
      <c r="K1327" s="111" t="n"/>
      <c r="L1327" s="111" t="n"/>
      <c r="V1327" s="111" t="n"/>
      <c r="W1327" s="111" t="n"/>
      <c r="X1327" s="111" t="n"/>
    </row>
    <row r="1328">
      <c r="A1328" s="34" t="n"/>
      <c r="I1328" s="111" t="n"/>
      <c r="J1328" s="111" t="n"/>
      <c r="K1328" s="111" t="n"/>
      <c r="L1328" s="111" t="n"/>
      <c r="V1328" s="111" t="n"/>
      <c r="W1328" s="111" t="n"/>
      <c r="X1328" s="111" t="n"/>
    </row>
    <row r="1329">
      <c r="A1329" s="34" t="n"/>
      <c r="I1329" s="111" t="n"/>
      <c r="J1329" s="111" t="n"/>
      <c r="K1329" s="111" t="n"/>
      <c r="L1329" s="111" t="n"/>
      <c r="V1329" s="111" t="n"/>
      <c r="W1329" s="111" t="n"/>
      <c r="X1329" s="111" t="n"/>
    </row>
    <row r="1330">
      <c r="A1330" s="34" t="n"/>
      <c r="I1330" s="111" t="n"/>
      <c r="J1330" s="111" t="n"/>
      <c r="K1330" s="111" t="n"/>
      <c r="L1330" s="111" t="n"/>
      <c r="V1330" s="111" t="n"/>
      <c r="W1330" s="111" t="n"/>
      <c r="X1330" s="111" t="n"/>
    </row>
    <row r="1331">
      <c r="A1331" s="34" t="n"/>
      <c r="I1331" s="111" t="n"/>
      <c r="J1331" s="111" t="n"/>
      <c r="K1331" s="111" t="n"/>
      <c r="L1331" s="111" t="n"/>
      <c r="V1331" s="111" t="n"/>
      <c r="W1331" s="111" t="n"/>
      <c r="X1331" s="111" t="n"/>
    </row>
    <row r="1332">
      <c r="A1332" s="34" t="n"/>
      <c r="I1332" s="111" t="n"/>
      <c r="J1332" s="111" t="n"/>
      <c r="K1332" s="111" t="n"/>
      <c r="L1332" s="111" t="n"/>
      <c r="V1332" s="111" t="n"/>
      <c r="W1332" s="111" t="n"/>
      <c r="X1332" s="111" t="n"/>
    </row>
    <row r="1333">
      <c r="A1333" s="34" t="n"/>
      <c r="I1333" s="111" t="n"/>
      <c r="J1333" s="111" t="n"/>
      <c r="K1333" s="111" t="n"/>
      <c r="L1333" s="111" t="n"/>
      <c r="V1333" s="111" t="n"/>
      <c r="W1333" s="111" t="n"/>
      <c r="X1333" s="111" t="n"/>
    </row>
    <row r="1334">
      <c r="A1334" s="34" t="n"/>
      <c r="I1334" s="111" t="n"/>
      <c r="J1334" s="111" t="n"/>
      <c r="K1334" s="111" t="n"/>
      <c r="L1334" s="111" t="n"/>
      <c r="V1334" s="111" t="n"/>
      <c r="W1334" s="111" t="n"/>
      <c r="X1334" s="111" t="n"/>
    </row>
    <row r="1335">
      <c r="A1335" s="34" t="n"/>
      <c r="I1335" s="111" t="n"/>
      <c r="J1335" s="111" t="n"/>
      <c r="K1335" s="111" t="n"/>
      <c r="L1335" s="111" t="n"/>
      <c r="V1335" s="111" t="n"/>
      <c r="W1335" s="111" t="n"/>
      <c r="X1335" s="111" t="n"/>
    </row>
    <row r="1336">
      <c r="A1336" s="34" t="n"/>
      <c r="I1336" s="111" t="n"/>
      <c r="J1336" s="111" t="n"/>
      <c r="K1336" s="111" t="n"/>
      <c r="L1336" s="111" t="n"/>
      <c r="V1336" s="111" t="n"/>
      <c r="W1336" s="111" t="n"/>
      <c r="X1336" s="111" t="n"/>
    </row>
    <row r="1337">
      <c r="A1337" s="34" t="n"/>
      <c r="I1337" s="111" t="n"/>
      <c r="J1337" s="111" t="n"/>
      <c r="K1337" s="111" t="n"/>
      <c r="L1337" s="111" t="n"/>
      <c r="V1337" s="111" t="n"/>
      <c r="W1337" s="111" t="n"/>
      <c r="X1337" s="111" t="n"/>
    </row>
    <row r="1338">
      <c r="A1338" s="34" t="n"/>
      <c r="I1338" s="111" t="n"/>
      <c r="J1338" s="111" t="n"/>
      <c r="K1338" s="111" t="n"/>
      <c r="L1338" s="111" t="n"/>
      <c r="V1338" s="111" t="n"/>
      <c r="W1338" s="111" t="n"/>
      <c r="X1338" s="111" t="n"/>
    </row>
    <row r="1339">
      <c r="A1339" s="34" t="n"/>
      <c r="I1339" s="111" t="n"/>
      <c r="J1339" s="111" t="n"/>
      <c r="K1339" s="111" t="n"/>
      <c r="L1339" s="111" t="n"/>
      <c r="V1339" s="111" t="n"/>
      <c r="W1339" s="111" t="n"/>
      <c r="X1339" s="111" t="n"/>
    </row>
    <row r="1340">
      <c r="A1340" s="34" t="n"/>
      <c r="I1340" s="111" t="n"/>
      <c r="J1340" s="111" t="n"/>
      <c r="K1340" s="111" t="n"/>
      <c r="L1340" s="111" t="n"/>
      <c r="V1340" s="111" t="n"/>
      <c r="W1340" s="111" t="n"/>
      <c r="X1340" s="111" t="n"/>
    </row>
    <row r="1341">
      <c r="A1341" s="34" t="n"/>
      <c r="I1341" s="111" t="n"/>
      <c r="J1341" s="111" t="n"/>
      <c r="K1341" s="111" t="n"/>
      <c r="L1341" s="111" t="n"/>
      <c r="V1341" s="111" t="n"/>
      <c r="W1341" s="111" t="n"/>
      <c r="X1341" s="111" t="n"/>
    </row>
    <row r="1342">
      <c r="A1342" s="34" t="n"/>
      <c r="I1342" s="111" t="n"/>
      <c r="J1342" s="111" t="n"/>
      <c r="K1342" s="111" t="n"/>
      <c r="L1342" s="111" t="n"/>
      <c r="V1342" s="111" t="n"/>
      <c r="W1342" s="111" t="n"/>
      <c r="X1342" s="111" t="n"/>
    </row>
    <row r="1343">
      <c r="A1343" s="34" t="n"/>
      <c r="I1343" s="111" t="n"/>
      <c r="J1343" s="111" t="n"/>
      <c r="K1343" s="111" t="n"/>
      <c r="L1343" s="111" t="n"/>
      <c r="V1343" s="111" t="n"/>
      <c r="W1343" s="111" t="n"/>
      <c r="X1343" s="111" t="n"/>
    </row>
    <row r="1344">
      <c r="A1344" s="34" t="n"/>
      <c r="I1344" s="111" t="n"/>
      <c r="J1344" s="111" t="n"/>
      <c r="K1344" s="111" t="n"/>
      <c r="L1344" s="111" t="n"/>
      <c r="V1344" s="111" t="n"/>
      <c r="W1344" s="111" t="n"/>
      <c r="X1344" s="111" t="n"/>
    </row>
    <row r="1345">
      <c r="A1345" s="34" t="n"/>
      <c r="I1345" s="111" t="n"/>
      <c r="J1345" s="111" t="n"/>
      <c r="K1345" s="111" t="n"/>
      <c r="L1345" s="111" t="n"/>
      <c r="V1345" s="111" t="n"/>
      <c r="W1345" s="111" t="n"/>
      <c r="X1345" s="111" t="n"/>
    </row>
    <row r="1346">
      <c r="A1346" s="34" t="n"/>
      <c r="I1346" s="111" t="n"/>
      <c r="J1346" s="111" t="n"/>
      <c r="K1346" s="111" t="n"/>
      <c r="L1346" s="111" t="n"/>
      <c r="V1346" s="111" t="n"/>
      <c r="W1346" s="111" t="n"/>
      <c r="X1346" s="111" t="n"/>
    </row>
    <row r="1347">
      <c r="A1347" s="34" t="n"/>
      <c r="I1347" s="111" t="n"/>
      <c r="J1347" s="111" t="n"/>
      <c r="K1347" s="111" t="n"/>
      <c r="L1347" s="111" t="n"/>
      <c r="V1347" s="111" t="n"/>
      <c r="W1347" s="111" t="n"/>
      <c r="X1347" s="111" t="n"/>
    </row>
    <row r="1348">
      <c r="A1348" s="34" t="n"/>
      <c r="I1348" s="111" t="n"/>
      <c r="J1348" s="111" t="n"/>
      <c r="K1348" s="111" t="n"/>
      <c r="L1348" s="111" t="n"/>
      <c r="V1348" s="111" t="n"/>
      <c r="W1348" s="111" t="n"/>
      <c r="X1348" s="111" t="n"/>
    </row>
    <row r="1349">
      <c r="A1349" s="34" t="n"/>
      <c r="I1349" s="111" t="n"/>
      <c r="J1349" s="111" t="n"/>
      <c r="K1349" s="111" t="n"/>
      <c r="L1349" s="111" t="n"/>
      <c r="V1349" s="111" t="n"/>
      <c r="W1349" s="111" t="n"/>
      <c r="X1349" s="111" t="n"/>
    </row>
    <row r="1350">
      <c r="A1350" s="34" t="n"/>
      <c r="I1350" s="111" t="n"/>
      <c r="J1350" s="111" t="n"/>
      <c r="K1350" s="111" t="n"/>
      <c r="L1350" s="111" t="n"/>
      <c r="V1350" s="111" t="n"/>
      <c r="W1350" s="111" t="n"/>
      <c r="X1350" s="111" t="n"/>
    </row>
    <row r="1351">
      <c r="A1351" s="34" t="n"/>
      <c r="I1351" s="111" t="n"/>
      <c r="J1351" s="111" t="n"/>
      <c r="K1351" s="111" t="n"/>
      <c r="L1351" s="111" t="n"/>
      <c r="V1351" s="111" t="n"/>
      <c r="W1351" s="111" t="n"/>
      <c r="X1351" s="111" t="n"/>
    </row>
    <row r="1352">
      <c r="A1352" s="34" t="n"/>
      <c r="I1352" s="111" t="n"/>
      <c r="J1352" s="111" t="n"/>
      <c r="K1352" s="111" t="n"/>
      <c r="L1352" s="111" t="n"/>
      <c r="V1352" s="111" t="n"/>
      <c r="W1352" s="111" t="n"/>
      <c r="X1352" s="111" t="n"/>
    </row>
    <row r="1353">
      <c r="A1353" s="34" t="n"/>
      <c r="I1353" s="111" t="n"/>
      <c r="J1353" s="111" t="n"/>
      <c r="K1353" s="111" t="n"/>
      <c r="L1353" s="111" t="n"/>
      <c r="V1353" s="111" t="n"/>
      <c r="W1353" s="111" t="n"/>
      <c r="X1353" s="111" t="n"/>
    </row>
    <row r="1354">
      <c r="A1354" s="34" t="n"/>
      <c r="I1354" s="111" t="n"/>
      <c r="J1354" s="111" t="n"/>
      <c r="K1354" s="111" t="n"/>
      <c r="L1354" s="111" t="n"/>
      <c r="V1354" s="111" t="n"/>
      <c r="W1354" s="111" t="n"/>
      <c r="X1354" s="111" t="n"/>
    </row>
    <row r="1355">
      <c r="A1355" s="34" t="n"/>
      <c r="I1355" s="111" t="n"/>
      <c r="J1355" s="111" t="n"/>
      <c r="K1355" s="111" t="n"/>
      <c r="L1355" s="111" t="n"/>
      <c r="V1355" s="111" t="n"/>
      <c r="W1355" s="111" t="n"/>
      <c r="X1355" s="111" t="n"/>
    </row>
    <row r="1356">
      <c r="A1356" s="34" t="n"/>
      <c r="I1356" s="111" t="n"/>
      <c r="J1356" s="111" t="n"/>
      <c r="K1356" s="111" t="n"/>
      <c r="L1356" s="111" t="n"/>
      <c r="V1356" s="111" t="n"/>
      <c r="W1356" s="111" t="n"/>
      <c r="X1356" s="111" t="n"/>
    </row>
    <row r="1357">
      <c r="A1357" s="34" t="n"/>
      <c r="I1357" s="111" t="n"/>
      <c r="J1357" s="111" t="n"/>
      <c r="K1357" s="111" t="n"/>
      <c r="L1357" s="111" t="n"/>
      <c r="V1357" s="111" t="n"/>
      <c r="W1357" s="111" t="n"/>
      <c r="X1357" s="111" t="n"/>
    </row>
    <row r="1358">
      <c r="A1358" s="34" t="n"/>
      <c r="I1358" s="111" t="n"/>
      <c r="J1358" s="111" t="n"/>
      <c r="K1358" s="111" t="n"/>
      <c r="L1358" s="111" t="n"/>
      <c r="V1358" s="111" t="n"/>
      <c r="W1358" s="111" t="n"/>
      <c r="X1358" s="111" t="n"/>
    </row>
    <row r="1359">
      <c r="A1359" s="34" t="n"/>
      <c r="I1359" s="111" t="n"/>
      <c r="J1359" s="111" t="n"/>
      <c r="K1359" s="111" t="n"/>
      <c r="L1359" s="111" t="n"/>
      <c r="V1359" s="111" t="n"/>
      <c r="W1359" s="111" t="n"/>
      <c r="X1359" s="111" t="n"/>
    </row>
    <row r="1360">
      <c r="A1360" s="34" t="n"/>
      <c r="I1360" s="111" t="n"/>
      <c r="J1360" s="111" t="n"/>
      <c r="K1360" s="111" t="n"/>
      <c r="L1360" s="111" t="n"/>
      <c r="V1360" s="111" t="n"/>
      <c r="W1360" s="111" t="n"/>
      <c r="X1360" s="111" t="n"/>
    </row>
    <row r="1361">
      <c r="A1361" s="34" t="n"/>
      <c r="I1361" s="111" t="n"/>
      <c r="J1361" s="111" t="n"/>
      <c r="K1361" s="111" t="n"/>
      <c r="L1361" s="111" t="n"/>
      <c r="V1361" s="111" t="n"/>
      <c r="W1361" s="111" t="n"/>
      <c r="X1361" s="111" t="n"/>
    </row>
    <row r="1362">
      <c r="A1362" s="34" t="n"/>
      <c r="I1362" s="111" t="n"/>
      <c r="J1362" s="111" t="n"/>
      <c r="K1362" s="111" t="n"/>
      <c r="L1362" s="111" t="n"/>
      <c r="V1362" s="111" t="n"/>
      <c r="W1362" s="111" t="n"/>
      <c r="X1362" s="111" t="n"/>
    </row>
    <row r="1363">
      <c r="A1363" s="34" t="n"/>
      <c r="I1363" s="111" t="n"/>
      <c r="J1363" s="111" t="n"/>
      <c r="K1363" s="111" t="n"/>
      <c r="L1363" s="111" t="n"/>
      <c r="V1363" s="111" t="n"/>
      <c r="W1363" s="111" t="n"/>
      <c r="X1363" s="111" t="n"/>
    </row>
    <row r="1364">
      <c r="A1364" s="34" t="n"/>
      <c r="I1364" s="111" t="n"/>
      <c r="J1364" s="111" t="n"/>
      <c r="K1364" s="111" t="n"/>
      <c r="L1364" s="111" t="n"/>
      <c r="V1364" s="111" t="n"/>
      <c r="W1364" s="111" t="n"/>
      <c r="X1364" s="111" t="n"/>
    </row>
    <row r="1365">
      <c r="A1365" s="34" t="n"/>
      <c r="I1365" s="111" t="n"/>
      <c r="J1365" s="111" t="n"/>
      <c r="K1365" s="111" t="n"/>
      <c r="L1365" s="111" t="n"/>
      <c r="V1365" s="111" t="n"/>
      <c r="W1365" s="111" t="n"/>
      <c r="X1365" s="111" t="n"/>
    </row>
    <row r="1366">
      <c r="A1366" s="34" t="n"/>
      <c r="I1366" s="111" t="n"/>
      <c r="J1366" s="111" t="n"/>
      <c r="K1366" s="111" t="n"/>
      <c r="L1366" s="111" t="n"/>
      <c r="V1366" s="111" t="n"/>
      <c r="W1366" s="111" t="n"/>
      <c r="X1366" s="111" t="n"/>
    </row>
    <row r="1367">
      <c r="A1367" s="34" t="n"/>
      <c r="I1367" s="111" t="n"/>
      <c r="J1367" s="111" t="n"/>
      <c r="K1367" s="111" t="n"/>
      <c r="L1367" s="111" t="n"/>
      <c r="V1367" s="111" t="n"/>
      <c r="W1367" s="111" t="n"/>
      <c r="X1367" s="111" t="n"/>
    </row>
    <row r="1368">
      <c r="A1368" s="34" t="n"/>
      <c r="I1368" s="111" t="n"/>
      <c r="J1368" s="111" t="n"/>
      <c r="K1368" s="111" t="n"/>
      <c r="L1368" s="111" t="n"/>
      <c r="V1368" s="111" t="n"/>
      <c r="W1368" s="111" t="n"/>
      <c r="X1368" s="111" t="n"/>
    </row>
    <row r="1369">
      <c r="A1369" s="34" t="n"/>
      <c r="I1369" s="111" t="n"/>
      <c r="J1369" s="111" t="n"/>
      <c r="K1369" s="111" t="n"/>
      <c r="L1369" s="111" t="n"/>
      <c r="V1369" s="111" t="n"/>
      <c r="W1369" s="111" t="n"/>
      <c r="X1369" s="111" t="n"/>
    </row>
    <row r="1370">
      <c r="A1370" s="34" t="n"/>
      <c r="I1370" s="111" t="n"/>
      <c r="J1370" s="111" t="n"/>
      <c r="K1370" s="111" t="n"/>
      <c r="L1370" s="111" t="n"/>
      <c r="V1370" s="111" t="n"/>
      <c r="W1370" s="111" t="n"/>
      <c r="X1370" s="111" t="n"/>
    </row>
    <row r="1371">
      <c r="A1371" s="34" t="n"/>
      <c r="I1371" s="111" t="n"/>
      <c r="J1371" s="111" t="n"/>
      <c r="K1371" s="111" t="n"/>
      <c r="L1371" s="111" t="n"/>
      <c r="V1371" s="111" t="n"/>
      <c r="W1371" s="111" t="n"/>
      <c r="X1371" s="111" t="n"/>
    </row>
    <row r="1372">
      <c r="A1372" s="34" t="n"/>
      <c r="I1372" s="111" t="n"/>
      <c r="J1372" s="111" t="n"/>
      <c r="K1372" s="111" t="n"/>
      <c r="L1372" s="111" t="n"/>
      <c r="V1372" s="111" t="n"/>
      <c r="W1372" s="111" t="n"/>
      <c r="X1372" s="111" t="n"/>
    </row>
    <row r="1373">
      <c r="A1373" s="34" t="n"/>
      <c r="I1373" s="111" t="n"/>
      <c r="J1373" s="111" t="n"/>
      <c r="K1373" s="111" t="n"/>
      <c r="L1373" s="111" t="n"/>
      <c r="V1373" s="111" t="n"/>
      <c r="W1373" s="111" t="n"/>
      <c r="X1373" s="111" t="n"/>
    </row>
    <row r="1374">
      <c r="A1374" s="34" t="n"/>
      <c r="I1374" s="111" t="n"/>
      <c r="J1374" s="111" t="n"/>
      <c r="K1374" s="111" t="n"/>
      <c r="L1374" s="111" t="n"/>
      <c r="V1374" s="111" t="n"/>
      <c r="W1374" s="111" t="n"/>
      <c r="X1374" s="111" t="n"/>
    </row>
    <row r="1375">
      <c r="A1375" s="34" t="n"/>
      <c r="I1375" s="111" t="n"/>
      <c r="J1375" s="111" t="n"/>
      <c r="K1375" s="111" t="n"/>
      <c r="L1375" s="111" t="n"/>
      <c r="V1375" s="111" t="n"/>
      <c r="W1375" s="111" t="n"/>
      <c r="X1375" s="111" t="n"/>
    </row>
    <row r="1376">
      <c r="A1376" s="34" t="n"/>
      <c r="I1376" s="111" t="n"/>
      <c r="J1376" s="111" t="n"/>
      <c r="K1376" s="111" t="n"/>
      <c r="L1376" s="111" t="n"/>
      <c r="V1376" s="111" t="n"/>
      <c r="W1376" s="111" t="n"/>
      <c r="X1376" s="111" t="n"/>
    </row>
    <row r="1377">
      <c r="A1377" s="34" t="n"/>
      <c r="I1377" s="111" t="n"/>
      <c r="J1377" s="111" t="n"/>
      <c r="K1377" s="111" t="n"/>
      <c r="L1377" s="111" t="n"/>
      <c r="V1377" s="111" t="n"/>
      <c r="W1377" s="111" t="n"/>
      <c r="X1377" s="111" t="n"/>
    </row>
    <row r="1378">
      <c r="A1378" s="34" t="n"/>
      <c r="I1378" s="111" t="n"/>
      <c r="J1378" s="111" t="n"/>
      <c r="K1378" s="111" t="n"/>
      <c r="L1378" s="111" t="n"/>
      <c r="V1378" s="111" t="n"/>
      <c r="W1378" s="111" t="n"/>
      <c r="X1378" s="111" t="n"/>
    </row>
    <row r="1379">
      <c r="A1379" s="34" t="n"/>
      <c r="I1379" s="111" t="n"/>
      <c r="J1379" s="111" t="n"/>
      <c r="K1379" s="111" t="n"/>
      <c r="L1379" s="111" t="n"/>
      <c r="V1379" s="111" t="n"/>
      <c r="W1379" s="111" t="n"/>
      <c r="X1379" s="111" t="n"/>
    </row>
    <row r="1380">
      <c r="A1380" s="34" t="n"/>
      <c r="I1380" s="111" t="n"/>
      <c r="J1380" s="111" t="n"/>
      <c r="K1380" s="111" t="n"/>
      <c r="L1380" s="111" t="n"/>
      <c r="V1380" s="111" t="n"/>
      <c r="W1380" s="111" t="n"/>
      <c r="X1380" s="111" t="n"/>
    </row>
    <row r="1381">
      <c r="A1381" s="34" t="n"/>
      <c r="I1381" s="111" t="n"/>
      <c r="J1381" s="111" t="n"/>
      <c r="K1381" s="111" t="n"/>
      <c r="L1381" s="111" t="n"/>
      <c r="V1381" s="111" t="n"/>
      <c r="W1381" s="111" t="n"/>
      <c r="X1381" s="111" t="n"/>
    </row>
    <row r="1382">
      <c r="A1382" s="34" t="n"/>
      <c r="I1382" s="111" t="n"/>
      <c r="J1382" s="111" t="n"/>
      <c r="K1382" s="111" t="n"/>
      <c r="L1382" s="111" t="n"/>
      <c r="V1382" s="111" t="n"/>
      <c r="W1382" s="111" t="n"/>
      <c r="X1382" s="111" t="n"/>
    </row>
    <row r="1383">
      <c r="A1383" s="34" t="n"/>
      <c r="I1383" s="111" t="n"/>
      <c r="J1383" s="111" t="n"/>
      <c r="K1383" s="111" t="n"/>
      <c r="L1383" s="111" t="n"/>
      <c r="V1383" s="111" t="n"/>
      <c r="W1383" s="111" t="n"/>
      <c r="X1383" s="111" t="n"/>
    </row>
    <row r="1384">
      <c r="A1384" s="34" t="n"/>
      <c r="I1384" s="111" t="n"/>
      <c r="J1384" s="111" t="n"/>
      <c r="K1384" s="111" t="n"/>
      <c r="L1384" s="111" t="n"/>
      <c r="V1384" s="111" t="n"/>
      <c r="W1384" s="111" t="n"/>
      <c r="X1384" s="111" t="n"/>
    </row>
    <row r="1385">
      <c r="A1385" s="34" t="n"/>
      <c r="I1385" s="111" t="n"/>
      <c r="J1385" s="111" t="n"/>
      <c r="K1385" s="111" t="n"/>
      <c r="L1385" s="111" t="n"/>
      <c r="V1385" s="111" t="n"/>
      <c r="W1385" s="111" t="n"/>
      <c r="X1385" s="111" t="n"/>
    </row>
    <row r="1386">
      <c r="A1386" s="34" t="n"/>
      <c r="I1386" s="111" t="n"/>
      <c r="J1386" s="111" t="n"/>
      <c r="K1386" s="111" t="n"/>
      <c r="L1386" s="111" t="n"/>
      <c r="V1386" s="111" t="n"/>
      <c r="W1386" s="111" t="n"/>
      <c r="X1386" s="111" t="n"/>
    </row>
    <row r="1387">
      <c r="A1387" s="34" t="n"/>
      <c r="I1387" s="111" t="n"/>
      <c r="J1387" s="111" t="n"/>
      <c r="K1387" s="111" t="n"/>
      <c r="L1387" s="111" t="n"/>
      <c r="V1387" s="111" t="n"/>
      <c r="W1387" s="111" t="n"/>
      <c r="X1387" s="111" t="n"/>
    </row>
    <row r="1388">
      <c r="A1388" s="34" t="n"/>
      <c r="I1388" s="111" t="n"/>
      <c r="J1388" s="111" t="n"/>
      <c r="K1388" s="111" t="n"/>
      <c r="L1388" s="111" t="n"/>
      <c r="V1388" s="111" t="n"/>
      <c r="W1388" s="111" t="n"/>
      <c r="X1388" s="111" t="n"/>
    </row>
    <row r="1389">
      <c r="A1389" s="34" t="n"/>
      <c r="I1389" s="111" t="n"/>
      <c r="J1389" s="111" t="n"/>
      <c r="K1389" s="111" t="n"/>
      <c r="L1389" s="111" t="n"/>
      <c r="V1389" s="111" t="n"/>
      <c r="W1389" s="111" t="n"/>
      <c r="X1389" s="111" t="n"/>
    </row>
    <row r="1390">
      <c r="A1390" s="34" t="n"/>
      <c r="I1390" s="111" t="n"/>
      <c r="J1390" s="111" t="n"/>
      <c r="K1390" s="111" t="n"/>
      <c r="L1390" s="111" t="n"/>
      <c r="V1390" s="111" t="n"/>
      <c r="W1390" s="111" t="n"/>
      <c r="X1390" s="111" t="n"/>
    </row>
    <row r="1391">
      <c r="A1391" s="34" t="n"/>
      <c r="I1391" s="111" t="n"/>
      <c r="J1391" s="111" t="n"/>
      <c r="K1391" s="111" t="n"/>
      <c r="L1391" s="111" t="n"/>
      <c r="V1391" s="111" t="n"/>
      <c r="W1391" s="111" t="n"/>
      <c r="X1391" s="111" t="n"/>
    </row>
    <row r="1392">
      <c r="A1392" s="34" t="n"/>
      <c r="I1392" s="111" t="n"/>
      <c r="J1392" s="111" t="n"/>
      <c r="K1392" s="111" t="n"/>
      <c r="L1392" s="111" t="n"/>
      <c r="V1392" s="111" t="n"/>
      <c r="W1392" s="111" t="n"/>
      <c r="X1392" s="111" t="n"/>
    </row>
    <row r="1393">
      <c r="A1393" s="34" t="n"/>
      <c r="I1393" s="111" t="n"/>
      <c r="J1393" s="111" t="n"/>
      <c r="K1393" s="111" t="n"/>
      <c r="L1393" s="111" t="n"/>
      <c r="V1393" s="111" t="n"/>
      <c r="W1393" s="111" t="n"/>
      <c r="X1393" s="111" t="n"/>
    </row>
    <row r="1394">
      <c r="A1394" s="34" t="n"/>
      <c r="I1394" s="111" t="n"/>
      <c r="J1394" s="111" t="n"/>
      <c r="K1394" s="111" t="n"/>
      <c r="L1394" s="111" t="n"/>
      <c r="V1394" s="111" t="n"/>
      <c r="W1394" s="111" t="n"/>
      <c r="X1394" s="111" t="n"/>
    </row>
    <row r="1395">
      <c r="A1395" s="34" t="n"/>
      <c r="I1395" s="111" t="n"/>
      <c r="J1395" s="111" t="n"/>
      <c r="K1395" s="111" t="n"/>
      <c r="L1395" s="111" t="n"/>
      <c r="V1395" s="111" t="n"/>
      <c r="W1395" s="111" t="n"/>
      <c r="X1395" s="111" t="n"/>
    </row>
    <row r="1396">
      <c r="A1396" s="34" t="n"/>
      <c r="I1396" s="111" t="n"/>
      <c r="J1396" s="111" t="n"/>
      <c r="K1396" s="111" t="n"/>
      <c r="L1396" s="111" t="n"/>
      <c r="V1396" s="111" t="n"/>
      <c r="W1396" s="111" t="n"/>
      <c r="X1396" s="111" t="n"/>
    </row>
    <row r="1397">
      <c r="A1397" s="34" t="n"/>
      <c r="I1397" s="111" t="n"/>
      <c r="J1397" s="111" t="n"/>
      <c r="K1397" s="111" t="n"/>
      <c r="L1397" s="111" t="n"/>
      <c r="V1397" s="111" t="n"/>
      <c r="W1397" s="111" t="n"/>
      <c r="X1397" s="111" t="n"/>
    </row>
    <row r="1398">
      <c r="A1398" s="34" t="n"/>
      <c r="I1398" s="111" t="n"/>
      <c r="J1398" s="111" t="n"/>
      <c r="K1398" s="111" t="n"/>
      <c r="L1398" s="111" t="n"/>
      <c r="V1398" s="111" t="n"/>
      <c r="W1398" s="111" t="n"/>
      <c r="X1398" s="111" t="n"/>
    </row>
    <row r="1399">
      <c r="A1399" s="34" t="n"/>
      <c r="I1399" s="111" t="n"/>
      <c r="J1399" s="111" t="n"/>
      <c r="K1399" s="111" t="n"/>
      <c r="L1399" s="111" t="n"/>
      <c r="V1399" s="111" t="n"/>
      <c r="W1399" s="111" t="n"/>
      <c r="X1399" s="111" t="n"/>
    </row>
    <row r="1400">
      <c r="A1400" s="34" t="n"/>
      <c r="I1400" s="111" t="n"/>
      <c r="J1400" s="111" t="n"/>
      <c r="K1400" s="111" t="n"/>
      <c r="L1400" s="111" t="n"/>
      <c r="V1400" s="111" t="n"/>
      <c r="W1400" s="111" t="n"/>
      <c r="X1400" s="111" t="n"/>
    </row>
    <row r="1401">
      <c r="A1401" s="34" t="n"/>
      <c r="I1401" s="111" t="n"/>
      <c r="J1401" s="111" t="n"/>
      <c r="K1401" s="111" t="n"/>
      <c r="L1401" s="111" t="n"/>
      <c r="V1401" s="111" t="n"/>
      <c r="W1401" s="111" t="n"/>
      <c r="X1401" s="111" t="n"/>
    </row>
    <row r="1402">
      <c r="A1402" s="34" t="n"/>
      <c r="I1402" s="111" t="n"/>
      <c r="J1402" s="111" t="n"/>
      <c r="K1402" s="111" t="n"/>
      <c r="L1402" s="111" t="n"/>
      <c r="V1402" s="111" t="n"/>
      <c r="W1402" s="111" t="n"/>
      <c r="X1402" s="111" t="n"/>
    </row>
    <row r="1403">
      <c r="A1403" s="34" t="n"/>
      <c r="I1403" s="111" t="n"/>
      <c r="J1403" s="111" t="n"/>
      <c r="K1403" s="111" t="n"/>
      <c r="L1403" s="111" t="n"/>
      <c r="V1403" s="111" t="n"/>
      <c r="W1403" s="111" t="n"/>
      <c r="X1403" s="111" t="n"/>
    </row>
    <row r="1404">
      <c r="A1404" s="34" t="n"/>
      <c r="I1404" s="111" t="n"/>
      <c r="J1404" s="111" t="n"/>
      <c r="K1404" s="111" t="n"/>
      <c r="L1404" s="111" t="n"/>
      <c r="V1404" s="111" t="n"/>
      <c r="W1404" s="111" t="n"/>
      <c r="X1404" s="111" t="n"/>
    </row>
    <row r="1405">
      <c r="A1405" s="34" t="n"/>
      <c r="I1405" s="111" t="n"/>
      <c r="J1405" s="111" t="n"/>
      <c r="K1405" s="111" t="n"/>
      <c r="L1405" s="111" t="n"/>
      <c r="V1405" s="111" t="n"/>
      <c r="W1405" s="111" t="n"/>
      <c r="X1405" s="111" t="n"/>
    </row>
    <row r="1406">
      <c r="A1406" s="34" t="n"/>
      <c r="I1406" s="111" t="n"/>
      <c r="J1406" s="111" t="n"/>
      <c r="K1406" s="111" t="n"/>
      <c r="L1406" s="111" t="n"/>
      <c r="V1406" s="111" t="n"/>
      <c r="W1406" s="111" t="n"/>
      <c r="X1406" s="111" t="n"/>
    </row>
    <row r="1407">
      <c r="A1407" s="34" t="n"/>
      <c r="I1407" s="111" t="n"/>
      <c r="J1407" s="111" t="n"/>
      <c r="K1407" s="111" t="n"/>
      <c r="L1407" s="111" t="n"/>
      <c r="V1407" s="111" t="n"/>
      <c r="W1407" s="111" t="n"/>
      <c r="X1407" s="111" t="n"/>
    </row>
    <row r="1408">
      <c r="A1408" s="34" t="n"/>
      <c r="I1408" s="111" t="n"/>
      <c r="J1408" s="111" t="n"/>
      <c r="K1408" s="111" t="n"/>
      <c r="L1408" s="111" t="n"/>
      <c r="V1408" s="111" t="n"/>
      <c r="W1408" s="111" t="n"/>
      <c r="X1408" s="111" t="n"/>
    </row>
    <row r="1409">
      <c r="A1409" s="34" t="n"/>
      <c r="I1409" s="111" t="n"/>
      <c r="J1409" s="111" t="n"/>
      <c r="K1409" s="111" t="n"/>
      <c r="L1409" s="111" t="n"/>
      <c r="V1409" s="111" t="n"/>
      <c r="W1409" s="111" t="n"/>
      <c r="X1409" s="111" t="n"/>
    </row>
    <row r="1410">
      <c r="A1410" s="34" t="n"/>
      <c r="I1410" s="111" t="n"/>
      <c r="J1410" s="111" t="n"/>
      <c r="K1410" s="111" t="n"/>
      <c r="L1410" s="111" t="n"/>
      <c r="V1410" s="111" t="n"/>
      <c r="W1410" s="111" t="n"/>
      <c r="X1410" s="111" t="n"/>
    </row>
    <row r="1411">
      <c r="A1411" s="34" t="n"/>
      <c r="I1411" s="111" t="n"/>
      <c r="J1411" s="111" t="n"/>
      <c r="K1411" s="111" t="n"/>
      <c r="L1411" s="111" t="n"/>
      <c r="V1411" s="111" t="n"/>
      <c r="W1411" s="111" t="n"/>
      <c r="X1411" s="111" t="n"/>
    </row>
    <row r="1412">
      <c r="A1412" s="34" t="n"/>
      <c r="I1412" s="111" t="n"/>
      <c r="J1412" s="111" t="n"/>
      <c r="K1412" s="111" t="n"/>
      <c r="L1412" s="111" t="n"/>
      <c r="V1412" s="111" t="n"/>
      <c r="W1412" s="111" t="n"/>
      <c r="X1412" s="111" t="n"/>
    </row>
    <row r="1413">
      <c r="A1413" s="34" t="n"/>
      <c r="I1413" s="111" t="n"/>
      <c r="J1413" s="111" t="n"/>
      <c r="K1413" s="111" t="n"/>
      <c r="L1413" s="111" t="n"/>
      <c r="V1413" s="111" t="n"/>
      <c r="W1413" s="111" t="n"/>
      <c r="X1413" s="111" t="n"/>
    </row>
    <row r="1414">
      <c r="A1414" s="34" t="n"/>
      <c r="I1414" s="111" t="n"/>
      <c r="J1414" s="111" t="n"/>
      <c r="K1414" s="111" t="n"/>
      <c r="L1414" s="111" t="n"/>
      <c r="V1414" s="111" t="n"/>
      <c r="W1414" s="111" t="n"/>
      <c r="X1414" s="111" t="n"/>
    </row>
    <row r="1415">
      <c r="A1415" s="34" t="n"/>
      <c r="I1415" s="111" t="n"/>
      <c r="J1415" s="111" t="n"/>
      <c r="K1415" s="111" t="n"/>
      <c r="L1415" s="111" t="n"/>
      <c r="V1415" s="111" t="n"/>
      <c r="W1415" s="111" t="n"/>
      <c r="X1415" s="111" t="n"/>
    </row>
    <row r="1416">
      <c r="A1416" s="34" t="n"/>
      <c r="I1416" s="111" t="n"/>
      <c r="J1416" s="111" t="n"/>
      <c r="K1416" s="111" t="n"/>
      <c r="L1416" s="111" t="n"/>
      <c r="V1416" s="111" t="n"/>
      <c r="W1416" s="111" t="n"/>
      <c r="X1416" s="111" t="n"/>
    </row>
    <row r="1417">
      <c r="A1417" s="34" t="n"/>
      <c r="I1417" s="111" t="n"/>
      <c r="J1417" s="111" t="n"/>
      <c r="K1417" s="111" t="n"/>
      <c r="L1417" s="111" t="n"/>
      <c r="V1417" s="111" t="n"/>
      <c r="W1417" s="111" t="n"/>
      <c r="X1417" s="111" t="n"/>
    </row>
    <row r="1418">
      <c r="A1418" s="34" t="n"/>
      <c r="I1418" s="111" t="n"/>
      <c r="J1418" s="111" t="n"/>
      <c r="K1418" s="111" t="n"/>
      <c r="L1418" s="111" t="n"/>
      <c r="V1418" s="111" t="n"/>
      <c r="W1418" s="111" t="n"/>
      <c r="X1418" s="111" t="n"/>
    </row>
    <row r="1419">
      <c r="A1419" s="34" t="n"/>
      <c r="I1419" s="111" t="n"/>
      <c r="J1419" s="111" t="n"/>
      <c r="K1419" s="111" t="n"/>
      <c r="L1419" s="111" t="n"/>
      <c r="V1419" s="111" t="n"/>
      <c r="W1419" s="111" t="n"/>
      <c r="X1419" s="111" t="n"/>
    </row>
    <row r="1420">
      <c r="A1420" s="34" t="n"/>
      <c r="I1420" s="111" t="n"/>
      <c r="J1420" s="111" t="n"/>
      <c r="K1420" s="111" t="n"/>
      <c r="L1420" s="111" t="n"/>
      <c r="V1420" s="111" t="n"/>
      <c r="W1420" s="111" t="n"/>
      <c r="X1420" s="111" t="n"/>
    </row>
    <row r="1421">
      <c r="A1421" s="34" t="n"/>
      <c r="I1421" s="111" t="n"/>
      <c r="J1421" s="111" t="n"/>
      <c r="K1421" s="111" t="n"/>
      <c r="L1421" s="111" t="n"/>
      <c r="V1421" s="111" t="n"/>
      <c r="W1421" s="111" t="n"/>
      <c r="X1421" s="111" t="n"/>
    </row>
    <row r="1422">
      <c r="A1422" s="34" t="n"/>
      <c r="I1422" s="111" t="n"/>
      <c r="J1422" s="111" t="n"/>
      <c r="K1422" s="111" t="n"/>
      <c r="L1422" s="111" t="n"/>
      <c r="V1422" s="111" t="n"/>
      <c r="W1422" s="111" t="n"/>
      <c r="X1422" s="111" t="n"/>
    </row>
    <row r="1423">
      <c r="A1423" s="34" t="n"/>
      <c r="I1423" s="111" t="n"/>
      <c r="J1423" s="111" t="n"/>
      <c r="K1423" s="111" t="n"/>
      <c r="L1423" s="111" t="n"/>
      <c r="V1423" s="111" t="n"/>
      <c r="W1423" s="111" t="n"/>
      <c r="X1423" s="111" t="n"/>
    </row>
    <row r="1424">
      <c r="A1424" s="34" t="n"/>
      <c r="I1424" s="111" t="n"/>
      <c r="J1424" s="111" t="n"/>
      <c r="K1424" s="111" t="n"/>
      <c r="L1424" s="111" t="n"/>
      <c r="V1424" s="111" t="n"/>
      <c r="W1424" s="111" t="n"/>
      <c r="X1424" s="111" t="n"/>
    </row>
    <row r="1425">
      <c r="A1425" s="34" t="n"/>
      <c r="I1425" s="111" t="n"/>
      <c r="J1425" s="111" t="n"/>
      <c r="K1425" s="111" t="n"/>
      <c r="L1425" s="111" t="n"/>
      <c r="V1425" s="111" t="n"/>
      <c r="W1425" s="111" t="n"/>
      <c r="X1425" s="111" t="n"/>
    </row>
    <row r="1426">
      <c r="A1426" s="34" t="n"/>
      <c r="I1426" s="111" t="n"/>
      <c r="J1426" s="111" t="n"/>
      <c r="K1426" s="111" t="n"/>
      <c r="L1426" s="111" t="n"/>
      <c r="V1426" s="111" t="n"/>
      <c r="W1426" s="111" t="n"/>
      <c r="X1426" s="111" t="n"/>
    </row>
    <row r="1427">
      <c r="A1427" s="34" t="n"/>
      <c r="I1427" s="111" t="n"/>
      <c r="J1427" s="111" t="n"/>
      <c r="K1427" s="111" t="n"/>
      <c r="L1427" s="111" t="n"/>
      <c r="V1427" s="111" t="n"/>
      <c r="W1427" s="111" t="n"/>
      <c r="X1427" s="111" t="n"/>
    </row>
    <row r="1428">
      <c r="A1428" s="34" t="n"/>
      <c r="I1428" s="111" t="n"/>
      <c r="J1428" s="111" t="n"/>
      <c r="K1428" s="111" t="n"/>
      <c r="L1428" s="111" t="n"/>
      <c r="V1428" s="111" t="n"/>
      <c r="W1428" s="111" t="n"/>
      <c r="X1428" s="111" t="n"/>
    </row>
    <row r="1429">
      <c r="A1429" s="34" t="n"/>
      <c r="I1429" s="111" t="n"/>
      <c r="J1429" s="111" t="n"/>
      <c r="K1429" s="111" t="n"/>
      <c r="L1429" s="111" t="n"/>
      <c r="V1429" s="111" t="n"/>
      <c r="W1429" s="111" t="n"/>
      <c r="X1429" s="111" t="n"/>
    </row>
    <row r="1430">
      <c r="A1430" s="34" t="n"/>
      <c r="I1430" s="111" t="n"/>
      <c r="J1430" s="111" t="n"/>
      <c r="K1430" s="111" t="n"/>
      <c r="L1430" s="111" t="n"/>
      <c r="V1430" s="111" t="n"/>
      <c r="W1430" s="111" t="n"/>
      <c r="X1430" s="111" t="n"/>
    </row>
    <row r="1431">
      <c r="A1431" s="34" t="n"/>
      <c r="I1431" s="111" t="n"/>
      <c r="J1431" s="111" t="n"/>
      <c r="K1431" s="111" t="n"/>
      <c r="L1431" s="111" t="n"/>
      <c r="V1431" s="111" t="n"/>
      <c r="W1431" s="111" t="n"/>
      <c r="X1431" s="111" t="n"/>
    </row>
    <row r="1432">
      <c r="A1432" s="34" t="n"/>
      <c r="I1432" s="111" t="n"/>
      <c r="J1432" s="111" t="n"/>
      <c r="K1432" s="111" t="n"/>
      <c r="L1432" s="111" t="n"/>
      <c r="V1432" s="111" t="n"/>
      <c r="W1432" s="111" t="n"/>
      <c r="X1432" s="111" t="n"/>
    </row>
    <row r="1433">
      <c r="A1433" s="34" t="n"/>
      <c r="I1433" s="111" t="n"/>
      <c r="J1433" s="111" t="n"/>
      <c r="K1433" s="111" t="n"/>
      <c r="L1433" s="111" t="n"/>
      <c r="V1433" s="111" t="n"/>
      <c r="W1433" s="111" t="n"/>
      <c r="X1433" s="111" t="n"/>
    </row>
    <row r="1434">
      <c r="A1434" s="34" t="n"/>
      <c r="I1434" s="111" t="n"/>
      <c r="J1434" s="111" t="n"/>
      <c r="K1434" s="111" t="n"/>
      <c r="L1434" s="111" t="n"/>
      <c r="V1434" s="111" t="n"/>
      <c r="W1434" s="111" t="n"/>
      <c r="X1434" s="111" t="n"/>
    </row>
    <row r="1435">
      <c r="A1435" s="34" t="n"/>
      <c r="I1435" s="111" t="n"/>
      <c r="J1435" s="111" t="n"/>
      <c r="K1435" s="111" t="n"/>
      <c r="L1435" s="111" t="n"/>
      <c r="V1435" s="111" t="n"/>
      <c r="W1435" s="111" t="n"/>
      <c r="X1435" s="111" t="n"/>
    </row>
    <row r="1436">
      <c r="A1436" s="34" t="n"/>
      <c r="I1436" s="111" t="n"/>
      <c r="J1436" s="111" t="n"/>
      <c r="K1436" s="111" t="n"/>
      <c r="L1436" s="111" t="n"/>
      <c r="V1436" s="111" t="n"/>
      <c r="W1436" s="111" t="n"/>
      <c r="X1436" s="111" t="n"/>
    </row>
    <row r="1437">
      <c r="A1437" s="34" t="n"/>
      <c r="I1437" s="111" t="n"/>
      <c r="J1437" s="111" t="n"/>
      <c r="K1437" s="111" t="n"/>
      <c r="L1437" s="111" t="n"/>
      <c r="V1437" s="111" t="n"/>
      <c r="W1437" s="111" t="n"/>
      <c r="X1437" s="111" t="n"/>
    </row>
    <row r="1438">
      <c r="A1438" s="34" t="n"/>
      <c r="I1438" s="111" t="n"/>
      <c r="J1438" s="111" t="n"/>
      <c r="K1438" s="111" t="n"/>
      <c r="L1438" s="111" t="n"/>
      <c r="V1438" s="111" t="n"/>
      <c r="W1438" s="111" t="n"/>
      <c r="X1438" s="111" t="n"/>
    </row>
    <row r="1439">
      <c r="A1439" s="34" t="n"/>
      <c r="I1439" s="111" t="n"/>
      <c r="J1439" s="111" t="n"/>
      <c r="K1439" s="111" t="n"/>
      <c r="L1439" s="111" t="n"/>
      <c r="V1439" s="111" t="n"/>
      <c r="W1439" s="111" t="n"/>
      <c r="X1439" s="111" t="n"/>
    </row>
    <row r="1440">
      <c r="A1440" s="34" t="n"/>
      <c r="I1440" s="111" t="n"/>
      <c r="J1440" s="111" t="n"/>
      <c r="K1440" s="111" t="n"/>
      <c r="L1440" s="111" t="n"/>
      <c r="V1440" s="111" t="n"/>
      <c r="W1440" s="111" t="n"/>
      <c r="X1440" s="111" t="n"/>
    </row>
    <row r="1441">
      <c r="A1441" s="34" t="n"/>
      <c r="I1441" s="111" t="n"/>
      <c r="J1441" s="111" t="n"/>
      <c r="K1441" s="111" t="n"/>
      <c r="L1441" s="111" t="n"/>
      <c r="V1441" s="111" t="n"/>
      <c r="W1441" s="111" t="n"/>
      <c r="X1441" s="111" t="n"/>
    </row>
    <row r="1442">
      <c r="A1442" s="34" t="n"/>
      <c r="I1442" s="111" t="n"/>
      <c r="J1442" s="111" t="n"/>
      <c r="K1442" s="111" t="n"/>
      <c r="L1442" s="111" t="n"/>
      <c r="V1442" s="111" t="n"/>
      <c r="W1442" s="111" t="n"/>
      <c r="X1442" s="111" t="n"/>
    </row>
    <row r="1443">
      <c r="A1443" s="34" t="n"/>
      <c r="I1443" s="111" t="n"/>
      <c r="J1443" s="111" t="n"/>
      <c r="K1443" s="111" t="n"/>
      <c r="L1443" s="111" t="n"/>
      <c r="V1443" s="111" t="n"/>
      <c r="W1443" s="111" t="n"/>
      <c r="X1443" s="111" t="n"/>
    </row>
    <row r="1444">
      <c r="A1444" s="34" t="n"/>
      <c r="I1444" s="111" t="n"/>
      <c r="J1444" s="111" t="n"/>
      <c r="K1444" s="111" t="n"/>
      <c r="L1444" s="111" t="n"/>
      <c r="V1444" s="111" t="n"/>
      <c r="W1444" s="111" t="n"/>
      <c r="X1444" s="111" t="n"/>
    </row>
    <row r="1445">
      <c r="A1445" s="34" t="n"/>
      <c r="I1445" s="111" t="n"/>
      <c r="J1445" s="111" t="n"/>
      <c r="K1445" s="111" t="n"/>
      <c r="L1445" s="111" t="n"/>
      <c r="V1445" s="111" t="n"/>
      <c r="W1445" s="111" t="n"/>
      <c r="X1445" s="111" t="n"/>
    </row>
    <row r="1446">
      <c r="A1446" s="34" t="n"/>
      <c r="I1446" s="111" t="n"/>
      <c r="J1446" s="111" t="n"/>
      <c r="K1446" s="111" t="n"/>
      <c r="L1446" s="111" t="n"/>
      <c r="V1446" s="111" t="n"/>
      <c r="W1446" s="111" t="n"/>
      <c r="X1446" s="111" t="n"/>
    </row>
    <row r="1447">
      <c r="A1447" s="34" t="n"/>
      <c r="I1447" s="111" t="n"/>
      <c r="J1447" s="111" t="n"/>
      <c r="K1447" s="111" t="n"/>
      <c r="L1447" s="111" t="n"/>
      <c r="V1447" s="111" t="n"/>
      <c r="W1447" s="111" t="n"/>
      <c r="X1447" s="111" t="n"/>
    </row>
    <row r="1448">
      <c r="A1448" s="34" t="n"/>
      <c r="I1448" s="111" t="n"/>
      <c r="J1448" s="111" t="n"/>
      <c r="K1448" s="111" t="n"/>
      <c r="L1448" s="111" t="n"/>
      <c r="V1448" s="111" t="n"/>
      <c r="W1448" s="111" t="n"/>
      <c r="X1448" s="111" t="n"/>
    </row>
    <row r="1449">
      <c r="A1449" s="34" t="n"/>
      <c r="I1449" s="111" t="n"/>
      <c r="J1449" s="111" t="n"/>
      <c r="K1449" s="111" t="n"/>
      <c r="L1449" s="111" t="n"/>
      <c r="V1449" s="111" t="n"/>
      <c r="W1449" s="111" t="n"/>
      <c r="X1449" s="111" t="n"/>
    </row>
    <row r="1450">
      <c r="A1450" s="34" t="n"/>
      <c r="I1450" s="111" t="n"/>
      <c r="J1450" s="111" t="n"/>
      <c r="K1450" s="111" t="n"/>
      <c r="L1450" s="111" t="n"/>
      <c r="V1450" s="111" t="n"/>
      <c r="W1450" s="111" t="n"/>
      <c r="X1450" s="111" t="n"/>
    </row>
    <row r="1451">
      <c r="A1451" s="34" t="n"/>
      <c r="I1451" s="111" t="n"/>
      <c r="J1451" s="111" t="n"/>
      <c r="K1451" s="111" t="n"/>
      <c r="L1451" s="111" t="n"/>
      <c r="V1451" s="111" t="n"/>
      <c r="W1451" s="111" t="n"/>
      <c r="X1451" s="111" t="n"/>
    </row>
    <row r="1452">
      <c r="A1452" s="34" t="n"/>
      <c r="I1452" s="111" t="n"/>
      <c r="J1452" s="111" t="n"/>
      <c r="K1452" s="111" t="n"/>
      <c r="L1452" s="111" t="n"/>
      <c r="V1452" s="111" t="n"/>
      <c r="W1452" s="111" t="n"/>
      <c r="X1452" s="111" t="n"/>
    </row>
    <row r="1453">
      <c r="A1453" s="34" t="n"/>
      <c r="I1453" s="111" t="n"/>
      <c r="J1453" s="111" t="n"/>
      <c r="K1453" s="111" t="n"/>
      <c r="L1453" s="111" t="n"/>
      <c r="V1453" s="111" t="n"/>
      <c r="W1453" s="111" t="n"/>
      <c r="X1453" s="111" t="n"/>
    </row>
    <row r="1454">
      <c r="A1454" s="34" t="n"/>
      <c r="I1454" s="111" t="n"/>
      <c r="J1454" s="111" t="n"/>
      <c r="K1454" s="111" t="n"/>
      <c r="L1454" s="111" t="n"/>
      <c r="V1454" s="111" t="n"/>
      <c r="W1454" s="111" t="n"/>
      <c r="X1454" s="111" t="n"/>
    </row>
    <row r="1455">
      <c r="A1455" s="34" t="n"/>
      <c r="I1455" s="111" t="n"/>
      <c r="J1455" s="111" t="n"/>
      <c r="K1455" s="111" t="n"/>
      <c r="L1455" s="111" t="n"/>
      <c r="V1455" s="111" t="n"/>
      <c r="W1455" s="111" t="n"/>
      <c r="X1455" s="111" t="n"/>
    </row>
    <row r="1456">
      <c r="A1456" s="34" t="n"/>
      <c r="I1456" s="111" t="n"/>
      <c r="J1456" s="111" t="n"/>
      <c r="K1456" s="111" t="n"/>
      <c r="L1456" s="111" t="n"/>
      <c r="V1456" s="111" t="n"/>
      <c r="W1456" s="111" t="n"/>
      <c r="X1456" s="111" t="n"/>
    </row>
    <row r="1457">
      <c r="A1457" s="34" t="n"/>
      <c r="I1457" s="111" t="n"/>
      <c r="J1457" s="111" t="n"/>
      <c r="K1457" s="111" t="n"/>
      <c r="L1457" s="111" t="n"/>
      <c r="V1457" s="111" t="n"/>
      <c r="W1457" s="111" t="n"/>
      <c r="X1457" s="111" t="n"/>
    </row>
    <row r="1458">
      <c r="A1458" s="34" t="n"/>
      <c r="I1458" s="111" t="n"/>
      <c r="J1458" s="111" t="n"/>
      <c r="K1458" s="111" t="n"/>
      <c r="L1458" s="111" t="n"/>
      <c r="V1458" s="111" t="n"/>
      <c r="W1458" s="111" t="n"/>
      <c r="X1458" s="111" t="n"/>
    </row>
    <row r="1459">
      <c r="A1459" s="34" t="n"/>
      <c r="I1459" s="111" t="n"/>
      <c r="J1459" s="111" t="n"/>
      <c r="K1459" s="111" t="n"/>
      <c r="L1459" s="111" t="n"/>
      <c r="V1459" s="111" t="n"/>
      <c r="W1459" s="111" t="n"/>
      <c r="X1459" s="111" t="n"/>
    </row>
    <row r="1460">
      <c r="A1460" s="34" t="n"/>
      <c r="I1460" s="111" t="n"/>
      <c r="J1460" s="111" t="n"/>
      <c r="K1460" s="111" t="n"/>
      <c r="L1460" s="111" t="n"/>
      <c r="V1460" s="111" t="n"/>
      <c r="W1460" s="111" t="n"/>
      <c r="X1460" s="111" t="n"/>
    </row>
    <row r="1461">
      <c r="A1461" s="34" t="n"/>
      <c r="I1461" s="111" t="n"/>
      <c r="J1461" s="111" t="n"/>
      <c r="K1461" s="111" t="n"/>
      <c r="L1461" s="111" t="n"/>
      <c r="V1461" s="111" t="n"/>
      <c r="W1461" s="111" t="n"/>
      <c r="X1461" s="111" t="n"/>
    </row>
    <row r="1462">
      <c r="A1462" s="34" t="n"/>
      <c r="I1462" s="111" t="n"/>
      <c r="J1462" s="111" t="n"/>
      <c r="K1462" s="111" t="n"/>
      <c r="L1462" s="111" t="n"/>
      <c r="V1462" s="111" t="n"/>
      <c r="W1462" s="111" t="n"/>
      <c r="X1462" s="111" t="n"/>
    </row>
    <row r="1463">
      <c r="A1463" s="34" t="n"/>
      <c r="I1463" s="111" t="n"/>
      <c r="J1463" s="111" t="n"/>
      <c r="K1463" s="111" t="n"/>
      <c r="L1463" s="111" t="n"/>
      <c r="V1463" s="111" t="n"/>
      <c r="W1463" s="111" t="n"/>
      <c r="X1463" s="111" t="n"/>
    </row>
    <row r="1464">
      <c r="A1464" s="34" t="n"/>
      <c r="I1464" s="111" t="n"/>
      <c r="J1464" s="111" t="n"/>
      <c r="K1464" s="111" t="n"/>
      <c r="L1464" s="111" t="n"/>
      <c r="V1464" s="111" t="n"/>
      <c r="W1464" s="111" t="n"/>
      <c r="X1464" s="111" t="n"/>
    </row>
    <row r="1465">
      <c r="A1465" s="34" t="n"/>
      <c r="I1465" s="111" t="n"/>
      <c r="J1465" s="111" t="n"/>
      <c r="K1465" s="111" t="n"/>
      <c r="L1465" s="111" t="n"/>
      <c r="V1465" s="111" t="n"/>
      <c r="W1465" s="111" t="n"/>
      <c r="X1465" s="111" t="n"/>
    </row>
    <row r="1466">
      <c r="A1466" s="34" t="n"/>
      <c r="I1466" s="111" t="n"/>
      <c r="J1466" s="111" t="n"/>
      <c r="K1466" s="111" t="n"/>
      <c r="L1466" s="111" t="n"/>
      <c r="V1466" s="111" t="n"/>
      <c r="W1466" s="111" t="n"/>
      <c r="X1466" s="111" t="n"/>
    </row>
    <row r="1467">
      <c r="A1467" s="34" t="n"/>
      <c r="I1467" s="111" t="n"/>
      <c r="J1467" s="111" t="n"/>
      <c r="K1467" s="111" t="n"/>
      <c r="L1467" s="111" t="n"/>
      <c r="V1467" s="111" t="n"/>
      <c r="W1467" s="111" t="n"/>
      <c r="X1467" s="111" t="n"/>
    </row>
    <row r="1468">
      <c r="A1468" s="34" t="n"/>
      <c r="I1468" s="111" t="n"/>
      <c r="J1468" s="111" t="n"/>
      <c r="K1468" s="111" t="n"/>
      <c r="L1468" s="111" t="n"/>
      <c r="V1468" s="111" t="n"/>
      <c r="W1468" s="111" t="n"/>
      <c r="X1468" s="111" t="n"/>
    </row>
    <row r="1469">
      <c r="A1469" s="34" t="n"/>
      <c r="I1469" s="111" t="n"/>
      <c r="J1469" s="111" t="n"/>
      <c r="K1469" s="111" t="n"/>
      <c r="L1469" s="111" t="n"/>
      <c r="V1469" s="111" t="n"/>
      <c r="W1469" s="111" t="n"/>
      <c r="X1469" s="111" t="n"/>
    </row>
    <row r="1470">
      <c r="A1470" s="34" t="n"/>
      <c r="I1470" s="111" t="n"/>
      <c r="J1470" s="111" t="n"/>
      <c r="K1470" s="111" t="n"/>
      <c r="L1470" s="111" t="n"/>
      <c r="V1470" s="111" t="n"/>
      <c r="W1470" s="111" t="n"/>
      <c r="X1470" s="111" t="n"/>
    </row>
    <row r="1471">
      <c r="A1471" s="34" t="n"/>
      <c r="I1471" s="111" t="n"/>
      <c r="J1471" s="111" t="n"/>
      <c r="K1471" s="111" t="n"/>
      <c r="L1471" s="111" t="n"/>
      <c r="V1471" s="111" t="n"/>
      <c r="W1471" s="111" t="n"/>
      <c r="X1471" s="111" t="n"/>
    </row>
    <row r="1472">
      <c r="A1472" s="34" t="n"/>
      <c r="I1472" s="111" t="n"/>
      <c r="J1472" s="111" t="n"/>
      <c r="K1472" s="111" t="n"/>
      <c r="L1472" s="111" t="n"/>
      <c r="V1472" s="111" t="n"/>
      <c r="W1472" s="111" t="n"/>
      <c r="X1472" s="111" t="n"/>
    </row>
    <row r="1473">
      <c r="A1473" s="34" t="n"/>
      <c r="I1473" s="111" t="n"/>
      <c r="J1473" s="111" t="n"/>
      <c r="K1473" s="111" t="n"/>
      <c r="L1473" s="111" t="n"/>
      <c r="V1473" s="111" t="n"/>
      <c r="W1473" s="111" t="n"/>
      <c r="X1473" s="111" t="n"/>
    </row>
    <row r="1474">
      <c r="A1474" s="34" t="n"/>
      <c r="I1474" s="111" t="n"/>
      <c r="J1474" s="111" t="n"/>
      <c r="K1474" s="111" t="n"/>
      <c r="L1474" s="111" t="n"/>
      <c r="V1474" s="111" t="n"/>
      <c r="W1474" s="111" t="n"/>
      <c r="X1474" s="111" t="n"/>
    </row>
    <row r="1475">
      <c r="A1475" s="34" t="n"/>
      <c r="I1475" s="111" t="n"/>
      <c r="J1475" s="111" t="n"/>
      <c r="K1475" s="111" t="n"/>
      <c r="L1475" s="111" t="n"/>
      <c r="V1475" s="111" t="n"/>
      <c r="W1475" s="111" t="n"/>
      <c r="X1475" s="111" t="n"/>
    </row>
    <row r="1476">
      <c r="A1476" s="34" t="n"/>
      <c r="I1476" s="111" t="n"/>
      <c r="J1476" s="111" t="n"/>
      <c r="K1476" s="111" t="n"/>
      <c r="L1476" s="111" t="n"/>
      <c r="V1476" s="111" t="n"/>
      <c r="W1476" s="111" t="n"/>
      <c r="X1476" s="111" t="n"/>
    </row>
    <row r="1477">
      <c r="A1477" s="34" t="n"/>
      <c r="I1477" s="111" t="n"/>
      <c r="J1477" s="111" t="n"/>
      <c r="K1477" s="111" t="n"/>
      <c r="L1477" s="111" t="n"/>
      <c r="V1477" s="111" t="n"/>
      <c r="W1477" s="111" t="n"/>
      <c r="X1477" s="111" t="n"/>
    </row>
    <row r="1478">
      <c r="A1478" s="34" t="n"/>
      <c r="I1478" s="111" t="n"/>
      <c r="J1478" s="111" t="n"/>
      <c r="K1478" s="111" t="n"/>
      <c r="L1478" s="111" t="n"/>
      <c r="V1478" s="111" t="n"/>
      <c r="W1478" s="111" t="n"/>
      <c r="X1478" s="111" t="n"/>
    </row>
    <row r="1479">
      <c r="A1479" s="34" t="n"/>
      <c r="I1479" s="111" t="n"/>
      <c r="J1479" s="111" t="n"/>
      <c r="K1479" s="111" t="n"/>
      <c r="L1479" s="111" t="n"/>
      <c r="V1479" s="111" t="n"/>
      <c r="W1479" s="111" t="n"/>
      <c r="X1479" s="111" t="n"/>
    </row>
    <row r="1480">
      <c r="A1480" s="34" t="n"/>
      <c r="I1480" s="111" t="n"/>
      <c r="J1480" s="111" t="n"/>
      <c r="K1480" s="111" t="n"/>
      <c r="L1480" s="111" t="n"/>
      <c r="V1480" s="111" t="n"/>
      <c r="W1480" s="111" t="n"/>
      <c r="X1480" s="111" t="n"/>
    </row>
    <row r="1481">
      <c r="A1481" s="34" t="n"/>
      <c r="I1481" s="111" t="n"/>
      <c r="J1481" s="111" t="n"/>
      <c r="K1481" s="111" t="n"/>
      <c r="L1481" s="111" t="n"/>
      <c r="V1481" s="111" t="n"/>
      <c r="W1481" s="111" t="n"/>
      <c r="X1481" s="111" t="n"/>
    </row>
    <row r="1482">
      <c r="A1482" s="34" t="n"/>
      <c r="I1482" s="111" t="n"/>
      <c r="J1482" s="111" t="n"/>
      <c r="K1482" s="111" t="n"/>
      <c r="L1482" s="111" t="n"/>
      <c r="V1482" s="111" t="n"/>
      <c r="W1482" s="111" t="n"/>
      <c r="X1482" s="111" t="n"/>
    </row>
    <row r="1483">
      <c r="A1483" s="34" t="n"/>
      <c r="I1483" s="111" t="n"/>
      <c r="J1483" s="111" t="n"/>
      <c r="K1483" s="111" t="n"/>
      <c r="L1483" s="111" t="n"/>
      <c r="V1483" s="111" t="n"/>
      <c r="W1483" s="111" t="n"/>
      <c r="X1483" s="111" t="n"/>
    </row>
    <row r="1484">
      <c r="A1484" s="34" t="n"/>
      <c r="I1484" s="111" t="n"/>
      <c r="J1484" s="111" t="n"/>
      <c r="K1484" s="111" t="n"/>
      <c r="L1484" s="111" t="n"/>
      <c r="V1484" s="111" t="n"/>
      <c r="W1484" s="111" t="n"/>
      <c r="X1484" s="111" t="n"/>
    </row>
    <row r="1485">
      <c r="A1485" s="34" t="n"/>
      <c r="I1485" s="111" t="n"/>
      <c r="J1485" s="111" t="n"/>
      <c r="K1485" s="111" t="n"/>
      <c r="L1485" s="111" t="n"/>
      <c r="V1485" s="111" t="n"/>
      <c r="W1485" s="111" t="n"/>
      <c r="X1485" s="111" t="n"/>
    </row>
    <row r="1486">
      <c r="A1486" s="34" t="n"/>
      <c r="I1486" s="111" t="n"/>
      <c r="J1486" s="111" t="n"/>
      <c r="K1486" s="111" t="n"/>
      <c r="L1486" s="111" t="n"/>
      <c r="V1486" s="111" t="n"/>
      <c r="W1486" s="111" t="n"/>
      <c r="X1486" s="111" t="n"/>
    </row>
    <row r="1487">
      <c r="A1487" s="34" t="n"/>
      <c r="I1487" s="111" t="n"/>
      <c r="J1487" s="111" t="n"/>
      <c r="K1487" s="111" t="n"/>
      <c r="L1487" s="111" t="n"/>
      <c r="V1487" s="111" t="n"/>
      <c r="W1487" s="111" t="n"/>
      <c r="X1487" s="111" t="n"/>
    </row>
    <row r="1488">
      <c r="A1488" s="34" t="n"/>
      <c r="I1488" s="111" t="n"/>
      <c r="J1488" s="111" t="n"/>
      <c r="K1488" s="111" t="n"/>
      <c r="L1488" s="111" t="n"/>
      <c r="V1488" s="111" t="n"/>
      <c r="W1488" s="111" t="n"/>
      <c r="X1488" s="111" t="n"/>
    </row>
    <row r="1489">
      <c r="A1489" s="34" t="n"/>
      <c r="I1489" s="111" t="n"/>
      <c r="J1489" s="111" t="n"/>
      <c r="K1489" s="111" t="n"/>
      <c r="L1489" s="111" t="n"/>
      <c r="V1489" s="111" t="n"/>
      <c r="W1489" s="111" t="n"/>
      <c r="X1489" s="111" t="n"/>
    </row>
    <row r="1490">
      <c r="A1490" s="34" t="n"/>
      <c r="I1490" s="111" t="n"/>
      <c r="J1490" s="111" t="n"/>
      <c r="K1490" s="111" t="n"/>
      <c r="L1490" s="111" t="n"/>
      <c r="V1490" s="111" t="n"/>
      <c r="W1490" s="111" t="n"/>
      <c r="X1490" s="111" t="n"/>
    </row>
    <row r="1491">
      <c r="A1491" s="34" t="n"/>
      <c r="I1491" s="111" t="n"/>
      <c r="J1491" s="111" t="n"/>
      <c r="K1491" s="111" t="n"/>
      <c r="L1491" s="111" t="n"/>
      <c r="V1491" s="111" t="n"/>
      <c r="W1491" s="111" t="n"/>
      <c r="X1491" s="111" t="n"/>
    </row>
    <row r="1492">
      <c r="A1492" s="34" t="n"/>
      <c r="I1492" s="111" t="n"/>
      <c r="J1492" s="111" t="n"/>
      <c r="K1492" s="111" t="n"/>
      <c r="L1492" s="111" t="n"/>
      <c r="V1492" s="111" t="n"/>
      <c r="W1492" s="111" t="n"/>
      <c r="X1492" s="111" t="n"/>
    </row>
    <row r="1493">
      <c r="A1493" s="34" t="n"/>
      <c r="I1493" s="111" t="n"/>
      <c r="J1493" s="111" t="n"/>
      <c r="K1493" s="111" t="n"/>
      <c r="L1493" s="111" t="n"/>
      <c r="V1493" s="111" t="n"/>
      <c r="W1493" s="111" t="n"/>
      <c r="X1493" s="111" t="n"/>
    </row>
    <row r="1494">
      <c r="A1494" s="34" t="n"/>
      <c r="I1494" s="111" t="n"/>
      <c r="J1494" s="111" t="n"/>
      <c r="K1494" s="111" t="n"/>
      <c r="L1494" s="111" t="n"/>
      <c r="V1494" s="111" t="n"/>
      <c r="W1494" s="111" t="n"/>
      <c r="X1494" s="111" t="n"/>
    </row>
    <row r="1495">
      <c r="A1495" s="34" t="n"/>
      <c r="I1495" s="111" t="n"/>
      <c r="J1495" s="111" t="n"/>
      <c r="K1495" s="111" t="n"/>
      <c r="L1495" s="111" t="n"/>
      <c r="V1495" s="111" t="n"/>
      <c r="W1495" s="111" t="n"/>
      <c r="X1495" s="111" t="n"/>
    </row>
    <row r="1496">
      <c r="A1496" s="34" t="n"/>
      <c r="I1496" s="111" t="n"/>
      <c r="J1496" s="111" t="n"/>
      <c r="K1496" s="111" t="n"/>
      <c r="L1496" s="111" t="n"/>
      <c r="V1496" s="111" t="n"/>
      <c r="W1496" s="111" t="n"/>
      <c r="X1496" s="111" t="n"/>
    </row>
    <row r="1497">
      <c r="A1497" s="34" t="n"/>
      <c r="I1497" s="111" t="n"/>
      <c r="J1497" s="111" t="n"/>
      <c r="K1497" s="111" t="n"/>
      <c r="L1497" s="111" t="n"/>
      <c r="V1497" s="111" t="n"/>
      <c r="W1497" s="111" t="n"/>
      <c r="X1497" s="111" t="n"/>
    </row>
    <row r="1498">
      <c r="A1498" s="34" t="n"/>
      <c r="I1498" s="111" t="n"/>
      <c r="J1498" s="111" t="n"/>
      <c r="K1498" s="111" t="n"/>
      <c r="L1498" s="111" t="n"/>
      <c r="V1498" s="111" t="n"/>
      <c r="W1498" s="111" t="n"/>
      <c r="X1498" s="111" t="n"/>
    </row>
    <row r="1499">
      <c r="A1499" s="34" t="n"/>
      <c r="I1499" s="111" t="n"/>
      <c r="J1499" s="111" t="n"/>
      <c r="K1499" s="111" t="n"/>
      <c r="L1499" s="111" t="n"/>
      <c r="V1499" s="111" t="n"/>
      <c r="W1499" s="111" t="n"/>
      <c r="X1499" s="111" t="n"/>
    </row>
    <row r="1500">
      <c r="A1500" s="34" t="n"/>
      <c r="I1500" s="111" t="n"/>
      <c r="J1500" s="111" t="n"/>
      <c r="K1500" s="111" t="n"/>
      <c r="L1500" s="111" t="n"/>
      <c r="V1500" s="111" t="n"/>
      <c r="W1500" s="111" t="n"/>
      <c r="X1500" s="111" t="n"/>
    </row>
    <row r="1501">
      <c r="A1501" s="34" t="n"/>
      <c r="I1501" s="111" t="n"/>
      <c r="J1501" s="111" t="n"/>
      <c r="K1501" s="111" t="n"/>
      <c r="L1501" s="111" t="n"/>
      <c r="V1501" s="111" t="n"/>
      <c r="W1501" s="111" t="n"/>
      <c r="X1501" s="111" t="n"/>
    </row>
    <row r="1502">
      <c r="A1502" s="34" t="n"/>
      <c r="I1502" s="111" t="n"/>
      <c r="J1502" s="111" t="n"/>
      <c r="K1502" s="111" t="n"/>
      <c r="L1502" s="111" t="n"/>
      <c r="V1502" s="111" t="n"/>
      <c r="W1502" s="111" t="n"/>
      <c r="X1502" s="111" t="n"/>
    </row>
    <row r="1503">
      <c r="A1503" s="34" t="n"/>
      <c r="I1503" s="111" t="n"/>
      <c r="J1503" s="111" t="n"/>
      <c r="K1503" s="111" t="n"/>
      <c r="L1503" s="111" t="n"/>
      <c r="V1503" s="111" t="n"/>
      <c r="W1503" s="111" t="n"/>
      <c r="X1503" s="111" t="n"/>
    </row>
    <row r="1504">
      <c r="A1504" s="34" t="n"/>
      <c r="I1504" s="111" t="n"/>
      <c r="J1504" s="111" t="n"/>
      <c r="K1504" s="111" t="n"/>
      <c r="L1504" s="111" t="n"/>
      <c r="V1504" s="111" t="n"/>
      <c r="W1504" s="111" t="n"/>
      <c r="X1504" s="111" t="n"/>
    </row>
    <row r="1505">
      <c r="A1505" s="34" t="n"/>
      <c r="I1505" s="111" t="n"/>
      <c r="J1505" s="111" t="n"/>
      <c r="K1505" s="111" t="n"/>
      <c r="L1505" s="111" t="n"/>
      <c r="V1505" s="111" t="n"/>
      <c r="W1505" s="111" t="n"/>
      <c r="X1505" s="111" t="n"/>
    </row>
    <row r="1506">
      <c r="A1506" s="34" t="n"/>
      <c r="I1506" s="111" t="n"/>
      <c r="J1506" s="111" t="n"/>
      <c r="K1506" s="111" t="n"/>
      <c r="L1506" s="111" t="n"/>
      <c r="V1506" s="111" t="n"/>
      <c r="W1506" s="111" t="n"/>
      <c r="X1506" s="111" t="n"/>
    </row>
    <row r="1507">
      <c r="A1507" s="34" t="n"/>
      <c r="I1507" s="111" t="n"/>
      <c r="J1507" s="111" t="n"/>
      <c r="K1507" s="111" t="n"/>
      <c r="L1507" s="111" t="n"/>
      <c r="V1507" s="111" t="n"/>
      <c r="W1507" s="111" t="n"/>
      <c r="X1507" s="111" t="n"/>
    </row>
    <row r="1508">
      <c r="A1508" s="34" t="n"/>
      <c r="I1508" s="111" t="n"/>
      <c r="J1508" s="111" t="n"/>
      <c r="K1508" s="111" t="n"/>
      <c r="L1508" s="111" t="n"/>
      <c r="V1508" s="111" t="n"/>
      <c r="W1508" s="111" t="n"/>
      <c r="X1508" s="111" t="n"/>
    </row>
    <row r="1509">
      <c r="A1509" s="34" t="n"/>
      <c r="I1509" s="111" t="n"/>
      <c r="J1509" s="111" t="n"/>
      <c r="K1509" s="111" t="n"/>
      <c r="L1509" s="111" t="n"/>
      <c r="V1509" s="111" t="n"/>
      <c r="W1509" s="111" t="n"/>
      <c r="X1509" s="111" t="n"/>
    </row>
    <row r="1510">
      <c r="A1510" s="34" t="n"/>
      <c r="I1510" s="111" t="n"/>
      <c r="J1510" s="111" t="n"/>
      <c r="K1510" s="111" t="n"/>
      <c r="L1510" s="111" t="n"/>
      <c r="V1510" s="111" t="n"/>
      <c r="W1510" s="111" t="n"/>
      <c r="X1510" s="111" t="n"/>
    </row>
    <row r="1511">
      <c r="A1511" s="34" t="n"/>
      <c r="I1511" s="111" t="n"/>
      <c r="J1511" s="111" t="n"/>
      <c r="K1511" s="111" t="n"/>
      <c r="L1511" s="111" t="n"/>
      <c r="V1511" s="111" t="n"/>
      <c r="W1511" s="111" t="n"/>
      <c r="X1511" s="111" t="n"/>
    </row>
    <row r="1512">
      <c r="A1512" s="34" t="n"/>
      <c r="I1512" s="111" t="n"/>
      <c r="J1512" s="111" t="n"/>
      <c r="K1512" s="111" t="n"/>
      <c r="L1512" s="111" t="n"/>
      <c r="V1512" s="111" t="n"/>
      <c r="W1512" s="111" t="n"/>
      <c r="X1512" s="111" t="n"/>
    </row>
    <row r="1513">
      <c r="A1513" s="34" t="n"/>
      <c r="I1513" s="111" t="n"/>
      <c r="J1513" s="111" t="n"/>
      <c r="K1513" s="111" t="n"/>
      <c r="L1513" s="111" t="n"/>
      <c r="V1513" s="111" t="n"/>
      <c r="W1513" s="111" t="n"/>
      <c r="X1513" s="111" t="n"/>
    </row>
    <row r="1514">
      <c r="A1514" s="34" t="n"/>
      <c r="I1514" s="111" t="n"/>
      <c r="J1514" s="111" t="n"/>
      <c r="K1514" s="111" t="n"/>
      <c r="L1514" s="111" t="n"/>
      <c r="V1514" s="111" t="n"/>
      <c r="W1514" s="111" t="n"/>
      <c r="X1514" s="111" t="n"/>
    </row>
    <row r="1515">
      <c r="A1515" s="34" t="n"/>
      <c r="I1515" s="111" t="n"/>
      <c r="J1515" s="111" t="n"/>
      <c r="K1515" s="111" t="n"/>
      <c r="L1515" s="111" t="n"/>
      <c r="V1515" s="111" t="n"/>
      <c r="W1515" s="111" t="n"/>
      <c r="X1515" s="111" t="n"/>
    </row>
    <row r="1516">
      <c r="A1516" s="34" t="n"/>
      <c r="I1516" s="111" t="n"/>
      <c r="J1516" s="111" t="n"/>
      <c r="K1516" s="111" t="n"/>
      <c r="L1516" s="111" t="n"/>
      <c r="V1516" s="111" t="n"/>
      <c r="W1516" s="111" t="n"/>
      <c r="X1516" s="111" t="n"/>
    </row>
    <row r="1517">
      <c r="A1517" s="34" t="n"/>
      <c r="I1517" s="111" t="n"/>
      <c r="J1517" s="111" t="n"/>
      <c r="K1517" s="111" t="n"/>
      <c r="L1517" s="111" t="n"/>
      <c r="V1517" s="111" t="n"/>
      <c r="W1517" s="111" t="n"/>
      <c r="X1517" s="111" t="n"/>
    </row>
    <row r="1518">
      <c r="A1518" s="34" t="n"/>
      <c r="I1518" s="111" t="n"/>
      <c r="J1518" s="111" t="n"/>
      <c r="K1518" s="111" t="n"/>
      <c r="L1518" s="111" t="n"/>
      <c r="V1518" s="111" t="n"/>
      <c r="W1518" s="111" t="n"/>
      <c r="X1518" s="111" t="n"/>
    </row>
    <row r="1519">
      <c r="A1519" s="34" t="n"/>
      <c r="I1519" s="111" t="n"/>
      <c r="J1519" s="111" t="n"/>
      <c r="K1519" s="111" t="n"/>
      <c r="L1519" s="111" t="n"/>
      <c r="V1519" s="111" t="n"/>
      <c r="W1519" s="111" t="n"/>
      <c r="X1519" s="111" t="n"/>
    </row>
    <row r="1520">
      <c r="A1520" s="34" t="n"/>
      <c r="I1520" s="111" t="n"/>
      <c r="J1520" s="111" t="n"/>
      <c r="K1520" s="111" t="n"/>
      <c r="L1520" s="111" t="n"/>
      <c r="V1520" s="111" t="n"/>
      <c r="W1520" s="111" t="n"/>
      <c r="X1520" s="111" t="n"/>
    </row>
    <row r="1521">
      <c r="A1521" s="34" t="n"/>
      <c r="I1521" s="111" t="n"/>
      <c r="J1521" s="111" t="n"/>
      <c r="K1521" s="111" t="n"/>
      <c r="L1521" s="111" t="n"/>
      <c r="V1521" s="111" t="n"/>
      <c r="W1521" s="111" t="n"/>
      <c r="X1521" s="111" t="n"/>
    </row>
    <row r="1522">
      <c r="A1522" s="34" t="n"/>
      <c r="I1522" s="111" t="n"/>
      <c r="J1522" s="111" t="n"/>
      <c r="K1522" s="111" t="n"/>
      <c r="L1522" s="111" t="n"/>
      <c r="V1522" s="111" t="n"/>
      <c r="W1522" s="111" t="n"/>
      <c r="X1522" s="111" t="n"/>
    </row>
    <row r="1523">
      <c r="A1523" s="34" t="n"/>
      <c r="I1523" s="111" t="n"/>
      <c r="J1523" s="111" t="n"/>
      <c r="K1523" s="111" t="n"/>
      <c r="L1523" s="111" t="n"/>
      <c r="V1523" s="111" t="n"/>
      <c r="W1523" s="111" t="n"/>
      <c r="X1523" s="111" t="n"/>
    </row>
    <row r="1524">
      <c r="A1524" s="34" t="n"/>
      <c r="I1524" s="111" t="n"/>
      <c r="J1524" s="111" t="n"/>
      <c r="K1524" s="111" t="n"/>
      <c r="L1524" s="111" t="n"/>
      <c r="V1524" s="111" t="n"/>
      <c r="W1524" s="111" t="n"/>
      <c r="X1524" s="111" t="n"/>
    </row>
    <row r="1525">
      <c r="A1525" s="34" t="n"/>
      <c r="I1525" s="111" t="n"/>
      <c r="J1525" s="111" t="n"/>
      <c r="K1525" s="111" t="n"/>
      <c r="L1525" s="111" t="n"/>
      <c r="V1525" s="111" t="n"/>
      <c r="W1525" s="111" t="n"/>
      <c r="X1525" s="111" t="n"/>
    </row>
    <row r="1526">
      <c r="A1526" s="34" t="n"/>
      <c r="I1526" s="111" t="n"/>
      <c r="J1526" s="111" t="n"/>
      <c r="K1526" s="111" t="n"/>
      <c r="L1526" s="111" t="n"/>
      <c r="V1526" s="111" t="n"/>
      <c r="W1526" s="111" t="n"/>
      <c r="X1526" s="111" t="n"/>
    </row>
    <row r="1527">
      <c r="A1527" s="34" t="n"/>
      <c r="I1527" s="111" t="n"/>
      <c r="J1527" s="111" t="n"/>
      <c r="K1527" s="111" t="n"/>
      <c r="L1527" s="111" t="n"/>
      <c r="V1527" s="111" t="n"/>
      <c r="W1527" s="111" t="n"/>
      <c r="X1527" s="111" t="n"/>
    </row>
    <row r="1528">
      <c r="A1528" s="34" t="n"/>
      <c r="I1528" s="111" t="n"/>
      <c r="J1528" s="111" t="n"/>
      <c r="K1528" s="111" t="n"/>
      <c r="L1528" s="111" t="n"/>
      <c r="V1528" s="111" t="n"/>
      <c r="W1528" s="111" t="n"/>
      <c r="X1528" s="111" t="n"/>
    </row>
    <row r="1529">
      <c r="A1529" s="34" t="n"/>
      <c r="I1529" s="111" t="n"/>
      <c r="J1529" s="111" t="n"/>
      <c r="K1529" s="111" t="n"/>
      <c r="L1529" s="111" t="n"/>
      <c r="V1529" s="111" t="n"/>
      <c r="W1529" s="111" t="n"/>
      <c r="X1529" s="111" t="n"/>
    </row>
    <row r="1530">
      <c r="A1530" s="34" t="n"/>
      <c r="I1530" s="111" t="n"/>
      <c r="J1530" s="111" t="n"/>
      <c r="K1530" s="111" t="n"/>
      <c r="L1530" s="111" t="n"/>
      <c r="V1530" s="111" t="n"/>
      <c r="W1530" s="111" t="n"/>
      <c r="X1530" s="111" t="n"/>
    </row>
    <row r="1531">
      <c r="A1531" s="34" t="n"/>
      <c r="I1531" s="111" t="n"/>
      <c r="J1531" s="111" t="n"/>
      <c r="K1531" s="111" t="n"/>
      <c r="L1531" s="111" t="n"/>
      <c r="V1531" s="111" t="n"/>
      <c r="W1531" s="111" t="n"/>
      <c r="X1531" s="111" t="n"/>
    </row>
    <row r="1532">
      <c r="A1532" s="34" t="n"/>
      <c r="I1532" s="111" t="n"/>
      <c r="J1532" s="111" t="n"/>
      <c r="K1532" s="111" t="n"/>
      <c r="L1532" s="111" t="n"/>
      <c r="V1532" s="111" t="n"/>
      <c r="W1532" s="111" t="n"/>
      <c r="X1532" s="111" t="n"/>
    </row>
    <row r="1533">
      <c r="A1533" s="34" t="n"/>
      <c r="I1533" s="111" t="n"/>
      <c r="J1533" s="111" t="n"/>
      <c r="K1533" s="111" t="n"/>
      <c r="L1533" s="111" t="n"/>
      <c r="V1533" s="111" t="n"/>
      <c r="W1533" s="111" t="n"/>
      <c r="X1533" s="111" t="n"/>
    </row>
    <row r="1534">
      <c r="A1534" s="34" t="n"/>
      <c r="I1534" s="111" t="n"/>
      <c r="J1534" s="111" t="n"/>
      <c r="K1534" s="111" t="n"/>
      <c r="L1534" s="111" t="n"/>
      <c r="V1534" s="111" t="n"/>
      <c r="W1534" s="111" t="n"/>
      <c r="X1534" s="111" t="n"/>
    </row>
    <row r="1535">
      <c r="A1535" s="34" t="n"/>
      <c r="I1535" s="111" t="n"/>
      <c r="J1535" s="111" t="n"/>
      <c r="K1535" s="111" t="n"/>
      <c r="L1535" s="111" t="n"/>
      <c r="V1535" s="111" t="n"/>
      <c r="W1535" s="111" t="n"/>
      <c r="X1535" s="111" t="n"/>
    </row>
    <row r="1536">
      <c r="A1536" s="34" t="n"/>
      <c r="I1536" s="111" t="n"/>
      <c r="J1536" s="111" t="n"/>
      <c r="K1536" s="111" t="n"/>
      <c r="L1536" s="111" t="n"/>
      <c r="V1536" s="111" t="n"/>
      <c r="W1536" s="111" t="n"/>
      <c r="X1536" s="111" t="n"/>
    </row>
    <row r="1537">
      <c r="A1537" s="34" t="n"/>
      <c r="I1537" s="111" t="n"/>
      <c r="J1537" s="111" t="n"/>
      <c r="K1537" s="111" t="n"/>
      <c r="L1537" s="111" t="n"/>
      <c r="V1537" s="111" t="n"/>
      <c r="W1537" s="111" t="n"/>
      <c r="X1537" s="111" t="n"/>
    </row>
    <row r="1538">
      <c r="A1538" s="34" t="n"/>
      <c r="I1538" s="111" t="n"/>
      <c r="J1538" s="111" t="n"/>
      <c r="K1538" s="111" t="n"/>
      <c r="L1538" s="111" t="n"/>
      <c r="V1538" s="111" t="n"/>
      <c r="W1538" s="111" t="n"/>
      <c r="X1538" s="111" t="n"/>
    </row>
    <row r="1539">
      <c r="A1539" s="34" t="n"/>
      <c r="I1539" s="111" t="n"/>
      <c r="J1539" s="111" t="n"/>
      <c r="K1539" s="111" t="n"/>
      <c r="L1539" s="111" t="n"/>
      <c r="V1539" s="111" t="n"/>
      <c r="W1539" s="111" t="n"/>
      <c r="X1539" s="111" t="n"/>
    </row>
    <row r="1540">
      <c r="A1540" s="34" t="n"/>
      <c r="I1540" s="111" t="n"/>
      <c r="J1540" s="111" t="n"/>
      <c r="K1540" s="111" t="n"/>
      <c r="L1540" s="111" t="n"/>
      <c r="V1540" s="111" t="n"/>
      <c r="W1540" s="111" t="n"/>
      <c r="X1540" s="111" t="n"/>
    </row>
    <row r="1541">
      <c r="A1541" s="34" t="n"/>
      <c r="I1541" s="111" t="n"/>
      <c r="J1541" s="111" t="n"/>
      <c r="K1541" s="111" t="n"/>
      <c r="L1541" s="111" t="n"/>
      <c r="V1541" s="111" t="n"/>
      <c r="W1541" s="111" t="n"/>
      <c r="X1541" s="111" t="n"/>
    </row>
    <row r="1542">
      <c r="A1542" s="34" t="n"/>
      <c r="I1542" s="111" t="n"/>
      <c r="J1542" s="111" t="n"/>
      <c r="K1542" s="111" t="n"/>
      <c r="L1542" s="111" t="n"/>
      <c r="V1542" s="111" t="n"/>
      <c r="W1542" s="111" t="n"/>
      <c r="X1542" s="111" t="n"/>
    </row>
    <row r="1543">
      <c r="A1543" s="34" t="n"/>
      <c r="I1543" s="111" t="n"/>
      <c r="J1543" s="111" t="n"/>
      <c r="K1543" s="111" t="n"/>
      <c r="L1543" s="111" t="n"/>
      <c r="V1543" s="111" t="n"/>
      <c r="W1543" s="111" t="n"/>
      <c r="X1543" s="111" t="n"/>
    </row>
    <row r="1544">
      <c r="A1544" s="34" t="n"/>
      <c r="I1544" s="111" t="n"/>
      <c r="J1544" s="111" t="n"/>
      <c r="K1544" s="111" t="n"/>
      <c r="L1544" s="111" t="n"/>
      <c r="V1544" s="111" t="n"/>
      <c r="W1544" s="111" t="n"/>
      <c r="X1544" s="111" t="n"/>
    </row>
    <row r="1545">
      <c r="A1545" s="34" t="n"/>
      <c r="I1545" s="111" t="n"/>
      <c r="J1545" s="111" t="n"/>
      <c r="K1545" s="111" t="n"/>
      <c r="L1545" s="111" t="n"/>
      <c r="V1545" s="111" t="n"/>
      <c r="W1545" s="111" t="n"/>
      <c r="X1545" s="111" t="n"/>
    </row>
    <row r="1546">
      <c r="A1546" s="34" t="n"/>
      <c r="I1546" s="111" t="n"/>
      <c r="J1546" s="111" t="n"/>
      <c r="K1546" s="111" t="n"/>
      <c r="L1546" s="111" t="n"/>
      <c r="V1546" s="111" t="n"/>
      <c r="W1546" s="111" t="n"/>
      <c r="X1546" s="111" t="n"/>
    </row>
    <row r="1547">
      <c r="A1547" s="34" t="n"/>
      <c r="I1547" s="111" t="n"/>
      <c r="J1547" s="111" t="n"/>
      <c r="K1547" s="111" t="n"/>
      <c r="L1547" s="111" t="n"/>
      <c r="V1547" s="111" t="n"/>
      <c r="W1547" s="111" t="n"/>
      <c r="X1547" s="111" t="n"/>
    </row>
    <row r="1548">
      <c r="A1548" s="34" t="n"/>
      <c r="I1548" s="111" t="n"/>
      <c r="J1548" s="111" t="n"/>
      <c r="K1548" s="111" t="n"/>
      <c r="L1548" s="111" t="n"/>
      <c r="V1548" s="111" t="n"/>
      <c r="W1548" s="111" t="n"/>
      <c r="X1548" s="111" t="n"/>
    </row>
    <row r="1549">
      <c r="A1549" s="34" t="n"/>
      <c r="I1549" s="111" t="n"/>
      <c r="J1549" s="111" t="n"/>
      <c r="K1549" s="111" t="n"/>
      <c r="L1549" s="111" t="n"/>
      <c r="V1549" s="111" t="n"/>
      <c r="W1549" s="111" t="n"/>
      <c r="X1549" s="111" t="n"/>
    </row>
    <row r="1550">
      <c r="A1550" s="34" t="n"/>
      <c r="I1550" s="111" t="n"/>
      <c r="J1550" s="111" t="n"/>
      <c r="K1550" s="111" t="n"/>
      <c r="L1550" s="111" t="n"/>
      <c r="V1550" s="111" t="n"/>
      <c r="W1550" s="111" t="n"/>
      <c r="X1550" s="111" t="n"/>
    </row>
    <row r="1551">
      <c r="A1551" s="34" t="n"/>
      <c r="I1551" s="111" t="n"/>
      <c r="J1551" s="111" t="n"/>
      <c r="K1551" s="111" t="n"/>
      <c r="L1551" s="111" t="n"/>
      <c r="V1551" s="111" t="n"/>
      <c r="W1551" s="111" t="n"/>
      <c r="X1551" s="111" t="n"/>
    </row>
    <row r="1552">
      <c r="A1552" s="34" t="n"/>
      <c r="I1552" s="111" t="n"/>
      <c r="J1552" s="111" t="n"/>
      <c r="K1552" s="111" t="n"/>
      <c r="L1552" s="111" t="n"/>
      <c r="V1552" s="111" t="n"/>
      <c r="W1552" s="111" t="n"/>
      <c r="X1552" s="111" t="n"/>
    </row>
    <row r="1553">
      <c r="A1553" s="34" t="n"/>
      <c r="I1553" s="111" t="n"/>
      <c r="J1553" s="111" t="n"/>
      <c r="K1553" s="111" t="n"/>
      <c r="L1553" s="111" t="n"/>
      <c r="V1553" s="111" t="n"/>
      <c r="W1553" s="111" t="n"/>
      <c r="X1553" s="111" t="n"/>
    </row>
    <row r="1554">
      <c r="A1554" s="34" t="n"/>
      <c r="I1554" s="111" t="n"/>
      <c r="J1554" s="111" t="n"/>
      <c r="K1554" s="111" t="n"/>
      <c r="L1554" s="111" t="n"/>
      <c r="V1554" s="111" t="n"/>
      <c r="W1554" s="111" t="n"/>
      <c r="X1554" s="111" t="n"/>
    </row>
    <row r="1555">
      <c r="A1555" s="34" t="n"/>
      <c r="I1555" s="111" t="n"/>
      <c r="J1555" s="111" t="n"/>
      <c r="K1555" s="111" t="n"/>
      <c r="L1555" s="111" t="n"/>
      <c r="V1555" s="111" t="n"/>
      <c r="W1555" s="111" t="n"/>
      <c r="X1555" s="111" t="n"/>
    </row>
    <row r="1556">
      <c r="A1556" s="34" t="n"/>
      <c r="I1556" s="111" t="n"/>
      <c r="J1556" s="111" t="n"/>
      <c r="K1556" s="111" t="n"/>
      <c r="L1556" s="111" t="n"/>
      <c r="V1556" s="111" t="n"/>
      <c r="W1556" s="111" t="n"/>
      <c r="X1556" s="111" t="n"/>
    </row>
    <row r="1557">
      <c r="A1557" s="34" t="n"/>
      <c r="I1557" s="111" t="n"/>
      <c r="J1557" s="111" t="n"/>
      <c r="K1557" s="111" t="n"/>
      <c r="L1557" s="111" t="n"/>
      <c r="V1557" s="111" t="n"/>
      <c r="W1557" s="111" t="n"/>
      <c r="X1557" s="111" t="n"/>
    </row>
    <row r="1558">
      <c r="A1558" s="34" t="n"/>
      <c r="I1558" s="111" t="n"/>
      <c r="J1558" s="111" t="n"/>
      <c r="K1558" s="111" t="n"/>
      <c r="L1558" s="111" t="n"/>
      <c r="V1558" s="111" t="n"/>
      <c r="W1558" s="111" t="n"/>
      <c r="X1558" s="111" t="n"/>
    </row>
    <row r="1559">
      <c r="A1559" s="34" t="n"/>
      <c r="I1559" s="111" t="n"/>
      <c r="J1559" s="111" t="n"/>
      <c r="K1559" s="111" t="n"/>
      <c r="L1559" s="111" t="n"/>
      <c r="V1559" s="111" t="n"/>
      <c r="W1559" s="111" t="n"/>
      <c r="X1559" s="111" t="n"/>
    </row>
    <row r="1560">
      <c r="A1560" s="34" t="n"/>
      <c r="I1560" s="111" t="n"/>
      <c r="J1560" s="111" t="n"/>
      <c r="K1560" s="111" t="n"/>
      <c r="L1560" s="111" t="n"/>
      <c r="V1560" s="111" t="n"/>
      <c r="W1560" s="111" t="n"/>
      <c r="X1560" s="111" t="n"/>
    </row>
    <row r="1561">
      <c r="A1561" s="34" t="n"/>
      <c r="I1561" s="111" t="n"/>
      <c r="J1561" s="111" t="n"/>
      <c r="K1561" s="111" t="n"/>
      <c r="L1561" s="111" t="n"/>
      <c r="V1561" s="111" t="n"/>
      <c r="W1561" s="111" t="n"/>
      <c r="X1561" s="111" t="n"/>
    </row>
    <row r="1562">
      <c r="A1562" s="34" t="n"/>
      <c r="I1562" s="111" t="n"/>
      <c r="J1562" s="111" t="n"/>
      <c r="K1562" s="111" t="n"/>
      <c r="L1562" s="111" t="n"/>
      <c r="V1562" s="111" t="n"/>
      <c r="W1562" s="111" t="n"/>
      <c r="X1562" s="111" t="n"/>
    </row>
    <row r="1563">
      <c r="A1563" s="34" t="n"/>
      <c r="I1563" s="111" t="n"/>
      <c r="J1563" s="111" t="n"/>
      <c r="K1563" s="111" t="n"/>
      <c r="L1563" s="111" t="n"/>
      <c r="V1563" s="111" t="n"/>
      <c r="W1563" s="111" t="n"/>
      <c r="X1563" s="111" t="n"/>
    </row>
    <row r="1564">
      <c r="A1564" s="34" t="n"/>
      <c r="I1564" s="111" t="n"/>
      <c r="J1564" s="111" t="n"/>
      <c r="K1564" s="111" t="n"/>
      <c r="L1564" s="111" t="n"/>
      <c r="V1564" s="111" t="n"/>
      <c r="W1564" s="111" t="n"/>
      <c r="X1564" s="111" t="n"/>
    </row>
    <row r="1565">
      <c r="A1565" s="34" t="n"/>
      <c r="I1565" s="111" t="n"/>
      <c r="J1565" s="111" t="n"/>
      <c r="K1565" s="111" t="n"/>
      <c r="L1565" s="111" t="n"/>
      <c r="V1565" s="111" t="n"/>
      <c r="W1565" s="111" t="n"/>
      <c r="X1565" s="111" t="n"/>
    </row>
    <row r="1566">
      <c r="A1566" s="34" t="n"/>
      <c r="I1566" s="111" t="n"/>
      <c r="J1566" s="111" t="n"/>
      <c r="K1566" s="111" t="n"/>
      <c r="L1566" s="111" t="n"/>
      <c r="V1566" s="111" t="n"/>
      <c r="W1566" s="111" t="n"/>
      <c r="X1566" s="111" t="n"/>
    </row>
    <row r="1567">
      <c r="A1567" s="34" t="n"/>
      <c r="I1567" s="111" t="n"/>
      <c r="J1567" s="111" t="n"/>
      <c r="K1567" s="111" t="n"/>
      <c r="L1567" s="111" t="n"/>
      <c r="V1567" s="111" t="n"/>
      <c r="W1567" s="111" t="n"/>
      <c r="X1567" s="111" t="n"/>
    </row>
    <row r="1568">
      <c r="A1568" s="34" t="n"/>
      <c r="I1568" s="111" t="n"/>
      <c r="J1568" s="111" t="n"/>
      <c r="K1568" s="111" t="n"/>
      <c r="L1568" s="111" t="n"/>
      <c r="V1568" s="111" t="n"/>
      <c r="W1568" s="111" t="n"/>
      <c r="X1568" s="111" t="n"/>
    </row>
    <row r="1569">
      <c r="A1569" s="34" t="n"/>
      <c r="I1569" s="111" t="n"/>
      <c r="J1569" s="111" t="n"/>
      <c r="K1569" s="111" t="n"/>
      <c r="L1569" s="111" t="n"/>
      <c r="V1569" s="111" t="n"/>
      <c r="W1569" s="111" t="n"/>
      <c r="X1569" s="111" t="n"/>
    </row>
    <row r="1570">
      <c r="A1570" s="34" t="n"/>
      <c r="I1570" s="111" t="n"/>
      <c r="J1570" s="111" t="n"/>
      <c r="K1570" s="111" t="n"/>
      <c r="L1570" s="111" t="n"/>
      <c r="V1570" s="111" t="n"/>
      <c r="W1570" s="111" t="n"/>
      <c r="X1570" s="111" t="n"/>
    </row>
    <row r="1571">
      <c r="A1571" s="34" t="n"/>
      <c r="I1571" s="111" t="n"/>
      <c r="J1571" s="111" t="n"/>
      <c r="K1571" s="111" t="n"/>
      <c r="L1571" s="111" t="n"/>
      <c r="V1571" s="111" t="n"/>
      <c r="W1571" s="111" t="n"/>
      <c r="X1571" s="111" t="n"/>
    </row>
    <row r="1572">
      <c r="A1572" s="34" t="n"/>
      <c r="I1572" s="111" t="n"/>
      <c r="J1572" s="111" t="n"/>
      <c r="K1572" s="111" t="n"/>
      <c r="L1572" s="111" t="n"/>
      <c r="V1572" s="111" t="n"/>
      <c r="W1572" s="111" t="n"/>
      <c r="X1572" s="111" t="n"/>
    </row>
    <row r="1573">
      <c r="A1573" s="34" t="n"/>
      <c r="I1573" s="111" t="n"/>
      <c r="J1573" s="111" t="n"/>
      <c r="K1573" s="111" t="n"/>
      <c r="L1573" s="111" t="n"/>
      <c r="V1573" s="111" t="n"/>
      <c r="W1573" s="111" t="n"/>
      <c r="X1573" s="111" t="n"/>
    </row>
    <row r="1574">
      <c r="A1574" s="34" t="n"/>
      <c r="I1574" s="111" t="n"/>
      <c r="J1574" s="111" t="n"/>
      <c r="K1574" s="111" t="n"/>
      <c r="L1574" s="111" t="n"/>
      <c r="V1574" s="111" t="n"/>
      <c r="W1574" s="111" t="n"/>
      <c r="X1574" s="111" t="n"/>
    </row>
    <row r="1575">
      <c r="A1575" s="34" t="n"/>
      <c r="I1575" s="111" t="n"/>
      <c r="J1575" s="111" t="n"/>
      <c r="K1575" s="111" t="n"/>
      <c r="L1575" s="111" t="n"/>
      <c r="V1575" s="111" t="n"/>
      <c r="W1575" s="111" t="n"/>
      <c r="X1575" s="111" t="n"/>
    </row>
    <row r="1576">
      <c r="A1576" s="34" t="n"/>
      <c r="I1576" s="111" t="n"/>
      <c r="J1576" s="111" t="n"/>
      <c r="K1576" s="111" t="n"/>
      <c r="L1576" s="111" t="n"/>
      <c r="V1576" s="111" t="n"/>
      <c r="W1576" s="111" t="n"/>
      <c r="X1576" s="111" t="n"/>
    </row>
    <row r="1577">
      <c r="A1577" s="34" t="n"/>
      <c r="I1577" s="111" t="n"/>
      <c r="J1577" s="111" t="n"/>
      <c r="K1577" s="111" t="n"/>
      <c r="L1577" s="111" t="n"/>
      <c r="V1577" s="111" t="n"/>
      <c r="W1577" s="111" t="n"/>
      <c r="X1577" s="111" t="n"/>
    </row>
    <row r="1578">
      <c r="A1578" s="34" t="n"/>
      <c r="I1578" s="111" t="n"/>
      <c r="J1578" s="111" t="n"/>
      <c r="K1578" s="111" t="n"/>
      <c r="L1578" s="111" t="n"/>
      <c r="V1578" s="111" t="n"/>
      <c r="W1578" s="111" t="n"/>
      <c r="X1578" s="111" t="n"/>
    </row>
    <row r="1579">
      <c r="A1579" s="34" t="n"/>
      <c r="I1579" s="111" t="n"/>
      <c r="J1579" s="111" t="n"/>
      <c r="K1579" s="111" t="n"/>
      <c r="L1579" s="111" t="n"/>
      <c r="V1579" s="111" t="n"/>
      <c r="W1579" s="111" t="n"/>
      <c r="X1579" s="111" t="n"/>
    </row>
    <row r="1580">
      <c r="A1580" s="34" t="n"/>
      <c r="I1580" s="111" t="n"/>
      <c r="J1580" s="111" t="n"/>
      <c r="K1580" s="111" t="n"/>
      <c r="L1580" s="111" t="n"/>
      <c r="V1580" s="111" t="n"/>
      <c r="W1580" s="111" t="n"/>
      <c r="X1580" s="111" t="n"/>
    </row>
    <row r="1581">
      <c r="A1581" s="34" t="n"/>
      <c r="I1581" s="111" t="n"/>
      <c r="J1581" s="111" t="n"/>
      <c r="K1581" s="111" t="n"/>
      <c r="L1581" s="111" t="n"/>
      <c r="V1581" s="111" t="n"/>
      <c r="W1581" s="111" t="n"/>
      <c r="X1581" s="111" t="n"/>
    </row>
    <row r="1582">
      <c r="A1582" s="34" t="n"/>
      <c r="I1582" s="111" t="n"/>
      <c r="J1582" s="111" t="n"/>
      <c r="K1582" s="111" t="n"/>
      <c r="L1582" s="111" t="n"/>
      <c r="V1582" s="111" t="n"/>
      <c r="W1582" s="111" t="n"/>
      <c r="X1582" s="111" t="n"/>
    </row>
    <row r="1583">
      <c r="A1583" s="34" t="n"/>
      <c r="I1583" s="111" t="n"/>
      <c r="J1583" s="111" t="n"/>
      <c r="K1583" s="111" t="n"/>
      <c r="L1583" s="111" t="n"/>
      <c r="V1583" s="111" t="n"/>
      <c r="W1583" s="111" t="n"/>
      <c r="X1583" s="111" t="n"/>
    </row>
    <row r="1584">
      <c r="A1584" s="34" t="n"/>
      <c r="I1584" s="111" t="n"/>
      <c r="J1584" s="111" t="n"/>
      <c r="K1584" s="111" t="n"/>
      <c r="L1584" s="111" t="n"/>
      <c r="V1584" s="111" t="n"/>
      <c r="W1584" s="111" t="n"/>
      <c r="X1584" s="111" t="n"/>
    </row>
    <row r="1585">
      <c r="A1585" s="34" t="n"/>
      <c r="I1585" s="111" t="n"/>
      <c r="J1585" s="111" t="n"/>
      <c r="K1585" s="111" t="n"/>
      <c r="L1585" s="111" t="n"/>
      <c r="V1585" s="111" t="n"/>
      <c r="W1585" s="111" t="n"/>
      <c r="X1585" s="111" t="n"/>
    </row>
    <row r="1586">
      <c r="A1586" s="34" t="n"/>
      <c r="I1586" s="111" t="n"/>
      <c r="J1586" s="111" t="n"/>
      <c r="K1586" s="111" t="n"/>
      <c r="L1586" s="111" t="n"/>
      <c r="V1586" s="111" t="n"/>
      <c r="W1586" s="111" t="n"/>
      <c r="X1586" s="111" t="n"/>
    </row>
    <row r="1587">
      <c r="A1587" s="34" t="n"/>
      <c r="I1587" s="111" t="n"/>
      <c r="J1587" s="111" t="n"/>
      <c r="K1587" s="111" t="n"/>
      <c r="L1587" s="111" t="n"/>
      <c r="V1587" s="111" t="n"/>
      <c r="W1587" s="111" t="n"/>
      <c r="X1587" s="111" t="n"/>
    </row>
    <row r="1588">
      <c r="A1588" s="34" t="n"/>
      <c r="I1588" s="111" t="n"/>
      <c r="J1588" s="111" t="n"/>
      <c r="K1588" s="111" t="n"/>
      <c r="L1588" s="111" t="n"/>
      <c r="V1588" s="111" t="n"/>
      <c r="W1588" s="111" t="n"/>
      <c r="X1588" s="111" t="n"/>
    </row>
    <row r="1589">
      <c r="A1589" s="34" t="n"/>
      <c r="I1589" s="111" t="n"/>
      <c r="J1589" s="111" t="n"/>
      <c r="K1589" s="111" t="n"/>
      <c r="L1589" s="111" t="n"/>
      <c r="V1589" s="111" t="n"/>
      <c r="W1589" s="111" t="n"/>
      <c r="X1589" s="111" t="n"/>
    </row>
    <row r="1590">
      <c r="A1590" s="34" t="n"/>
      <c r="I1590" s="111" t="n"/>
      <c r="J1590" s="111" t="n"/>
      <c r="K1590" s="111" t="n"/>
      <c r="L1590" s="111" t="n"/>
      <c r="V1590" s="111" t="n"/>
      <c r="W1590" s="111" t="n"/>
      <c r="X1590" s="111" t="n"/>
    </row>
    <row r="1591">
      <c r="A1591" s="34" t="n"/>
      <c r="I1591" s="111" t="n"/>
      <c r="J1591" s="111" t="n"/>
      <c r="K1591" s="111" t="n"/>
      <c r="L1591" s="111" t="n"/>
      <c r="V1591" s="111" t="n"/>
      <c r="W1591" s="111" t="n"/>
      <c r="X1591" s="111" t="n"/>
    </row>
    <row r="1592">
      <c r="A1592" s="34" t="n"/>
      <c r="I1592" s="111" t="n"/>
      <c r="J1592" s="111" t="n"/>
      <c r="K1592" s="111" t="n"/>
      <c r="L1592" s="111" t="n"/>
      <c r="V1592" s="111" t="n"/>
      <c r="W1592" s="111" t="n"/>
      <c r="X1592" s="111" t="n"/>
    </row>
    <row r="1593">
      <c r="A1593" s="34" t="n"/>
      <c r="I1593" s="111" t="n"/>
      <c r="J1593" s="111" t="n"/>
      <c r="K1593" s="111" t="n"/>
      <c r="L1593" s="111" t="n"/>
      <c r="V1593" s="111" t="n"/>
      <c r="W1593" s="111" t="n"/>
      <c r="X1593" s="111" t="n"/>
    </row>
    <row r="1594">
      <c r="A1594" s="34" t="n"/>
      <c r="I1594" s="111" t="n"/>
      <c r="J1594" s="111" t="n"/>
      <c r="K1594" s="111" t="n"/>
      <c r="L1594" s="111" t="n"/>
      <c r="V1594" s="111" t="n"/>
      <c r="W1594" s="111" t="n"/>
      <c r="X1594" s="111" t="n"/>
    </row>
    <row r="1595">
      <c r="A1595" s="34" t="n"/>
      <c r="I1595" s="111" t="n"/>
      <c r="J1595" s="111" t="n"/>
      <c r="K1595" s="111" t="n"/>
      <c r="L1595" s="111" t="n"/>
      <c r="V1595" s="111" t="n"/>
      <c r="W1595" s="111" t="n"/>
      <c r="X1595" s="111" t="n"/>
    </row>
    <row r="1596">
      <c r="A1596" s="34" t="n"/>
      <c r="I1596" s="111" t="n"/>
      <c r="J1596" s="111" t="n"/>
      <c r="K1596" s="111" t="n"/>
      <c r="L1596" s="111" t="n"/>
      <c r="V1596" s="111" t="n"/>
      <c r="W1596" s="111" t="n"/>
      <c r="X1596" s="111" t="n"/>
    </row>
    <row r="1597">
      <c r="A1597" s="34" t="n"/>
      <c r="I1597" s="111" t="n"/>
      <c r="J1597" s="111" t="n"/>
      <c r="K1597" s="111" t="n"/>
      <c r="L1597" s="111" t="n"/>
      <c r="V1597" s="111" t="n"/>
      <c r="W1597" s="111" t="n"/>
      <c r="X1597" s="111" t="n"/>
    </row>
    <row r="1598">
      <c r="A1598" s="34" t="n"/>
      <c r="I1598" s="111" t="n"/>
      <c r="J1598" s="111" t="n"/>
      <c r="K1598" s="111" t="n"/>
      <c r="L1598" s="111" t="n"/>
      <c r="V1598" s="111" t="n"/>
      <c r="W1598" s="111" t="n"/>
      <c r="X1598" s="111" t="n"/>
    </row>
    <row r="1599">
      <c r="A1599" s="34" t="n"/>
      <c r="I1599" s="111" t="n"/>
      <c r="J1599" s="111" t="n"/>
      <c r="K1599" s="111" t="n"/>
      <c r="L1599" s="111" t="n"/>
      <c r="V1599" s="111" t="n"/>
      <c r="W1599" s="111" t="n"/>
      <c r="X1599" s="111" t="n"/>
    </row>
    <row r="1600">
      <c r="A1600" s="34" t="n"/>
      <c r="I1600" s="111" t="n"/>
      <c r="J1600" s="111" t="n"/>
      <c r="K1600" s="111" t="n"/>
      <c r="L1600" s="111" t="n"/>
      <c r="V1600" s="111" t="n"/>
      <c r="W1600" s="111" t="n"/>
      <c r="X1600" s="111" t="n"/>
    </row>
    <row r="1601">
      <c r="A1601" s="34" t="n"/>
      <c r="I1601" s="111" t="n"/>
      <c r="J1601" s="111" t="n"/>
      <c r="K1601" s="111" t="n"/>
      <c r="L1601" s="111" t="n"/>
      <c r="V1601" s="111" t="n"/>
      <c r="W1601" s="111" t="n"/>
      <c r="X1601" s="111" t="n"/>
    </row>
    <row r="1602">
      <c r="A1602" s="34" t="n"/>
      <c r="I1602" s="111" t="n"/>
      <c r="J1602" s="111" t="n"/>
      <c r="K1602" s="111" t="n"/>
      <c r="L1602" s="111" t="n"/>
      <c r="V1602" s="111" t="n"/>
      <c r="W1602" s="111" t="n"/>
      <c r="X1602" s="111" t="n"/>
    </row>
    <row r="1603">
      <c r="A1603" s="34" t="n"/>
      <c r="I1603" s="111" t="n"/>
      <c r="J1603" s="111" t="n"/>
      <c r="K1603" s="111" t="n"/>
      <c r="L1603" s="111" t="n"/>
      <c r="V1603" s="111" t="n"/>
      <c r="W1603" s="111" t="n"/>
      <c r="X1603" s="111" t="n"/>
    </row>
    <row r="1604">
      <c r="A1604" s="34" t="n"/>
      <c r="I1604" s="111" t="n"/>
      <c r="J1604" s="111" t="n"/>
      <c r="K1604" s="111" t="n"/>
      <c r="L1604" s="111" t="n"/>
      <c r="V1604" s="111" t="n"/>
      <c r="W1604" s="111" t="n"/>
      <c r="X1604" s="111" t="n"/>
    </row>
    <row r="1605">
      <c r="A1605" s="34" t="n"/>
      <c r="I1605" s="111" t="n"/>
      <c r="J1605" s="111" t="n"/>
      <c r="K1605" s="111" t="n"/>
      <c r="L1605" s="111" t="n"/>
      <c r="V1605" s="111" t="n"/>
      <c r="W1605" s="111" t="n"/>
      <c r="X1605" s="111" t="n"/>
    </row>
    <row r="1606">
      <c r="A1606" s="34" t="n"/>
      <c r="I1606" s="111" t="n"/>
      <c r="J1606" s="111" t="n"/>
      <c r="K1606" s="111" t="n"/>
      <c r="L1606" s="111" t="n"/>
      <c r="V1606" s="111" t="n"/>
      <c r="W1606" s="111" t="n"/>
      <c r="X1606" s="111" t="n"/>
    </row>
    <row r="1607">
      <c r="A1607" s="34" t="n"/>
      <c r="I1607" s="111" t="n"/>
      <c r="J1607" s="111" t="n"/>
      <c r="K1607" s="111" t="n"/>
      <c r="L1607" s="111" t="n"/>
      <c r="V1607" s="111" t="n"/>
      <c r="W1607" s="111" t="n"/>
      <c r="X1607" s="111" t="n"/>
    </row>
    <row r="1608">
      <c r="A1608" s="34" t="n"/>
      <c r="I1608" s="111" t="n"/>
      <c r="J1608" s="111" t="n"/>
      <c r="K1608" s="111" t="n"/>
      <c r="L1608" s="111" t="n"/>
      <c r="V1608" s="111" t="n"/>
      <c r="W1608" s="111" t="n"/>
      <c r="X1608" s="111" t="n"/>
    </row>
    <row r="1609">
      <c r="A1609" s="34" t="n"/>
      <c r="I1609" s="111" t="n"/>
      <c r="J1609" s="111" t="n"/>
      <c r="K1609" s="111" t="n"/>
      <c r="L1609" s="111" t="n"/>
      <c r="V1609" s="111" t="n"/>
      <c r="W1609" s="111" t="n"/>
      <c r="X1609" s="111" t="n"/>
    </row>
    <row r="1610">
      <c r="A1610" s="34" t="n"/>
      <c r="I1610" s="111" t="n"/>
      <c r="J1610" s="111" t="n"/>
      <c r="K1610" s="111" t="n"/>
      <c r="L1610" s="111" t="n"/>
      <c r="V1610" s="111" t="n"/>
      <c r="W1610" s="111" t="n"/>
      <c r="X1610" s="111" t="n"/>
    </row>
    <row r="1611">
      <c r="A1611" s="34" t="n"/>
      <c r="I1611" s="111" t="n"/>
      <c r="J1611" s="111" t="n"/>
      <c r="K1611" s="111" t="n"/>
      <c r="L1611" s="111" t="n"/>
      <c r="V1611" s="111" t="n"/>
      <c r="W1611" s="111" t="n"/>
      <c r="X1611" s="111" t="n"/>
    </row>
    <row r="1612">
      <c r="A1612" s="34" t="n"/>
      <c r="I1612" s="111" t="n"/>
      <c r="J1612" s="111" t="n"/>
      <c r="K1612" s="111" t="n"/>
      <c r="L1612" s="111" t="n"/>
      <c r="V1612" s="111" t="n"/>
      <c r="W1612" s="111" t="n"/>
      <c r="X1612" s="111" t="n"/>
    </row>
    <row r="1613">
      <c r="A1613" s="34" t="n"/>
      <c r="I1613" s="111" t="n"/>
      <c r="J1613" s="111" t="n"/>
      <c r="K1613" s="111" t="n"/>
      <c r="L1613" s="111" t="n"/>
      <c r="V1613" s="111" t="n"/>
      <c r="W1613" s="111" t="n"/>
      <c r="X1613" s="111" t="n"/>
    </row>
    <row r="1614">
      <c r="A1614" s="34" t="n"/>
      <c r="I1614" s="111" t="n"/>
      <c r="J1614" s="111" t="n"/>
      <c r="K1614" s="111" t="n"/>
      <c r="L1614" s="111" t="n"/>
      <c r="V1614" s="111" t="n"/>
      <c r="W1614" s="111" t="n"/>
      <c r="X1614" s="111" t="n"/>
    </row>
    <row r="1615">
      <c r="A1615" s="34" t="n"/>
      <c r="I1615" s="111" t="n"/>
      <c r="J1615" s="111" t="n"/>
      <c r="K1615" s="111" t="n"/>
      <c r="L1615" s="111" t="n"/>
      <c r="V1615" s="111" t="n"/>
      <c r="W1615" s="111" t="n"/>
      <c r="X1615" s="111" t="n"/>
    </row>
    <row r="1616">
      <c r="A1616" s="34" t="n"/>
      <c r="I1616" s="111" t="n"/>
      <c r="J1616" s="111" t="n"/>
      <c r="K1616" s="111" t="n"/>
      <c r="L1616" s="111" t="n"/>
      <c r="V1616" s="111" t="n"/>
      <c r="W1616" s="111" t="n"/>
      <c r="X1616" s="111" t="n"/>
    </row>
    <row r="1617">
      <c r="A1617" s="34" t="n"/>
      <c r="I1617" s="111" t="n"/>
      <c r="J1617" s="111" t="n"/>
      <c r="K1617" s="111" t="n"/>
      <c r="L1617" s="111" t="n"/>
      <c r="V1617" s="111" t="n"/>
      <c r="W1617" s="111" t="n"/>
      <c r="X1617" s="111" t="n"/>
    </row>
    <row r="1618">
      <c r="A1618" s="34" t="n"/>
      <c r="I1618" s="111" t="n"/>
      <c r="J1618" s="111" t="n"/>
      <c r="K1618" s="111" t="n"/>
      <c r="L1618" s="111" t="n"/>
      <c r="V1618" s="111" t="n"/>
      <c r="W1618" s="111" t="n"/>
      <c r="X1618" s="111" t="n"/>
    </row>
    <row r="1619">
      <c r="A1619" s="34" t="n"/>
      <c r="I1619" s="111" t="n"/>
      <c r="J1619" s="111" t="n"/>
      <c r="K1619" s="111" t="n"/>
      <c r="L1619" s="111" t="n"/>
      <c r="V1619" s="111" t="n"/>
      <c r="W1619" s="111" t="n"/>
      <c r="X1619" s="111" t="n"/>
    </row>
    <row r="1620">
      <c r="A1620" s="34" t="n"/>
      <c r="I1620" s="111" t="n"/>
      <c r="J1620" s="111" t="n"/>
      <c r="K1620" s="111" t="n"/>
      <c r="L1620" s="111" t="n"/>
      <c r="V1620" s="111" t="n"/>
      <c r="W1620" s="111" t="n"/>
      <c r="X1620" s="111" t="n"/>
    </row>
    <row r="1621">
      <c r="A1621" s="34" t="n"/>
      <c r="I1621" s="111" t="n"/>
      <c r="J1621" s="111" t="n"/>
      <c r="K1621" s="111" t="n"/>
      <c r="L1621" s="111" t="n"/>
      <c r="V1621" s="111" t="n"/>
      <c r="W1621" s="111" t="n"/>
      <c r="X1621" s="111" t="n"/>
    </row>
    <row r="1622">
      <c r="A1622" s="34" t="n"/>
      <c r="I1622" s="111" t="n"/>
      <c r="J1622" s="111" t="n"/>
      <c r="K1622" s="111" t="n"/>
      <c r="L1622" s="111" t="n"/>
      <c r="V1622" s="111" t="n"/>
      <c r="W1622" s="111" t="n"/>
      <c r="X1622" s="111" t="n"/>
    </row>
    <row r="1623">
      <c r="A1623" s="34" t="n"/>
      <c r="I1623" s="111" t="n"/>
      <c r="J1623" s="111" t="n"/>
      <c r="K1623" s="111" t="n"/>
      <c r="L1623" s="111" t="n"/>
      <c r="V1623" s="111" t="n"/>
      <c r="W1623" s="111" t="n"/>
      <c r="X1623" s="111" t="n"/>
    </row>
    <row r="1624">
      <c r="A1624" s="34" t="n"/>
      <c r="I1624" s="111" t="n"/>
      <c r="J1624" s="111" t="n"/>
      <c r="K1624" s="111" t="n"/>
      <c r="L1624" s="111" t="n"/>
      <c r="V1624" s="111" t="n"/>
      <c r="W1624" s="111" t="n"/>
      <c r="X1624" s="111" t="n"/>
    </row>
    <row r="1625">
      <c r="A1625" s="34" t="n"/>
      <c r="I1625" s="111" t="n"/>
      <c r="J1625" s="111" t="n"/>
      <c r="K1625" s="111" t="n"/>
      <c r="L1625" s="111" t="n"/>
      <c r="V1625" s="111" t="n"/>
      <c r="W1625" s="111" t="n"/>
      <c r="X1625" s="111" t="n"/>
    </row>
    <row r="1626">
      <c r="A1626" s="34" t="n"/>
      <c r="I1626" s="111" t="n"/>
      <c r="J1626" s="111" t="n"/>
      <c r="K1626" s="111" t="n"/>
      <c r="L1626" s="111" t="n"/>
      <c r="V1626" s="111" t="n"/>
      <c r="W1626" s="111" t="n"/>
      <c r="X1626" s="111" t="n"/>
    </row>
  </sheetData>
  <dataValidations count="1">
    <dataValidation sqref="J2:L402 V2:X402" showDropDown="0" showInputMessage="0" showErrorMessage="0" allowBlank="1" type="custom">
      <formula1>AND(ISNUMBER(J2),(NOT(OR(NOT(ISERROR(DATEVALUE(J2))), AND(ISNUMBER(J2), LEFT(CELL("format", J2))="D")))))</formula1>
    </dataValidation>
  </dataValidations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2026-03-12T16:26:51Z</dcterms:created>
  <dcterms:modified xsi:type="dcterms:W3CDTF">2026-03-12T16:26:52Z</dcterms:modified>
  <cp:lastModifiedBy>Erdem Ergul</cp:lastModifiedBy>
  <cp:version>10.105.298.56155</cp:version>
  <cp:revision>3</cp:revision>
</cp:coreProperties>
</file>